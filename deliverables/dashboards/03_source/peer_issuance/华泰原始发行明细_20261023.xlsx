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y187\Desktop\华泰资管abs\结构融资部-消金周报\"/>
    </mc:Choice>
  </mc:AlternateContent>
  <bookViews>
    <workbookView windowWidth="21600" windowHeight="10480" tabRatio="758" firstSheet="1" activeTab="1"/>
  </bookViews>
  <sheets>
    <sheet name="交易所-2026年" sheetId="8" r:id="rId1"/>
    <sheet name="交易商协会-2026年" sheetId="9" r:id="rId2"/>
    <sheet name="交易所-2025年" sheetId="1" r:id="rId3"/>
    <sheet name="交易所-2024年" sheetId="4" state="hidden" r:id="rId4"/>
    <sheet name="交易商协会-2025年" sheetId="2" r:id="rId5"/>
    <sheet name="交易商协会-2024年" sheetId="5" state="hidden" r:id="rId6"/>
    <sheet name="银行间信贷ABS-2022年至今" sheetId="7" r:id="rId7"/>
  </sheets>
  <definedNames>
    <definedName name="_xlnm._FilterDatabase" localSheetId="0" hidden="1">'交易所-2026年'!$A$1:$M$1270</definedName>
    <definedName name="_xlnm._FilterDatabase" localSheetId="1" hidden="1">'交易商协会-2026年'!$A$1:$L$799</definedName>
    <definedName name="_xlnm._FilterDatabase" localSheetId="2" hidden="1">'交易所-2025年'!$A$1:$AI$1510</definedName>
    <definedName name="_xlnm._FilterDatabase" localSheetId="3" hidden="1">'交易所-2024年'!$A$1:$L$1355</definedName>
    <definedName name="_xlnm._FilterDatabase" localSheetId="4" hidden="1">'交易商协会-2025年'!$A$1:$N$1081</definedName>
    <definedName name="_xlnm._FilterDatabase" localSheetId="5" hidden="1">'交易商协会-2024年'!$A$1:$K$865</definedName>
    <definedName name="_xlnm._FilterDatabase" localSheetId="6" hidden="1">'银行间信贷ABS-2022年至今'!$A$1:$J$174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<sst xmlns="http://schemas.openxmlformats.org/spreadsheetml/2006/main" count="26906" uniqueCount="2967">
  <si>
    <r>
      <rPr>
        <b/>
        <sz val="11"/>
        <rFont val="楷体"/>
        <charset val="134"/>
      </rPr>
      <t>设立时间</t>
    </r>
  </si>
  <si>
    <r>
      <rPr>
        <b/>
        <sz val="11"/>
        <rFont val="楷体"/>
        <charset val="134"/>
      </rPr>
      <t>专项计划名称</t>
    </r>
  </si>
  <si>
    <r>
      <rPr>
        <b/>
        <sz val="11"/>
        <rFont val="楷体"/>
        <charset val="134"/>
      </rPr>
      <t>交易所</t>
    </r>
  </si>
  <si>
    <r>
      <rPr>
        <b/>
        <sz val="11"/>
        <rFont val="楷体"/>
        <charset val="134"/>
      </rPr>
      <t>规模</t>
    </r>
    <r>
      <rPr>
        <b/>
        <sz val="11"/>
        <rFont val="Times New Roman"/>
        <charset val="134"/>
      </rPr>
      <t>(</t>
    </r>
    <r>
      <rPr>
        <b/>
        <sz val="11"/>
        <rFont val="楷体"/>
        <charset val="134"/>
      </rPr>
      <t>亿元</t>
    </r>
    <r>
      <rPr>
        <b/>
        <sz val="11"/>
        <rFont val="Times New Roman"/>
        <charset val="134"/>
      </rPr>
      <t>)</t>
    </r>
  </si>
  <si>
    <r>
      <rPr>
        <b/>
        <sz val="11"/>
        <rFont val="楷体"/>
        <charset val="134"/>
      </rPr>
      <t>原始权益人</t>
    </r>
  </si>
  <si>
    <r>
      <rPr>
        <b/>
        <sz val="11"/>
        <rFont val="楷体"/>
        <charset val="134"/>
      </rPr>
      <t>计划管理人</t>
    </r>
  </si>
  <si>
    <r>
      <rPr>
        <b/>
        <sz val="11"/>
        <rFont val="楷体"/>
        <charset val="134"/>
      </rPr>
      <t>分层</t>
    </r>
  </si>
  <si>
    <r>
      <rPr>
        <b/>
        <sz val="11"/>
        <rFont val="楷体"/>
        <charset val="134"/>
      </rPr>
      <t>期限</t>
    </r>
  </si>
  <si>
    <t>评级</t>
  </si>
  <si>
    <r>
      <rPr>
        <b/>
        <sz val="11"/>
        <rFont val="楷体"/>
        <charset val="134"/>
      </rPr>
      <t>票面利率（</t>
    </r>
    <r>
      <rPr>
        <b/>
        <sz val="11"/>
        <rFont val="Times New Roman"/>
        <charset val="134"/>
      </rPr>
      <t>%</t>
    </r>
    <r>
      <rPr>
        <b/>
        <sz val="11"/>
        <rFont val="楷体"/>
        <charset val="134"/>
      </rPr>
      <t>）</t>
    </r>
  </si>
  <si>
    <t>资产方</t>
  </si>
  <si>
    <r>
      <rPr>
        <b/>
        <sz val="11"/>
        <rFont val="楷体"/>
        <charset val="134"/>
      </rPr>
      <t>资产类型</t>
    </r>
  </si>
  <si>
    <r>
      <rPr>
        <sz val="11"/>
        <color rgb="FF000000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</si>
  <si>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上海</t>
    </r>
  </si>
  <si>
    <r>
      <rPr>
        <sz val="11"/>
        <color rgb="FF000000"/>
        <rFont val="楷体"/>
        <charset val="134"/>
      </rPr>
      <t>华能贵诚信托有限公司</t>
    </r>
  </si>
  <si>
    <r>
      <rPr>
        <sz val="11"/>
        <color rgb="FF000000"/>
        <rFont val="楷体"/>
        <charset val="134"/>
      </rPr>
      <t>华泰证券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上海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楷体"/>
        <charset val="134"/>
      </rPr>
      <t>资产管理有限公司</t>
    </r>
  </si>
  <si>
    <r>
      <rPr>
        <sz val="11"/>
        <rFont val="楷体"/>
        <charset val="134"/>
      </rPr>
      <t>优先</t>
    </r>
    <r>
      <rPr>
        <sz val="11"/>
        <rFont val="Times New Roman"/>
        <charset val="134"/>
      </rPr>
      <t>A-1</t>
    </r>
    <r>
      <rPr>
        <sz val="11"/>
        <rFont val="楷体"/>
        <charset val="134"/>
      </rPr>
      <t>级</t>
    </r>
  </si>
  <si>
    <t>AAAsf</t>
  </si>
  <si>
    <t>微众银行</t>
  </si>
  <si>
    <r>
      <rPr>
        <sz val="11"/>
        <color rgb="FF000000"/>
        <rFont val="楷体"/>
        <charset val="134"/>
      </rPr>
      <t>微粒贷</t>
    </r>
  </si>
  <si>
    <r>
      <rPr>
        <sz val="11"/>
        <rFont val="楷体"/>
        <charset val="134"/>
      </rPr>
      <t>优先</t>
    </r>
    <r>
      <rPr>
        <sz val="11"/>
        <rFont val="Times New Roman"/>
        <charset val="134"/>
      </rPr>
      <t>A-2</t>
    </r>
    <r>
      <rPr>
        <sz val="11"/>
        <rFont val="楷体"/>
        <charset val="134"/>
      </rPr>
      <t>级</t>
    </r>
  </si>
  <si>
    <r>
      <rPr>
        <sz val="11"/>
        <rFont val="楷体"/>
        <charset val="134"/>
      </rPr>
      <t>优先</t>
    </r>
    <r>
      <rPr>
        <sz val="11"/>
        <rFont val="Times New Roman"/>
        <charset val="134"/>
      </rPr>
      <t>B</t>
    </r>
    <r>
      <rPr>
        <sz val="11"/>
        <rFont val="楷体"/>
        <charset val="134"/>
      </rPr>
      <t>级</t>
    </r>
  </si>
  <si>
    <t>AA+sf</t>
  </si>
  <si>
    <r>
      <rPr>
        <sz val="11"/>
        <rFont val="楷体"/>
        <charset val="134"/>
      </rPr>
      <t>次级</t>
    </r>
  </si>
  <si>
    <t>-</t>
  </si>
  <si>
    <r>
      <rPr>
        <sz val="11"/>
        <color rgb="FF000000"/>
        <rFont val="楷体"/>
        <charset val="134"/>
      </rPr>
      <t>国君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华泰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华能信托美憬四期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号资产支持专项计划</t>
    </r>
  </si>
  <si>
    <r>
      <rPr>
        <sz val="11"/>
        <rFont val="楷体"/>
        <charset val="134"/>
      </rPr>
      <t>优先</t>
    </r>
    <r>
      <rPr>
        <sz val="11"/>
        <rFont val="Times New Roman"/>
        <charset val="134"/>
      </rPr>
      <t>A</t>
    </r>
    <r>
      <rPr>
        <sz val="11"/>
        <rFont val="楷体"/>
        <charset val="134"/>
      </rPr>
      <t>级</t>
    </r>
  </si>
  <si>
    <t>美团</t>
  </si>
  <si>
    <r>
      <rPr>
        <sz val="11"/>
        <color rgb="FF000000"/>
        <rFont val="楷体"/>
        <charset val="134"/>
      </rPr>
      <t>生活费</t>
    </r>
  </si>
  <si>
    <r>
      <rPr>
        <sz val="11"/>
        <color rgb="FF333333"/>
        <rFont val="楷体"/>
        <charset val="134"/>
      </rPr>
      <t>次</t>
    </r>
    <r>
      <rPr>
        <sz val="11"/>
        <color rgb="FF333333"/>
        <rFont val="Times New Roman"/>
        <charset val="134"/>
      </rPr>
      <t>A</t>
    </r>
    <r>
      <rPr>
        <sz val="11"/>
        <color rgb="FF333333"/>
        <rFont val="楷体"/>
        <charset val="134"/>
      </rPr>
      <t>级</t>
    </r>
  </si>
  <si>
    <r>
      <rPr>
        <sz val="11"/>
        <color rgb="FF333333"/>
        <rFont val="楷体"/>
        <charset val="134"/>
      </rPr>
      <t>次</t>
    </r>
    <r>
      <rPr>
        <sz val="11"/>
        <color rgb="FF333333"/>
        <rFont val="Times New Roman"/>
        <charset val="134"/>
      </rPr>
      <t>B</t>
    </r>
    <r>
      <rPr>
        <sz val="11"/>
        <color rgb="FF333333"/>
        <rFont val="楷体"/>
        <charset val="134"/>
      </rPr>
      <t>级</t>
    </r>
  </si>
  <si>
    <r>
      <rPr>
        <sz val="11"/>
        <color rgb="FF000000"/>
        <rFont val="楷体"/>
        <charset val="134"/>
      </rPr>
      <t>京东科技荟享</t>
    </r>
    <r>
      <rPr>
        <sz val="11"/>
        <color rgb="FF000000"/>
        <rFont val="Times New Roman"/>
        <charset val="134"/>
      </rPr>
      <t>19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期次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</si>
  <si>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深圳</t>
    </r>
  </si>
  <si>
    <r>
      <rPr>
        <sz val="11"/>
        <color rgb="FF000000"/>
        <rFont val="楷体"/>
        <charset val="134"/>
      </rPr>
      <t>中国对外经济贸易信托有限公司</t>
    </r>
  </si>
  <si>
    <r>
      <rPr>
        <sz val="11"/>
        <color rgb="FF000000"/>
        <rFont val="楷体"/>
        <charset val="134"/>
      </rPr>
      <t>首创证券股份有限公司</t>
    </r>
  </si>
  <si>
    <t>京东</t>
  </si>
  <si>
    <r>
      <rPr>
        <sz val="11"/>
        <color rgb="FF000000"/>
        <rFont val="楷体"/>
        <charset val="134"/>
      </rPr>
      <t>金条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楷体"/>
        <charset val="134"/>
      </rPr>
      <t>白取</t>
    </r>
  </si>
  <si>
    <r>
      <rPr>
        <sz val="11"/>
        <color rgb="FF000000"/>
        <rFont val="楷体"/>
        <charset val="134"/>
      </rPr>
      <t>国联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度小满消费分期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</si>
  <si>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重庆度小满小额贷款有限公司</t>
    </r>
  </si>
  <si>
    <r>
      <rPr>
        <sz val="11"/>
        <color rgb="FF000000"/>
        <rFont val="楷体"/>
        <charset val="134"/>
      </rPr>
      <t>国联证券资产管理有限公司</t>
    </r>
  </si>
  <si>
    <r>
      <rPr>
        <sz val="11"/>
        <rFont val="楷体"/>
        <charset val="134"/>
      </rPr>
      <t>优先</t>
    </r>
    <r>
      <rPr>
        <sz val="11"/>
        <rFont val="Times New Roman"/>
        <charset val="134"/>
      </rPr>
      <t>A1</t>
    </r>
    <r>
      <rPr>
        <sz val="11"/>
        <rFont val="楷体"/>
        <charset val="134"/>
      </rPr>
      <t>级</t>
    </r>
  </si>
  <si>
    <t>度小满</t>
  </si>
  <si>
    <r>
      <rPr>
        <sz val="11"/>
        <rFont val="楷体"/>
        <charset val="134"/>
      </rPr>
      <t>优先</t>
    </r>
    <r>
      <rPr>
        <sz val="11"/>
        <rFont val="Times New Roman"/>
        <charset val="134"/>
      </rPr>
      <t>A2</t>
    </r>
    <r>
      <rPr>
        <sz val="11"/>
        <rFont val="楷体"/>
        <charset val="134"/>
      </rPr>
      <t>级</t>
    </r>
  </si>
  <si>
    <r>
      <rPr>
        <sz val="11"/>
        <rFont val="楷体"/>
        <charset val="134"/>
      </rPr>
      <t>优先</t>
    </r>
    <r>
      <rPr>
        <sz val="11"/>
        <rFont val="Times New Roman"/>
        <charset val="134"/>
      </rPr>
      <t>C</t>
    </r>
    <r>
      <rPr>
        <sz val="11"/>
        <rFont val="楷体"/>
        <charset val="134"/>
      </rPr>
      <t>级</t>
    </r>
  </si>
  <si>
    <t>Asf</t>
  </si>
  <si>
    <r>
      <rPr>
        <sz val="11"/>
        <color rgb="FF000000"/>
        <rFont val="楷体"/>
        <charset val="134"/>
      </rPr>
      <t>国金资管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景熠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第二期次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</si>
  <si>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国金证券资产管理有限公司</t>
    </r>
  </si>
  <si>
    <r>
      <rPr>
        <sz val="11"/>
        <rFont val="楷体"/>
        <charset val="134"/>
      </rPr>
      <t>优先级</t>
    </r>
  </si>
  <si>
    <t>平安普惠</t>
  </si>
  <si>
    <r>
      <rPr>
        <sz val="11"/>
        <color rgb="FF000000"/>
        <rFont val="楷体"/>
        <charset val="134"/>
      </rPr>
      <t>华泰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星灿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第二期次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</si>
  <si>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东道十七号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期京东白条应收账款债权绿色资产支持专项计划</t>
    </r>
  </si>
  <si>
    <r>
      <rPr>
        <sz val="11"/>
        <color rgb="FF000000"/>
        <rFont val="楷体"/>
        <charset val="134"/>
      </rPr>
      <t>北京京东世纪贸易有限公司</t>
    </r>
  </si>
  <si>
    <r>
      <rPr>
        <sz val="11"/>
        <color rgb="FF000000"/>
        <rFont val="楷体"/>
        <charset val="134"/>
      </rPr>
      <t>上海国泰海通证券资产管理有限公司</t>
    </r>
  </si>
  <si>
    <r>
      <rPr>
        <sz val="11"/>
        <color rgb="FF000000"/>
        <rFont val="楷体"/>
        <charset val="134"/>
      </rPr>
      <t>白条</t>
    </r>
  </si>
  <si>
    <r>
      <rPr>
        <sz val="11"/>
        <rFont val="楷体"/>
        <charset val="134"/>
      </rPr>
      <t>中间级</t>
    </r>
  </si>
  <si>
    <r>
      <rPr>
        <sz val="11"/>
        <color rgb="FF000000"/>
        <rFont val="楷体"/>
        <charset val="134"/>
      </rPr>
      <t>广发满珩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</si>
  <si>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广发证券资产管理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广东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楷体"/>
        <charset val="134"/>
      </rPr>
      <t>有限公司</t>
    </r>
  </si>
  <si>
    <r>
      <rPr>
        <sz val="11"/>
        <color rgb="FF000000"/>
        <rFont val="楷体"/>
        <charset val="134"/>
      </rPr>
      <t>中信证券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泓晟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</si>
  <si>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深圳市中融小额贷款有限公司</t>
    </r>
  </si>
  <si>
    <r>
      <rPr>
        <sz val="11"/>
        <color rgb="FF000000"/>
        <rFont val="楷体"/>
        <charset val="134"/>
      </rPr>
      <t>中信证券股份有限公司</t>
    </r>
  </si>
  <si>
    <t>字节</t>
  </si>
  <si>
    <r>
      <rPr>
        <sz val="11"/>
        <color rgb="FF000000"/>
        <rFont val="楷体"/>
        <charset val="134"/>
      </rPr>
      <t>放心借小微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</si>
  <si>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23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</si>
  <si>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中信建投证券股份有限公司</t>
    </r>
  </si>
  <si>
    <t>AA-sf</t>
  </si>
  <si>
    <r>
      <rPr>
        <sz val="11"/>
        <color rgb="FF000000"/>
        <rFont val="楷体"/>
        <charset val="134"/>
      </rPr>
      <t>国联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奇富小微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</si>
  <si>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国投泰康信托有限公司</t>
    </r>
  </si>
  <si>
    <t>奇富科技</t>
  </si>
  <si>
    <t>AAsf+</t>
  </si>
  <si>
    <r>
      <rPr>
        <sz val="11"/>
        <color rgb="FF000000"/>
        <rFont val="楷体"/>
        <charset val="134"/>
      </rPr>
      <t>华泰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平安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晨惠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</si>
  <si>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t>金城银行</t>
  </si>
  <si>
    <r>
      <rPr>
        <sz val="11"/>
        <color rgb="FF000000"/>
        <rFont val="楷体"/>
        <charset val="134"/>
      </rPr>
      <t>中信建投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华鑫至融中小微企业融资支持第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</si>
  <si>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华鑫国际信托有限公司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</si>
  <si>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楷体"/>
        <charset val="134"/>
      </rPr>
      <t>级</t>
    </r>
  </si>
  <si>
    <t>网商银行</t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</si>
  <si>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B</t>
    </r>
    <r>
      <rPr>
        <sz val="11"/>
        <color rgb="FF000000"/>
        <rFont val="楷体"/>
        <charset val="134"/>
      </rPr>
      <t>级</t>
    </r>
  </si>
  <si>
    <r>
      <rPr>
        <sz val="11"/>
        <color rgb="FF000000"/>
        <rFont val="楷体"/>
        <charset val="134"/>
      </rPr>
      <t>招商证券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臻至第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中小微企业融资支持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</si>
  <si>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招商证券资产管理有限公司</t>
    </r>
  </si>
  <si>
    <r>
      <rPr>
        <sz val="11"/>
        <rFont val="楷体"/>
        <charset val="134"/>
      </rPr>
      <t>放心借小微</t>
    </r>
  </si>
  <si>
    <r>
      <rPr>
        <sz val="11"/>
        <color rgb="FF000000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</si>
  <si>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rFont val="楷体"/>
        <charset val="134"/>
      </rPr>
      <t>微粒贷</t>
    </r>
  </si>
  <si>
    <r>
      <rPr>
        <sz val="11"/>
        <color rgb="FF000000"/>
        <rFont val="楷体"/>
        <charset val="134"/>
      </rPr>
      <t>国金资管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景熠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第二期次</t>
    </r>
    <r>
      <rPr>
        <sz val="11"/>
        <color rgb="FF000000"/>
        <rFont val="Times New Roman"/>
        <charset val="134"/>
      </rPr>
      <t>)</t>
    </r>
  </si>
  <si>
    <r>
      <rPr>
        <sz val="11"/>
        <rFont val="楷体"/>
        <charset val="134"/>
      </rPr>
      <t>华能贵诚信托有限公司</t>
    </r>
  </si>
  <si>
    <r>
      <rPr>
        <sz val="11"/>
        <rFont val="楷体"/>
        <charset val="134"/>
      </rPr>
      <t>国金证券资产管理有限公司</t>
    </r>
  </si>
  <si>
    <r>
      <rPr>
        <sz val="11"/>
        <color rgb="FF000000"/>
        <rFont val="楷体"/>
        <charset val="134"/>
      </rPr>
      <t>华能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惠民二号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</si>
  <si>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深圳市财付通网络金融小额贷款有限公司</t>
    </r>
  </si>
  <si>
    <t>腾讯</t>
  </si>
  <si>
    <r>
      <rPr>
        <sz val="11"/>
        <rFont val="楷体"/>
        <charset val="134"/>
      </rPr>
      <t>分付</t>
    </r>
  </si>
  <si>
    <r>
      <rPr>
        <sz val="11"/>
        <color rgb="FF000000"/>
        <rFont val="楷体"/>
        <charset val="134"/>
      </rPr>
      <t>中信证券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泓远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</si>
  <si>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月付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</si>
  <si>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C</t>
    </r>
    <r>
      <rPr>
        <sz val="11"/>
        <color rgb="FF000000"/>
        <rFont val="楷体"/>
        <charset val="134"/>
      </rPr>
      <t>级</t>
    </r>
  </si>
  <si>
    <r>
      <rPr>
        <sz val="11"/>
        <color rgb="FF000000"/>
        <rFont val="楷体"/>
        <charset val="134"/>
      </rPr>
      <t>次级</t>
    </r>
  </si>
  <si>
    <r>
      <rPr>
        <sz val="11"/>
        <color rgb="FF000000"/>
        <rFont val="楷体"/>
        <charset val="134"/>
      </rPr>
      <t>华泰资管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美歆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</si>
  <si>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中金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贵诚惠及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</si>
  <si>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中国国际金融股份有限公司</t>
    </r>
  </si>
  <si>
    <r>
      <rPr>
        <sz val="11"/>
        <color rgb="FF000000"/>
        <rFont val="楷体"/>
        <charset val="134"/>
      </rPr>
      <t>分付</t>
    </r>
  </si>
  <si>
    <t>A+sf</t>
  </si>
  <si>
    <r>
      <rPr>
        <sz val="11"/>
        <color rgb="FF000000"/>
        <rFont val="楷体"/>
        <charset val="134"/>
      </rPr>
      <t>京东科技尚赢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</si>
  <si>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企业主贷</t>
    </r>
  </si>
  <si>
    <r>
      <rPr>
        <sz val="11"/>
        <color rgb="FF000000"/>
        <rFont val="楷体"/>
        <charset val="134"/>
      </rPr>
      <t>中间级</t>
    </r>
  </si>
  <si>
    <t>BBBsf</t>
  </si>
  <si>
    <r>
      <rPr>
        <sz val="11"/>
        <color rgb="FF000000"/>
        <rFont val="楷体"/>
        <charset val="134"/>
      </rPr>
      <t>招商证券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臻至第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中小微企业融资支持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</si>
  <si>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华泰资管润泽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期中小微企业融资支持资产支持专项计划</t>
    </r>
  </si>
  <si>
    <r>
      <rPr>
        <sz val="11"/>
        <color rgb="FF000000"/>
        <rFont val="楷体"/>
        <charset val="134"/>
      </rPr>
      <t>浙江省浙商商业保理有限公司</t>
    </r>
  </si>
  <si>
    <r>
      <rPr>
        <sz val="11"/>
        <color rgb="FF000000"/>
        <rFont val="楷体"/>
        <charset val="134"/>
      </rPr>
      <t>微业贷</t>
    </r>
  </si>
  <si>
    <r>
      <rPr>
        <sz val="11"/>
        <color rgb="FF000000"/>
        <rFont val="楷体"/>
        <charset val="134"/>
      </rPr>
      <t>次级</t>
    </r>
    <r>
      <rPr>
        <sz val="11"/>
        <color rgb="FF000000"/>
        <rFont val="Times New Roman"/>
        <charset val="134"/>
      </rPr>
      <t>A</t>
    </r>
  </si>
  <si>
    <r>
      <rPr>
        <sz val="11"/>
        <color rgb="FF000000"/>
        <rFont val="楷体"/>
        <charset val="134"/>
      </rPr>
      <t>次级</t>
    </r>
    <r>
      <rPr>
        <sz val="11"/>
        <color rgb="FF000000"/>
        <rFont val="Times New Roman"/>
        <charset val="134"/>
      </rPr>
      <t>B</t>
    </r>
  </si>
  <si>
    <r>
      <rPr>
        <sz val="11"/>
        <color rgb="FF000000"/>
        <rFont val="楷体"/>
        <charset val="134"/>
      </rPr>
      <t>华泰资管惠鑫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</si>
  <si>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京东科技盛赢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</si>
  <si>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重庆京东盛际小额贷款有限公司</t>
    </r>
  </si>
  <si>
    <r>
      <rPr>
        <sz val="11"/>
        <color rgb="FF000000"/>
        <rFont val="楷体"/>
        <charset val="134"/>
      </rPr>
      <t>财通资管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云启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</si>
  <si>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财通证券资产管理有限公司</t>
    </r>
  </si>
  <si>
    <t>宁银消金</t>
  </si>
  <si>
    <r>
      <rPr>
        <sz val="11"/>
        <color theme="1"/>
        <rFont val="楷体"/>
        <charset val="134"/>
      </rPr>
      <t>次级</t>
    </r>
    <r>
      <rPr>
        <sz val="11"/>
        <color theme="1"/>
        <rFont val="Times New Roman"/>
        <charset val="134"/>
      </rPr>
      <t>A</t>
    </r>
    <r>
      <rPr>
        <sz val="11"/>
        <color theme="1"/>
        <rFont val="楷体"/>
        <charset val="134"/>
      </rPr>
      <t>档</t>
    </r>
  </si>
  <si>
    <r>
      <rPr>
        <sz val="11"/>
        <color theme="1"/>
        <rFont val="楷体"/>
        <charset val="134"/>
      </rPr>
      <t>次级</t>
    </r>
    <r>
      <rPr>
        <sz val="11"/>
        <color theme="1"/>
        <rFont val="Times New Roman"/>
        <charset val="134"/>
      </rPr>
      <t>B</t>
    </r>
    <r>
      <rPr>
        <sz val="11"/>
        <color theme="1"/>
        <rFont val="楷体"/>
        <charset val="134"/>
      </rPr>
      <t>档</t>
    </r>
  </si>
  <si>
    <r>
      <rPr>
        <sz val="11"/>
        <color rgb="FF000000"/>
        <rFont val="楷体"/>
        <charset val="134"/>
      </rPr>
      <t>京东科技尚赢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</si>
  <si>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申万宏源证券资产管理有限公司</t>
    </r>
  </si>
  <si>
    <r>
      <rPr>
        <sz val="11"/>
        <color rgb="FF000000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</si>
  <si>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山证汇通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炽诚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</si>
  <si>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山证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上海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楷体"/>
        <charset val="134"/>
      </rPr>
      <t>资产管理有限公司</t>
    </r>
  </si>
  <si>
    <r>
      <rPr>
        <sz val="11"/>
        <rFont val="楷体"/>
        <charset val="134"/>
      </rPr>
      <t>优先</t>
    </r>
    <r>
      <rPr>
        <sz val="11"/>
        <rFont val="Times New Roman"/>
        <charset val="134"/>
      </rPr>
      <t>A-3</t>
    </r>
    <r>
      <rPr>
        <sz val="11"/>
        <rFont val="楷体"/>
        <charset val="134"/>
      </rPr>
      <t>级</t>
    </r>
  </si>
  <si>
    <r>
      <rPr>
        <sz val="11"/>
        <color rgb="FF000000"/>
        <rFont val="楷体"/>
        <charset val="134"/>
      </rPr>
      <t>东道十九号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期京东白条应收账款债权资产支持专项计划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</si>
  <si>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国联资管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分期乐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</si>
  <si>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t>分期乐</t>
  </si>
  <si>
    <r>
      <rPr>
        <sz val="11"/>
        <color rgb="FF000000"/>
        <rFont val="楷体"/>
        <charset val="134"/>
      </rPr>
      <t>中金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贵诚惠及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</si>
  <si>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惠民二号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</si>
  <si>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国联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度小满消费分期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</si>
  <si>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中信证券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弘泽第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</si>
  <si>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优先级</t>
    </r>
  </si>
  <si>
    <t>蚂蚁</t>
  </si>
  <si>
    <r>
      <rPr>
        <sz val="11"/>
        <color rgb="FF000000"/>
        <rFont val="楷体"/>
        <charset val="134"/>
      </rPr>
      <t>花呗</t>
    </r>
  </si>
  <si>
    <r>
      <rPr>
        <sz val="11"/>
        <color rgb="FF000000"/>
        <rFont val="楷体"/>
        <charset val="134"/>
      </rPr>
      <t>次优先级</t>
    </r>
  </si>
  <si>
    <r>
      <rPr>
        <sz val="11"/>
        <color rgb="FF000000"/>
        <rFont val="楷体"/>
        <charset val="134"/>
      </rPr>
      <t>招商证券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美睦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</t>
    </r>
    <r>
      <rPr>
        <sz val="11"/>
        <color rgb="FF000000"/>
        <rFont val="Times New Roman"/>
        <charset val="134"/>
      </rPr>
      <t>15</t>
    </r>
    <r>
      <rPr>
        <sz val="11"/>
        <color rgb="FF000000"/>
        <rFont val="楷体"/>
        <charset val="134"/>
      </rPr>
      <t>号资产支持专项计划</t>
    </r>
  </si>
  <si>
    <r>
      <rPr>
        <sz val="11"/>
        <color rgb="FF000000"/>
        <rFont val="楷体"/>
        <charset val="134"/>
      </rPr>
      <t>京东科技盛澜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</si>
  <si>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京企贷</t>
    </r>
  </si>
  <si>
    <r>
      <rPr>
        <sz val="11"/>
        <color rgb="FF000000"/>
        <rFont val="楷体"/>
        <charset val="134"/>
      </rPr>
      <t>国联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度小满金融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</si>
  <si>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t>AAsf</t>
  </si>
  <si>
    <r>
      <rPr>
        <sz val="11"/>
        <color rgb="FF000000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</si>
  <si>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财通资管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星朗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期次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</si>
  <si>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国君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华泰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华能信托美憬四期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号资产支持专项计划</t>
    </r>
  </si>
  <si>
    <r>
      <rPr>
        <sz val="11"/>
        <color rgb="FF000000"/>
        <rFont val="楷体"/>
        <charset val="134"/>
      </rPr>
      <t>次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楷体"/>
        <charset val="134"/>
      </rPr>
      <t>级</t>
    </r>
  </si>
  <si>
    <r>
      <rPr>
        <sz val="11"/>
        <color theme="1"/>
        <rFont val="楷体"/>
        <charset val="134"/>
      </rPr>
      <t>次</t>
    </r>
    <r>
      <rPr>
        <sz val="11"/>
        <color theme="1"/>
        <rFont val="Times New Roman"/>
        <charset val="134"/>
      </rPr>
      <t>B</t>
    </r>
    <r>
      <rPr>
        <sz val="11"/>
        <color theme="1"/>
        <rFont val="楷体"/>
        <charset val="134"/>
      </rPr>
      <t>级</t>
    </r>
  </si>
  <si>
    <r>
      <rPr>
        <sz val="11"/>
        <color rgb="FF000000"/>
        <rFont val="楷体"/>
        <charset val="134"/>
      </rPr>
      <t>国金资管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景熠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第二期次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</si>
  <si>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中粮信托有限责任公司</t>
    </r>
  </si>
  <si>
    <r>
      <rPr>
        <sz val="11"/>
        <color theme="1"/>
        <rFont val="楷体"/>
        <charset val="134"/>
      </rPr>
      <t>优先级</t>
    </r>
  </si>
  <si>
    <r>
      <rPr>
        <sz val="11"/>
        <color rgb="FF000000"/>
        <rFont val="楷体"/>
        <charset val="134"/>
      </rPr>
      <t>中信证券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泓晟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</si>
  <si>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中信证券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泓远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</si>
  <si>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国金资管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景熠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</si>
  <si>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theme="1"/>
        <rFont val="楷体"/>
        <charset val="134"/>
      </rPr>
      <t>次级</t>
    </r>
  </si>
  <si>
    <r>
      <rPr>
        <sz val="11"/>
        <color rgb="FF000000"/>
        <rFont val="楷体"/>
        <charset val="134"/>
      </rPr>
      <t>招商证券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臻至第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中小微企业融资支持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</si>
  <si>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24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</si>
  <si>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中金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启恒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</si>
  <si>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</si>
  <si>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333333"/>
        <rFont val="楷体"/>
        <charset val="134"/>
      </rPr>
      <t>优先</t>
    </r>
    <r>
      <rPr>
        <sz val="11"/>
        <color rgb="FF333333"/>
        <rFont val="Times New Roman"/>
        <charset val="134"/>
      </rPr>
      <t>A-1</t>
    </r>
    <r>
      <rPr>
        <sz val="11"/>
        <color rgb="FF333333"/>
        <rFont val="楷体"/>
        <charset val="134"/>
      </rPr>
      <t>级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</si>
  <si>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A-2</t>
    </r>
    <r>
      <rPr>
        <sz val="11"/>
        <color rgb="FF000000"/>
        <rFont val="楷体"/>
        <charset val="134"/>
      </rPr>
      <t>级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</si>
  <si>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24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</si>
  <si>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财通资管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星朗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期次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</si>
  <si>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华泰资管润泽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期中小微企业融资支持资产支持专项计划</t>
    </r>
  </si>
  <si>
    <r>
      <rPr>
        <sz val="11"/>
        <color theme="1"/>
        <rFont val="楷体"/>
        <charset val="134"/>
      </rPr>
      <t>优先</t>
    </r>
    <r>
      <rPr>
        <sz val="11"/>
        <color theme="1"/>
        <rFont val="Times New Roman"/>
        <charset val="134"/>
      </rPr>
      <t>A</t>
    </r>
    <r>
      <rPr>
        <sz val="11"/>
        <color theme="1"/>
        <rFont val="楷体"/>
        <charset val="134"/>
      </rPr>
      <t>级</t>
    </r>
  </si>
  <si>
    <r>
      <rPr>
        <sz val="11"/>
        <color theme="1"/>
        <rFont val="楷体"/>
        <charset val="134"/>
      </rPr>
      <t>优先</t>
    </r>
    <r>
      <rPr>
        <sz val="11"/>
        <color theme="1"/>
        <rFont val="Times New Roman"/>
        <charset val="134"/>
      </rPr>
      <t>B</t>
    </r>
    <r>
      <rPr>
        <sz val="11"/>
        <color theme="1"/>
        <rFont val="楷体"/>
        <charset val="134"/>
      </rPr>
      <t>级</t>
    </r>
  </si>
  <si>
    <r>
      <rPr>
        <sz val="11"/>
        <color theme="1"/>
        <rFont val="楷体"/>
        <charset val="134"/>
      </rPr>
      <t>优先</t>
    </r>
    <r>
      <rPr>
        <sz val="11"/>
        <color theme="1"/>
        <rFont val="Times New Roman"/>
        <charset val="134"/>
      </rPr>
      <t>C</t>
    </r>
    <r>
      <rPr>
        <sz val="11"/>
        <color theme="1"/>
        <rFont val="楷体"/>
        <charset val="134"/>
      </rPr>
      <t>级</t>
    </r>
  </si>
  <si>
    <r>
      <rPr>
        <sz val="11"/>
        <color theme="1"/>
        <rFont val="楷体"/>
        <charset val="134"/>
      </rPr>
      <t>次级</t>
    </r>
    <r>
      <rPr>
        <sz val="11"/>
        <color theme="1"/>
        <rFont val="Times New Roman"/>
        <charset val="134"/>
      </rPr>
      <t>A</t>
    </r>
  </si>
  <si>
    <r>
      <rPr>
        <sz val="11"/>
        <color theme="1"/>
        <rFont val="楷体"/>
        <charset val="134"/>
      </rPr>
      <t>次级</t>
    </r>
    <r>
      <rPr>
        <sz val="11"/>
        <color theme="1"/>
        <rFont val="Times New Roman"/>
        <charset val="134"/>
      </rPr>
      <t>B</t>
    </r>
  </si>
  <si>
    <r>
      <rPr>
        <sz val="11"/>
        <color rgb="FF000000"/>
        <rFont val="楷体"/>
        <charset val="134"/>
      </rPr>
      <t>华泰资管惠鑫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</si>
  <si>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东方汇智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朗煜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</si>
  <si>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东方汇智资产管理有限公司</t>
    </r>
  </si>
  <si>
    <r>
      <rPr>
        <sz val="11"/>
        <color theme="1"/>
        <rFont val="楷体"/>
        <charset val="134"/>
      </rPr>
      <t>优先</t>
    </r>
    <r>
      <rPr>
        <sz val="11"/>
        <color theme="1"/>
        <rFont val="Times New Roman"/>
        <charset val="134"/>
      </rPr>
      <t>A-1</t>
    </r>
    <r>
      <rPr>
        <sz val="11"/>
        <color theme="1"/>
        <rFont val="楷体"/>
        <charset val="134"/>
      </rPr>
      <t>级</t>
    </r>
  </si>
  <si>
    <r>
      <rPr>
        <sz val="11"/>
        <color theme="1"/>
        <rFont val="楷体"/>
        <charset val="134"/>
      </rPr>
      <t>优先</t>
    </r>
    <r>
      <rPr>
        <sz val="11"/>
        <color theme="1"/>
        <rFont val="Times New Roman"/>
        <charset val="134"/>
      </rPr>
      <t>A-2</t>
    </r>
    <r>
      <rPr>
        <sz val="11"/>
        <color theme="1"/>
        <rFont val="楷体"/>
        <charset val="134"/>
      </rPr>
      <t>级</t>
    </r>
  </si>
  <si>
    <r>
      <rPr>
        <sz val="11"/>
        <color theme="1"/>
        <rFont val="楷体"/>
        <charset val="134"/>
      </rPr>
      <t>优先</t>
    </r>
    <r>
      <rPr>
        <sz val="11"/>
        <color theme="1"/>
        <rFont val="Times New Roman"/>
        <charset val="134"/>
      </rPr>
      <t>A-3</t>
    </r>
    <r>
      <rPr>
        <sz val="11"/>
        <color theme="1"/>
        <rFont val="楷体"/>
        <charset val="134"/>
      </rPr>
      <t>级</t>
    </r>
  </si>
  <si>
    <r>
      <rPr>
        <sz val="11"/>
        <color rgb="FF000000"/>
        <rFont val="楷体"/>
        <charset val="134"/>
      </rPr>
      <t>华泰资管惠鑫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</si>
  <si>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t>生活费</t>
  </si>
  <si>
    <r>
      <rPr>
        <sz val="11"/>
        <color rgb="FF000000"/>
        <rFont val="楷体"/>
        <charset val="134"/>
      </rPr>
      <t>财通资管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云启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</si>
  <si>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招商证券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华鑫信托月影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</si>
  <si>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京东科技尚赢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</si>
  <si>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国投证券资产管理有限公司</t>
    </r>
  </si>
  <si>
    <r>
      <rPr>
        <sz val="11"/>
        <color theme="1"/>
        <rFont val="楷体"/>
        <charset val="134"/>
      </rPr>
      <t>中间级</t>
    </r>
  </si>
  <si>
    <r>
      <rPr>
        <sz val="11"/>
        <color rgb="FF000000"/>
        <rFont val="楷体"/>
        <charset val="134"/>
      </rPr>
      <t>招证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美满生意</t>
    </r>
    <r>
      <rPr>
        <sz val="11"/>
        <color rgb="FF000000"/>
        <rFont val="Times New Roman"/>
        <charset val="134"/>
      </rPr>
      <t>2024</t>
    </r>
    <r>
      <rPr>
        <sz val="11"/>
        <color rgb="FF000000"/>
        <rFont val="楷体"/>
        <charset val="134"/>
      </rPr>
      <t>年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号资产支持专项计划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中小微企业融资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</si>
  <si>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重庆美团三快小额贷款有限公司</t>
    </r>
  </si>
  <si>
    <r>
      <rPr>
        <sz val="11"/>
        <color rgb="FF000000"/>
        <rFont val="楷体"/>
        <charset val="134"/>
      </rPr>
      <t>生意贷</t>
    </r>
  </si>
  <si>
    <r>
      <rPr>
        <sz val="11"/>
        <color rgb="FF000000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</si>
  <si>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优先</t>
    </r>
    <r>
      <rPr>
        <sz val="11"/>
        <color theme="1"/>
        <rFont val="Times New Roman"/>
        <charset val="134"/>
      </rPr>
      <t>A</t>
    </r>
  </si>
  <si>
    <r>
      <rPr>
        <sz val="11"/>
        <color rgb="FF000000"/>
        <rFont val="楷体"/>
        <charset val="134"/>
      </rPr>
      <t>华泰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祈信一号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</si>
  <si>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333333"/>
        <rFont val="楷体"/>
        <charset val="134"/>
      </rPr>
      <t>次优先</t>
    </r>
    <r>
      <rPr>
        <sz val="11"/>
        <color rgb="FF333333"/>
        <rFont val="Times New Roman"/>
        <charset val="134"/>
      </rPr>
      <t>A</t>
    </r>
    <r>
      <rPr>
        <sz val="11"/>
        <color rgb="FF333333"/>
        <rFont val="楷体"/>
        <charset val="134"/>
      </rPr>
      <t>级</t>
    </r>
  </si>
  <si>
    <r>
      <rPr>
        <sz val="11"/>
        <color theme="1"/>
        <rFont val="楷体"/>
        <charset val="134"/>
      </rPr>
      <t>次优先</t>
    </r>
    <r>
      <rPr>
        <sz val="11"/>
        <color theme="1"/>
        <rFont val="Times New Roman"/>
        <charset val="134"/>
      </rPr>
      <t>B</t>
    </r>
    <r>
      <rPr>
        <sz val="11"/>
        <color theme="1"/>
        <rFont val="楷体"/>
        <charset val="134"/>
      </rPr>
      <t>级</t>
    </r>
  </si>
  <si>
    <r>
      <rPr>
        <sz val="11"/>
        <color rgb="FF000000"/>
        <rFont val="楷体"/>
        <charset val="134"/>
      </rPr>
      <t>华泰资管惠鑫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</si>
  <si>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京东科技盛赢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</si>
  <si>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333333"/>
        <rFont val="楷体"/>
        <charset val="134"/>
      </rPr>
      <t>优先</t>
    </r>
    <r>
      <rPr>
        <sz val="11"/>
        <color rgb="FF333333"/>
        <rFont val="Times New Roman"/>
        <charset val="134"/>
      </rPr>
      <t>A</t>
    </r>
    <r>
      <rPr>
        <sz val="11"/>
        <color rgb="FF333333"/>
        <rFont val="楷体"/>
        <charset val="134"/>
      </rPr>
      <t>级</t>
    </r>
  </si>
  <si>
    <r>
      <rPr>
        <sz val="11"/>
        <color rgb="FF000000"/>
        <rFont val="楷体"/>
        <charset val="134"/>
      </rPr>
      <t>东方汇智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至安中小微企业融资支持第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</si>
  <si>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</si>
  <si>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招商证券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美睦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</t>
    </r>
    <r>
      <rPr>
        <sz val="11"/>
        <color rgb="FF000000"/>
        <rFont val="Times New Roman"/>
        <charset val="134"/>
      </rPr>
      <t>16</t>
    </r>
    <r>
      <rPr>
        <sz val="11"/>
        <color rgb="FF000000"/>
        <rFont val="楷体"/>
        <charset val="134"/>
      </rPr>
      <t>号资产支持专项计划</t>
    </r>
  </si>
  <si>
    <r>
      <rPr>
        <sz val="11"/>
        <color rgb="FF000000"/>
        <rFont val="楷体"/>
        <charset val="134"/>
      </rPr>
      <t>国泰海通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至微中小微企业融资支持第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</si>
  <si>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楷体"/>
        <charset val="134"/>
      </rPr>
      <t>档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</si>
  <si>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B</t>
    </r>
    <r>
      <rPr>
        <sz val="11"/>
        <color rgb="FF000000"/>
        <rFont val="楷体"/>
        <charset val="134"/>
      </rPr>
      <t>档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</si>
  <si>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23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楷体"/>
        <charset val="134"/>
      </rPr>
      <t>期资产支持专项计划</t>
    </r>
  </si>
  <si>
    <r>
      <rPr>
        <sz val="11"/>
        <rFont val="楷体"/>
        <charset val="134"/>
      </rPr>
      <t>中信信托有限责任公司</t>
    </r>
  </si>
  <si>
    <r>
      <rPr>
        <sz val="11"/>
        <rFont val="楷体"/>
        <charset val="134"/>
      </rPr>
      <t>中信建投证券股份有限公司</t>
    </r>
  </si>
  <si>
    <r>
      <rPr>
        <sz val="11"/>
        <color theme="1"/>
        <rFont val="楷体"/>
        <charset val="134"/>
      </rPr>
      <t>金条</t>
    </r>
    <r>
      <rPr>
        <sz val="11"/>
        <color theme="1"/>
        <rFont val="Times New Roman"/>
        <charset val="134"/>
      </rPr>
      <t>/</t>
    </r>
    <r>
      <rPr>
        <sz val="11"/>
        <color theme="1"/>
        <rFont val="楷体"/>
        <charset val="134"/>
      </rPr>
      <t>白取</t>
    </r>
  </si>
  <si>
    <r>
      <rPr>
        <sz val="11"/>
        <color rgb="FF000000"/>
        <rFont val="楷体"/>
        <charset val="134"/>
      </rPr>
      <t>中信证券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弘泽第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</si>
  <si>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东方汇智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朗煜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</si>
  <si>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A-1</t>
    </r>
    <r>
      <rPr>
        <sz val="11"/>
        <color rgb="FF000000"/>
        <rFont val="楷体"/>
        <charset val="134"/>
      </rPr>
      <t>级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</si>
  <si>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A-3</t>
    </r>
    <r>
      <rPr>
        <sz val="11"/>
        <color rgb="FF000000"/>
        <rFont val="楷体"/>
        <charset val="134"/>
      </rPr>
      <t>级</t>
    </r>
  </si>
  <si>
    <r>
      <rPr>
        <sz val="11"/>
        <color rgb="FF000000"/>
        <rFont val="楷体"/>
        <charset val="134"/>
      </rPr>
      <t>京东科技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尚亦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期中小微企业融资支持资产支持专项计划</t>
    </r>
  </si>
  <si>
    <r>
      <rPr>
        <sz val="11"/>
        <color rgb="FF000000"/>
        <rFont val="楷体"/>
        <charset val="134"/>
      </rPr>
      <t>动产质押</t>
    </r>
  </si>
  <si>
    <r>
      <rPr>
        <sz val="11"/>
        <color rgb="FF000000"/>
        <rFont val="楷体"/>
        <charset val="134"/>
      </rPr>
      <t>东道十七号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期京东白条应收账款债权资产支持专项计划</t>
    </r>
  </si>
  <si>
    <r>
      <rPr>
        <sz val="11"/>
        <color rgb="FF000000"/>
        <rFont val="楷体"/>
        <charset val="134"/>
      </rPr>
      <t>中金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国投至盈第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</si>
  <si>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禾昱九号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</si>
  <si>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兴证证券资产管理有限公司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</si>
  <si>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23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</si>
  <si>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中信信托有限责任公司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</si>
  <si>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23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</si>
  <si>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东道十九号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期京东白条应收账款债权资产支持专项计划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</si>
  <si>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国联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奇富消费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</si>
  <si>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东道十九号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期京东白条应收账款债权资产支持专项计划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</si>
  <si>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山证汇通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炽诚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</si>
  <si>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rFont val="楷体"/>
        <charset val="134"/>
      </rPr>
      <t>华鑫国际信托有限公司</t>
    </r>
  </si>
  <si>
    <r>
      <rPr>
        <sz val="11"/>
        <rFont val="楷体"/>
        <charset val="134"/>
      </rPr>
      <t>山证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上海</t>
    </r>
    <r>
      <rPr>
        <sz val="11"/>
        <rFont val="Times New Roman"/>
        <charset val="134"/>
      </rPr>
      <t>)</t>
    </r>
    <r>
      <rPr>
        <sz val="11"/>
        <rFont val="楷体"/>
        <charset val="134"/>
      </rPr>
      <t>资产管理有限公司</t>
    </r>
  </si>
  <si>
    <r>
      <rPr>
        <sz val="11"/>
        <color rgb="FF000000"/>
        <rFont val="楷体"/>
        <charset val="134"/>
      </rPr>
      <t>华泰资管诚远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</si>
  <si>
    <r>
      <rPr>
        <sz val="11"/>
        <rFont val="楷体"/>
        <charset val="134"/>
      </rPr>
      <t>中国对外经济贸易信托有限公司</t>
    </r>
  </si>
  <si>
    <r>
      <rPr>
        <sz val="11"/>
        <rFont val="楷体"/>
        <charset val="134"/>
      </rPr>
      <t>华泰证券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上海</t>
    </r>
    <r>
      <rPr>
        <sz val="11"/>
        <rFont val="Times New Roman"/>
        <charset val="134"/>
      </rPr>
      <t>)</t>
    </r>
    <r>
      <rPr>
        <sz val="11"/>
        <rFont val="楷体"/>
        <charset val="134"/>
      </rPr>
      <t>资产管理有限公司</t>
    </r>
  </si>
  <si>
    <r>
      <rPr>
        <sz val="11"/>
        <color rgb="FF000000"/>
        <rFont val="楷体"/>
        <charset val="134"/>
      </rPr>
      <t>国联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度小满消费分期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</si>
  <si>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A1</t>
    </r>
    <r>
      <rPr>
        <sz val="11"/>
        <color rgb="FF000000"/>
        <rFont val="楷体"/>
        <charset val="134"/>
      </rPr>
      <t>级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</si>
  <si>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A2</t>
    </r>
    <r>
      <rPr>
        <sz val="11"/>
        <color rgb="FF000000"/>
        <rFont val="楷体"/>
        <charset val="134"/>
      </rPr>
      <t>级</t>
    </r>
  </si>
  <si>
    <r>
      <rPr>
        <sz val="11"/>
        <color rgb="FF000000"/>
        <rFont val="楷体"/>
        <charset val="134"/>
      </rPr>
      <t>财通资管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星享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</si>
  <si>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兴证圆融</t>
    </r>
    <r>
      <rPr>
        <sz val="11"/>
        <color rgb="FF333333"/>
        <rFont val="Times New Roman"/>
        <charset val="134"/>
      </rPr>
      <t>-</t>
    </r>
    <r>
      <rPr>
        <sz val="11"/>
        <color rgb="FF333333"/>
        <rFont val="楷体"/>
        <charset val="134"/>
      </rPr>
      <t>兴知</t>
    </r>
    <r>
      <rPr>
        <sz val="11"/>
        <color rgb="FF333333"/>
        <rFont val="Times New Roman"/>
        <charset val="134"/>
      </rPr>
      <t>1</t>
    </r>
    <r>
      <rPr>
        <sz val="11"/>
        <color rgb="FF333333"/>
        <rFont val="楷体"/>
        <charset val="134"/>
      </rPr>
      <t>期资产支持专项计划</t>
    </r>
    <r>
      <rPr>
        <sz val="11"/>
        <color rgb="FF333333"/>
        <rFont val="Times New Roman"/>
        <charset val="134"/>
      </rPr>
      <t>(</t>
    </r>
    <r>
      <rPr>
        <sz val="11"/>
        <color rgb="FF333333"/>
        <rFont val="楷体"/>
        <charset val="134"/>
      </rPr>
      <t>可续发型</t>
    </r>
    <r>
      <rPr>
        <sz val="11"/>
        <color rgb="FF333333"/>
        <rFont val="Times New Roman"/>
        <charset val="134"/>
      </rPr>
      <t>)(</t>
    </r>
    <r>
      <rPr>
        <sz val="11"/>
        <color rgb="FF333333"/>
        <rFont val="楷体"/>
        <charset val="134"/>
      </rPr>
      <t>第</t>
    </r>
    <r>
      <rPr>
        <sz val="11"/>
        <color rgb="FF333333"/>
        <rFont val="Times New Roman"/>
        <charset val="134"/>
      </rPr>
      <t>3</t>
    </r>
    <r>
      <rPr>
        <sz val="11"/>
        <color rgb="FF333333"/>
        <rFont val="楷体"/>
        <charset val="134"/>
      </rPr>
      <t>期次</t>
    </r>
    <r>
      <rPr>
        <sz val="11"/>
        <color rgb="FF333333"/>
        <rFont val="Times New Roman"/>
        <charset val="134"/>
      </rPr>
      <t>)</t>
    </r>
  </si>
  <si>
    <r>
      <rPr>
        <sz val="11"/>
        <color theme="1"/>
        <rFont val="楷体"/>
        <charset val="134"/>
      </rPr>
      <t>深圳</t>
    </r>
  </si>
  <si>
    <r>
      <rPr>
        <sz val="11"/>
        <color rgb="FF333333"/>
        <rFont val="楷体"/>
        <charset val="134"/>
      </rPr>
      <t>中国对外经济贸易信托有限公司</t>
    </r>
  </si>
  <si>
    <r>
      <rPr>
        <sz val="11"/>
        <color rgb="FF333333"/>
        <rFont val="楷体"/>
        <charset val="134"/>
      </rPr>
      <t>兴证证券资产管理有限公司</t>
    </r>
  </si>
  <si>
    <r>
      <rPr>
        <sz val="11"/>
        <color rgb="FF000000"/>
        <rFont val="楷体"/>
        <charset val="134"/>
      </rPr>
      <t>华能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惠民二号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</si>
  <si>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theme="1"/>
        <rFont val="楷体"/>
        <charset val="134"/>
      </rPr>
      <t>优先</t>
    </r>
    <r>
      <rPr>
        <sz val="11"/>
        <color theme="1"/>
        <rFont val="Times New Roman"/>
        <charset val="134"/>
      </rPr>
      <t>A2</t>
    </r>
    <r>
      <rPr>
        <sz val="11"/>
        <color theme="1"/>
        <rFont val="楷体"/>
        <charset val="134"/>
      </rPr>
      <t>级</t>
    </r>
  </si>
  <si>
    <r>
      <rPr>
        <sz val="11"/>
        <color rgb="FF000000"/>
        <rFont val="楷体"/>
        <charset val="134"/>
      </rPr>
      <t>国联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奇富小贷消费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</si>
  <si>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福州奇富网络小额贷款有限公司</t>
    </r>
  </si>
  <si>
    <r>
      <rPr>
        <sz val="11"/>
        <color rgb="FF000000"/>
        <rFont val="楷体"/>
        <charset val="134"/>
      </rPr>
      <t>华泰资管惠鑫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</si>
  <si>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国金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锦盛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号资产支持专项计划</t>
    </r>
  </si>
  <si>
    <t>新网银行</t>
  </si>
  <si>
    <r>
      <rPr>
        <sz val="11"/>
        <color rgb="FF000000"/>
        <rFont val="楷体"/>
        <charset val="134"/>
      </rPr>
      <t>华泰资管润泽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期中小微企业融资支持资产支持专项计划</t>
    </r>
  </si>
  <si>
    <r>
      <rPr>
        <sz val="11"/>
        <color rgb="FF000000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</si>
  <si>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国联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度小满金融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</si>
  <si>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优先</t>
    </r>
    <r>
      <rPr>
        <sz val="11"/>
        <color theme="1"/>
        <rFont val="Times New Roman"/>
        <charset val="134"/>
      </rPr>
      <t>A1</t>
    </r>
    <r>
      <rPr>
        <sz val="11"/>
        <color theme="1"/>
        <rFont val="楷体"/>
        <charset val="134"/>
      </rPr>
      <t>级</t>
    </r>
  </si>
  <si>
    <r>
      <rPr>
        <sz val="11"/>
        <color rgb="FF000000"/>
        <rFont val="楷体"/>
        <charset val="134"/>
      </rPr>
      <t>中金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美月</t>
    </r>
    <r>
      <rPr>
        <sz val="11"/>
        <color rgb="FF000000"/>
        <rFont val="Times New Roman"/>
        <charset val="134"/>
      </rPr>
      <t>2025</t>
    </r>
    <r>
      <rPr>
        <sz val="11"/>
        <color rgb="FF000000"/>
        <rFont val="楷体"/>
        <charset val="134"/>
      </rPr>
      <t>年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号资产支持专项计划</t>
    </r>
  </si>
  <si>
    <r>
      <rPr>
        <sz val="11"/>
        <color rgb="FF000000"/>
        <rFont val="楷体"/>
        <charset val="134"/>
      </rPr>
      <t>朔光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</si>
  <si>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易方达资产管理有限公司</t>
    </r>
  </si>
  <si>
    <r>
      <rPr>
        <sz val="11"/>
        <color rgb="FF000000"/>
        <rFont val="楷体"/>
        <charset val="134"/>
      </rPr>
      <t>中信证券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美好生活</t>
    </r>
    <r>
      <rPr>
        <sz val="11"/>
        <color rgb="FF000000"/>
        <rFont val="Times New Roman"/>
        <charset val="134"/>
      </rPr>
      <t>2025</t>
    </r>
    <r>
      <rPr>
        <sz val="11"/>
        <color rgb="FF000000"/>
        <rFont val="楷体"/>
        <charset val="134"/>
      </rPr>
      <t>年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号资产支持专项计划</t>
    </r>
  </si>
  <si>
    <r>
      <rPr>
        <sz val="11"/>
        <color rgb="FF000000"/>
        <rFont val="楷体"/>
        <charset val="134"/>
      </rPr>
      <t>华泰资管惠鑫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</si>
  <si>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华泰资管诚远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</si>
  <si>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华泰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平安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晨惠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</si>
  <si>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</si>
  <si>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京东科技尚赢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</si>
  <si>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招商证券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至优中小微企业融资支持第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</si>
  <si>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国金资管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景熠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</si>
  <si>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国联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奇富小贷消费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</si>
  <si>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华泰资管惠鑫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</si>
  <si>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国联光睿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</si>
  <si>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铭睿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期中小微企业融资支持资产支持专项计划</t>
    </r>
  </si>
  <si>
    <r>
      <rPr>
        <sz val="11"/>
        <color theme="1"/>
        <rFont val="楷体"/>
        <charset val="134"/>
      </rPr>
      <t>优先</t>
    </r>
    <r>
      <rPr>
        <sz val="11"/>
        <rFont val="Times New Roman"/>
        <charset val="134"/>
      </rPr>
      <t>A</t>
    </r>
    <r>
      <rPr>
        <sz val="11"/>
        <rFont val="楷体"/>
        <charset val="134"/>
      </rPr>
      <t>级</t>
    </r>
  </si>
  <si>
    <t>生意贷</t>
  </si>
  <si>
    <r>
      <rPr>
        <sz val="11"/>
        <color rgb="FF000000"/>
        <rFont val="楷体"/>
        <charset val="134"/>
      </rPr>
      <t>招商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贵诚惠泽一号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</si>
  <si>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theme="1"/>
        <rFont val="楷体"/>
        <charset val="134"/>
      </rPr>
      <t>分付</t>
    </r>
  </si>
  <si>
    <r>
      <rPr>
        <sz val="11"/>
        <color rgb="FF000000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</si>
  <si>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微粒贷</t>
    </r>
  </si>
  <si>
    <r>
      <rPr>
        <sz val="11"/>
        <color rgb="FF000000"/>
        <rFont val="楷体"/>
        <charset val="134"/>
      </rPr>
      <t>国联满扬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</si>
  <si>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中信证券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弘泽第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</si>
  <si>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花呗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</si>
  <si>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期次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</si>
  <si>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楷体"/>
        <charset val="134"/>
      </rPr>
      <t>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期次</t>
    </r>
  </si>
  <si>
    <r>
      <rPr>
        <sz val="11"/>
        <color rgb="FF000000"/>
        <rFont val="楷体"/>
        <charset val="134"/>
      </rPr>
      <t>中金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国投至盈第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</si>
  <si>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财通资管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星朗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期次</t>
    </r>
    <r>
      <rPr>
        <sz val="11"/>
        <color rgb="FF000000"/>
        <rFont val="Times New Roman"/>
        <charset val="134"/>
      </rPr>
      <t>)</t>
    </r>
  </si>
  <si>
    <r>
      <rPr>
        <sz val="11"/>
        <color theme="1"/>
        <rFont val="楷体"/>
        <charset val="134"/>
      </rPr>
      <t>优先</t>
    </r>
    <r>
      <rPr>
        <sz val="11"/>
        <color rgb="FF333333"/>
        <rFont val="Times New Roman"/>
        <charset val="134"/>
      </rPr>
      <t>A</t>
    </r>
    <r>
      <rPr>
        <sz val="11"/>
        <color rgb="FF333333"/>
        <rFont val="楷体"/>
        <charset val="134"/>
      </rPr>
      <t>级</t>
    </r>
  </si>
  <si>
    <r>
      <rPr>
        <sz val="11"/>
        <color rgb="FF000000"/>
        <rFont val="楷体"/>
        <charset val="134"/>
      </rPr>
      <t>中金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启恒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</si>
  <si>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京东科技盛赢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</si>
  <si>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企业主贷</t>
    </r>
  </si>
  <si>
    <r>
      <rPr>
        <sz val="11"/>
        <color rgb="FF000000"/>
        <rFont val="楷体"/>
        <charset val="134"/>
      </rPr>
      <t>京东科技盛澜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中小微企业支持</t>
    </r>
    <r>
      <rPr>
        <sz val="11"/>
        <color rgb="FF000000"/>
        <rFont val="Times New Roman"/>
        <charset val="134"/>
      </rPr>
      <t>)</t>
    </r>
  </si>
  <si>
    <r>
      <rPr>
        <sz val="11"/>
        <color theme="1"/>
        <rFont val="楷体"/>
        <charset val="134"/>
      </rPr>
      <t>京企贷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</si>
  <si>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楷体"/>
        <charset val="134"/>
      </rPr>
      <t>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期次</t>
    </r>
  </si>
  <si>
    <r>
      <rPr>
        <sz val="11"/>
        <color theme="1"/>
        <rFont val="楷体"/>
        <charset val="134"/>
      </rPr>
      <t>禾昱九号</t>
    </r>
    <r>
      <rPr>
        <sz val="11"/>
        <color theme="1"/>
        <rFont val="Times New Roman"/>
        <charset val="134"/>
      </rPr>
      <t>2</t>
    </r>
    <r>
      <rPr>
        <sz val="11"/>
        <color theme="1"/>
        <rFont val="楷体"/>
        <charset val="134"/>
      </rPr>
      <t>期资产支持专项计划</t>
    </r>
    <r>
      <rPr>
        <sz val="11"/>
        <color theme="1"/>
        <rFont val="Times New Roman"/>
        <charset val="134"/>
      </rPr>
      <t>(</t>
    </r>
    <r>
      <rPr>
        <sz val="11"/>
        <color theme="1"/>
        <rFont val="楷体"/>
        <charset val="134"/>
      </rPr>
      <t>可续发型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</si>
  <si>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楷体"/>
        <charset val="134"/>
      </rPr>
      <t>上海</t>
    </r>
  </si>
  <si>
    <r>
      <rPr>
        <sz val="11"/>
        <color theme="1"/>
        <rFont val="楷体"/>
        <charset val="134"/>
      </rPr>
      <t>北京京东世纪贸易有限公司</t>
    </r>
  </si>
  <si>
    <r>
      <rPr>
        <sz val="11"/>
        <color theme="1"/>
        <rFont val="楷体"/>
        <charset val="134"/>
      </rPr>
      <t>华泰证券</t>
    </r>
    <r>
      <rPr>
        <sz val="11"/>
        <color theme="1"/>
        <rFont val="Times New Roman"/>
        <charset val="134"/>
      </rPr>
      <t>(</t>
    </r>
    <r>
      <rPr>
        <sz val="11"/>
        <color theme="1"/>
        <rFont val="楷体"/>
        <charset val="134"/>
      </rPr>
      <t>上海</t>
    </r>
    <r>
      <rPr>
        <sz val="11"/>
        <color theme="1"/>
        <rFont val="Times New Roman"/>
        <charset val="134"/>
      </rPr>
      <t>)</t>
    </r>
    <r>
      <rPr>
        <sz val="11"/>
        <color theme="1"/>
        <rFont val="楷体"/>
        <charset val="134"/>
      </rPr>
      <t>资产管理有限公司</t>
    </r>
  </si>
  <si>
    <r>
      <rPr>
        <sz val="11"/>
        <color theme="1"/>
        <rFont val="楷体"/>
        <charset val="134"/>
      </rPr>
      <t>白条</t>
    </r>
  </si>
  <si>
    <r>
      <rPr>
        <sz val="11"/>
        <color theme="1"/>
        <rFont val="楷体"/>
        <charset val="134"/>
      </rPr>
      <t>兴证圆融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兴知</t>
    </r>
    <r>
      <rPr>
        <sz val="11"/>
        <color theme="1"/>
        <rFont val="Times New Roman"/>
        <charset val="134"/>
      </rPr>
      <t>5</t>
    </r>
    <r>
      <rPr>
        <sz val="11"/>
        <color theme="1"/>
        <rFont val="楷体"/>
        <charset val="134"/>
      </rPr>
      <t>期资产支持专项计划</t>
    </r>
    <r>
      <rPr>
        <sz val="11"/>
        <color theme="1"/>
        <rFont val="Times New Roman"/>
        <charset val="134"/>
      </rPr>
      <t>(</t>
    </r>
    <r>
      <rPr>
        <sz val="11"/>
        <color theme="1"/>
        <rFont val="楷体"/>
        <charset val="134"/>
      </rPr>
      <t>可续发型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</si>
  <si>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楷体"/>
        <charset val="134"/>
      </rPr>
      <t>中国对外经济贸易信托有限公司</t>
    </r>
  </si>
  <si>
    <r>
      <rPr>
        <sz val="11"/>
        <color theme="1"/>
        <rFont val="楷体"/>
        <charset val="134"/>
      </rPr>
      <t>兴证证券资产管理有限公司</t>
    </r>
  </si>
  <si>
    <r>
      <rPr>
        <sz val="11"/>
        <color theme="1"/>
        <rFont val="楷体"/>
        <charset val="134"/>
      </rPr>
      <t>耘睿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楷体"/>
        <charset val="134"/>
      </rPr>
      <t>号第</t>
    </r>
    <r>
      <rPr>
        <sz val="11"/>
        <color theme="1"/>
        <rFont val="Times New Roman"/>
        <charset val="134"/>
      </rPr>
      <t>8</t>
    </r>
    <r>
      <rPr>
        <sz val="11"/>
        <color theme="1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</si>
  <si>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中信信托有限责任公司</t>
    </r>
  </si>
  <si>
    <r>
      <rPr>
        <sz val="11"/>
        <color theme="1"/>
        <rFont val="楷体"/>
        <charset val="134"/>
      </rPr>
      <t>国投证券资产管理有限公司</t>
    </r>
  </si>
  <si>
    <r>
      <rPr>
        <sz val="11"/>
        <color theme="1"/>
        <rFont val="楷体"/>
        <charset val="134"/>
      </rPr>
      <t>耘睿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楷体"/>
        <charset val="134"/>
      </rPr>
      <t>号第</t>
    </r>
    <r>
      <rPr>
        <sz val="11"/>
        <color theme="1"/>
        <rFont val="Times New Roman"/>
        <charset val="134"/>
      </rPr>
      <t>7</t>
    </r>
    <r>
      <rPr>
        <sz val="11"/>
        <color theme="1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</si>
  <si>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财通证券资产管理有限公司</t>
    </r>
  </si>
  <si>
    <r>
      <rPr>
        <sz val="11"/>
        <color theme="1"/>
        <rFont val="楷体"/>
        <charset val="134"/>
      </rPr>
      <t>耘睿</t>
    </r>
    <r>
      <rPr>
        <sz val="11"/>
        <color theme="1"/>
        <rFont val="Times New Roman"/>
        <charset val="134"/>
      </rPr>
      <t>21</t>
    </r>
    <r>
      <rPr>
        <sz val="11"/>
        <color theme="1"/>
        <rFont val="楷体"/>
        <charset val="134"/>
      </rPr>
      <t>号第</t>
    </r>
    <r>
      <rPr>
        <sz val="11"/>
        <color theme="1"/>
        <rFont val="Times New Roman"/>
        <charset val="134"/>
      </rPr>
      <t>5</t>
    </r>
    <r>
      <rPr>
        <sz val="11"/>
        <color theme="1"/>
        <rFont val="楷体"/>
        <charset val="134"/>
      </rPr>
      <t>期资产支持专项计划</t>
    </r>
    <r>
      <rPr>
        <sz val="11"/>
        <color theme="1"/>
        <rFont val="Times New Roman"/>
        <charset val="134"/>
      </rPr>
      <t>(</t>
    </r>
    <r>
      <rPr>
        <sz val="11"/>
        <color theme="1"/>
        <rFont val="楷体"/>
        <charset val="134"/>
      </rPr>
      <t>可续发型</t>
    </r>
    <r>
      <rPr>
        <sz val="11"/>
        <color theme="1"/>
        <rFont val="Times New Roman"/>
        <charset val="134"/>
      </rPr>
      <t>)(</t>
    </r>
    <r>
      <rPr>
        <sz val="11"/>
        <color theme="1"/>
        <rFont val="楷体"/>
        <charset val="134"/>
      </rPr>
      <t>第</t>
    </r>
    <r>
      <rPr>
        <sz val="11"/>
        <color theme="1"/>
        <rFont val="Times New Roman"/>
        <charset val="134"/>
      </rPr>
      <t>2</t>
    </r>
    <r>
      <rPr>
        <sz val="11"/>
        <color theme="1"/>
        <rFont val="楷体"/>
        <charset val="134"/>
      </rPr>
      <t>期次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</si>
  <si>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楷体"/>
        <charset val="134"/>
      </rPr>
      <t>招商证券资产管理有限公司</t>
    </r>
  </si>
  <si>
    <r>
      <rPr>
        <sz val="11"/>
        <color theme="1"/>
        <rFont val="楷体"/>
        <charset val="134"/>
      </rPr>
      <t>耘睿</t>
    </r>
    <r>
      <rPr>
        <sz val="11"/>
        <color theme="1"/>
        <rFont val="Times New Roman"/>
        <charset val="134"/>
      </rPr>
      <t>21</t>
    </r>
    <r>
      <rPr>
        <sz val="11"/>
        <color theme="1"/>
        <rFont val="楷体"/>
        <charset val="134"/>
      </rPr>
      <t>号第</t>
    </r>
    <r>
      <rPr>
        <sz val="11"/>
        <color theme="1"/>
        <rFont val="Times New Roman"/>
        <charset val="134"/>
      </rPr>
      <t>4</t>
    </r>
    <r>
      <rPr>
        <sz val="11"/>
        <color theme="1"/>
        <rFont val="楷体"/>
        <charset val="134"/>
      </rPr>
      <t>期资产支持专项计划</t>
    </r>
    <r>
      <rPr>
        <sz val="11"/>
        <color theme="1"/>
        <rFont val="Times New Roman"/>
        <charset val="134"/>
      </rPr>
      <t>(</t>
    </r>
    <r>
      <rPr>
        <sz val="11"/>
        <color theme="1"/>
        <rFont val="楷体"/>
        <charset val="134"/>
      </rPr>
      <t>可续发型</t>
    </r>
    <r>
      <rPr>
        <sz val="11"/>
        <color theme="1"/>
        <rFont val="Times New Roman"/>
        <charset val="134"/>
      </rPr>
      <t>)(</t>
    </r>
    <r>
      <rPr>
        <sz val="11"/>
        <color theme="1"/>
        <rFont val="楷体"/>
        <charset val="134"/>
      </rPr>
      <t>第</t>
    </r>
    <r>
      <rPr>
        <sz val="11"/>
        <color theme="1"/>
        <rFont val="Times New Roman"/>
        <charset val="134"/>
      </rPr>
      <t>2</t>
    </r>
    <r>
      <rPr>
        <sz val="11"/>
        <color theme="1"/>
        <rFont val="楷体"/>
        <charset val="134"/>
      </rPr>
      <t>期次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</si>
  <si>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楷体"/>
        <charset val="134"/>
      </rPr>
      <t>中信证券股份有限公司</t>
    </r>
  </si>
  <si>
    <r>
      <rPr>
        <sz val="10"/>
        <color rgb="FF000000"/>
        <rFont val="楷体"/>
        <charset val="134"/>
      </rPr>
      <t>华泰资管毓鸿第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楷体"/>
        <charset val="134"/>
      </rPr>
      <t>期资产支持专项计划</t>
    </r>
  </si>
  <si>
    <r>
      <rPr>
        <sz val="10"/>
        <color rgb="FF000000"/>
        <rFont val="楷体"/>
        <charset val="134"/>
      </rPr>
      <t>上海</t>
    </r>
  </si>
  <si>
    <r>
      <rPr>
        <sz val="10"/>
        <color rgb="FF000000"/>
        <rFont val="楷体"/>
        <charset val="134"/>
      </rPr>
      <t>国投泰康信托有限公司</t>
    </r>
  </si>
  <si>
    <r>
      <rPr>
        <sz val="10"/>
        <color rgb="FF000000"/>
        <rFont val="楷体"/>
        <charset val="134"/>
      </rPr>
      <t>华泰证券</t>
    </r>
    <r>
      <rPr>
        <sz val="10"/>
        <color rgb="FF000000"/>
        <rFont val="Times New Roman"/>
        <charset val="134"/>
      </rPr>
      <t>(</t>
    </r>
    <r>
      <rPr>
        <sz val="10"/>
        <color rgb="FF000000"/>
        <rFont val="楷体"/>
        <charset val="134"/>
      </rPr>
      <t>上海</t>
    </r>
    <r>
      <rPr>
        <sz val="10"/>
        <color rgb="FF000000"/>
        <rFont val="Times New Roman"/>
        <charset val="134"/>
      </rPr>
      <t>)</t>
    </r>
    <r>
      <rPr>
        <sz val="10"/>
        <color rgb="FF000000"/>
        <rFont val="楷体"/>
        <charset val="134"/>
      </rPr>
      <t>资产管理有限公司</t>
    </r>
  </si>
  <si>
    <r>
      <rPr>
        <sz val="11"/>
        <color theme="1"/>
        <rFont val="楷体"/>
        <charset val="134"/>
      </rPr>
      <t>财通资管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云启</t>
    </r>
    <r>
      <rPr>
        <sz val="11"/>
        <color theme="1"/>
        <rFont val="Times New Roman"/>
        <charset val="134"/>
      </rPr>
      <t>3</t>
    </r>
    <r>
      <rPr>
        <sz val="11"/>
        <color theme="1"/>
        <rFont val="楷体"/>
        <charset val="134"/>
      </rPr>
      <t>期资产支持专项计划</t>
    </r>
    <r>
      <rPr>
        <sz val="11"/>
        <color theme="1"/>
        <rFont val="Times New Roman"/>
        <charset val="134"/>
      </rPr>
      <t>(</t>
    </r>
    <r>
      <rPr>
        <sz val="11"/>
        <color theme="1"/>
        <rFont val="楷体"/>
        <charset val="134"/>
      </rPr>
      <t>可续发型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</si>
  <si>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楷体"/>
        <charset val="134"/>
      </rPr>
      <t>华能贵诚信托有限公司</t>
    </r>
  </si>
  <si>
    <r>
      <rPr>
        <sz val="11"/>
        <color rgb="FF000000"/>
        <rFont val="楷体"/>
        <charset val="134"/>
      </rPr>
      <t>华能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惠民二号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</si>
  <si>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华泰资管惠鑫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</si>
  <si>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华泰资管诚远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</si>
  <si>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华泰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祈信一号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</si>
  <si>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theme="1"/>
        <rFont val="楷体"/>
        <charset val="134"/>
      </rPr>
      <t>国联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度小满金融</t>
    </r>
    <r>
      <rPr>
        <sz val="11"/>
        <color theme="1"/>
        <rFont val="Times New Roman"/>
        <charset val="134"/>
      </rPr>
      <t>4</t>
    </r>
    <r>
      <rPr>
        <sz val="11"/>
        <color theme="1"/>
        <rFont val="楷体"/>
        <charset val="134"/>
      </rPr>
      <t>号</t>
    </r>
    <r>
      <rPr>
        <sz val="11"/>
        <color theme="1"/>
        <rFont val="Times New Roman"/>
        <charset val="134"/>
      </rPr>
      <t>6</t>
    </r>
    <r>
      <rPr>
        <sz val="11"/>
        <color theme="1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</si>
  <si>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重庆度小满小额贷款有限公司</t>
    </r>
  </si>
  <si>
    <r>
      <rPr>
        <sz val="11"/>
        <color theme="1"/>
        <rFont val="楷体"/>
        <charset val="134"/>
      </rPr>
      <t>国联证券资产管理有限公司</t>
    </r>
  </si>
  <si>
    <r>
      <rPr>
        <sz val="11"/>
        <color rgb="FF000000"/>
        <rFont val="楷体"/>
        <charset val="134"/>
      </rPr>
      <t>华泰资管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美好生活</t>
    </r>
    <r>
      <rPr>
        <sz val="11"/>
        <color rgb="FF000000"/>
        <rFont val="Times New Roman"/>
        <charset val="134"/>
      </rPr>
      <t>2025</t>
    </r>
    <r>
      <rPr>
        <sz val="11"/>
        <color rgb="FF000000"/>
        <rFont val="楷体"/>
        <charset val="134"/>
      </rPr>
      <t>年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号资产支持专项计划</t>
    </r>
  </si>
  <si>
    <r>
      <rPr>
        <sz val="11"/>
        <color rgb="FF000000"/>
        <rFont val="楷体"/>
        <charset val="134"/>
      </rPr>
      <t>华泰资管诚远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</si>
  <si>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中信证券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美好生活</t>
    </r>
    <r>
      <rPr>
        <sz val="11"/>
        <color rgb="FF000000"/>
        <rFont val="Times New Roman"/>
        <charset val="134"/>
      </rPr>
      <t>2025</t>
    </r>
    <r>
      <rPr>
        <sz val="11"/>
        <color rgb="FF000000"/>
        <rFont val="楷体"/>
        <charset val="134"/>
      </rPr>
      <t>年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号资产支持专项计划</t>
    </r>
  </si>
  <si>
    <r>
      <rPr>
        <sz val="11"/>
        <color rgb="FF000000"/>
        <rFont val="楷体"/>
        <charset val="134"/>
      </rPr>
      <t>京东科技尚赢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</si>
  <si>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京东科技盛赢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</si>
  <si>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招证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美满生意</t>
    </r>
    <r>
      <rPr>
        <sz val="11"/>
        <color rgb="FF000000"/>
        <rFont val="Times New Roman"/>
        <charset val="134"/>
      </rPr>
      <t>2025</t>
    </r>
    <r>
      <rPr>
        <sz val="11"/>
        <color rgb="FF000000"/>
        <rFont val="楷体"/>
        <charset val="134"/>
      </rPr>
      <t>年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中小微企业融资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</si>
  <si>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中金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乘锐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</si>
  <si>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t>马上消金</t>
  </si>
  <si>
    <r>
      <rPr>
        <sz val="11"/>
        <color rgb="FF000000"/>
        <rFont val="楷体"/>
        <charset val="134"/>
      </rPr>
      <t>华泰资管润泽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期中小微企业融资支持资产支持专项计划</t>
    </r>
  </si>
  <si>
    <r>
      <rPr>
        <sz val="11"/>
        <color rgb="FF000000"/>
        <rFont val="楷体"/>
        <charset val="134"/>
      </rPr>
      <t>财通资管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星享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</si>
  <si>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京东科技尚赢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</si>
  <si>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招商证券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至优中小微企业融资支持第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</si>
  <si>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招证嘉和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</si>
  <si>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生活费</t>
    </r>
  </si>
  <si>
    <r>
      <rPr>
        <sz val="11"/>
        <color rgb="FF000000"/>
        <rFont val="楷体"/>
        <charset val="134"/>
      </rPr>
      <t>中信证券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弘泽第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</si>
  <si>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国泰海通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至微中小微企业融资支持第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</si>
  <si>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华泰资管诚远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</si>
  <si>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招商证券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华鑫信托美满予鑫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</si>
  <si>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rFont val="楷体"/>
        <charset val="134"/>
      </rPr>
      <t>生活费</t>
    </r>
  </si>
  <si>
    <r>
      <rPr>
        <sz val="11"/>
        <color rgb="FF000000"/>
        <rFont val="楷体"/>
        <charset val="134"/>
      </rPr>
      <t>京东科技盛赢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</si>
  <si>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京东科技盛赢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</si>
  <si>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天风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上海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楷体"/>
        <charset val="134"/>
      </rPr>
      <t>证券资产管理有限公司</t>
    </r>
  </si>
  <si>
    <r>
      <rPr>
        <sz val="11"/>
        <color rgb="FF000000"/>
        <rFont val="楷体"/>
        <charset val="134"/>
      </rPr>
      <t>国联光睿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</si>
  <si>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东方汇智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至安中小微企业融资支持第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</si>
  <si>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东方汇智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至安中小微企业融资支持第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</si>
  <si>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京东科技尚赢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</si>
  <si>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招商证券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臻至第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中小微企业融资支持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</si>
  <si>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朔光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</si>
  <si>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中信建投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华鑫至融中小微企业融资支持第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</si>
  <si>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京东科技尚赢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</si>
  <si>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24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</si>
  <si>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京东科技盛赢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</si>
  <si>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京东科技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尚亦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期中小微企业融资支持资产支持专项计划</t>
    </r>
  </si>
  <si>
    <r>
      <rPr>
        <sz val="11"/>
        <color theme="1"/>
        <rFont val="楷体"/>
        <charset val="134"/>
      </rPr>
      <t>动产质押</t>
    </r>
  </si>
  <si>
    <r>
      <rPr>
        <sz val="11"/>
        <color rgb="FF000000"/>
        <rFont val="楷体"/>
        <charset val="134"/>
      </rPr>
      <t>京东科技盛赢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</si>
  <si>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山证汇通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炽诚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</si>
  <si>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兴证圆融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兴知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期次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</si>
  <si>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财通资管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云启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</si>
  <si>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次级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楷体"/>
        <charset val="134"/>
      </rPr>
      <t>档</t>
    </r>
  </si>
  <si>
    <r>
      <rPr>
        <sz val="11"/>
        <color rgb="FF000000"/>
        <rFont val="楷体"/>
        <charset val="134"/>
      </rPr>
      <t>次级</t>
    </r>
    <r>
      <rPr>
        <sz val="11"/>
        <color rgb="FF000000"/>
        <rFont val="Times New Roman"/>
        <charset val="134"/>
      </rPr>
      <t>B</t>
    </r>
    <r>
      <rPr>
        <sz val="11"/>
        <color rgb="FF000000"/>
        <rFont val="楷体"/>
        <charset val="134"/>
      </rPr>
      <t>档</t>
    </r>
  </si>
  <si>
    <r>
      <rPr>
        <sz val="11"/>
        <color rgb="FF000000"/>
        <rFont val="楷体"/>
        <charset val="134"/>
      </rPr>
      <t>山证汇通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炽诚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</si>
  <si>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招商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奇富消费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</si>
  <si>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华泰资管诚远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</si>
  <si>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国君满诚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</si>
  <si>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A1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</si>
  <si>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A2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</si>
  <si>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B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</si>
  <si>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C</t>
    </r>
  </si>
  <si>
    <t>BBB+sf</t>
  </si>
  <si>
    <r>
      <rPr>
        <sz val="11"/>
        <color rgb="FF000000"/>
        <rFont val="楷体"/>
        <charset val="134"/>
      </rPr>
      <t>国金资管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景熠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第二期次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</si>
  <si>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中金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携程小贷拿去花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</si>
  <si>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重庆携程小额贷款有限公司</t>
    </r>
  </si>
  <si>
    <t>携程</t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</si>
  <si>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27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</si>
  <si>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rFont val="楷体"/>
        <charset val="134"/>
      </rPr>
      <t>招商证券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臻至第</t>
    </r>
    <r>
      <rPr>
        <sz val="11"/>
        <rFont val="Times New Roman"/>
        <charset val="134"/>
      </rPr>
      <t>7</t>
    </r>
    <r>
      <rPr>
        <sz val="11"/>
        <rFont val="楷体"/>
        <charset val="134"/>
      </rPr>
      <t>期资产支持专项计划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中小微企业融资支持</t>
    </r>
    <r>
      <rPr>
        <sz val="11"/>
        <rFont val="Times New Roman"/>
        <charset val="134"/>
      </rPr>
      <t>)</t>
    </r>
  </si>
  <si>
    <r>
      <rPr>
        <sz val="11"/>
        <rFont val="楷体"/>
        <charset val="134"/>
      </rPr>
      <t>上海</t>
    </r>
  </si>
  <si>
    <r>
      <rPr>
        <sz val="11"/>
        <rFont val="楷体"/>
        <charset val="134"/>
      </rPr>
      <t>国投泰康信托有限公司</t>
    </r>
  </si>
  <si>
    <r>
      <rPr>
        <sz val="11"/>
        <rFont val="楷体"/>
        <charset val="134"/>
      </rPr>
      <t>招商证券资产管理有限公司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</si>
  <si>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A</t>
    </r>
  </si>
  <si>
    <r>
      <rPr>
        <sz val="11"/>
        <rFont val="楷体"/>
        <charset val="134"/>
      </rPr>
      <t>朔光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期资产支持专项计划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中小微企业支持</t>
    </r>
    <r>
      <rPr>
        <sz val="11"/>
        <rFont val="Times New Roman"/>
        <charset val="134"/>
      </rPr>
      <t>)</t>
    </r>
  </si>
  <si>
    <r>
      <rPr>
        <sz val="11"/>
        <rFont val="楷体"/>
        <charset val="134"/>
      </rPr>
      <t>深圳</t>
    </r>
  </si>
  <si>
    <r>
      <rPr>
        <sz val="11"/>
        <rFont val="楷体"/>
        <charset val="134"/>
      </rPr>
      <t>易方达资产管理有限公司</t>
    </r>
  </si>
  <si>
    <r>
      <rPr>
        <sz val="11"/>
        <rFont val="楷体"/>
        <charset val="134"/>
      </rPr>
      <t>耘睿</t>
    </r>
    <r>
      <rPr>
        <sz val="11"/>
        <rFont val="Times New Roman"/>
        <charset val="134"/>
      </rPr>
      <t>22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</si>
  <si>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国信证券资产管理有限公司</t>
    </r>
  </si>
  <si>
    <r>
      <rPr>
        <sz val="11"/>
        <rFont val="楷体"/>
        <charset val="134"/>
      </rPr>
      <t>华能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惠民二号</t>
    </r>
    <r>
      <rPr>
        <sz val="11"/>
        <rFont val="Times New Roman"/>
        <charset val="134"/>
      </rPr>
      <t>5</t>
    </r>
    <r>
      <rPr>
        <sz val="11"/>
        <rFont val="楷体"/>
        <charset val="134"/>
      </rPr>
      <t>期资产支持专项计划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可续发型</t>
    </r>
    <r>
      <rPr>
        <sz val="11"/>
        <rFont val="Times New Roman"/>
        <charset val="134"/>
      </rPr>
      <t>)</t>
    </r>
  </si>
  <si>
    <r>
      <rPr>
        <sz val="11"/>
        <rFont val="楷体"/>
        <charset val="134"/>
      </rPr>
      <t>深圳市财付通网络金融小额贷款有限公司</t>
    </r>
  </si>
  <si>
    <r>
      <rPr>
        <sz val="11"/>
        <rFont val="楷体"/>
        <charset val="134"/>
      </rPr>
      <t>国君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华泰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华能信托美憬四期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号资产支持专项计划</t>
    </r>
  </si>
  <si>
    <r>
      <rPr>
        <sz val="11"/>
        <color rgb="FF000000"/>
        <rFont val="楷体"/>
        <charset val="134"/>
      </rPr>
      <t>国金资管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景熠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</si>
  <si>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rFont val="楷体"/>
        <charset val="134"/>
      </rPr>
      <t>招商证券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臻至第</t>
    </r>
    <r>
      <rPr>
        <sz val="11"/>
        <rFont val="Times New Roman"/>
        <charset val="134"/>
      </rPr>
      <t>8</t>
    </r>
    <r>
      <rPr>
        <sz val="11"/>
        <rFont val="楷体"/>
        <charset val="134"/>
      </rPr>
      <t>期资产支持专项计划</t>
    </r>
  </si>
  <si>
    <t>放心借消费</t>
  </si>
  <si>
    <r>
      <rPr>
        <sz val="11"/>
        <rFont val="楷体"/>
        <charset val="134"/>
      </rPr>
      <t>国泰海通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至微中小微企业融资支持第</t>
    </r>
    <r>
      <rPr>
        <sz val="11"/>
        <rFont val="Times New Roman"/>
        <charset val="134"/>
      </rPr>
      <t>4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</si>
  <si>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上海国泰海通证券资产管理有限公司</t>
    </r>
  </si>
  <si>
    <r>
      <rPr>
        <sz val="11"/>
        <rFont val="楷体"/>
        <charset val="134"/>
      </rPr>
      <t>耘睿</t>
    </r>
    <r>
      <rPr>
        <sz val="11"/>
        <rFont val="Times New Roman"/>
        <charset val="134"/>
      </rPr>
      <t>22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5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</si>
  <si>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中信证券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泓远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8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</si>
  <si>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深圳市中融小额贷款有限公司</t>
    </r>
  </si>
  <si>
    <r>
      <rPr>
        <sz val="11"/>
        <rFont val="楷体"/>
        <charset val="134"/>
      </rPr>
      <t>中信证券股份有限公司</t>
    </r>
  </si>
  <si>
    <r>
      <rPr>
        <sz val="11"/>
        <rFont val="楷体"/>
        <charset val="134"/>
      </rPr>
      <t>月付</t>
    </r>
  </si>
  <si>
    <r>
      <rPr>
        <sz val="11"/>
        <rFont val="楷体"/>
        <charset val="134"/>
      </rPr>
      <t>耘睿</t>
    </r>
    <r>
      <rPr>
        <sz val="11"/>
        <rFont val="Times New Roman"/>
        <charset val="134"/>
      </rPr>
      <t>24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10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</si>
  <si>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财通证券资产管理有限公司</t>
    </r>
  </si>
  <si>
    <r>
      <rPr>
        <sz val="11"/>
        <rFont val="楷体"/>
        <charset val="134"/>
      </rPr>
      <t>华泰资管诚远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号</t>
    </r>
    <r>
      <rPr>
        <sz val="11"/>
        <rFont val="Times New Roman"/>
        <charset val="134"/>
      </rPr>
      <t>4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</si>
  <si>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招证嘉和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</si>
  <si>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东方汇智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至安中小微企业融资支持第</t>
    </r>
    <r>
      <rPr>
        <sz val="11"/>
        <rFont val="Times New Roman"/>
        <charset val="134"/>
      </rPr>
      <t>7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</si>
  <si>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东方汇智资产管理有限公司</t>
    </r>
  </si>
  <si>
    <r>
      <rPr>
        <sz val="11"/>
        <rFont val="楷体"/>
        <charset val="134"/>
      </rPr>
      <t>招商证券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至优中小微企业融资支持第</t>
    </r>
    <r>
      <rPr>
        <sz val="11"/>
        <rFont val="Times New Roman"/>
        <charset val="134"/>
      </rPr>
      <t>4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</si>
  <si>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沐晓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期资产支持专项计划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可续发型</t>
    </r>
    <r>
      <rPr>
        <sz val="11"/>
        <rFont val="Times New Roman"/>
        <charset val="134"/>
      </rPr>
      <t>)(</t>
    </r>
    <r>
      <rPr>
        <sz val="11"/>
        <rFont val="楷体"/>
        <charset val="134"/>
      </rPr>
      <t>中小微企业支持</t>
    </r>
    <r>
      <rPr>
        <sz val="11"/>
        <rFont val="Times New Roman"/>
        <charset val="134"/>
      </rPr>
      <t>)</t>
    </r>
  </si>
  <si>
    <r>
      <rPr>
        <sz val="11"/>
        <rFont val="楷体"/>
        <charset val="134"/>
      </rPr>
      <t>平安证券股份有限公司</t>
    </r>
  </si>
  <si>
    <r>
      <rPr>
        <sz val="11"/>
        <rFont val="楷体"/>
        <charset val="134"/>
      </rPr>
      <t>国联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奇富小贷消费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号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</si>
  <si>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福州奇富网络小额贷款有限公司</t>
    </r>
  </si>
  <si>
    <r>
      <rPr>
        <sz val="11"/>
        <rFont val="楷体"/>
        <charset val="134"/>
      </rPr>
      <t>国联证券资产管理有限公司</t>
    </r>
  </si>
  <si>
    <r>
      <rPr>
        <sz val="11"/>
        <rFont val="楷体"/>
        <charset val="134"/>
      </rPr>
      <t>京东科技盛赢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8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</si>
  <si>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重庆京东盛际小额贷款有限公司</t>
    </r>
  </si>
  <si>
    <r>
      <rPr>
        <sz val="11"/>
        <rFont val="楷体"/>
        <charset val="134"/>
      </rPr>
      <t>中信证券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至华中小微企业融资支持第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</si>
  <si>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广发广泰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</si>
  <si>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广发证券资产管理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广东</t>
    </r>
    <r>
      <rPr>
        <sz val="11"/>
        <rFont val="Times New Roman"/>
        <charset val="134"/>
      </rPr>
      <t>)</t>
    </r>
    <r>
      <rPr>
        <sz val="11"/>
        <rFont val="楷体"/>
        <charset val="134"/>
      </rPr>
      <t>有限公司</t>
    </r>
  </si>
  <si>
    <r>
      <rPr>
        <sz val="11"/>
        <rFont val="楷体"/>
        <charset val="134"/>
      </rPr>
      <t>华泰资管惠鑫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9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</si>
  <si>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中金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乘锐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</si>
  <si>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中国国际金融股份有限公司</t>
    </r>
  </si>
  <si>
    <r>
      <rPr>
        <sz val="11"/>
        <rFont val="楷体"/>
        <charset val="134"/>
      </rPr>
      <t>招商证券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至优中小微企业融资支持第</t>
    </r>
    <r>
      <rPr>
        <sz val="11"/>
        <rFont val="Times New Roman"/>
        <charset val="134"/>
      </rPr>
      <t>5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</si>
  <si>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中信建投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至毅中小微企业融资支持第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</si>
  <si>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招证嘉和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期资产支持专项计划</t>
    </r>
  </si>
  <si>
    <t>月付</t>
  </si>
  <si>
    <r>
      <rPr>
        <sz val="11"/>
        <rFont val="楷体"/>
        <charset val="134"/>
      </rPr>
      <t>晨瑞第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</si>
  <si>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花呗</t>
    </r>
  </si>
  <si>
    <r>
      <rPr>
        <sz val="11"/>
        <rFont val="楷体"/>
        <charset val="134"/>
      </rPr>
      <t>招商证券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至优中小微企业融资支持第</t>
    </r>
    <r>
      <rPr>
        <sz val="11"/>
        <rFont val="Times New Roman"/>
        <charset val="134"/>
      </rPr>
      <t>7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</si>
  <si>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中信建投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至毅中小微企业融资支持第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</si>
  <si>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招商证券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至优中小微企业融资支持第</t>
    </r>
    <r>
      <rPr>
        <sz val="11"/>
        <rFont val="Times New Roman"/>
        <charset val="134"/>
      </rPr>
      <t>6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</si>
  <si>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中信建投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至毅中小微企业融资支持第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</si>
  <si>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招证嘉和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4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</si>
  <si>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中金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乘锐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</si>
  <si>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国金资管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景熠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号中小微企业融资支持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期资产支持专项计划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可续发型</t>
    </r>
    <r>
      <rPr>
        <sz val="11"/>
        <rFont val="Times New Roman"/>
        <charset val="134"/>
      </rPr>
      <t>)</t>
    </r>
  </si>
  <si>
    <r>
      <rPr>
        <sz val="11"/>
        <rFont val="楷体"/>
        <charset val="134"/>
      </rPr>
      <t>晨瑞第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</si>
  <si>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京东科技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尚亦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期中小微企业融资支持资产支持专项计划</t>
    </r>
  </si>
  <si>
    <r>
      <rPr>
        <sz val="11"/>
        <rFont val="楷体"/>
        <charset val="134"/>
      </rPr>
      <t>申万宏源证券资产管理有限公司</t>
    </r>
  </si>
  <si>
    <r>
      <rPr>
        <sz val="11"/>
        <color rgb="FF000000"/>
        <rFont val="楷体"/>
        <charset val="134"/>
      </rPr>
      <t>招证嘉和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</si>
  <si>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中金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国投至盈第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</si>
  <si>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华泰资管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奇富小贷毓秀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</si>
  <si>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中金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携程小贷拿去花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</si>
  <si>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中金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国投至盈第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</si>
  <si>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中信建投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至毅中小微企业融资支持第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</si>
  <si>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招商证券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华鑫信托美满予鑫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</si>
  <si>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财通资管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星朗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期次</t>
    </r>
    <r>
      <rPr>
        <sz val="11"/>
        <color rgb="FF000000"/>
        <rFont val="Times New Roman"/>
        <charset val="134"/>
      </rPr>
      <t>)</t>
    </r>
  </si>
  <si>
    <r>
      <rPr>
        <sz val="11"/>
        <color theme="1"/>
        <rFont val="楷体"/>
        <charset val="134"/>
      </rPr>
      <t>兴证圆融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兴知</t>
    </r>
    <r>
      <rPr>
        <sz val="11"/>
        <color theme="1"/>
        <rFont val="Times New Roman"/>
        <charset val="134"/>
      </rPr>
      <t>2</t>
    </r>
    <r>
      <rPr>
        <sz val="11"/>
        <color theme="1"/>
        <rFont val="楷体"/>
        <charset val="134"/>
      </rPr>
      <t>期资产支持专项计划</t>
    </r>
    <r>
      <rPr>
        <sz val="11"/>
        <color theme="1"/>
        <rFont val="Times New Roman"/>
        <charset val="134"/>
      </rPr>
      <t>(</t>
    </r>
    <r>
      <rPr>
        <sz val="11"/>
        <color theme="1"/>
        <rFont val="楷体"/>
        <charset val="134"/>
      </rPr>
      <t>可续发型</t>
    </r>
    <r>
      <rPr>
        <sz val="11"/>
        <color theme="1"/>
        <rFont val="Times New Roman"/>
        <charset val="134"/>
      </rPr>
      <t>)(</t>
    </r>
    <r>
      <rPr>
        <sz val="11"/>
        <color theme="1"/>
        <rFont val="楷体"/>
        <charset val="134"/>
      </rPr>
      <t>第</t>
    </r>
    <r>
      <rPr>
        <sz val="11"/>
        <color theme="1"/>
        <rFont val="Times New Roman"/>
        <charset val="134"/>
      </rPr>
      <t>3</t>
    </r>
    <r>
      <rPr>
        <sz val="11"/>
        <color theme="1"/>
        <rFont val="楷体"/>
        <charset val="134"/>
      </rPr>
      <t>期次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</si>
  <si>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楷体"/>
        <charset val="134"/>
      </rPr>
      <t>招商证券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至优中小微企业融资支持第</t>
    </r>
    <r>
      <rPr>
        <sz val="11"/>
        <color theme="1"/>
        <rFont val="Times New Roman"/>
        <charset val="134"/>
      </rPr>
      <t>8</t>
    </r>
    <r>
      <rPr>
        <sz val="11"/>
        <color theme="1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</si>
  <si>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中金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至康中小微企业融资支持第</t>
    </r>
    <r>
      <rPr>
        <sz val="11"/>
        <color theme="1"/>
        <rFont val="Times New Roman"/>
        <charset val="134"/>
      </rPr>
      <t>1</t>
    </r>
    <r>
      <rPr>
        <sz val="11"/>
        <color theme="1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</si>
  <si>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中国国际金融股份有限公司</t>
    </r>
  </si>
  <si>
    <r>
      <rPr>
        <sz val="11"/>
        <color theme="1"/>
        <rFont val="楷体"/>
        <charset val="134"/>
      </rPr>
      <t>华泰资管诚远</t>
    </r>
    <r>
      <rPr>
        <sz val="11"/>
        <color theme="1"/>
        <rFont val="Times New Roman"/>
        <charset val="134"/>
      </rPr>
      <t>2</t>
    </r>
    <r>
      <rPr>
        <sz val="11"/>
        <color theme="1"/>
        <rFont val="楷体"/>
        <charset val="134"/>
      </rPr>
      <t>号</t>
    </r>
    <r>
      <rPr>
        <sz val="11"/>
        <color theme="1"/>
        <rFont val="Times New Roman"/>
        <charset val="134"/>
      </rPr>
      <t>5</t>
    </r>
    <r>
      <rPr>
        <sz val="11"/>
        <color theme="1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</si>
  <si>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中信证券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至华中小微企业融资支持第</t>
    </r>
    <r>
      <rPr>
        <sz val="11"/>
        <color theme="1"/>
        <rFont val="Times New Roman"/>
        <charset val="134"/>
      </rPr>
      <t>2</t>
    </r>
    <r>
      <rPr>
        <sz val="11"/>
        <color theme="1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</si>
  <si>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惠民二号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</si>
  <si>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国金资管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景熠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第二期次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</si>
  <si>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招商证券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华鑫信托美满予鑫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</si>
  <si>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东方汇智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至慧中小微企业融资支持第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</si>
  <si>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申万宏源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华能惠沣嘉宇第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</si>
  <si>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t>太平洋保险</t>
  </si>
  <si>
    <r>
      <rPr>
        <sz val="11"/>
        <color rgb="FF000000"/>
        <rFont val="楷体"/>
        <charset val="134"/>
      </rPr>
      <t>华泰资管诚远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</si>
  <si>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东方汇智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朗煜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</si>
  <si>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招证嘉和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</si>
  <si>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t>A-sf</t>
  </si>
  <si>
    <r>
      <rPr>
        <sz val="11"/>
        <color theme="1"/>
        <rFont val="楷体"/>
        <charset val="134"/>
      </rPr>
      <t>中信证券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泓晟</t>
    </r>
    <r>
      <rPr>
        <sz val="11"/>
        <color theme="1"/>
        <rFont val="Times New Roman"/>
        <charset val="134"/>
      </rPr>
      <t>1</t>
    </r>
    <r>
      <rPr>
        <sz val="11"/>
        <color theme="1"/>
        <rFont val="楷体"/>
        <charset val="134"/>
      </rPr>
      <t>号第</t>
    </r>
    <r>
      <rPr>
        <sz val="11"/>
        <color theme="1"/>
        <rFont val="Times New Roman"/>
        <charset val="134"/>
      </rPr>
      <t>8</t>
    </r>
    <r>
      <rPr>
        <sz val="11"/>
        <color theme="1"/>
        <rFont val="楷体"/>
        <charset val="134"/>
      </rPr>
      <t>期资产支持专项计划</t>
    </r>
    <r>
      <rPr>
        <sz val="11"/>
        <color theme="1"/>
        <rFont val="Times New Roman"/>
        <charset val="134"/>
      </rPr>
      <t>(</t>
    </r>
    <r>
      <rPr>
        <sz val="11"/>
        <color theme="1"/>
        <rFont val="楷体"/>
        <charset val="134"/>
      </rPr>
      <t>中小微企业支持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</si>
  <si>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楷体"/>
        <charset val="134"/>
      </rPr>
      <t>深圳市中融小额贷款有限公司</t>
    </r>
  </si>
  <si>
    <r>
      <rPr>
        <sz val="11"/>
        <color theme="1"/>
        <rFont val="楷体"/>
        <charset val="134"/>
      </rPr>
      <t>放心借小微</t>
    </r>
  </si>
  <si>
    <r>
      <rPr>
        <sz val="11"/>
        <color theme="1"/>
        <rFont val="楷体"/>
        <charset val="134"/>
      </rPr>
      <t>中信证券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泓远</t>
    </r>
    <r>
      <rPr>
        <sz val="11"/>
        <color theme="1"/>
        <rFont val="Times New Roman"/>
        <charset val="134"/>
      </rPr>
      <t>1</t>
    </r>
    <r>
      <rPr>
        <sz val="11"/>
        <color theme="1"/>
        <rFont val="楷体"/>
        <charset val="134"/>
      </rPr>
      <t>号第</t>
    </r>
    <r>
      <rPr>
        <sz val="11"/>
        <color theme="1"/>
        <rFont val="Times New Roman"/>
        <charset val="134"/>
      </rPr>
      <t>9</t>
    </r>
    <r>
      <rPr>
        <sz val="11"/>
        <color theme="1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</si>
  <si>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月付</t>
    </r>
  </si>
  <si>
    <r>
      <rPr>
        <sz val="11"/>
        <color theme="1"/>
        <rFont val="楷体"/>
        <charset val="134"/>
      </rPr>
      <t>中金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乘锐</t>
    </r>
    <r>
      <rPr>
        <sz val="11"/>
        <color theme="1"/>
        <rFont val="Times New Roman"/>
        <charset val="134"/>
      </rPr>
      <t>4</t>
    </r>
    <r>
      <rPr>
        <sz val="11"/>
        <color theme="1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</si>
  <si>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沐晓</t>
    </r>
    <r>
      <rPr>
        <sz val="11"/>
        <color theme="1"/>
        <rFont val="Times New Roman"/>
        <charset val="134"/>
      </rPr>
      <t>1</t>
    </r>
    <r>
      <rPr>
        <sz val="11"/>
        <color theme="1"/>
        <rFont val="楷体"/>
        <charset val="134"/>
      </rPr>
      <t>号第</t>
    </r>
    <r>
      <rPr>
        <sz val="11"/>
        <color theme="1"/>
        <rFont val="Times New Roman"/>
        <charset val="134"/>
      </rPr>
      <t>2</t>
    </r>
    <r>
      <rPr>
        <sz val="11"/>
        <color theme="1"/>
        <rFont val="楷体"/>
        <charset val="134"/>
      </rPr>
      <t>期资产支持专项计划</t>
    </r>
    <r>
      <rPr>
        <sz val="11"/>
        <color theme="1"/>
        <rFont val="Times New Roman"/>
        <charset val="134"/>
      </rPr>
      <t>(</t>
    </r>
    <r>
      <rPr>
        <sz val="11"/>
        <color theme="1"/>
        <rFont val="楷体"/>
        <charset val="134"/>
      </rPr>
      <t>可续发型</t>
    </r>
    <r>
      <rPr>
        <sz val="11"/>
        <color theme="1"/>
        <rFont val="Times New Roman"/>
        <charset val="134"/>
      </rPr>
      <t>)(</t>
    </r>
    <r>
      <rPr>
        <sz val="11"/>
        <color theme="1"/>
        <rFont val="楷体"/>
        <charset val="134"/>
      </rPr>
      <t>中小微企业支持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</si>
  <si>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楷体"/>
        <charset val="134"/>
      </rPr>
      <t>国投泰康信托有限公司</t>
    </r>
  </si>
  <si>
    <r>
      <rPr>
        <sz val="11"/>
        <color theme="1"/>
        <rFont val="楷体"/>
        <charset val="134"/>
      </rPr>
      <t>国联时晟</t>
    </r>
    <r>
      <rPr>
        <sz val="11"/>
        <color theme="1"/>
        <rFont val="Times New Roman"/>
        <charset val="134"/>
      </rPr>
      <t>1</t>
    </r>
    <r>
      <rPr>
        <sz val="11"/>
        <color theme="1"/>
        <rFont val="楷体"/>
        <charset val="134"/>
      </rPr>
      <t>号</t>
    </r>
    <r>
      <rPr>
        <sz val="11"/>
        <color theme="1"/>
        <rFont val="Times New Roman"/>
        <charset val="134"/>
      </rPr>
      <t>1</t>
    </r>
    <r>
      <rPr>
        <sz val="11"/>
        <color theme="1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</si>
  <si>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国联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奇富消费</t>
    </r>
    <r>
      <rPr>
        <sz val="11"/>
        <color theme="1"/>
        <rFont val="Times New Roman"/>
        <charset val="134"/>
      </rPr>
      <t>2</t>
    </r>
    <r>
      <rPr>
        <sz val="11"/>
        <color theme="1"/>
        <rFont val="楷体"/>
        <charset val="134"/>
      </rPr>
      <t>号</t>
    </r>
    <r>
      <rPr>
        <sz val="11"/>
        <color theme="1"/>
        <rFont val="Times New Roman"/>
        <charset val="134"/>
      </rPr>
      <t>3</t>
    </r>
    <r>
      <rPr>
        <sz val="11"/>
        <color theme="1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</si>
  <si>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华泰资管润泽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期中小微企业融资支持资产支持专项计划</t>
    </r>
  </si>
  <si>
    <r>
      <rPr>
        <sz val="11"/>
        <color theme="1"/>
        <rFont val="楷体"/>
        <charset val="134"/>
      </rPr>
      <t>中信证券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奇富小贷小微</t>
    </r>
    <r>
      <rPr>
        <sz val="11"/>
        <color theme="1"/>
        <rFont val="Times New Roman"/>
        <charset val="134"/>
      </rPr>
      <t>3</t>
    </r>
    <r>
      <rPr>
        <sz val="11"/>
        <color theme="1"/>
        <rFont val="楷体"/>
        <charset val="134"/>
      </rPr>
      <t>号第</t>
    </r>
    <r>
      <rPr>
        <sz val="11"/>
        <color theme="1"/>
        <rFont val="Times New Roman"/>
        <charset val="134"/>
      </rPr>
      <t>1</t>
    </r>
    <r>
      <rPr>
        <sz val="11"/>
        <color theme="1"/>
        <rFont val="楷体"/>
        <charset val="134"/>
      </rPr>
      <t>期资产支持专项计划</t>
    </r>
    <r>
      <rPr>
        <sz val="11"/>
        <color theme="1"/>
        <rFont val="Times New Roman"/>
        <charset val="134"/>
      </rPr>
      <t>(</t>
    </r>
    <r>
      <rPr>
        <sz val="11"/>
        <color theme="1"/>
        <rFont val="楷体"/>
        <charset val="134"/>
      </rPr>
      <t>中小微企业融资支持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</si>
  <si>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楷体"/>
        <charset val="134"/>
      </rPr>
      <t>福州奇富网络小额贷款有限公司</t>
    </r>
  </si>
  <si>
    <r>
      <rPr>
        <sz val="11"/>
        <color theme="1"/>
        <rFont val="楷体"/>
        <charset val="134"/>
      </rPr>
      <t>国联满扬</t>
    </r>
    <r>
      <rPr>
        <sz val="11"/>
        <color theme="1"/>
        <rFont val="Times New Roman"/>
        <charset val="134"/>
      </rPr>
      <t>3</t>
    </r>
    <r>
      <rPr>
        <sz val="11"/>
        <color theme="1"/>
        <rFont val="楷体"/>
        <charset val="134"/>
      </rPr>
      <t>号</t>
    </r>
    <r>
      <rPr>
        <sz val="11"/>
        <color theme="1"/>
        <rFont val="Times New Roman"/>
        <charset val="134"/>
      </rPr>
      <t>7</t>
    </r>
    <r>
      <rPr>
        <sz val="11"/>
        <color theme="1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</si>
  <si>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招商证券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臻至第</t>
    </r>
    <r>
      <rPr>
        <sz val="11"/>
        <color theme="1"/>
        <rFont val="Times New Roman"/>
        <charset val="134"/>
      </rPr>
      <t>9</t>
    </r>
    <r>
      <rPr>
        <sz val="11"/>
        <color theme="1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</si>
  <si>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广发广泰</t>
    </r>
    <r>
      <rPr>
        <sz val="11"/>
        <color theme="1"/>
        <rFont val="Times New Roman"/>
        <charset val="134"/>
      </rPr>
      <t>1</t>
    </r>
    <r>
      <rPr>
        <sz val="11"/>
        <color theme="1"/>
        <rFont val="楷体"/>
        <charset val="134"/>
      </rPr>
      <t>号</t>
    </r>
    <r>
      <rPr>
        <sz val="11"/>
        <color theme="1"/>
        <rFont val="Times New Roman"/>
        <charset val="134"/>
      </rPr>
      <t>2</t>
    </r>
    <r>
      <rPr>
        <sz val="11"/>
        <color theme="1"/>
        <rFont val="楷体"/>
        <charset val="134"/>
      </rPr>
      <t>期资产支持专项计划</t>
    </r>
  </si>
  <si>
    <r>
      <rPr>
        <sz val="11"/>
        <color theme="1"/>
        <rFont val="楷体"/>
        <charset val="134"/>
      </rPr>
      <t>广发证券资产管理</t>
    </r>
    <r>
      <rPr>
        <sz val="11"/>
        <color theme="1"/>
        <rFont val="Times New Roman"/>
        <charset val="134"/>
      </rPr>
      <t>(</t>
    </r>
    <r>
      <rPr>
        <sz val="11"/>
        <color theme="1"/>
        <rFont val="楷体"/>
        <charset val="134"/>
      </rPr>
      <t>广东</t>
    </r>
    <r>
      <rPr>
        <sz val="11"/>
        <color theme="1"/>
        <rFont val="Times New Roman"/>
        <charset val="134"/>
      </rPr>
      <t>)</t>
    </r>
    <r>
      <rPr>
        <sz val="11"/>
        <color theme="1"/>
        <rFont val="楷体"/>
        <charset val="134"/>
      </rPr>
      <t>有限公司</t>
    </r>
  </si>
  <si>
    <r>
      <rPr>
        <sz val="11"/>
        <color theme="1"/>
        <rFont val="楷体"/>
        <charset val="134"/>
      </rPr>
      <t>财通资管</t>
    </r>
    <r>
      <rPr>
        <sz val="11"/>
        <color theme="1"/>
        <rFont val="Times New Roman"/>
        <charset val="134"/>
      </rPr>
      <t>-</t>
    </r>
    <r>
      <rPr>
        <sz val="11"/>
        <color theme="1"/>
        <rFont val="楷体"/>
        <charset val="134"/>
      </rPr>
      <t>云启</t>
    </r>
    <r>
      <rPr>
        <sz val="11"/>
        <color theme="1"/>
        <rFont val="Times New Roman"/>
        <charset val="134"/>
      </rPr>
      <t>5</t>
    </r>
    <r>
      <rPr>
        <sz val="11"/>
        <color theme="1"/>
        <rFont val="楷体"/>
        <charset val="134"/>
      </rPr>
      <t>期资产支持专项计划</t>
    </r>
    <r>
      <rPr>
        <sz val="11"/>
        <color theme="1"/>
        <rFont val="Times New Roman"/>
        <charset val="134"/>
      </rPr>
      <t>(</t>
    </r>
    <r>
      <rPr>
        <sz val="11"/>
        <color theme="1"/>
        <rFont val="楷体"/>
        <charset val="134"/>
      </rPr>
      <t>可续发型</t>
    </r>
    <r>
      <rPr>
        <sz val="11"/>
        <color theme="1"/>
        <rFont val="Times New Roman"/>
        <charset val="134"/>
      </rPr>
      <t>)</t>
    </r>
  </si>
  <si>
    <r>
      <rPr>
        <sz val="11"/>
        <rFont val="楷体"/>
        <charset val="134"/>
      </rPr>
      <t>招证嘉和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</si>
  <si>
    <t>深圳</t>
  </si>
  <si>
    <t>招商证券资产管理有限公司</t>
  </si>
  <si>
    <r>
      <rPr>
        <sz val="11"/>
        <rFont val="楷体"/>
        <charset val="134"/>
      </rPr>
      <t>耘睿</t>
    </r>
    <r>
      <rPr>
        <sz val="11"/>
        <color rgb="FF000000"/>
        <rFont val="Times New Roman"/>
        <charset val="134"/>
      </rPr>
      <t>28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</si>
  <si>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t>上海</t>
  </si>
  <si>
    <r>
      <rPr>
        <sz val="11"/>
        <rFont val="楷体"/>
        <charset val="134"/>
      </rPr>
      <t>天风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圆通小贷中小微企业融资支持资产支持专项计划</t>
    </r>
  </si>
  <si>
    <r>
      <rPr>
        <sz val="11"/>
        <rFont val="楷体"/>
        <charset val="134"/>
      </rPr>
      <t>广州圆通互联网小额贷款有限公司</t>
    </r>
  </si>
  <si>
    <r>
      <rPr>
        <sz val="11"/>
        <rFont val="楷体"/>
        <charset val="134"/>
      </rPr>
      <t>天风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上海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楷体"/>
        <charset val="134"/>
      </rPr>
      <t>证券资产管理有限公司</t>
    </r>
  </si>
  <si>
    <t>圆通小贷</t>
  </si>
  <si>
    <r>
      <rPr>
        <sz val="10"/>
        <rFont val="楷体"/>
        <charset val="134"/>
      </rPr>
      <t>天风</t>
    </r>
    <r>
      <rPr>
        <sz val="10"/>
        <color rgb="FF000000"/>
        <rFont val="Times New Roman Regular"/>
        <charset val="134"/>
      </rPr>
      <t>(</t>
    </r>
    <r>
      <rPr>
        <sz val="10"/>
        <color rgb="FF000000"/>
        <rFont val="楷体"/>
        <charset val="134"/>
      </rPr>
      <t>上海</t>
    </r>
    <r>
      <rPr>
        <sz val="10"/>
        <color rgb="FF000000"/>
        <rFont val="Times New Roman Regular"/>
        <charset val="134"/>
      </rPr>
      <t>)</t>
    </r>
    <r>
      <rPr>
        <sz val="10"/>
        <color rgb="FF000000"/>
        <rFont val="楷体"/>
        <charset val="134"/>
      </rPr>
      <t>证券资产管理有限公司</t>
    </r>
  </si>
  <si>
    <r>
      <rPr>
        <sz val="11"/>
        <rFont val="楷体"/>
        <charset val="134"/>
      </rPr>
      <t>国联满扬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期资产支持专项计划</t>
    </r>
  </si>
  <si>
    <r>
      <rPr>
        <sz val="11"/>
        <rFont val="楷体"/>
        <charset val="134"/>
      </rPr>
      <t>华泰资管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奇富小贷毓秀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</si>
  <si>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rFont val="楷体"/>
        <charset val="134"/>
      </rPr>
      <t>上海淇毓信息科技有限公司</t>
    </r>
  </si>
  <si>
    <r>
      <rPr>
        <sz val="11"/>
        <rFont val="楷体"/>
        <charset val="134"/>
      </rPr>
      <t>华泰证券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上海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楷体"/>
        <charset val="134"/>
      </rPr>
      <t>资产管理有限公司</t>
    </r>
  </si>
  <si>
    <r>
      <rPr>
        <sz val="11"/>
        <rFont val="楷体"/>
        <charset val="134"/>
      </rPr>
      <t>天风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启悦</t>
    </r>
    <r>
      <rPr>
        <sz val="11"/>
        <color rgb="FF000000"/>
        <rFont val="Times New Roman"/>
        <charset val="134"/>
      </rPr>
      <t>18</t>
    </r>
    <r>
      <rPr>
        <sz val="11"/>
        <color rgb="FF000000"/>
        <rFont val="楷体"/>
        <charset val="134"/>
      </rPr>
      <t>期资产支持专项计划</t>
    </r>
  </si>
  <si>
    <r>
      <rPr>
        <sz val="11"/>
        <rFont val="楷体"/>
        <charset val="134"/>
      </rPr>
      <t>国联满扬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期资产支持专项计划</t>
    </r>
  </si>
  <si>
    <t>国联证券资产管理有限公司</t>
  </si>
  <si>
    <r>
      <rPr>
        <sz val="11"/>
        <rFont val="楷体"/>
        <charset val="134"/>
      </rPr>
      <t>广发广泰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</si>
  <si>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rFont val="楷体"/>
        <charset val="134"/>
      </rPr>
      <t>广发证券资产管理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广东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楷体"/>
        <charset val="134"/>
      </rPr>
      <t>有限公司</t>
    </r>
  </si>
  <si>
    <t>中国对外经济贸易信托有限公司</t>
  </si>
  <si>
    <r>
      <rPr>
        <sz val="10"/>
        <rFont val="楷体"/>
        <charset val="134"/>
      </rPr>
      <t>广发证券资产管理</t>
    </r>
    <r>
      <rPr>
        <sz val="10"/>
        <color rgb="FF000000"/>
        <rFont val="Times New Roman Regular"/>
        <charset val="134"/>
      </rPr>
      <t>(</t>
    </r>
    <r>
      <rPr>
        <sz val="10"/>
        <color rgb="FF000000"/>
        <rFont val="楷体"/>
        <charset val="134"/>
      </rPr>
      <t>广东</t>
    </r>
    <r>
      <rPr>
        <sz val="10"/>
        <color rgb="FF000000"/>
        <rFont val="Times New Roman Regular"/>
        <charset val="134"/>
      </rPr>
      <t>)</t>
    </r>
    <r>
      <rPr>
        <sz val="10"/>
        <color rgb="FF000000"/>
        <rFont val="楷体"/>
        <charset val="134"/>
      </rPr>
      <t>有限公司</t>
    </r>
  </si>
  <si>
    <r>
      <rPr>
        <sz val="11"/>
        <rFont val="楷体"/>
        <charset val="134"/>
      </rPr>
      <t>中信证券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上信至嘉中小微企业融资支持第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</si>
  <si>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rFont val="楷体"/>
        <charset val="134"/>
      </rPr>
      <t>上海国际信托有限公司</t>
    </r>
  </si>
  <si>
    <t>上海国际信托有限公司</t>
  </si>
  <si>
    <t>中信证券股份有限公司</t>
  </si>
  <si>
    <r>
      <rPr>
        <sz val="11"/>
        <rFont val="楷体"/>
        <charset val="134"/>
      </rPr>
      <t>耘睿</t>
    </r>
    <r>
      <rPr>
        <sz val="11"/>
        <color rgb="FF000000"/>
        <rFont val="Times New Roman"/>
        <charset val="134"/>
      </rPr>
      <t>28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</si>
  <si>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t>中信信托有限责任公司</t>
  </si>
  <si>
    <r>
      <rPr>
        <sz val="11"/>
        <rFont val="楷体"/>
        <charset val="134"/>
      </rPr>
      <t>朔光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</si>
  <si>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t>华能贵诚信托有限公司</t>
  </si>
  <si>
    <t>中国国际金融股份有限公司</t>
  </si>
  <si>
    <r>
      <rPr>
        <sz val="11"/>
        <rFont val="楷体"/>
        <charset val="134"/>
      </rPr>
      <t>曦岚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</si>
  <si>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rFont val="楷体"/>
        <charset val="134"/>
      </rPr>
      <t>东方汇智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至慧中小微企业融资支持第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</si>
  <si>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t>东方汇智资产管理有限公司</t>
  </si>
  <si>
    <r>
      <rPr>
        <sz val="11"/>
        <rFont val="楷体"/>
        <charset val="134"/>
      </rPr>
      <t>晨瑞第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</si>
  <si>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t>国投泰康信托有限公司</t>
  </si>
  <si>
    <r>
      <rPr>
        <sz val="11"/>
        <rFont val="楷体"/>
        <charset val="134"/>
      </rPr>
      <t>次优先级</t>
    </r>
  </si>
  <si>
    <r>
      <rPr>
        <sz val="11"/>
        <rFont val="楷体"/>
        <charset val="134"/>
      </rPr>
      <t>国君满诚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</si>
  <si>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t>上海国泰海通证券资产管理有限公司</t>
  </si>
  <si>
    <r>
      <rPr>
        <sz val="11"/>
        <rFont val="楷体"/>
        <charset val="134"/>
      </rPr>
      <t>国君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华泰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华能信托美憬四期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号资产支持专项计划</t>
    </r>
  </si>
  <si>
    <r>
      <rPr>
        <sz val="11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</si>
  <si>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0"/>
        <rFont val="楷体"/>
        <charset val="134"/>
      </rPr>
      <t>华泰证券</t>
    </r>
    <r>
      <rPr>
        <sz val="10"/>
        <color rgb="FF000000"/>
        <rFont val="Times New Roman Regular"/>
        <charset val="134"/>
      </rPr>
      <t>(</t>
    </r>
    <r>
      <rPr>
        <sz val="10"/>
        <color rgb="FF000000"/>
        <rFont val="楷体"/>
        <charset val="134"/>
      </rPr>
      <t>上海</t>
    </r>
    <r>
      <rPr>
        <sz val="10"/>
        <color rgb="FF000000"/>
        <rFont val="Times New Roman Regular"/>
        <charset val="134"/>
      </rPr>
      <t>)</t>
    </r>
    <r>
      <rPr>
        <sz val="10"/>
        <color rgb="FF000000"/>
        <rFont val="楷体"/>
        <charset val="134"/>
      </rPr>
      <t>资产管理有限公司</t>
    </r>
  </si>
  <si>
    <r>
      <rPr>
        <sz val="11"/>
        <rFont val="楷体"/>
        <charset val="134"/>
      </rPr>
      <t>晨瑞第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</si>
  <si>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rFont val="楷体"/>
        <charset val="134"/>
      </rPr>
      <t>招商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祈恒一号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楷体"/>
        <charset val="134"/>
      </rPr>
      <t>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期次</t>
    </r>
  </si>
  <si>
    <r>
      <rPr>
        <sz val="11"/>
        <rFont val="楷体"/>
        <charset val="134"/>
      </rPr>
      <t>东方汇智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朗煜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</si>
  <si>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国联时晟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</si>
  <si>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t>次级</t>
  </si>
  <si>
    <r>
      <rPr>
        <sz val="11"/>
        <color rgb="FF000000"/>
        <rFont val="楷体"/>
        <charset val="134"/>
      </rPr>
      <t>广发广泰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</si>
  <si>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t>AA</t>
  </si>
  <si>
    <t>A+</t>
  </si>
  <si>
    <r>
      <rPr>
        <sz val="11"/>
        <color rgb="FF000000"/>
        <rFont val="楷体"/>
        <charset val="134"/>
      </rPr>
      <t>华泰资管惠鑫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</si>
  <si>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招证嘉和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期资产支持专项计划</t>
    </r>
  </si>
  <si>
    <t>中间级</t>
  </si>
  <si>
    <r>
      <rPr>
        <sz val="11"/>
        <color rgb="FF000000"/>
        <rFont val="楷体"/>
        <charset val="134"/>
      </rPr>
      <t>国泰海通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至微中小微企业融资支持第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</si>
  <si>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招证嘉和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期资产支持专项计划</t>
    </r>
  </si>
  <si>
    <r>
      <rPr>
        <sz val="11"/>
        <rFont val="楷体"/>
        <charset val="134"/>
      </rPr>
      <t>招商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祈恒一号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期资产支持专项计划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可续发型</t>
    </r>
    <r>
      <rPr>
        <sz val="11"/>
        <rFont val="Times New Roman"/>
        <charset val="134"/>
      </rPr>
      <t>)</t>
    </r>
    <r>
      <rPr>
        <sz val="11"/>
        <rFont val="楷体"/>
        <charset val="134"/>
      </rPr>
      <t>第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期次</t>
    </r>
  </si>
  <si>
    <r>
      <rPr>
        <sz val="11"/>
        <rFont val="楷体"/>
        <charset val="134"/>
      </rPr>
      <t>招证嘉和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10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</si>
  <si>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铭睿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</t>
    </r>
    <r>
      <rPr>
        <sz val="11"/>
        <rFont val="Times New Roman"/>
        <charset val="134"/>
      </rPr>
      <t>8</t>
    </r>
    <r>
      <rPr>
        <sz val="11"/>
        <rFont val="楷体"/>
        <charset val="134"/>
      </rPr>
      <t>期中小微企业融资支持资产支持专项计划</t>
    </r>
  </si>
  <si>
    <r>
      <rPr>
        <sz val="11"/>
        <rFont val="楷体"/>
        <charset val="134"/>
      </rPr>
      <t>永盛第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期资产支持专项计划</t>
    </r>
  </si>
  <si>
    <t>天弘创新资产管理有限公司</t>
  </si>
  <si>
    <r>
      <rPr>
        <sz val="11"/>
        <rFont val="楷体"/>
        <charset val="134"/>
      </rPr>
      <t>国联光睿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</si>
  <si>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永盛第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</si>
  <si>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借呗</t>
    </r>
  </si>
  <si>
    <r>
      <rPr>
        <sz val="11"/>
        <rFont val="楷体"/>
        <charset val="134"/>
      </rPr>
      <t>华能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惠民二号</t>
    </r>
    <r>
      <rPr>
        <sz val="11"/>
        <rFont val="Times New Roman"/>
        <charset val="134"/>
      </rPr>
      <t>7</t>
    </r>
    <r>
      <rPr>
        <sz val="11"/>
        <rFont val="楷体"/>
        <charset val="134"/>
      </rPr>
      <t>期资产支持专项计划</t>
    </r>
  </si>
  <si>
    <t>深圳市财付通网络金融小额贷款有限公司</t>
  </si>
  <si>
    <r>
      <rPr>
        <sz val="11"/>
        <rFont val="楷体"/>
        <charset val="134"/>
      </rPr>
      <t>财通资管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云启</t>
    </r>
    <r>
      <rPr>
        <sz val="11"/>
        <rFont val="Times New Roman"/>
        <charset val="134"/>
      </rPr>
      <t>6</t>
    </r>
    <r>
      <rPr>
        <sz val="11"/>
        <rFont val="楷体"/>
        <charset val="134"/>
      </rPr>
      <t>期资产支持专项计划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可续发型</t>
    </r>
    <r>
      <rPr>
        <sz val="11"/>
        <rFont val="Times New Roman"/>
        <charset val="134"/>
      </rPr>
      <t>)</t>
    </r>
  </si>
  <si>
    <t>财通证券资产管理有限公司</t>
  </si>
  <si>
    <r>
      <rPr>
        <sz val="11"/>
        <rFont val="楷体"/>
        <charset val="134"/>
      </rPr>
      <t>中金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惠民一号</t>
    </r>
    <r>
      <rPr>
        <sz val="11"/>
        <rFont val="Times New Roman"/>
        <charset val="134"/>
      </rPr>
      <t>5</t>
    </r>
    <r>
      <rPr>
        <sz val="11"/>
        <rFont val="楷体"/>
        <charset val="134"/>
      </rPr>
      <t>期资产支持专项计划</t>
    </r>
  </si>
  <si>
    <t>分付</t>
  </si>
  <si>
    <r>
      <rPr>
        <sz val="11"/>
        <rFont val="楷体"/>
        <charset val="134"/>
      </rPr>
      <t>京东科技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尚亦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4</t>
    </r>
    <r>
      <rPr>
        <sz val="11"/>
        <rFont val="楷体"/>
        <charset val="134"/>
      </rPr>
      <t>期中小微企业融资支持资产支持专项计划</t>
    </r>
  </si>
  <si>
    <t>1,65</t>
  </si>
  <si>
    <t>动产质押</t>
  </si>
  <si>
    <r>
      <rPr>
        <sz val="11"/>
        <rFont val="楷体"/>
        <charset val="134"/>
      </rPr>
      <t>国金资管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景熠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号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期资产支持专项计划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可续发型</t>
    </r>
    <r>
      <rPr>
        <sz val="11"/>
        <rFont val="Times New Roman"/>
        <charset val="134"/>
      </rPr>
      <t>)</t>
    </r>
  </si>
  <si>
    <t>国金证券资产管理有限公司</t>
  </si>
  <si>
    <t>优先级</t>
  </si>
  <si>
    <r>
      <rPr>
        <sz val="11"/>
        <rFont val="楷体"/>
        <charset val="134"/>
      </rPr>
      <t>华泰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澜睦一号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期资产支持专项计划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可续发型</t>
    </r>
    <r>
      <rPr>
        <sz val="11"/>
        <rFont val="Times New Roman"/>
        <charset val="134"/>
      </rPr>
      <t>)(</t>
    </r>
    <r>
      <rPr>
        <sz val="11"/>
        <rFont val="楷体"/>
        <charset val="134"/>
      </rPr>
      <t>第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期次</t>
    </r>
    <r>
      <rPr>
        <sz val="11"/>
        <rFont val="Times New Roman"/>
        <charset val="134"/>
      </rPr>
      <t>)</t>
    </r>
  </si>
  <si>
    <r>
      <rPr>
        <sz val="11"/>
        <rFont val="楷体"/>
        <charset val="134"/>
      </rPr>
      <t>天风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启悦</t>
    </r>
    <r>
      <rPr>
        <sz val="11"/>
        <rFont val="Times New Roman"/>
        <charset val="134"/>
      </rPr>
      <t>17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</si>
  <si>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天风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上海</t>
    </r>
    <r>
      <rPr>
        <sz val="11"/>
        <rFont val="Times New Roman"/>
        <charset val="134"/>
      </rPr>
      <t>)</t>
    </r>
    <r>
      <rPr>
        <sz val="11"/>
        <rFont val="楷体"/>
        <charset val="134"/>
      </rPr>
      <t>证券资产管理有限公司</t>
    </r>
  </si>
  <si>
    <r>
      <rPr>
        <sz val="11"/>
        <rFont val="楷体"/>
        <charset val="134"/>
      </rPr>
      <t>东方汇智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至慧中小微企业融资支持第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期资产支持专项计划</t>
    </r>
  </si>
  <si>
    <t>华鑫国际信托有限公司</t>
  </si>
  <si>
    <r>
      <rPr>
        <sz val="11"/>
        <rFont val="楷体"/>
        <charset val="134"/>
      </rPr>
      <t>永盛第</t>
    </r>
    <r>
      <rPr>
        <sz val="11"/>
        <rFont val="Times New Roman"/>
        <charset val="134"/>
      </rPr>
      <t>5</t>
    </r>
    <r>
      <rPr>
        <sz val="11"/>
        <rFont val="楷体"/>
        <charset val="134"/>
      </rPr>
      <t>期资产支持专项计划</t>
    </r>
  </si>
  <si>
    <t>借呗</t>
  </si>
  <si>
    <t>次优先级</t>
  </si>
  <si>
    <r>
      <rPr>
        <sz val="11"/>
        <rFont val="楷体"/>
        <charset val="134"/>
      </rPr>
      <t>永盛第</t>
    </r>
    <r>
      <rPr>
        <sz val="11"/>
        <rFont val="Times New Roman"/>
        <charset val="134"/>
      </rPr>
      <t>4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</si>
  <si>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曦岚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期资产支持专项计划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可续发型</t>
    </r>
    <r>
      <rPr>
        <sz val="11"/>
        <rFont val="Times New Roman"/>
        <charset val="134"/>
      </rPr>
      <t>)</t>
    </r>
  </si>
  <si>
    <r>
      <rPr>
        <sz val="11"/>
        <rFont val="楷体"/>
        <charset val="134"/>
      </rPr>
      <t>沐晓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期资产支持专项计划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可续发型</t>
    </r>
    <r>
      <rPr>
        <sz val="11"/>
        <rFont val="Times New Roman"/>
        <charset val="134"/>
      </rPr>
      <t>)</t>
    </r>
  </si>
  <si>
    <t>平安证券股份有限公司</t>
  </si>
  <si>
    <r>
      <rPr>
        <sz val="11"/>
        <rFont val="楷体"/>
        <charset val="134"/>
      </rPr>
      <t>国联时晟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</t>
    </r>
    <r>
      <rPr>
        <sz val="11"/>
        <rFont val="Times New Roman"/>
        <charset val="134"/>
      </rPr>
      <t>4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</si>
  <si>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永盛第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</si>
  <si>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国联时晟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</si>
  <si>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中金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乘锐</t>
    </r>
    <r>
      <rPr>
        <sz val="11"/>
        <rFont val="Times New Roman"/>
        <charset val="134"/>
      </rPr>
      <t>5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</si>
  <si>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招商证券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至优中小微企业融资支持第</t>
    </r>
    <r>
      <rPr>
        <sz val="11"/>
        <rFont val="Times New Roman"/>
        <charset val="134"/>
      </rPr>
      <t>9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</si>
  <si>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曦岚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号第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期资产支持专项计划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可续发型</t>
    </r>
    <r>
      <rPr>
        <sz val="11"/>
        <rFont val="Times New Roman"/>
        <charset val="134"/>
      </rPr>
      <t>)</t>
    </r>
  </si>
  <si>
    <t>易方达资产管理有限公司</t>
  </si>
  <si>
    <r>
      <rPr>
        <sz val="11"/>
        <rFont val="楷体"/>
        <charset val="134"/>
      </rPr>
      <t>国联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奇富小贷消费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号</t>
    </r>
    <r>
      <rPr>
        <sz val="11"/>
        <rFont val="Times New Roman"/>
        <charset val="134"/>
      </rPr>
      <t>4</t>
    </r>
    <r>
      <rPr>
        <sz val="11"/>
        <rFont val="楷体"/>
        <charset val="134"/>
      </rPr>
      <t>期资产支持专项计划</t>
    </r>
  </si>
  <si>
    <t>福州奇富网络小额贷款有限公司</t>
  </si>
  <si>
    <r>
      <rPr>
        <sz val="11"/>
        <rFont val="楷体"/>
        <charset val="134"/>
      </rPr>
      <t>中金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至康中小微企业融资支持第</t>
    </r>
    <r>
      <rPr>
        <sz val="11"/>
        <rFont val="Times New Roman"/>
        <charset val="134"/>
      </rPr>
      <t>2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</si>
  <si>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中金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至康中小微企业融资支持第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</si>
  <si>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星启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期资产支持专项计划</t>
    </r>
  </si>
  <si>
    <r>
      <rPr>
        <sz val="11"/>
        <rFont val="楷体"/>
        <charset val="134"/>
      </rPr>
      <t>中信证券</t>
    </r>
    <r>
      <rPr>
        <sz val="11"/>
        <rFont val="Times New Roman"/>
        <charset val="134"/>
      </rPr>
      <t>-</t>
    </r>
    <r>
      <rPr>
        <sz val="11"/>
        <rFont val="楷体"/>
        <charset val="134"/>
      </rPr>
      <t>至华中小微企业融资支持第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</si>
  <si>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朔光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</si>
  <si>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朔光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</si>
  <si>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招证嘉和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</si>
  <si>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28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</si>
  <si>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t>金条/白取</t>
  </si>
  <si>
    <r>
      <rPr>
        <sz val="11"/>
        <color rgb="FF000000"/>
        <rFont val="楷体"/>
        <charset val="134"/>
      </rPr>
      <t>国联时晟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</si>
  <si>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招商证券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熠安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</si>
  <si>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优先</t>
    </r>
    <r>
      <rPr>
        <sz val="11"/>
        <color theme="1"/>
        <rFont val="Times New Roman"/>
        <charset val="134"/>
      </rPr>
      <t>A3</t>
    </r>
    <r>
      <rPr>
        <sz val="11"/>
        <color theme="1"/>
        <rFont val="楷体"/>
        <charset val="134"/>
      </rPr>
      <t>级</t>
    </r>
  </si>
  <si>
    <r>
      <rPr>
        <sz val="11"/>
        <color rgb="FF000000"/>
        <rFont val="楷体"/>
        <charset val="134"/>
      </rPr>
      <t>华能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惠民二号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</si>
  <si>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国联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启臻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期中小微企业融资支持资产支持专项计划</t>
    </r>
  </si>
  <si>
    <r>
      <rPr>
        <sz val="11"/>
        <color rgb="FF000000"/>
        <rFont val="楷体"/>
        <charset val="134"/>
      </rPr>
      <t>东方汇智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朗煜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</si>
  <si>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A3</t>
    </r>
  </si>
  <si>
    <r>
      <rPr>
        <sz val="11"/>
        <color rgb="FF000000"/>
        <rFont val="楷体"/>
        <charset val="134"/>
      </rPr>
      <t>国联时晟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</si>
  <si>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曦岚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</si>
  <si>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曦岚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</si>
  <si>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28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</si>
  <si>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t>2026/9/10</t>
  </si>
  <si>
    <r>
      <rPr>
        <sz val="11"/>
        <color rgb="FF000000"/>
        <rFont val="楷体"/>
        <charset val="134"/>
      </rPr>
      <t>广发广泰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</si>
  <si>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永盛第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</si>
  <si>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天弘创新资产管理有限公司</t>
    </r>
  </si>
  <si>
    <r>
      <rPr>
        <sz val="11"/>
        <color rgb="FF000000"/>
        <rFont val="楷体"/>
        <charset val="134"/>
      </rPr>
      <t>借呗</t>
    </r>
  </si>
  <si>
    <t>2026/9/11</t>
  </si>
  <si>
    <r>
      <rPr>
        <sz val="11"/>
        <color rgb="FF000000"/>
        <rFont val="楷体"/>
        <charset val="134"/>
      </rPr>
      <t>华泰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祈信一号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</si>
  <si>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星启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</si>
  <si>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次</t>
    </r>
    <r>
      <rPr>
        <sz val="11"/>
        <color rgb="FF000000"/>
        <rFont val="Times New Roman"/>
        <charset val="134"/>
      </rPr>
      <t>B</t>
    </r>
    <r>
      <rPr>
        <sz val="11"/>
        <color rgb="FF000000"/>
        <rFont val="楷体"/>
        <charset val="134"/>
      </rPr>
      <t>级</t>
    </r>
  </si>
  <si>
    <t>2026/9/8</t>
  </si>
  <si>
    <r>
      <rPr>
        <sz val="11"/>
        <color rgb="FF000000"/>
        <rFont val="楷体"/>
        <charset val="134"/>
      </rPr>
      <t>华泰资管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奇富小贷毓秀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</si>
  <si>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</si>
  <si>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国金资管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景熠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</si>
  <si>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永盛第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</si>
  <si>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28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</si>
  <si>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t>2026/9/9</t>
  </si>
  <si>
    <r>
      <rPr>
        <sz val="11"/>
        <color rgb="FF000000"/>
        <rFont val="楷体"/>
        <charset val="134"/>
      </rPr>
      <t>京东科技盛赢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</si>
  <si>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财通资管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云启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</si>
  <si>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次优先</t>
    </r>
    <r>
      <rPr>
        <sz val="11"/>
        <color rgb="FF000000"/>
        <rFont val="Times New Roman"/>
        <charset val="134"/>
      </rPr>
      <t>A</t>
    </r>
  </si>
  <si>
    <r>
      <rPr>
        <sz val="11"/>
        <color rgb="FF000000"/>
        <rFont val="楷体"/>
        <charset val="134"/>
      </rPr>
      <t>次优先</t>
    </r>
    <r>
      <rPr>
        <sz val="11"/>
        <color rgb="FF000000"/>
        <rFont val="Times New Roman"/>
        <charset val="134"/>
      </rPr>
      <t>B</t>
    </r>
  </si>
  <si>
    <t>2026/9/15</t>
  </si>
  <si>
    <r>
      <rPr>
        <sz val="11"/>
        <color rgb="FF000000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</si>
  <si>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微众银行</t>
    </r>
  </si>
  <si>
    <r>
      <rPr>
        <sz val="11"/>
        <color rgb="FF000000"/>
        <rFont val="楷体"/>
        <charset val="134"/>
      </rPr>
      <t>国联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奇富小贷消费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</si>
  <si>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奇富科技</t>
    </r>
  </si>
  <si>
    <r>
      <rPr>
        <sz val="11"/>
        <color rgb="FF000000"/>
        <rFont val="楷体"/>
        <charset val="134"/>
      </rPr>
      <t>国联光睿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</si>
  <si>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度小满</t>
    </r>
  </si>
  <si>
    <r>
      <rPr>
        <sz val="11"/>
        <color rgb="FF000000"/>
        <rFont val="楷体"/>
        <charset val="134"/>
      </rPr>
      <t>招证嘉尚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</si>
  <si>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美团</t>
    </r>
  </si>
  <si>
    <r>
      <rPr>
        <sz val="11"/>
        <color rgb="FF000000"/>
        <rFont val="楷体"/>
        <charset val="134"/>
      </rPr>
      <t>永盛第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</si>
  <si>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蚂蚁</t>
    </r>
  </si>
  <si>
    <t>2026/9/17</t>
  </si>
  <si>
    <r>
      <rPr>
        <sz val="11"/>
        <color rgb="FF000000"/>
        <rFont val="楷体"/>
        <charset val="134"/>
      </rPr>
      <t>国联光睿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</si>
  <si>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28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</si>
  <si>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京东</t>
    </r>
  </si>
  <si>
    <r>
      <rPr>
        <sz val="11"/>
        <color rgb="FF000000"/>
        <rFont val="楷体"/>
        <charset val="134"/>
      </rPr>
      <t>首创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启信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期中小微企业资产支持专项计划</t>
    </r>
  </si>
  <si>
    <r>
      <rPr>
        <sz val="11"/>
        <color rgb="FF000000"/>
        <rFont val="楷体"/>
        <charset val="134"/>
      </rPr>
      <t>金城银行</t>
    </r>
  </si>
  <si>
    <t>2026/9/18</t>
  </si>
  <si>
    <r>
      <rPr>
        <sz val="11"/>
        <color rgb="FF000000"/>
        <rFont val="楷体"/>
        <charset val="134"/>
      </rPr>
      <t>京东科技尚赢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</si>
  <si>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招证嘉尚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</si>
  <si>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朔光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</si>
  <si>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字节</t>
    </r>
  </si>
  <si>
    <r>
      <rPr>
        <sz val="11"/>
        <color rgb="FF000000"/>
        <rFont val="楷体"/>
        <charset val="134"/>
      </rPr>
      <t>放心借消费</t>
    </r>
  </si>
  <si>
    <r>
      <rPr>
        <sz val="11"/>
        <color rgb="FF000000"/>
        <rFont val="楷体"/>
        <charset val="134"/>
      </rPr>
      <t>沐晓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</si>
  <si>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t>2026-09-29</t>
  </si>
  <si>
    <r>
      <rPr>
        <sz val="11"/>
        <color rgb="FF000000"/>
        <rFont val="楷体"/>
        <charset val="134"/>
      </rPr>
      <t>广发广泰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</si>
  <si>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t>1.78</t>
  </si>
  <si>
    <t>1.80</t>
  </si>
  <si>
    <t>1.85</t>
  </si>
  <si>
    <t>4.40</t>
  </si>
  <si>
    <t>2026-09-30</t>
  </si>
  <si>
    <r>
      <rPr>
        <sz val="11"/>
        <color rgb="FF000000"/>
        <rFont val="楷体"/>
        <charset val="134"/>
      </rPr>
      <t>广发广泰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</si>
  <si>
    <t>2026-09-21</t>
  </si>
  <si>
    <r>
      <rPr>
        <sz val="11"/>
        <color rgb="FF000000"/>
        <rFont val="楷体"/>
        <charset val="134"/>
      </rPr>
      <t>国金资管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景熠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第二期次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</si>
  <si>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平安普惠</t>
    </r>
  </si>
  <si>
    <t>2026-09-22</t>
  </si>
  <si>
    <r>
      <rPr>
        <sz val="11"/>
        <color rgb="FF000000"/>
        <rFont val="楷体"/>
        <charset val="134"/>
      </rPr>
      <t>招商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贵诚惠泽一号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</si>
  <si>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腾讯</t>
    </r>
  </si>
  <si>
    <t>2026-09-23</t>
  </si>
  <si>
    <r>
      <rPr>
        <sz val="11"/>
        <color rgb="FF000000"/>
        <rFont val="楷体"/>
        <charset val="134"/>
      </rPr>
      <t>国金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锦曦小微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号资产支持专项计划</t>
    </r>
  </si>
  <si>
    <r>
      <rPr>
        <sz val="11"/>
        <color rgb="FF000000"/>
        <rFont val="楷体"/>
        <charset val="134"/>
      </rPr>
      <t>新网银行</t>
    </r>
  </si>
  <si>
    <r>
      <rPr>
        <sz val="11"/>
        <color rgb="FF000000"/>
        <rFont val="楷体"/>
        <charset val="134"/>
      </rPr>
      <t>国联光睿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</si>
  <si>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中金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乘锐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</si>
  <si>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马上消金</t>
    </r>
  </si>
  <si>
    <t>2026-09-24</t>
  </si>
  <si>
    <r>
      <rPr>
        <sz val="11"/>
        <color rgb="FF000000"/>
        <rFont val="楷体"/>
        <charset val="134"/>
      </rPr>
      <t>国金资管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景熠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</si>
  <si>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国联光睿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</si>
  <si>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朔光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</si>
  <si>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中金公司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景明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)(</t>
    </r>
    <r>
      <rPr>
        <sz val="11"/>
        <color rgb="FF000000"/>
        <rFont val="楷体"/>
        <charset val="134"/>
      </rPr>
      <t>中小微企业融资支持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</si>
  <si>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招商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奇富消费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</si>
  <si>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招商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祈恒一号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  <r>
      <rPr>
        <sz val="11"/>
        <color rgb="FF000000"/>
        <rFont val="楷体"/>
        <charset val="134"/>
      </rPr>
      <t>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期次</t>
    </r>
  </si>
  <si>
    <t>2026/10/13</t>
  </si>
  <si>
    <r>
      <rPr>
        <sz val="11"/>
        <color rgb="FF000000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</si>
  <si>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t>2026/10/15</t>
  </si>
  <si>
    <r>
      <rPr>
        <sz val="11"/>
        <color rgb="FF000000"/>
        <rFont val="楷体"/>
        <charset val="134"/>
      </rPr>
      <t>国联时晟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</si>
  <si>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曦岚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</si>
  <si>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上海国际信托有限公司</t>
    </r>
  </si>
  <si>
    <r>
      <rPr>
        <sz val="11"/>
        <color rgb="FF000000"/>
        <rFont val="楷体"/>
        <charset val="134"/>
      </rPr>
      <t>次优先</t>
    </r>
    <r>
      <rPr>
        <sz val="11"/>
        <color rgb="FF000000"/>
        <rFont val="Times New Roman"/>
        <charset val="134"/>
      </rPr>
      <t>C</t>
    </r>
  </si>
  <si>
    <r>
      <rPr>
        <sz val="11"/>
        <color rgb="FF000000"/>
        <rFont val="楷体"/>
        <charset val="134"/>
      </rPr>
      <t>招证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美满生意</t>
    </r>
    <r>
      <rPr>
        <sz val="11"/>
        <color rgb="FF000000"/>
        <rFont val="Times New Roman"/>
        <charset val="134"/>
      </rPr>
      <t>2025</t>
    </r>
    <r>
      <rPr>
        <sz val="11"/>
        <color rgb="FF000000"/>
        <rFont val="楷体"/>
        <charset val="134"/>
      </rPr>
      <t>年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中小微企业融资</t>
    </r>
    <r>
      <rPr>
        <sz val="11"/>
        <color rgb="FF000000"/>
        <rFont val="Times New Roman"/>
        <charset val="134"/>
      </rPr>
      <t>)</t>
    </r>
  </si>
  <si>
    <t>2026/10/16</t>
  </si>
  <si>
    <r>
      <rPr>
        <sz val="11"/>
        <color rgb="FF000000"/>
        <rFont val="楷体"/>
        <charset val="134"/>
      </rPr>
      <t>华泰资管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奇富小贷毓秀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</si>
  <si>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25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</si>
  <si>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中信证券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顺丰小贷第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</si>
  <si>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深圳市顺丰合丰小额贷款有限公司</t>
    </r>
  </si>
  <si>
    <r>
      <rPr>
        <sz val="11"/>
        <color rgb="FF000000"/>
        <rFont val="楷体"/>
        <charset val="134"/>
      </rPr>
      <t>顺丰小贷</t>
    </r>
  </si>
  <si>
    <r>
      <rPr>
        <sz val="11"/>
        <color rgb="FF000000"/>
        <rFont val="楷体"/>
        <charset val="134"/>
      </rPr>
      <t>国联时晟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</si>
  <si>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t>2026/10/20</t>
  </si>
  <si>
    <r>
      <rPr>
        <sz val="11"/>
        <color rgb="FF000000"/>
        <rFont val="楷体"/>
        <charset val="134"/>
      </rPr>
      <t>东方汇智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朗煜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</si>
  <si>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华泰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澜睦一号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</si>
  <si>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华泰资管诚新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</si>
  <si>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30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</si>
  <si>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财通资管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云启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</si>
  <si>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宁银消金</t>
    </r>
  </si>
  <si>
    <t>2026/10/22</t>
  </si>
  <si>
    <r>
      <rPr>
        <sz val="11"/>
        <color rgb="FF000000"/>
        <rFont val="楷体"/>
        <charset val="134"/>
      </rPr>
      <t>国联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楷体"/>
        <charset val="134"/>
      </rPr>
      <t>小满助业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号中小微企业融资支持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期资产支持专项计划</t>
    </r>
  </si>
  <si>
    <t>2026/10/23</t>
  </si>
  <si>
    <r>
      <rPr>
        <sz val="11"/>
        <color rgb="FF000000"/>
        <rFont val="楷体"/>
        <charset val="134"/>
      </rPr>
      <t>晨曦第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</si>
  <si>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晨曦第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</si>
  <si>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晨曦第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</si>
  <si>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朔光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期资产支持专项计划</t>
    </r>
  </si>
  <si>
    <r>
      <rPr>
        <sz val="11"/>
        <color rgb="FF000000"/>
        <rFont val="楷体"/>
        <charset val="134"/>
      </rPr>
      <t>沐晓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</si>
  <si>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平安证券股份有限公司</t>
    </r>
  </si>
  <si>
    <r>
      <rPr>
        <sz val="11"/>
        <color rgb="FF000000"/>
        <rFont val="楷体"/>
        <charset val="134"/>
      </rPr>
      <t>泓远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期资产支持专项计划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可续发型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</si>
  <si>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深圳海豚小额贷款有限公司</t>
    </r>
  </si>
  <si>
    <r>
      <rPr>
        <sz val="11"/>
        <color rgb="FF000000"/>
        <rFont val="楷体"/>
        <charset val="134"/>
      </rPr>
      <t>耘睿</t>
    </r>
    <r>
      <rPr>
        <sz val="11"/>
        <color rgb="FF000000"/>
        <rFont val="Times New Roman"/>
        <charset val="134"/>
      </rPr>
      <t>25</t>
    </r>
    <r>
      <rPr>
        <sz val="11"/>
        <color rgb="FF000000"/>
        <rFont val="楷体"/>
        <charset val="134"/>
      </rPr>
      <t>号第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期资产支持专项计划</t>
    </r>
  </si>
  <si>
    <r>
      <rPr>
        <sz val="11"/>
        <rFont val="楷体"/>
        <charset val="134"/>
      </rPr>
      <t>设立时间</t>
    </r>
  </si>
  <si>
    <r>
      <rPr>
        <sz val="11"/>
        <rFont val="楷体"/>
        <charset val="134"/>
      </rPr>
      <t>专项计划名称</t>
    </r>
  </si>
  <si>
    <r>
      <rPr>
        <sz val="11"/>
        <rFont val="楷体"/>
        <charset val="134"/>
      </rPr>
      <t>规模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亿元</t>
    </r>
    <r>
      <rPr>
        <sz val="11"/>
        <rFont val="Times New Roman"/>
        <charset val="134"/>
      </rPr>
      <t>)</t>
    </r>
  </si>
  <si>
    <r>
      <rPr>
        <sz val="11"/>
        <rFont val="楷体"/>
        <charset val="134"/>
      </rPr>
      <t>发起机构</t>
    </r>
  </si>
  <si>
    <r>
      <rPr>
        <sz val="11"/>
        <rFont val="楷体"/>
        <charset val="134"/>
      </rPr>
      <t>发行机构</t>
    </r>
  </si>
  <si>
    <r>
      <rPr>
        <sz val="11"/>
        <rFont val="楷体"/>
        <charset val="134"/>
      </rPr>
      <t>分层</t>
    </r>
  </si>
  <si>
    <r>
      <rPr>
        <sz val="11"/>
        <rFont val="楷体"/>
        <charset val="134"/>
      </rPr>
      <t>期限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年</t>
    </r>
    <r>
      <rPr>
        <sz val="11"/>
        <rFont val="Times New Roman"/>
        <charset val="134"/>
      </rPr>
      <t>)</t>
    </r>
  </si>
  <si>
    <r>
      <rPr>
        <sz val="11"/>
        <rFont val="楷体"/>
        <charset val="134"/>
      </rPr>
      <t>评级</t>
    </r>
  </si>
  <si>
    <r>
      <rPr>
        <sz val="11"/>
        <rFont val="楷体"/>
        <charset val="134"/>
      </rPr>
      <t>票面利率（</t>
    </r>
    <r>
      <rPr>
        <sz val="11"/>
        <rFont val="Times New Roman"/>
        <charset val="134"/>
      </rPr>
      <t>%</t>
    </r>
    <r>
      <rPr>
        <sz val="11"/>
        <rFont val="楷体"/>
        <charset val="134"/>
      </rPr>
      <t>）</t>
    </r>
  </si>
  <si>
    <r>
      <rPr>
        <sz val="11"/>
        <rFont val="楷体"/>
        <charset val="134"/>
      </rPr>
      <t>资产方</t>
    </r>
  </si>
  <si>
    <r>
      <rPr>
        <sz val="11"/>
        <rFont val="楷体"/>
        <charset val="134"/>
      </rPr>
      <t>资产类型</t>
    </r>
  </si>
  <si>
    <t>2026/1/5</t>
  </si>
  <si>
    <r>
      <rPr>
        <sz val="11"/>
        <color rgb="FF000000"/>
        <rFont val="楷体"/>
        <charset val="134"/>
      </rPr>
      <t>中信信托有限责任公司</t>
    </r>
    <r>
      <rPr>
        <sz val="11"/>
        <color rgb="FF000000"/>
        <rFont val="Times New Roman"/>
        <charset val="134"/>
      </rPr>
      <t>2025</t>
    </r>
    <r>
      <rPr>
        <sz val="11"/>
        <color rgb="FF000000"/>
        <rFont val="楷体"/>
        <charset val="134"/>
      </rPr>
      <t>年度芬郁第二期定向资产支持票据</t>
    </r>
  </si>
  <si>
    <r>
      <rPr>
        <sz val="11"/>
        <color rgb="FF000000"/>
        <rFont val="楷体"/>
        <charset val="134"/>
      </rPr>
      <t>小微贷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</si>
  <si>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年度美润二号第一期定向资产支持票据</t>
    </r>
  </si>
  <si>
    <r>
      <rPr>
        <sz val="11"/>
        <color rgb="FF000000"/>
        <rFont val="楷体"/>
        <charset val="134"/>
      </rPr>
      <t>深圳市财付通网络金融小额贷款有限公司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年度和盛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</si>
  <si>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东樾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号秋樾第一期定向资产支持商业票据</t>
    </r>
  </si>
  <si>
    <r>
      <rPr>
        <sz val="11"/>
        <color rgb="FF000000"/>
        <rFont val="楷体"/>
        <charset val="134"/>
      </rPr>
      <t>华鑫国际信托有限公司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年度美满华年第一期定向资产支持票据</t>
    </r>
  </si>
  <si>
    <r>
      <rPr>
        <sz val="11"/>
        <color rgb="FF000000"/>
        <rFont val="楷体"/>
        <charset val="134"/>
      </rPr>
      <t>重庆美团三快小额贷款有限公司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年度美月二号第一期定向资产支持票据</t>
    </r>
  </si>
  <si>
    <r>
      <rPr>
        <sz val="11"/>
        <color rgb="FF000000"/>
        <rFont val="楷体"/>
        <charset val="134"/>
      </rPr>
      <t>澄晴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</si>
  <si>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厦门国际信托有限公司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</si>
  <si>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年度拾穗丰润第一期定向资产支持票据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乡村振兴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</si>
  <si>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华润深国投信托有限公司</t>
    </r>
  </si>
  <si>
    <r>
      <rPr>
        <sz val="11"/>
        <color rgb="FF000000"/>
        <rFont val="楷体"/>
        <charset val="134"/>
      </rPr>
      <t>中和农信</t>
    </r>
  </si>
  <si>
    <t>a+sf</t>
  </si>
  <si>
    <r>
      <rPr>
        <sz val="11"/>
        <color rgb="FF000000"/>
        <rFont val="楷体"/>
        <charset val="134"/>
      </rPr>
      <t>重庆市西岸小额贷款有限公司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年度惠橙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号第一期定向资产支持票据</t>
    </r>
  </si>
  <si>
    <r>
      <rPr>
        <sz val="11"/>
        <color rgb="FF000000"/>
        <rFont val="楷体"/>
        <charset val="134"/>
      </rPr>
      <t>重庆市西岸小额贷款有限公司</t>
    </r>
  </si>
  <si>
    <r>
      <rPr>
        <sz val="11"/>
        <color rgb="FF000000"/>
        <rFont val="楷体"/>
        <charset val="134"/>
      </rPr>
      <t>广东粤财信托有限公司</t>
    </r>
  </si>
  <si>
    <r>
      <rPr>
        <sz val="11"/>
        <color rgb="FF000000"/>
        <rFont val="楷体"/>
        <charset val="134"/>
      </rPr>
      <t>滴滴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</si>
  <si>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年度第一期锦新小微定向资产支持票据</t>
    </r>
  </si>
  <si>
    <r>
      <rPr>
        <sz val="11"/>
        <color rgb="FF000000"/>
        <rFont val="楷体"/>
        <charset val="134"/>
      </rPr>
      <t>重庆美团三快小额贷款有限公司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年度美月二号第二期定向资产支持票据</t>
    </r>
  </si>
  <si>
    <r>
      <rPr>
        <sz val="11"/>
        <color rgb="FF000000"/>
        <rFont val="楷体"/>
        <charset val="134"/>
      </rPr>
      <t>国投泰康信托有限公司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年度致远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</si>
  <si>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睿宁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</si>
  <si>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华鑫国际信托有限公司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年度惠创第一期定向资产支持票据</t>
    </r>
  </si>
  <si>
    <r>
      <rPr>
        <sz val="11"/>
        <color rgb="FF000000"/>
        <rFont val="楷体"/>
        <charset val="134"/>
      </rPr>
      <t>天津信托有限责任公司</t>
    </r>
  </si>
  <si>
    <r>
      <rPr>
        <sz val="11"/>
        <color rgb="FF000000"/>
        <rFont val="楷体"/>
        <charset val="134"/>
      </rPr>
      <t>网商银行</t>
    </r>
  </si>
  <si>
    <r>
      <rPr>
        <sz val="11"/>
        <color rgb="FF000000"/>
        <rFont val="楷体"/>
        <charset val="134"/>
      </rPr>
      <t>重庆市中和农信小额贷款有限公司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乡村振兴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</si>
  <si>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重庆市中和农信小额贷款有限公司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</si>
  <si>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年度恒信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</si>
  <si>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国投泰康信托有限公司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年度致远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</si>
  <si>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国投泰康信托有限公司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年度致远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</si>
  <si>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星昀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</si>
  <si>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年度奇信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号第一期定向资产支持票据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债券通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</si>
  <si>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澄煦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</si>
  <si>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锦泽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</si>
  <si>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年度第一期启达定向资产支持票据</t>
    </r>
  </si>
  <si>
    <t xml:space="preserve"> AAAsf </t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</si>
  <si>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年度扬帆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</si>
  <si>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澄悦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</si>
  <si>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睿宁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年度第二期定向资产支持票据</t>
    </r>
  </si>
  <si>
    <r>
      <rPr>
        <sz val="11"/>
        <color rgb="FF000000"/>
        <rFont val="楷体"/>
        <charset val="134"/>
      </rPr>
      <t>睿晨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</si>
  <si>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星曦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</si>
  <si>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11</t>
    </r>
    <r>
      <rPr>
        <sz val="11"/>
        <color rgb="FF000000"/>
        <rFont val="楷体"/>
        <charset val="134"/>
      </rPr>
      <t>号伯裕京东白条第一期定向资产支持商业票据</t>
    </r>
  </si>
  <si>
    <r>
      <rPr>
        <sz val="11"/>
        <rFont val="楷体"/>
        <charset val="134"/>
      </rPr>
      <t>京东</t>
    </r>
  </si>
  <si>
    <r>
      <rPr>
        <sz val="11"/>
        <rFont val="楷体"/>
        <charset val="134"/>
      </rPr>
      <t>白条</t>
    </r>
  </si>
  <si>
    <r>
      <rPr>
        <sz val="11"/>
        <color rgb="FF000000"/>
        <rFont val="楷体"/>
        <charset val="134"/>
      </rPr>
      <t>星曦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年度第二期定向资产支持票据</t>
    </r>
  </si>
  <si>
    <r>
      <rPr>
        <sz val="11"/>
        <color rgb="FF000000"/>
        <rFont val="楷体"/>
        <charset val="134"/>
      </rPr>
      <t>国投泰康信托有限公司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年度致远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</si>
  <si>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深圳市财付通网络金融小额贷款有限公司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年度和盛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</si>
  <si>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熠顺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</si>
  <si>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重庆美团三快小额贷款有限公司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年度美月二号第三期定向资产支持票据</t>
    </r>
  </si>
  <si>
    <r>
      <rPr>
        <sz val="11"/>
        <color rgb="FF000000"/>
        <rFont val="楷体"/>
        <charset val="134"/>
      </rPr>
      <t>重庆美团三快小额贷款有限公司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年度美月二号第四期定向资产支持票据</t>
    </r>
  </si>
  <si>
    <r>
      <rPr>
        <sz val="11"/>
        <color rgb="FF000000"/>
        <rFont val="楷体"/>
        <charset val="134"/>
      </rPr>
      <t>澄晴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年度第二期定向资产支持票据</t>
    </r>
  </si>
  <si>
    <r>
      <rPr>
        <sz val="11"/>
        <color rgb="FF000000"/>
        <rFont val="楷体"/>
        <charset val="134"/>
      </rPr>
      <t>中信信托有限责任公司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年度悦辰第一期定向资产支持票据</t>
    </r>
  </si>
  <si>
    <r>
      <rPr>
        <sz val="11"/>
        <color rgb="FF000000"/>
        <rFont val="楷体"/>
        <charset val="134"/>
      </rPr>
      <t>重庆度小满小额贷款有限公司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年度第一期满航定向资产支持票据</t>
    </r>
  </si>
  <si>
    <r>
      <rPr>
        <sz val="11"/>
        <color rgb="FF000000"/>
        <rFont val="楷体"/>
        <charset val="134"/>
      </rPr>
      <t>中信信托有限责任公司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年度芬郁第一期定向资产支持票据</t>
    </r>
  </si>
  <si>
    <r>
      <rPr>
        <sz val="11"/>
        <color rgb="FF000000"/>
        <rFont val="楷体"/>
        <charset val="134"/>
      </rPr>
      <t>星昀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年度第二期定向资产支持票据</t>
    </r>
  </si>
  <si>
    <r>
      <rPr>
        <sz val="11"/>
        <color rgb="FF000000"/>
        <rFont val="楷体"/>
        <charset val="134"/>
      </rPr>
      <t>中信信托有限责任公司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年度悦辰第二期定向资产支持票据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</si>
  <si>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年度第三期锦新小微定向资产支持票据</t>
    </r>
  </si>
  <si>
    <r>
      <rPr>
        <sz val="11"/>
        <color rgb="FF000000"/>
        <rFont val="楷体"/>
        <charset val="134"/>
      </rPr>
      <t>锦泽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年度第二期定向资产支持票据</t>
    </r>
  </si>
  <si>
    <r>
      <rPr>
        <sz val="11"/>
        <color rgb="FF000000"/>
        <rFont val="楷体"/>
        <charset val="134"/>
      </rPr>
      <t>华鑫国际信托有限公司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年度美满华年第二期定向资产支持票据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</si>
  <si>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年度浩澜第一期定向资产支持票据</t>
    </r>
  </si>
  <si>
    <r>
      <rPr>
        <sz val="11"/>
        <color rgb="FF000000"/>
        <rFont val="楷体"/>
        <charset val="134"/>
      </rPr>
      <t>中信信托有限责任公司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年度芬郁第二期定向资产支持票据</t>
    </r>
  </si>
  <si>
    <r>
      <rPr>
        <sz val="11"/>
        <color theme="1"/>
        <rFont val="楷体"/>
        <charset val="134"/>
      </rPr>
      <t>次优先级</t>
    </r>
  </si>
  <si>
    <r>
      <rPr>
        <sz val="11"/>
        <color rgb="FF000000"/>
        <rFont val="楷体"/>
        <charset val="134"/>
      </rPr>
      <t>澄煦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年度第二期定向资产支持票据</t>
    </r>
  </si>
  <si>
    <r>
      <rPr>
        <sz val="11"/>
        <color rgb="FF000000"/>
        <rFont val="楷体"/>
        <charset val="134"/>
      </rPr>
      <t>国投泰康信托有限公司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年度致远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</si>
  <si>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年度奇信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号第二期定向资产支持票据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楷体"/>
        <charset val="134"/>
      </rPr>
      <t>债券通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</si>
  <si>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楷体"/>
        <charset val="134"/>
      </rPr>
      <t>重庆美团三快小额贷款有限公司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年度美好生活第一期定向资产支持票据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</si>
  <si>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年度惠满第一期定向资产支持票据</t>
    </r>
  </si>
  <si>
    <r>
      <rPr>
        <sz val="11"/>
        <color theme="1"/>
        <rFont val="楷体"/>
        <charset val="134"/>
      </rPr>
      <t>优先</t>
    </r>
    <r>
      <rPr>
        <sz val="11"/>
        <color theme="1"/>
        <rFont val="Times New Roman"/>
        <charset val="134"/>
      </rPr>
      <t>A</t>
    </r>
    <r>
      <rPr>
        <sz val="11"/>
        <color theme="1"/>
        <rFont val="楷体"/>
        <charset val="134"/>
      </rPr>
      <t>档</t>
    </r>
  </si>
  <si>
    <r>
      <rPr>
        <sz val="11"/>
        <color theme="1"/>
        <rFont val="楷体"/>
        <charset val="134"/>
      </rPr>
      <t>优先</t>
    </r>
    <r>
      <rPr>
        <sz val="11"/>
        <color theme="1"/>
        <rFont val="Times New Roman"/>
        <charset val="134"/>
      </rPr>
      <t>B</t>
    </r>
    <r>
      <rPr>
        <sz val="11"/>
        <color theme="1"/>
        <rFont val="楷体"/>
        <charset val="134"/>
      </rPr>
      <t>档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</si>
  <si>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年度第一期启全定向资产支持票据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</si>
  <si>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号叔裕京东白条第一期定向资产支持商业票据</t>
    </r>
  </si>
  <si>
    <r>
      <rPr>
        <sz val="11"/>
        <color rgb="FF000000"/>
        <rFont val="楷体"/>
        <charset val="134"/>
      </rPr>
      <t>兴业国际信托有限公司</t>
    </r>
  </si>
  <si>
    <r>
      <rPr>
        <sz val="11"/>
        <color rgb="FF000000"/>
        <rFont val="楷体"/>
        <charset val="134"/>
      </rPr>
      <t>上海国际信托有限公司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年度惠达第一期定向资产支持票据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</si>
  <si>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年度第二期锦新小微定向资产支持票据</t>
    </r>
  </si>
  <si>
    <r>
      <rPr>
        <sz val="11"/>
        <color rgb="FF000000"/>
        <rFont val="楷体"/>
        <charset val="134"/>
      </rPr>
      <t>上海国际信托有限公司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年度惠达第二期定向资产支持票据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</si>
  <si>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号季裕京东白条第一期定向资产支持商业票据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</si>
  <si>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年度恒信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</si>
  <si>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重庆市西岸小额贷款有限公司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年度启橙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号第一期定向资产支持票据</t>
    </r>
  </si>
  <si>
    <r>
      <rPr>
        <sz val="11"/>
        <color rgb="FF000000"/>
        <rFont val="楷体"/>
        <charset val="134"/>
      </rPr>
      <t>重庆市西岸小额贷款有限公司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年度惠橙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号第二期定向资产支持票据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</si>
  <si>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年度恒信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</si>
  <si>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睿哲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</si>
  <si>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theme="1"/>
        <rFont val="楷体"/>
        <charset val="134"/>
      </rPr>
      <t>借呗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</si>
  <si>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年度美睦第一期定向资产支持票据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</si>
  <si>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年度第二期启达定向资产支持票据</t>
    </r>
  </si>
  <si>
    <r>
      <rPr>
        <sz val="11"/>
        <color theme="1"/>
        <rFont val="楷体"/>
        <charset val="134"/>
      </rPr>
      <t>微业贷</t>
    </r>
  </si>
  <si>
    <r>
      <rPr>
        <sz val="11"/>
        <color rgb="FF000000"/>
        <rFont val="楷体"/>
        <charset val="134"/>
      </rPr>
      <t>国投泰康信托有限公司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年度致远</t>
    </r>
    <r>
      <rPr>
        <sz val="11"/>
        <color rgb="FF000000"/>
        <rFont val="Times New Roman"/>
        <charset val="134"/>
      </rPr>
      <t>11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</si>
  <si>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华鑫国际信托有限公司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年度惠创第二期定向资产支持票据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</si>
  <si>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年度恒信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</si>
  <si>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华鑫国际信托有限公司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年度惠创第三期定向资产支持票据</t>
    </r>
  </si>
  <si>
    <r>
      <rPr>
        <sz val="11"/>
        <color rgb="FF000000"/>
        <rFont val="楷体"/>
        <charset val="134"/>
      </rPr>
      <t>澄瑞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</si>
  <si>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睿新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</si>
  <si>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rFont val="楷体"/>
        <charset val="134"/>
      </rPr>
      <t>蚂蚁</t>
    </r>
  </si>
  <si>
    <r>
      <rPr>
        <sz val="11"/>
        <color rgb="FF000000"/>
        <rFont val="楷体"/>
        <charset val="134"/>
      </rPr>
      <t>国投泰康信托有限公司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年度惠行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</si>
  <si>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澄瑞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年度第二期定向资产支持票据</t>
    </r>
  </si>
  <si>
    <r>
      <rPr>
        <sz val="11"/>
        <color rgb="FF000000"/>
        <rFont val="楷体"/>
        <charset val="134"/>
      </rPr>
      <t>澄煦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年度第三期定向资产支持票据</t>
    </r>
  </si>
  <si>
    <r>
      <rPr>
        <sz val="11"/>
        <color rgb="FF000000"/>
        <rFont val="楷体"/>
        <charset val="134"/>
      </rPr>
      <t>熠顺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年度第二期定向资产支持票据</t>
    </r>
  </si>
  <si>
    <r>
      <rPr>
        <sz val="11"/>
        <color rgb="FF000000"/>
        <rFont val="楷体"/>
        <charset val="134"/>
      </rPr>
      <t>睿哲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年度第二期定向资产支持票据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</si>
  <si>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年度美憬第一期定向资产支持票据</t>
    </r>
  </si>
  <si>
    <r>
      <rPr>
        <sz val="11"/>
        <rFont val="楷体"/>
        <charset val="134"/>
      </rPr>
      <t>美团</t>
    </r>
  </si>
  <si>
    <r>
      <rPr>
        <sz val="11"/>
        <color theme="1"/>
        <rFont val="楷体"/>
        <charset val="134"/>
      </rPr>
      <t>次</t>
    </r>
    <r>
      <rPr>
        <sz val="11"/>
        <color theme="1"/>
        <rFont val="Times New Roman"/>
        <charset val="134"/>
      </rPr>
      <t>A</t>
    </r>
    <r>
      <rPr>
        <sz val="11"/>
        <color theme="1"/>
        <rFont val="楷体"/>
        <charset val="134"/>
      </rPr>
      <t>级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</si>
  <si>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号伯裕京东白条第一期定向资产支持商业票据</t>
    </r>
  </si>
  <si>
    <r>
      <rPr>
        <sz val="11"/>
        <color theme="1"/>
        <rFont val="楷体"/>
        <charset val="134"/>
      </rPr>
      <t>重庆市西岸小额贷款有限公司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年度惠橙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楷体"/>
        <charset val="134"/>
      </rPr>
      <t>号第一期定向资产支持票据</t>
    </r>
  </si>
  <si>
    <r>
      <rPr>
        <sz val="11"/>
        <color theme="1"/>
        <rFont val="楷体"/>
        <charset val="134"/>
      </rPr>
      <t>重庆市西岸小额贷款有限公司</t>
    </r>
  </si>
  <si>
    <r>
      <rPr>
        <sz val="11"/>
        <color theme="1"/>
        <rFont val="楷体"/>
        <charset val="134"/>
      </rPr>
      <t>滴滴</t>
    </r>
  </si>
  <si>
    <r>
      <rPr>
        <sz val="11"/>
        <color rgb="FF000000"/>
        <rFont val="楷体"/>
        <charset val="134"/>
      </rPr>
      <t>国投泰康信托有限公司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年度信玥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号第一期定向资产支持票据</t>
    </r>
  </si>
  <si>
    <r>
      <rPr>
        <sz val="11"/>
        <color rgb="FF000000"/>
        <rFont val="楷体"/>
        <charset val="134"/>
      </rPr>
      <t>重庆美团三快小额贷款有限公司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年度美月二号第五期定向资产支持票据</t>
    </r>
  </si>
  <si>
    <r>
      <rPr>
        <sz val="11"/>
        <color rgb="FF000000"/>
        <rFont val="楷体"/>
        <charset val="134"/>
      </rPr>
      <t>深圳市财付通网络金融小额贷款有限公司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年度和盛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</si>
  <si>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年度惠满第二期定向资产支持票据</t>
    </r>
  </si>
  <si>
    <r>
      <rPr>
        <sz val="11"/>
        <color rgb="FF000000"/>
        <rFont val="楷体"/>
        <charset val="134"/>
      </rPr>
      <t>惠裕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</si>
  <si>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星琰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</si>
  <si>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深圳市财付通网络金融小额贷款有限公司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年度和盛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</si>
  <si>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睿宁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年度第三期定向资产支持票据</t>
    </r>
  </si>
  <si>
    <t>2026/5/28</t>
  </si>
  <si>
    <r>
      <rPr>
        <sz val="11"/>
        <color rgb="FF000000"/>
        <rFont val="楷体"/>
        <charset val="134"/>
      </rPr>
      <t>惠合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</si>
  <si>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年度美睦第二期定向资产支持票据</t>
    </r>
  </si>
  <si>
    <r>
      <rPr>
        <sz val="11"/>
        <color rgb="FF000000"/>
        <rFont val="楷体"/>
        <charset val="134"/>
      </rPr>
      <t>澄晴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年度第三期定向资产支持票据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</si>
  <si>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号仲裕京东白条第一期定向资产支持商业票据</t>
    </r>
  </si>
  <si>
    <r>
      <rPr>
        <sz val="11"/>
        <color rgb="FF000000"/>
        <rFont val="楷体"/>
        <charset val="134"/>
      </rPr>
      <t>国投泰康信托有限公司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年度惠行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</si>
  <si>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惠臻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</si>
  <si>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年度恒信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</si>
  <si>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重庆市西岸小额贷款有限公司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年度启橙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号第二期定向资产支持票据</t>
    </r>
  </si>
  <si>
    <r>
      <rPr>
        <sz val="11"/>
        <color rgb="FF000000"/>
        <rFont val="楷体"/>
        <charset val="134"/>
      </rPr>
      <t>东樾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号第一期定向资产支持票据</t>
    </r>
  </si>
  <si>
    <r>
      <rPr>
        <sz val="11"/>
        <color rgb="FF000000"/>
        <rFont val="楷体"/>
        <charset val="134"/>
      </rPr>
      <t>惠合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</si>
  <si>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号叔裕京东白条第一期定向资产支持商业票据</t>
    </r>
  </si>
  <si>
    <r>
      <rPr>
        <sz val="11"/>
        <color rgb="FF000000"/>
        <rFont val="楷体"/>
        <charset val="134"/>
      </rPr>
      <t>星曦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年度第三期定向资产支持票据</t>
    </r>
  </si>
  <si>
    <r>
      <rPr>
        <sz val="11"/>
        <color rgb="FF000000"/>
        <rFont val="楷体"/>
        <charset val="134"/>
      </rPr>
      <t>澄瑞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年度第三期定向资产支持票据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</si>
  <si>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年度惠满第三期定向资产支持票据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</si>
  <si>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年度第二期启全定向资产支持票据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</si>
  <si>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号季裕京东白条第一期定向资产支持商业票据</t>
    </r>
  </si>
  <si>
    <r>
      <rPr>
        <sz val="11"/>
        <color rgb="FF000000"/>
        <rFont val="楷体"/>
        <charset val="134"/>
      </rPr>
      <t>星琰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年度第二期定向资产支持票据</t>
    </r>
  </si>
  <si>
    <r>
      <rPr>
        <sz val="11"/>
        <color rgb="FF000000"/>
        <rFont val="楷体"/>
        <charset val="134"/>
      </rPr>
      <t>睿宁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年度第四期定向资产支持票据</t>
    </r>
  </si>
  <si>
    <r>
      <rPr>
        <sz val="11"/>
        <color rgb="FF000000"/>
        <rFont val="楷体"/>
        <charset val="134"/>
      </rPr>
      <t>惠合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年度第三期定向资产支持票据</t>
    </r>
  </si>
  <si>
    <r>
      <rPr>
        <sz val="11"/>
        <color rgb="FF000000"/>
        <rFont val="楷体"/>
        <charset val="134"/>
      </rPr>
      <t>澄晴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年度第四期定向资产支持票据</t>
    </r>
  </si>
  <si>
    <r>
      <rPr>
        <sz val="11"/>
        <color rgb="FF000000"/>
        <rFont val="楷体"/>
        <charset val="134"/>
      </rPr>
      <t>华鑫国际信托有限公司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年度美满华年第三期定向资产支持票据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</si>
  <si>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年度浩澜第二期定向资产支持票据</t>
    </r>
  </si>
  <si>
    <r>
      <rPr>
        <sz val="11"/>
        <color rgb="FF000000"/>
        <rFont val="楷体"/>
        <charset val="134"/>
      </rPr>
      <t>深圳市财付通网络金融小额贷款有限公司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年度和盛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</si>
  <si>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theme="1"/>
        <rFont val="楷体"/>
        <charset val="134"/>
      </rPr>
      <t>惠裕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年度第二期定向资产支持票据</t>
    </r>
  </si>
  <si>
    <r>
      <rPr>
        <sz val="11"/>
        <color theme="1"/>
        <rFont val="楷体"/>
        <charset val="134"/>
      </rPr>
      <t>天津信托有限责任公司</t>
    </r>
  </si>
  <si>
    <r>
      <rPr>
        <sz val="11"/>
        <color theme="1"/>
        <rFont val="楷体"/>
        <charset val="134"/>
      </rPr>
      <t>网商银行</t>
    </r>
  </si>
  <si>
    <r>
      <rPr>
        <sz val="11"/>
        <color theme="1"/>
        <rFont val="楷体"/>
        <charset val="134"/>
      </rPr>
      <t>睿宁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年度第五期定向资产支持票据</t>
    </r>
  </si>
  <si>
    <r>
      <rPr>
        <sz val="11"/>
        <color theme="1"/>
        <rFont val="楷体"/>
        <charset val="134"/>
      </rPr>
      <t>蚂蚁</t>
    </r>
  </si>
  <si>
    <r>
      <rPr>
        <sz val="11"/>
        <color theme="1"/>
        <rFont val="楷体"/>
        <charset val="134"/>
      </rPr>
      <t>睿哲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年度第三期定向资产支持票据</t>
    </r>
  </si>
  <si>
    <r>
      <rPr>
        <sz val="11"/>
        <color theme="1"/>
        <rFont val="楷体"/>
        <charset val="134"/>
      </rPr>
      <t>华鑫国际信托有限公司</t>
    </r>
  </si>
  <si>
    <r>
      <rPr>
        <sz val="11"/>
        <color theme="1"/>
        <rFont val="楷体"/>
        <charset val="134"/>
      </rPr>
      <t>星旸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年度第一期定向资产支持票据</t>
    </r>
  </si>
  <si>
    <r>
      <rPr>
        <sz val="11"/>
        <color theme="1"/>
        <rFont val="楷体"/>
        <charset val="134"/>
      </rPr>
      <t>澄煦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年度第四期定向资产支持票据</t>
    </r>
  </si>
  <si>
    <r>
      <rPr>
        <sz val="11"/>
        <color theme="1"/>
        <rFont val="楷体"/>
        <charset val="134"/>
      </rPr>
      <t>华能贵诚信托有限公司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年度美憬第二期定向资产支持票据</t>
    </r>
  </si>
  <si>
    <r>
      <rPr>
        <sz val="11"/>
        <color theme="1"/>
        <rFont val="楷体"/>
        <charset val="134"/>
      </rPr>
      <t>美团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</si>
  <si>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号春裕京东白条第一期定向资产支持商业票据</t>
    </r>
  </si>
  <si>
    <r>
      <rPr>
        <sz val="11"/>
        <color theme="1"/>
        <rFont val="楷体"/>
        <charset val="134"/>
      </rPr>
      <t>华能贵诚信托有限公司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年度恒信</t>
    </r>
    <r>
      <rPr>
        <sz val="11"/>
        <color theme="1"/>
        <rFont val="Times New Roman"/>
        <charset val="134"/>
      </rPr>
      <t>8</t>
    </r>
    <r>
      <rPr>
        <sz val="11"/>
        <color theme="1"/>
        <rFont val="楷体"/>
        <charset val="134"/>
      </rPr>
      <t>号第一期定向资产支持商业票据</t>
    </r>
  </si>
  <si>
    <r>
      <rPr>
        <sz val="11"/>
        <color theme="1"/>
        <rFont val="楷体"/>
        <charset val="134"/>
      </rPr>
      <t>腾讯</t>
    </r>
  </si>
  <si>
    <r>
      <rPr>
        <sz val="11"/>
        <color theme="1"/>
        <rFont val="楷体"/>
        <charset val="134"/>
      </rPr>
      <t>惠裕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年度第三期定向资产支持票据</t>
    </r>
  </si>
  <si>
    <r>
      <rPr>
        <sz val="11"/>
        <color theme="1"/>
        <rFont val="楷体"/>
        <charset val="134"/>
      </rPr>
      <t>惠臻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年度第二期定向资产支持票据</t>
    </r>
  </si>
  <si>
    <r>
      <rPr>
        <sz val="11"/>
        <color theme="1"/>
        <rFont val="楷体"/>
        <charset val="134"/>
      </rPr>
      <t>国投泰康信托有限公司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年度惠行</t>
    </r>
    <r>
      <rPr>
        <sz val="11"/>
        <color theme="1"/>
        <rFont val="Times New Roman"/>
        <charset val="134"/>
      </rPr>
      <t>10</t>
    </r>
    <r>
      <rPr>
        <sz val="11"/>
        <color theme="1"/>
        <rFont val="楷体"/>
        <charset val="134"/>
      </rPr>
      <t>号第一期定向资产支持商业票据</t>
    </r>
  </si>
  <si>
    <r>
      <rPr>
        <sz val="11"/>
        <color theme="1"/>
        <rFont val="楷体"/>
        <charset val="134"/>
      </rPr>
      <t>星旸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年度第二期定向资产支持票据</t>
    </r>
  </si>
  <si>
    <r>
      <rPr>
        <sz val="11"/>
        <color theme="1"/>
        <rFont val="楷体"/>
        <charset val="134"/>
      </rPr>
      <t>澄晴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年度第五期定向资产支持票据</t>
    </r>
  </si>
  <si>
    <r>
      <rPr>
        <sz val="11"/>
        <color theme="1"/>
        <rFont val="楷体"/>
        <charset val="134"/>
      </rPr>
      <t>惠合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年度第四期定向资产支持票据</t>
    </r>
  </si>
  <si>
    <r>
      <rPr>
        <sz val="11"/>
        <color theme="1"/>
        <rFont val="楷体"/>
        <charset val="134"/>
      </rPr>
      <t>澄煦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年度第五期定向资产支持票据</t>
    </r>
  </si>
  <si>
    <t>花呗</t>
  </si>
  <si>
    <r>
      <rPr>
        <sz val="11"/>
        <color theme="1"/>
        <rFont val="楷体"/>
        <charset val="134"/>
      </rPr>
      <t>华鑫国际信托有限公司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年度惠创第四期定向资产支持票据</t>
    </r>
  </si>
  <si>
    <r>
      <rPr>
        <sz val="11"/>
        <color theme="1"/>
        <rFont val="楷体"/>
        <charset val="134"/>
      </rPr>
      <t>惠裕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年度第四期定向资产支持票据</t>
    </r>
  </si>
  <si>
    <r>
      <rPr>
        <sz val="11"/>
        <color theme="1"/>
        <rFont val="楷体"/>
        <charset val="134"/>
      </rPr>
      <t>北京京东世纪贸易有限公司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年度东裕</t>
    </r>
    <r>
      <rPr>
        <sz val="11"/>
        <color theme="1"/>
        <rFont val="Times New Roman"/>
        <charset val="134"/>
      </rPr>
      <t>11</t>
    </r>
    <r>
      <rPr>
        <sz val="11"/>
        <color theme="1"/>
        <rFont val="楷体"/>
        <charset val="134"/>
      </rPr>
      <t>号叔裕京东白条第一期定向资产支持商业票据</t>
    </r>
  </si>
  <si>
    <r>
      <rPr>
        <sz val="11"/>
        <color theme="1"/>
        <rFont val="楷体"/>
        <charset val="134"/>
      </rPr>
      <t>京东</t>
    </r>
  </si>
  <si>
    <r>
      <rPr>
        <sz val="11"/>
        <color theme="1"/>
        <rFont val="楷体"/>
        <charset val="134"/>
      </rPr>
      <t>中间级别</t>
    </r>
  </si>
  <si>
    <r>
      <rPr>
        <sz val="11"/>
        <color theme="1"/>
        <rFont val="楷体"/>
        <charset val="134"/>
      </rPr>
      <t>华能贵诚信托有限公司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年度扬帆</t>
    </r>
    <r>
      <rPr>
        <sz val="11"/>
        <color theme="1"/>
        <rFont val="Times New Roman"/>
        <charset val="134"/>
      </rPr>
      <t>1</t>
    </r>
    <r>
      <rPr>
        <sz val="11"/>
        <color theme="1"/>
        <rFont val="楷体"/>
        <charset val="134"/>
      </rPr>
      <t>号第一期定向资产支持商业票据</t>
    </r>
  </si>
  <si>
    <r>
      <rPr>
        <sz val="11"/>
        <color theme="1"/>
        <rFont val="楷体"/>
        <charset val="134"/>
      </rPr>
      <t>华能贵诚信托有限公司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年度恒信</t>
    </r>
    <r>
      <rPr>
        <sz val="11"/>
        <color theme="1"/>
        <rFont val="Times New Roman"/>
        <charset val="134"/>
      </rPr>
      <t>9</t>
    </r>
    <r>
      <rPr>
        <sz val="11"/>
        <color theme="1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</si>
  <si>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上海国际信托有限公司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年度惠达第四期定向资产支持票据</t>
    </r>
  </si>
  <si>
    <r>
      <rPr>
        <sz val="11"/>
        <color rgb="FF000000"/>
        <rFont val="楷体"/>
        <charset val="134"/>
      </rPr>
      <t>上海国际信托有限公司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年度惠达第三期定向资产支持票据</t>
    </r>
  </si>
  <si>
    <r>
      <rPr>
        <sz val="11"/>
        <color rgb="FF000000"/>
        <rFont val="楷体"/>
        <charset val="134"/>
      </rPr>
      <t>睿哲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年度第四期定向资产支持票据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</si>
  <si>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年度启赢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楷体"/>
        <charset val="134"/>
      </rPr>
      <t>号第一期京东定向资产支持票据</t>
    </r>
  </si>
  <si>
    <t>企业主贷</t>
  </si>
  <si>
    <t xml:space="preserve"> AA+sf </t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</si>
  <si>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11</t>
    </r>
    <r>
      <rPr>
        <sz val="11"/>
        <color rgb="FF000000"/>
        <rFont val="楷体"/>
        <charset val="134"/>
      </rPr>
      <t>号仲裕京东白条第一期定向资产支持商业票据</t>
    </r>
  </si>
  <si>
    <r>
      <rPr>
        <sz val="11"/>
        <color rgb="FF000000"/>
        <rFont val="楷体"/>
        <charset val="134"/>
      </rPr>
      <t>惠裕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年度第五期定向资产支持票据</t>
    </r>
  </si>
  <si>
    <r>
      <rPr>
        <sz val="11"/>
        <color rgb="FF000000"/>
        <rFont val="楷体"/>
        <charset val="134"/>
      </rPr>
      <t>惠合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年度第五期定向资产支持票据</t>
    </r>
  </si>
  <si>
    <r>
      <rPr>
        <sz val="11"/>
        <color rgb="FF000000"/>
        <rFont val="楷体"/>
        <charset val="134"/>
      </rPr>
      <t>东樾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号春樾第一期定向资产支持商业票据</t>
    </r>
  </si>
  <si>
    <r>
      <rPr>
        <sz val="11"/>
        <color rgb="FF000000"/>
        <rFont val="楷体"/>
        <charset val="134"/>
      </rPr>
      <t>熠顺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年度第三期定向资产支持票据</t>
    </r>
  </si>
  <si>
    <r>
      <rPr>
        <sz val="11"/>
        <color rgb="FF000000"/>
        <rFont val="楷体"/>
        <charset val="134"/>
      </rPr>
      <t>优先</t>
    </r>
    <r>
      <rPr>
        <sz val="11"/>
        <color rgb="FF000000"/>
        <rFont val="Times New Roman"/>
        <charset val="134"/>
      </rPr>
      <t>A3</t>
    </r>
    <r>
      <rPr>
        <sz val="11"/>
        <color rgb="FF000000"/>
        <rFont val="楷体"/>
        <charset val="134"/>
      </rPr>
      <t>级</t>
    </r>
  </si>
  <si>
    <r>
      <rPr>
        <sz val="11"/>
        <color rgb="FF000000"/>
        <rFont val="楷体"/>
        <charset val="134"/>
      </rPr>
      <t>东樾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号夏樾第一期定向资产支持商业票据</t>
    </r>
  </si>
  <si>
    <r>
      <rPr>
        <sz val="11"/>
        <color rgb="FF000000"/>
        <rFont val="楷体"/>
        <charset val="134"/>
      </rPr>
      <t>星琰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年度第三期定向资产支持票据</t>
    </r>
  </si>
  <si>
    <t xml:space="preserve"> - </t>
  </si>
  <si>
    <r>
      <rPr>
        <sz val="11"/>
        <color theme="1"/>
        <rFont val="楷体"/>
        <charset val="134"/>
      </rPr>
      <t>星旸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年度第三期定向资产支持票据</t>
    </r>
  </si>
  <si>
    <r>
      <rPr>
        <sz val="11"/>
        <color theme="1"/>
        <rFont val="楷体"/>
        <charset val="134"/>
      </rPr>
      <t>澄瑞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年度第四期定向资产支持票据</t>
    </r>
  </si>
  <si>
    <r>
      <rPr>
        <sz val="11"/>
        <color theme="1"/>
        <rFont val="楷体"/>
        <charset val="134"/>
      </rPr>
      <t>惠合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年度第六期定向资产支持票据</t>
    </r>
  </si>
  <si>
    <r>
      <rPr>
        <sz val="11"/>
        <color theme="1"/>
        <rFont val="楷体"/>
        <charset val="134"/>
      </rPr>
      <t>澄启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年度第一期定向资产支持票据</t>
    </r>
  </si>
  <si>
    <r>
      <rPr>
        <sz val="11"/>
        <color theme="1"/>
        <rFont val="楷体"/>
        <charset val="134"/>
      </rPr>
      <t>惠裕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年度第七期定向资产支持票据</t>
    </r>
  </si>
  <si>
    <r>
      <rPr>
        <sz val="11"/>
        <color theme="1"/>
        <rFont val="楷体"/>
        <charset val="134"/>
      </rPr>
      <t>惠裕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年度第六期定向资产支持票据</t>
    </r>
  </si>
  <si>
    <r>
      <rPr>
        <sz val="11"/>
        <color theme="1"/>
        <rFont val="楷体"/>
        <charset val="134"/>
      </rPr>
      <t>惠裕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年度第八期定向资产支持票据</t>
    </r>
  </si>
  <si>
    <r>
      <rPr>
        <sz val="11"/>
        <color theme="1"/>
        <rFont val="楷体"/>
        <charset val="134"/>
      </rPr>
      <t>惠裕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年度第九期定向资产支持票据</t>
    </r>
  </si>
  <si>
    <r>
      <rPr>
        <sz val="11"/>
        <color rgb="FF000000"/>
        <rFont val="楷体"/>
        <charset val="134"/>
      </rPr>
      <t>睿宁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年度第六期定向资产支持票据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</si>
  <si>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年度第四期锦新小微定向资产支持票据</t>
    </r>
  </si>
  <si>
    <r>
      <rPr>
        <sz val="11"/>
        <color theme="1"/>
        <rFont val="楷体"/>
        <charset val="134"/>
      </rPr>
      <t>北京京东世纪贸易有限公司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楷体"/>
        <charset val="134"/>
      </rPr>
      <t>年度东裕</t>
    </r>
    <r>
      <rPr>
        <sz val="11"/>
        <color theme="1"/>
        <rFont val="Times New Roman"/>
        <charset val="134"/>
      </rPr>
      <t>4</t>
    </r>
    <r>
      <rPr>
        <sz val="11"/>
        <color theme="1"/>
        <rFont val="楷体"/>
        <charset val="134"/>
      </rPr>
      <t>号仲裕京东白条第一期定向资产支持商业票据</t>
    </r>
  </si>
  <si>
    <r>
      <rPr>
        <sz val="11"/>
        <color theme="1"/>
        <rFont val="楷体"/>
        <charset val="134"/>
      </rPr>
      <t>广东粤财信托有限公司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</si>
  <si>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年度美润二号第二期定向资产支持票据</t>
    </r>
  </si>
  <si>
    <r>
      <rPr>
        <sz val="11"/>
        <color theme="1"/>
        <rFont val="楷体"/>
        <charset val="134"/>
      </rPr>
      <t>生意贷</t>
    </r>
  </si>
  <si>
    <r>
      <rPr>
        <sz val="11"/>
        <color rgb="FF000000"/>
        <rFont val="楷体"/>
        <charset val="134"/>
      </rPr>
      <t>深圳市财付通网络金融小额贷款有限公司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年度和盛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</si>
  <si>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rFont val="楷体"/>
        <charset val="134"/>
      </rPr>
      <t>星旸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年度第四期定向资产支持票据</t>
    </r>
  </si>
  <si>
    <r>
      <rPr>
        <sz val="11"/>
        <rFont val="楷体"/>
        <charset val="134"/>
      </rPr>
      <t>睿晨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年度第二期定向资产支持票据</t>
    </r>
  </si>
  <si>
    <r>
      <rPr>
        <sz val="11"/>
        <rFont val="楷体"/>
        <charset val="134"/>
      </rPr>
      <t>华能贵诚信托有限公司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年度第三期启达定向资产支持票据</t>
    </r>
  </si>
  <si>
    <r>
      <rPr>
        <sz val="11"/>
        <rFont val="楷体"/>
        <charset val="134"/>
      </rPr>
      <t>微众银行</t>
    </r>
  </si>
  <si>
    <r>
      <rPr>
        <sz val="11"/>
        <rFont val="楷体"/>
        <charset val="134"/>
      </rPr>
      <t>微业贷</t>
    </r>
  </si>
  <si>
    <r>
      <rPr>
        <sz val="11"/>
        <rFont val="楷体"/>
        <charset val="134"/>
      </rPr>
      <t>华能贵诚信托有限公司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年度恒信</t>
    </r>
    <r>
      <rPr>
        <sz val="11"/>
        <rFont val="Times New Roman"/>
        <charset val="134"/>
      </rPr>
      <t>10</t>
    </r>
    <r>
      <rPr>
        <sz val="11"/>
        <rFont val="楷体"/>
        <charset val="134"/>
      </rPr>
      <t>号第一期定向资产支持商业票据</t>
    </r>
  </si>
  <si>
    <r>
      <rPr>
        <sz val="11"/>
        <rFont val="楷体"/>
        <charset val="134"/>
      </rPr>
      <t>腾讯</t>
    </r>
  </si>
  <si>
    <r>
      <rPr>
        <sz val="11"/>
        <rFont val="楷体"/>
        <charset val="134"/>
      </rPr>
      <t>锦泽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年度第三期定向资产支持票据</t>
    </r>
  </si>
  <si>
    <r>
      <rPr>
        <sz val="11"/>
        <rFont val="楷体"/>
        <charset val="134"/>
      </rPr>
      <t>新网银行</t>
    </r>
  </si>
  <si>
    <r>
      <rPr>
        <sz val="11"/>
        <rFont val="楷体"/>
        <charset val="134"/>
      </rPr>
      <t>深圳市财付通网络金融小额贷款有限公司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年度第一期和惠定向资产支持票据</t>
    </r>
  </si>
  <si>
    <r>
      <rPr>
        <sz val="11"/>
        <rFont val="楷体"/>
        <charset val="134"/>
      </rPr>
      <t>华能贵诚信托有限公司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年度扬帆</t>
    </r>
    <r>
      <rPr>
        <sz val="11"/>
        <rFont val="Times New Roman"/>
        <charset val="134"/>
      </rPr>
      <t>3</t>
    </r>
    <r>
      <rPr>
        <sz val="11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</si>
  <si>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睿宁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年度第七期定向资产支持票据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</si>
  <si>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年度睿橙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号第一期定向资产支持票据</t>
    </r>
  </si>
  <si>
    <r>
      <rPr>
        <sz val="11"/>
        <color rgb="FF000000"/>
        <rFont val="楷体"/>
        <charset val="134"/>
      </rPr>
      <t>惠合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年度第七期定向资产支持票据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</si>
  <si>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年度扬帆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</si>
  <si>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国投泰康信托有限公司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年度惠行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</si>
  <si>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深圳市财付通网络金融小额贷款有限公司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年度和盛第一期定向资产支持票据</t>
    </r>
  </si>
  <si>
    <r>
      <rPr>
        <sz val="11"/>
        <color rgb="FF000000"/>
        <rFont val="楷体"/>
        <charset val="134"/>
      </rPr>
      <t>上海国际信托有限公司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年度惠达第五期定向资产支持票据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</si>
  <si>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年度美睦第三期定向资产支持票据</t>
    </r>
  </si>
  <si>
    <r>
      <rPr>
        <sz val="11"/>
        <color rgb="FF000000"/>
        <rFont val="楷体"/>
        <charset val="134"/>
      </rPr>
      <t>熠顺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年度第四期定向资产支持票据</t>
    </r>
  </si>
  <si>
    <r>
      <rPr>
        <sz val="11"/>
        <color rgb="FF000000"/>
        <rFont val="楷体"/>
        <charset val="134"/>
      </rPr>
      <t>上海国际信托有限公司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年度惠聚第一期定向资产支持票据</t>
    </r>
  </si>
  <si>
    <r>
      <rPr>
        <sz val="11"/>
        <color rgb="FF000000"/>
        <rFont val="楷体"/>
        <charset val="134"/>
      </rPr>
      <t>上海国际信托有限公司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年度惠达第六期定向资产支持票据</t>
    </r>
  </si>
  <si>
    <r>
      <rPr>
        <sz val="11"/>
        <color rgb="FF000000"/>
        <rFont val="楷体"/>
        <charset val="134"/>
      </rPr>
      <t>澄煦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年度第六期定向资产支持票据</t>
    </r>
  </si>
  <si>
    <r>
      <rPr>
        <sz val="11"/>
        <color rgb="FF000000"/>
        <rFont val="楷体"/>
        <charset val="134"/>
      </rPr>
      <t>东樾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号第一期定向资产支持票据</t>
    </r>
  </si>
  <si>
    <r>
      <rPr>
        <sz val="11"/>
        <color rgb="FF000000"/>
        <rFont val="楷体"/>
        <charset val="134"/>
      </rPr>
      <t>澄瑞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年度第五期定向资产支持票据</t>
    </r>
  </si>
  <si>
    <r>
      <rPr>
        <sz val="11"/>
        <color rgb="FF000000"/>
        <rFont val="楷体"/>
        <charset val="134"/>
      </rPr>
      <t>睿宁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年度第八期定向资产支持票据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</si>
  <si>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11</t>
    </r>
    <r>
      <rPr>
        <sz val="11"/>
        <color rgb="FF000000"/>
        <rFont val="楷体"/>
        <charset val="134"/>
      </rPr>
      <t>号夏裕京东白条第一期定向资产支持商业票据</t>
    </r>
  </si>
  <si>
    <t>北京京东世纪贸易有限公司</t>
  </si>
  <si>
    <t>白条</t>
  </si>
  <si>
    <r>
      <rPr>
        <sz val="11"/>
        <color rgb="FF000000"/>
        <rFont val="楷体"/>
        <charset val="134"/>
      </rPr>
      <t>华鑫国际信托有限公司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年度美满华年第四期定向资产支持票据</t>
    </r>
  </si>
  <si>
    <r>
      <rPr>
        <sz val="10"/>
        <rFont val="楷体"/>
        <charset val="134"/>
      </rPr>
      <t>星旸</t>
    </r>
    <r>
      <rPr>
        <sz val="10"/>
        <rFont val="Times New Roman"/>
        <charset val="134"/>
      </rPr>
      <t>2026</t>
    </r>
    <r>
      <rPr>
        <sz val="10"/>
        <rFont val="楷体"/>
        <charset val="134"/>
      </rPr>
      <t>年度第五期定向资产支持票据</t>
    </r>
  </si>
  <si>
    <r>
      <rPr>
        <sz val="10"/>
        <rFont val="楷体"/>
        <charset val="134"/>
      </rPr>
      <t>华鑫国际信托有限公司</t>
    </r>
  </si>
  <si>
    <r>
      <rPr>
        <sz val="10"/>
        <rFont val="楷体"/>
        <charset val="134"/>
      </rPr>
      <t>蚂蚁</t>
    </r>
  </si>
  <si>
    <r>
      <rPr>
        <sz val="10"/>
        <rFont val="楷体"/>
        <charset val="134"/>
      </rPr>
      <t>东樾</t>
    </r>
    <r>
      <rPr>
        <sz val="10"/>
        <rFont val="Times New Roman"/>
        <charset val="134"/>
      </rPr>
      <t>2026</t>
    </r>
    <r>
      <rPr>
        <sz val="10"/>
        <rFont val="楷体"/>
        <charset val="134"/>
      </rPr>
      <t>年度</t>
    </r>
    <r>
      <rPr>
        <sz val="10"/>
        <rFont val="Times New Roman"/>
        <charset val="134"/>
      </rPr>
      <t>4</t>
    </r>
    <r>
      <rPr>
        <sz val="10"/>
        <rFont val="楷体"/>
        <charset val="134"/>
      </rPr>
      <t>号第二期定向资产支持票据</t>
    </r>
  </si>
  <si>
    <r>
      <rPr>
        <sz val="10"/>
        <rFont val="楷体"/>
        <charset val="134"/>
      </rPr>
      <t>京东</t>
    </r>
  </si>
  <si>
    <r>
      <rPr>
        <sz val="10"/>
        <rFont val="楷体"/>
        <charset val="134"/>
      </rPr>
      <t>华能贵诚信托有限公司</t>
    </r>
    <r>
      <rPr>
        <sz val="10"/>
        <rFont val="Times New Roman"/>
        <charset val="134"/>
      </rPr>
      <t>2026</t>
    </r>
    <r>
      <rPr>
        <sz val="10"/>
        <rFont val="楷体"/>
        <charset val="134"/>
      </rPr>
      <t>年度恒信</t>
    </r>
    <r>
      <rPr>
        <sz val="10"/>
        <rFont val="Times New Roman"/>
        <charset val="134"/>
      </rPr>
      <t>11</t>
    </r>
    <r>
      <rPr>
        <sz val="10"/>
        <rFont val="楷体"/>
        <charset val="134"/>
      </rPr>
      <t>号第一期定向资产支持商业票据</t>
    </r>
  </si>
  <si>
    <r>
      <rPr>
        <sz val="10"/>
        <rFont val="楷体"/>
        <charset val="134"/>
      </rPr>
      <t>华能贵诚信托有限公司</t>
    </r>
  </si>
  <si>
    <r>
      <rPr>
        <sz val="10"/>
        <rFont val="楷体"/>
        <charset val="134"/>
      </rPr>
      <t>国投泰康信托有限公司</t>
    </r>
  </si>
  <si>
    <r>
      <rPr>
        <sz val="10"/>
        <rFont val="楷体"/>
        <charset val="134"/>
      </rPr>
      <t>腾讯</t>
    </r>
  </si>
  <si>
    <r>
      <rPr>
        <sz val="10"/>
        <rFont val="楷体"/>
        <charset val="134"/>
      </rPr>
      <t>北京京东世纪贸易有限公司</t>
    </r>
    <r>
      <rPr>
        <sz val="10"/>
        <rFont val="Times New Roman"/>
        <charset val="134"/>
      </rPr>
      <t>2026</t>
    </r>
    <r>
      <rPr>
        <sz val="10"/>
        <rFont val="楷体"/>
        <charset val="134"/>
      </rPr>
      <t>年度东裕</t>
    </r>
    <r>
      <rPr>
        <sz val="10"/>
        <rFont val="Times New Roman"/>
        <charset val="134"/>
      </rPr>
      <t>11</t>
    </r>
    <r>
      <rPr>
        <sz val="10"/>
        <rFont val="楷体"/>
        <charset val="134"/>
      </rPr>
      <t>号季裕京东白条第一期定向资产支持商业票据</t>
    </r>
  </si>
  <si>
    <r>
      <rPr>
        <sz val="10"/>
        <rFont val="楷体"/>
        <charset val="134"/>
      </rPr>
      <t>北京京东世纪贸易有限公司</t>
    </r>
  </si>
  <si>
    <r>
      <rPr>
        <sz val="10"/>
        <rFont val="楷体"/>
        <charset val="134"/>
      </rPr>
      <t>中信信托有限责任公司</t>
    </r>
  </si>
  <si>
    <r>
      <rPr>
        <sz val="10"/>
        <rFont val="楷体"/>
        <charset val="134"/>
      </rPr>
      <t>惠裕</t>
    </r>
    <r>
      <rPr>
        <sz val="10"/>
        <rFont val="Times New Roman"/>
        <charset val="134"/>
      </rPr>
      <t>2026</t>
    </r>
    <r>
      <rPr>
        <sz val="10"/>
        <rFont val="楷体"/>
        <charset val="134"/>
      </rPr>
      <t>年度第十期定向资产支持票据</t>
    </r>
  </si>
  <si>
    <r>
      <rPr>
        <sz val="10"/>
        <rFont val="楷体"/>
        <charset val="134"/>
      </rPr>
      <t>网商银行</t>
    </r>
  </si>
  <si>
    <r>
      <rPr>
        <sz val="10"/>
        <rFont val="楷体"/>
        <charset val="134"/>
      </rPr>
      <t>星琰</t>
    </r>
    <r>
      <rPr>
        <sz val="10"/>
        <rFont val="Times New Roman"/>
        <charset val="134"/>
      </rPr>
      <t>2026</t>
    </r>
    <r>
      <rPr>
        <sz val="10"/>
        <rFont val="楷体"/>
        <charset val="134"/>
      </rPr>
      <t>年度第四期定向资产支持票据</t>
    </r>
  </si>
  <si>
    <r>
      <rPr>
        <sz val="10"/>
        <rFont val="楷体"/>
        <charset val="134"/>
      </rPr>
      <t>上海国际信托有限公司</t>
    </r>
  </si>
  <si>
    <r>
      <rPr>
        <sz val="10"/>
        <rFont val="楷体"/>
        <charset val="134"/>
      </rPr>
      <t>华鑫国际信托有限公司</t>
    </r>
    <r>
      <rPr>
        <sz val="10"/>
        <rFont val="Times New Roman"/>
        <charset val="134"/>
      </rPr>
      <t>2026</t>
    </r>
    <r>
      <rPr>
        <sz val="10"/>
        <rFont val="楷体"/>
        <charset val="134"/>
      </rPr>
      <t>年度惠创第五期定向资产支持票据</t>
    </r>
  </si>
  <si>
    <r>
      <rPr>
        <sz val="10"/>
        <rFont val="楷体"/>
        <charset val="134"/>
      </rPr>
      <t>深圳市财付通网络金融小额贷款有限公司</t>
    </r>
    <r>
      <rPr>
        <sz val="10"/>
        <rFont val="Times New Roman"/>
        <charset val="134"/>
      </rPr>
      <t>2026</t>
    </r>
    <r>
      <rPr>
        <sz val="10"/>
        <rFont val="楷体"/>
        <charset val="134"/>
      </rPr>
      <t>年度和盛</t>
    </r>
    <r>
      <rPr>
        <sz val="10"/>
        <rFont val="Times New Roman"/>
        <charset val="134"/>
      </rPr>
      <t>10</t>
    </r>
    <r>
      <rPr>
        <sz val="10"/>
        <rFont val="楷体"/>
        <charset val="134"/>
      </rPr>
      <t>号第一期定向资产支持商业票据</t>
    </r>
  </si>
  <si>
    <r>
      <rPr>
        <sz val="10"/>
        <rFont val="楷体"/>
        <charset val="134"/>
      </rPr>
      <t>深圳市财付通网络金融小额贷款有限公司</t>
    </r>
  </si>
  <si>
    <r>
      <rPr>
        <sz val="10"/>
        <rFont val="楷体"/>
        <charset val="134"/>
      </rPr>
      <t>星琰</t>
    </r>
    <r>
      <rPr>
        <sz val="10"/>
        <rFont val="Times New Roman"/>
        <charset val="134"/>
      </rPr>
      <t>2026</t>
    </r>
    <r>
      <rPr>
        <sz val="10"/>
        <rFont val="楷体"/>
        <charset val="134"/>
      </rPr>
      <t>年度第五期定向资产支持票据</t>
    </r>
  </si>
  <si>
    <r>
      <rPr>
        <sz val="11"/>
        <rFont val="楷体"/>
        <charset val="134"/>
      </rPr>
      <t>惠臻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年度第四期定向资产支持票据</t>
    </r>
  </si>
  <si>
    <r>
      <rPr>
        <sz val="11"/>
        <rFont val="楷体"/>
        <charset val="134"/>
      </rPr>
      <t>网商银行</t>
    </r>
  </si>
  <si>
    <r>
      <rPr>
        <sz val="11"/>
        <rFont val="楷体"/>
        <charset val="134"/>
      </rPr>
      <t>中信信托有限责任公司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年度悦涵第一期定向资产支持票据</t>
    </r>
  </si>
  <si>
    <r>
      <rPr>
        <sz val="11"/>
        <rFont val="楷体"/>
        <charset val="134"/>
      </rPr>
      <t>星琰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年度第六期定向资产支持票据</t>
    </r>
  </si>
  <si>
    <r>
      <rPr>
        <sz val="11"/>
        <rFont val="楷体"/>
        <charset val="134"/>
      </rPr>
      <t>华能贵诚信托有限公司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年度第三期启全定向资产支持票据</t>
    </r>
  </si>
  <si>
    <r>
      <rPr>
        <sz val="11"/>
        <rFont val="楷体"/>
        <charset val="134"/>
      </rPr>
      <t>惠臻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年度第三期定向资产支持票据</t>
    </r>
  </si>
  <si>
    <r>
      <rPr>
        <sz val="11"/>
        <rFont val="楷体"/>
        <charset val="134"/>
      </rPr>
      <t>中信信托有限责任公司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年度芬郁第三期定向资产支持票据</t>
    </r>
  </si>
  <si>
    <r>
      <rPr>
        <sz val="11"/>
        <rFont val="楷体"/>
        <charset val="134"/>
      </rPr>
      <t>中国对外经济贸易信托有限公司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年度第五期锦新小微定向资产支持票据</t>
    </r>
  </si>
  <si>
    <r>
      <rPr>
        <sz val="11"/>
        <rFont val="楷体"/>
        <charset val="134"/>
      </rPr>
      <t>中国对外经济贸易信托有限公司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年度奇信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号第三期定向资产支持票据</t>
    </r>
    <r>
      <rPr>
        <sz val="11"/>
        <rFont val="Times New Roman"/>
        <charset val="134"/>
      </rPr>
      <t>(</t>
    </r>
    <r>
      <rPr>
        <sz val="11"/>
        <rFont val="楷体"/>
        <charset val="134"/>
      </rPr>
      <t>债券通</t>
    </r>
    <r>
      <rPr>
        <sz val="11"/>
        <rFont val="Times New Roman"/>
        <charset val="134"/>
      </rPr>
      <t>)</t>
    </r>
  </si>
  <si>
    <r>
      <rPr>
        <sz val="11"/>
        <rFont val="楷体"/>
        <charset val="134"/>
      </rPr>
      <t>奇富科技</t>
    </r>
  </si>
  <si>
    <r>
      <rPr>
        <sz val="11"/>
        <rFont val="楷体"/>
        <charset val="134"/>
      </rPr>
      <t>惠合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年度第九期定向资产支持票据</t>
    </r>
  </si>
  <si>
    <r>
      <rPr>
        <sz val="11"/>
        <rFont val="楷体"/>
        <charset val="134"/>
      </rPr>
      <t>惠臻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年度第六期定向资产支持票据</t>
    </r>
  </si>
  <si>
    <r>
      <rPr>
        <sz val="11"/>
        <rFont val="楷体"/>
        <charset val="134"/>
      </rPr>
      <t>惠臻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年度第七期定向资产支持票据</t>
    </r>
  </si>
  <si>
    <r>
      <rPr>
        <sz val="11"/>
        <rFont val="楷体"/>
        <charset val="134"/>
      </rPr>
      <t>北京京东世纪贸易有限公司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年度东裕</t>
    </r>
    <r>
      <rPr>
        <sz val="11"/>
        <rFont val="Times New Roman"/>
        <charset val="134"/>
      </rPr>
      <t>9</t>
    </r>
    <r>
      <rPr>
        <sz val="11"/>
        <rFont val="楷体"/>
        <charset val="134"/>
      </rPr>
      <t>号京东白条第一期定向资产支持票据</t>
    </r>
  </si>
  <si>
    <r>
      <rPr>
        <sz val="11"/>
        <rFont val="楷体"/>
        <charset val="134"/>
      </rPr>
      <t>远鸿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年度第三期定向资产支持票据</t>
    </r>
  </si>
  <si>
    <r>
      <rPr>
        <sz val="11"/>
        <rFont val="楷体"/>
        <charset val="134"/>
      </rPr>
      <t>远鸿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年度第二期定向资产支持票据</t>
    </r>
  </si>
  <si>
    <r>
      <rPr>
        <sz val="11"/>
        <rFont val="楷体"/>
        <charset val="134"/>
      </rPr>
      <t>华能贵诚信托有限公司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年度扬帆</t>
    </r>
    <r>
      <rPr>
        <sz val="11"/>
        <rFont val="Times New Roman"/>
        <charset val="134"/>
      </rPr>
      <t>4</t>
    </r>
    <r>
      <rPr>
        <sz val="11"/>
        <rFont val="楷体"/>
        <charset val="134"/>
      </rPr>
      <t>号第一期定向资产支持商业票据</t>
    </r>
  </si>
  <si>
    <r>
      <rPr>
        <sz val="11"/>
        <rFont val="楷体"/>
        <charset val="134"/>
      </rPr>
      <t>惠合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年度第八期定向资产支持票据</t>
    </r>
  </si>
  <si>
    <r>
      <rPr>
        <sz val="11"/>
        <rFont val="楷体"/>
        <charset val="134"/>
      </rPr>
      <t>华能贵诚信托有限公司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年度扬帆</t>
    </r>
    <r>
      <rPr>
        <sz val="11"/>
        <rFont val="Times New Roman"/>
        <charset val="134"/>
      </rPr>
      <t>5</t>
    </r>
    <r>
      <rPr>
        <sz val="11"/>
        <rFont val="楷体"/>
        <charset val="134"/>
      </rPr>
      <t>号第一期定向资产支持商业票据</t>
    </r>
  </si>
  <si>
    <r>
      <rPr>
        <sz val="11"/>
        <rFont val="楷体"/>
        <charset val="134"/>
      </rPr>
      <t>澄煦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年度第七期定向资产支持票据</t>
    </r>
  </si>
  <si>
    <r>
      <rPr>
        <sz val="11"/>
        <rFont val="楷体"/>
        <charset val="134"/>
      </rPr>
      <t>远鸿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年度第一期定向资产支持票据</t>
    </r>
  </si>
  <si>
    <r>
      <rPr>
        <sz val="11"/>
        <rFont val="楷体"/>
        <charset val="134"/>
      </rPr>
      <t>国投泰康信托有限公司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年度惠行</t>
    </r>
    <r>
      <rPr>
        <sz val="11"/>
        <rFont val="Times New Roman"/>
        <charset val="134"/>
      </rPr>
      <t>6</t>
    </r>
    <r>
      <rPr>
        <sz val="11"/>
        <rFont val="楷体"/>
        <charset val="134"/>
      </rPr>
      <t>号第一期定向资产支持商业票据</t>
    </r>
  </si>
  <si>
    <r>
      <rPr>
        <sz val="11"/>
        <rFont val="楷体"/>
        <charset val="134"/>
      </rPr>
      <t>中信信托有限责任公司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年度悦涵第三期定向资产支持票据</t>
    </r>
  </si>
  <si>
    <r>
      <rPr>
        <sz val="11"/>
        <rFont val="楷体"/>
        <charset val="134"/>
      </rPr>
      <t>中信信托有限责任公司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年度悦涵第二期定向资产支持票据</t>
    </r>
  </si>
  <si>
    <r>
      <rPr>
        <sz val="11"/>
        <rFont val="楷体"/>
        <charset val="134"/>
      </rPr>
      <t>惠臻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年度第五期定向资产支持票据</t>
    </r>
  </si>
  <si>
    <r>
      <rPr>
        <sz val="11"/>
        <rFont val="楷体"/>
        <charset val="134"/>
      </rPr>
      <t>华能贵诚信托有限公司</t>
    </r>
    <r>
      <rPr>
        <sz val="11"/>
        <rFont val="Times New Roman"/>
        <charset val="134"/>
      </rPr>
      <t>2026</t>
    </r>
    <r>
      <rPr>
        <sz val="11"/>
        <rFont val="楷体"/>
        <charset val="134"/>
      </rPr>
      <t>年度睿橙</t>
    </r>
    <r>
      <rPr>
        <sz val="11"/>
        <rFont val="Times New Roman"/>
        <charset val="134"/>
      </rPr>
      <t>1</t>
    </r>
    <r>
      <rPr>
        <sz val="11"/>
        <rFont val="楷体"/>
        <charset val="134"/>
      </rPr>
      <t>号第二期定向资产支持票据</t>
    </r>
  </si>
  <si>
    <r>
      <rPr>
        <sz val="10"/>
        <color rgb="FF000000"/>
        <rFont val="楷体"/>
        <charset val="134"/>
      </rPr>
      <t>睿新</t>
    </r>
    <r>
      <rPr>
        <sz val="10"/>
        <color rgb="FF000000"/>
        <rFont val="Times New Roman"/>
        <charset val="134"/>
      </rPr>
      <t>2026</t>
    </r>
    <r>
      <rPr>
        <sz val="10"/>
        <color rgb="FF000000"/>
        <rFont val="楷体"/>
        <charset val="134"/>
      </rPr>
      <t>年度第二期定向资产支持票据</t>
    </r>
  </si>
  <si>
    <r>
      <rPr>
        <sz val="10"/>
        <color rgb="FF000000"/>
        <rFont val="楷体"/>
        <charset val="134"/>
      </rPr>
      <t>上海国际信托有限公司</t>
    </r>
  </si>
  <si>
    <r>
      <rPr>
        <sz val="10"/>
        <color rgb="FF000000"/>
        <rFont val="楷体"/>
        <charset val="134"/>
      </rPr>
      <t>蚂蚁</t>
    </r>
  </si>
  <si>
    <r>
      <rPr>
        <sz val="10"/>
        <color rgb="FF000000"/>
        <rFont val="楷体"/>
        <charset val="134"/>
      </rPr>
      <t>北京京东世纪贸易有限公司</t>
    </r>
    <r>
      <rPr>
        <sz val="10"/>
        <color rgb="FF000000"/>
        <rFont val="Times New Roman"/>
        <charset val="134"/>
      </rPr>
      <t>2026</t>
    </r>
    <r>
      <rPr>
        <sz val="10"/>
        <color rgb="FF000000"/>
        <rFont val="楷体"/>
        <charset val="134"/>
      </rPr>
      <t>年度东裕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楷体"/>
        <charset val="134"/>
      </rPr>
      <t>号伯裕京东白条第一期定向资产支持商业票据</t>
    </r>
  </si>
  <si>
    <r>
      <rPr>
        <sz val="10"/>
        <color rgb="FF000000"/>
        <rFont val="楷体"/>
        <charset val="134"/>
      </rPr>
      <t>北京京东世纪贸易有限公司</t>
    </r>
  </si>
  <si>
    <r>
      <rPr>
        <sz val="10"/>
        <color rgb="FF000000"/>
        <rFont val="楷体"/>
        <charset val="134"/>
      </rPr>
      <t>广东粤财信托有限公司</t>
    </r>
  </si>
  <si>
    <r>
      <rPr>
        <sz val="10"/>
        <color rgb="FF000000"/>
        <rFont val="楷体"/>
        <charset val="134"/>
      </rPr>
      <t>京东</t>
    </r>
  </si>
  <si>
    <r>
      <rPr>
        <sz val="10"/>
        <color rgb="FF000000"/>
        <rFont val="楷体"/>
        <charset val="134"/>
      </rPr>
      <t>白条</t>
    </r>
  </si>
  <si>
    <r>
      <rPr>
        <sz val="10"/>
        <color rgb="FF000000"/>
        <rFont val="楷体"/>
        <charset val="134"/>
      </rPr>
      <t>北京京东世纪贸易有限公司</t>
    </r>
    <r>
      <rPr>
        <sz val="10"/>
        <color rgb="FF000000"/>
        <rFont val="Times New Roman"/>
        <charset val="134"/>
      </rPr>
      <t>2026</t>
    </r>
    <r>
      <rPr>
        <sz val="10"/>
        <color rgb="FF000000"/>
        <rFont val="楷体"/>
        <charset val="134"/>
      </rPr>
      <t>年度东裕</t>
    </r>
    <r>
      <rPr>
        <sz val="10"/>
        <color rgb="FF000000"/>
        <rFont val="Times New Roman"/>
        <charset val="134"/>
      </rPr>
      <t>9</t>
    </r>
    <r>
      <rPr>
        <sz val="10"/>
        <color rgb="FF000000"/>
        <rFont val="楷体"/>
        <charset val="134"/>
      </rPr>
      <t>号京东白条第二期定向资产支持票据</t>
    </r>
  </si>
  <si>
    <r>
      <rPr>
        <sz val="10"/>
        <color rgb="FF000000"/>
        <rFont val="楷体"/>
        <charset val="134"/>
      </rPr>
      <t>中信信托有限责任公司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</si>
  <si>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号京东白条第三期定向资产支持票据</t>
    </r>
  </si>
  <si>
    <r>
      <rPr>
        <sz val="11"/>
        <color rgb="FF000000"/>
        <rFont val="楷体"/>
        <charset val="134"/>
      </rPr>
      <t>惠臻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年度第九期定向资产支持票据</t>
    </r>
  </si>
  <si>
    <r>
      <rPr>
        <sz val="11"/>
        <color rgb="FF000000"/>
        <rFont val="楷体"/>
        <charset val="134"/>
      </rPr>
      <t>惠臻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年度第八期定向资产支持票据</t>
    </r>
  </si>
  <si>
    <r>
      <rPr>
        <sz val="11"/>
        <color rgb="FF000000"/>
        <rFont val="楷体"/>
        <charset val="134"/>
      </rPr>
      <t>中信信托有限责任公司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年度悦涵第五期定向资产支持票据</t>
    </r>
  </si>
  <si>
    <r>
      <rPr>
        <sz val="11"/>
        <color rgb="FF000000"/>
        <rFont val="楷体"/>
        <charset val="134"/>
      </rPr>
      <t>中信信托有限责任公司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年度悦涵第四期定向资产支持票据</t>
    </r>
  </si>
  <si>
    <r>
      <rPr>
        <sz val="11"/>
        <color rgb="FF000000"/>
        <rFont val="楷体"/>
        <charset val="134"/>
      </rPr>
      <t>中信信托有限责任公司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年度芬郁第五期定向资产支持票据</t>
    </r>
  </si>
  <si>
    <r>
      <rPr>
        <sz val="11"/>
        <color rgb="FF000000"/>
        <rFont val="楷体"/>
        <charset val="134"/>
      </rPr>
      <t>中信信托有限责任公司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年度芬郁第四期定向资产支持票据</t>
    </r>
  </si>
  <si>
    <r>
      <rPr>
        <sz val="11"/>
        <color rgb="FF000000"/>
        <rFont val="楷体"/>
        <charset val="134"/>
      </rPr>
      <t>东樾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楷体"/>
        <charset val="134"/>
      </rPr>
      <t>号第三期定向资产支持票据</t>
    </r>
  </si>
  <si>
    <r>
      <rPr>
        <sz val="11"/>
        <color rgb="FF000000"/>
        <rFont val="楷体"/>
        <charset val="134"/>
      </rPr>
      <t>星琰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年度第七期定向资产支持票据</t>
    </r>
  </si>
  <si>
    <r>
      <rPr>
        <sz val="11"/>
        <color rgb="FF000000"/>
        <rFont val="楷体"/>
        <charset val="134"/>
      </rPr>
      <t>睿宁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年度第九期定向资产支持票据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</si>
  <si>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年度第四期启达定向资产支持票据</t>
    </r>
  </si>
  <si>
    <t>1.65</t>
  </si>
  <si>
    <t>1.70</t>
  </si>
  <si>
    <t>1.90</t>
  </si>
  <si>
    <r>
      <rPr>
        <sz val="11"/>
        <color rgb="FF000000"/>
        <rFont val="楷体"/>
        <charset val="134"/>
      </rPr>
      <t>惠臻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年度第十期定向资产支持票据</t>
    </r>
  </si>
  <si>
    <t>1.73</t>
  </si>
  <si>
    <t>1.89</t>
  </si>
  <si>
    <r>
      <rPr>
        <sz val="11"/>
        <color rgb="FF000000"/>
        <rFont val="楷体"/>
        <charset val="134"/>
      </rPr>
      <t>睿新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年度第三期定向资产支持票据</t>
    </r>
  </si>
  <si>
    <t>1.61</t>
  </si>
  <si>
    <t>1.75</t>
  </si>
  <si>
    <r>
      <rPr>
        <sz val="11"/>
        <color rgb="FF000000"/>
        <rFont val="楷体"/>
        <charset val="134"/>
      </rPr>
      <t>睿新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年度第四期定向资产支持票据</t>
    </r>
  </si>
  <si>
    <t>1.60</t>
  </si>
  <si>
    <r>
      <rPr>
        <sz val="11"/>
        <color rgb="FF000000"/>
        <rFont val="楷体"/>
        <charset val="134"/>
      </rPr>
      <t>星琰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年度第八期定向资产支持票据</t>
    </r>
  </si>
  <si>
    <r>
      <rPr>
        <sz val="11"/>
        <color rgb="FF000000"/>
        <rFont val="楷体"/>
        <charset val="134"/>
      </rPr>
      <t>澄瑞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年度第六期定向资产支持票据</t>
    </r>
  </si>
  <si>
    <r>
      <rPr>
        <sz val="11"/>
        <color rgb="FF000000"/>
        <rFont val="楷体"/>
        <charset val="134"/>
      </rPr>
      <t>澄瑞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年度第七期定向资产支持票据</t>
    </r>
  </si>
  <si>
    <r>
      <rPr>
        <sz val="11"/>
        <color rgb="FF000000"/>
        <rFont val="楷体"/>
        <charset val="134"/>
      </rPr>
      <t>中国对外经济贸易信托有限公司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年度第一期满奕定向资产支持票据</t>
    </r>
  </si>
  <si>
    <r>
      <rPr>
        <sz val="11"/>
        <color rgb="FF000000"/>
        <rFont val="楷体"/>
        <charset val="134"/>
      </rPr>
      <t>深圳市财付通网络金融小额贷款有限公司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年度和盛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</si>
  <si>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远鸿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年度第四期定向资产支持票据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</si>
  <si>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楷体"/>
        <charset val="134"/>
      </rPr>
      <t>号京东白条第五期定向资产支持票据</t>
    </r>
  </si>
  <si>
    <t>1.76</t>
  </si>
  <si>
    <t>1.87</t>
  </si>
  <si>
    <t>3.20</t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</si>
  <si>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年度恒信</t>
    </r>
    <r>
      <rPr>
        <sz val="11"/>
        <color rgb="FF000000"/>
        <rFont val="Times New Roman"/>
        <charset val="134"/>
      </rPr>
      <t>14</t>
    </r>
    <r>
      <rPr>
        <sz val="11"/>
        <color rgb="FF000000"/>
        <rFont val="楷体"/>
        <charset val="134"/>
      </rPr>
      <t>号第一期定向资产支持商业票据</t>
    </r>
  </si>
  <si>
    <t>2026-09-28</t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</si>
  <si>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年度扬帆</t>
    </r>
    <r>
      <rPr>
        <sz val="11"/>
        <color rgb="FF000000"/>
        <rFont val="Times New Roman"/>
        <charset val="134"/>
      </rPr>
      <t>6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</si>
  <si>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年度扬帆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</si>
  <si>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国投泰康信托有限公司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年度致远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楷体"/>
        <charset val="134"/>
      </rPr>
      <t>号第一期定向资产支持商业票据</t>
    </r>
  </si>
  <si>
    <t>1.59</t>
  </si>
  <si>
    <r>
      <rPr>
        <sz val="11"/>
        <color rgb="FF000000"/>
        <rFont val="楷体"/>
        <charset val="134"/>
      </rPr>
      <t>国投泰康信托有限公司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年度致远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号第一期定向资产支持商业票据</t>
    </r>
  </si>
  <si>
    <r>
      <rPr>
        <sz val="11"/>
        <color rgb="FF000000"/>
        <rFont val="楷体"/>
        <charset val="134"/>
      </rPr>
      <t>惠锦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</si>
  <si>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t>1.84</t>
  </si>
  <si>
    <r>
      <rPr>
        <sz val="11"/>
        <color rgb="FF000000"/>
        <rFont val="楷体"/>
        <charset val="134"/>
      </rPr>
      <t>睿哲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年度第五期定向资产支持票据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</si>
  <si>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楷体"/>
        <charset val="134"/>
      </rPr>
      <t>号京东白条第一期定向资产支持票据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</si>
  <si>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9</t>
    </r>
    <r>
      <rPr>
        <sz val="11"/>
        <color rgb="FF000000"/>
        <rFont val="楷体"/>
        <charset val="134"/>
      </rPr>
      <t>号京东白条第四期定向资产支持票据</t>
    </r>
  </si>
  <si>
    <r>
      <rPr>
        <sz val="11"/>
        <color rgb="FF000000"/>
        <rFont val="楷体"/>
        <charset val="134"/>
      </rPr>
      <t>中信信托有限责任公司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年度悦涵第六期定向资产支持票据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</si>
  <si>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年度浩澜第三期定向资产支持票据</t>
    </r>
  </si>
  <si>
    <r>
      <rPr>
        <sz val="11"/>
        <color rgb="FF000000"/>
        <rFont val="楷体"/>
        <charset val="134"/>
      </rPr>
      <t>中信信托有限责任公司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年度芬郁第六期定向资产支持票据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</si>
  <si>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楷体"/>
        <charset val="134"/>
      </rPr>
      <t>号京东白条第三期定向资产支持票据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</si>
  <si>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楷体"/>
        <charset val="134"/>
      </rPr>
      <t>号京东白条第四期定向资产支持票据</t>
    </r>
  </si>
  <si>
    <r>
      <rPr>
        <sz val="11"/>
        <color rgb="FF000000"/>
        <rFont val="楷体"/>
        <charset val="134"/>
      </rPr>
      <t>惠富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</si>
  <si>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楷体"/>
        <charset val="134"/>
      </rPr>
      <t>号京东白条第二期定向资产支持票据</t>
    </r>
  </si>
  <si>
    <r>
      <rPr>
        <sz val="11"/>
        <color rgb="FF000000"/>
        <rFont val="楷体"/>
        <charset val="134"/>
      </rPr>
      <t>深圳市财付通网络金融小额贷款有限公司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年度和盛第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楷体"/>
        <charset val="134"/>
      </rPr>
      <t>期定向资产支持票据</t>
    </r>
  </si>
  <si>
    <r>
      <rPr>
        <sz val="11"/>
        <color rgb="FF000000"/>
        <rFont val="楷体"/>
        <charset val="134"/>
      </rPr>
      <t>熠顺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年度第五期定向资产支持票据</t>
    </r>
  </si>
  <si>
    <r>
      <rPr>
        <sz val="11"/>
        <color rgb="FF000000"/>
        <rFont val="楷体"/>
        <charset val="134"/>
      </rPr>
      <t>惠利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</si>
  <si>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星栀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</si>
  <si>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t>2026/10/21</t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</si>
  <si>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号京东白条第一期定向资产支持票据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</si>
  <si>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号京东白条第二期定向资产支持票据</t>
    </r>
  </si>
  <si>
    <r>
      <rPr>
        <sz val="11"/>
        <color rgb="FF000000"/>
        <rFont val="楷体"/>
        <charset val="134"/>
      </rPr>
      <t>星旸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年度第六期定向资产支持票据</t>
    </r>
  </si>
  <si>
    <r>
      <rPr>
        <sz val="11"/>
        <color rgb="FF000000"/>
        <rFont val="楷体"/>
        <charset val="134"/>
      </rPr>
      <t>澄启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年度第二期定向资产支持票据</t>
    </r>
  </si>
  <si>
    <r>
      <rPr>
        <sz val="11"/>
        <color rgb="FF000000"/>
        <rFont val="楷体"/>
        <charset val="134"/>
      </rPr>
      <t>睿之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年度第一期定向资产支持票据</t>
    </r>
  </si>
  <si>
    <r>
      <rPr>
        <sz val="11"/>
        <color rgb="FF000000"/>
        <rFont val="楷体"/>
        <charset val="134"/>
      </rPr>
      <t>北京京东世纪贸易有限公司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年度东裕</t>
    </r>
    <r>
      <rPr>
        <sz val="11"/>
        <color rgb="FF000000"/>
        <rFont val="Times New Roman"/>
        <charset val="134"/>
      </rPr>
      <t>8</t>
    </r>
    <r>
      <rPr>
        <sz val="11"/>
        <color rgb="FF000000"/>
        <rFont val="楷体"/>
        <charset val="134"/>
      </rPr>
      <t>号京东白条第三期定向资产支持票据</t>
    </r>
  </si>
  <si>
    <r>
      <rPr>
        <sz val="11"/>
        <color rgb="FF000000"/>
        <rFont val="楷体"/>
        <charset val="134"/>
      </rPr>
      <t>华能贵诚信托有限公司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年度第四期启全定向资产支持票据</t>
    </r>
  </si>
  <si>
    <r>
      <rPr>
        <sz val="11"/>
        <color rgb="FF000000"/>
        <rFont val="楷体"/>
        <charset val="134"/>
      </rPr>
      <t>惠富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年度第二期定向资产支持票据</t>
    </r>
  </si>
  <si>
    <r>
      <rPr>
        <sz val="11"/>
        <color rgb="FF000000"/>
        <rFont val="楷体"/>
        <charset val="134"/>
      </rPr>
      <t>澄启</t>
    </r>
    <r>
      <rPr>
        <sz val="11"/>
        <color rgb="FF000000"/>
        <rFont val="Times New Roman"/>
        <charset val="134"/>
      </rPr>
      <t>2026</t>
    </r>
    <r>
      <rPr>
        <sz val="11"/>
        <color rgb="FF000000"/>
        <rFont val="楷体"/>
        <charset val="134"/>
      </rPr>
      <t>年度第三期定向资产支持票据</t>
    </r>
  </si>
  <si>
    <r>
      <rPr>
        <b/>
        <sz val="9"/>
        <rFont val="楷体"/>
        <charset val="134"/>
      </rPr>
      <t>设立时间</t>
    </r>
  </si>
  <si>
    <t>专项计划名称</t>
  </si>
  <si>
    <t>交易所</t>
  </si>
  <si>
    <t>规模(亿元)</t>
  </si>
  <si>
    <t>原始权益人</t>
  </si>
  <si>
    <t>计划管理人</t>
  </si>
  <si>
    <r>
      <rPr>
        <b/>
        <sz val="9"/>
        <rFont val="楷体"/>
        <charset val="134"/>
      </rPr>
      <t>分层</t>
    </r>
  </si>
  <si>
    <t>期限</t>
  </si>
  <si>
    <r>
      <rPr>
        <b/>
        <sz val="9"/>
        <rFont val="楷体"/>
        <charset val="134"/>
      </rPr>
      <t>票面利率（</t>
    </r>
    <r>
      <rPr>
        <b/>
        <sz val="9"/>
        <rFont val="楷体"/>
        <charset val="134"/>
      </rPr>
      <t>%</t>
    </r>
    <r>
      <rPr>
        <b/>
        <sz val="9"/>
        <rFont val="楷体"/>
        <charset val="134"/>
      </rPr>
      <t>）</t>
    </r>
  </si>
  <si>
    <r>
      <rPr>
        <sz val="9"/>
        <rFont val="楷体"/>
        <charset val="134"/>
      </rPr>
      <t>天风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分期乐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</si>
  <si>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t>西藏信托有限公司</t>
  </si>
  <si>
    <r>
      <rPr>
        <sz val="9"/>
        <rFont val="楷体"/>
        <charset val="134"/>
      </rPr>
      <t>天风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上海</t>
    </r>
    <r>
      <rPr>
        <sz val="9"/>
        <rFont val="Times New Roman"/>
        <charset val="134"/>
      </rPr>
      <t>)</t>
    </r>
    <r>
      <rPr>
        <sz val="9"/>
        <rFont val="楷体"/>
        <charset val="134"/>
      </rPr>
      <t>证券资产管理有限公司</t>
    </r>
  </si>
  <si>
    <r>
      <rPr>
        <sz val="9"/>
        <rFont val="楷体"/>
        <charset val="134"/>
      </rPr>
      <t>优先</t>
    </r>
    <r>
      <rPr>
        <sz val="9"/>
        <rFont val="Times New Roman"/>
        <charset val="134"/>
      </rPr>
      <t>A</t>
    </r>
    <r>
      <rPr>
        <sz val="9"/>
        <rFont val="楷体"/>
        <charset val="134"/>
      </rPr>
      <t>级</t>
    </r>
  </si>
  <si>
    <r>
      <rPr>
        <sz val="9"/>
        <rFont val="楷体"/>
        <charset val="134"/>
      </rPr>
      <t>优先</t>
    </r>
    <r>
      <rPr>
        <sz val="9"/>
        <rFont val="Times New Roman"/>
        <charset val="134"/>
      </rPr>
      <t>B</t>
    </r>
    <r>
      <rPr>
        <sz val="9"/>
        <rFont val="楷体"/>
        <charset val="134"/>
      </rPr>
      <t>级</t>
    </r>
  </si>
  <si>
    <t>AA+</t>
  </si>
  <si>
    <r>
      <rPr>
        <sz val="9"/>
        <rFont val="楷体"/>
        <charset val="134"/>
      </rPr>
      <t>优先</t>
    </r>
    <r>
      <rPr>
        <sz val="9"/>
        <rFont val="Times New Roman"/>
        <charset val="134"/>
      </rPr>
      <t>C</t>
    </r>
    <r>
      <rPr>
        <sz val="9"/>
        <rFont val="楷体"/>
        <charset val="134"/>
      </rPr>
      <t>级</t>
    </r>
  </si>
  <si>
    <r>
      <rPr>
        <sz val="9"/>
        <rFont val="楷体"/>
        <charset val="134"/>
      </rPr>
      <t>次级</t>
    </r>
  </si>
  <si>
    <r>
      <rPr>
        <sz val="9"/>
        <rFont val="楷体"/>
        <charset val="134"/>
      </rPr>
      <t>招商证券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美睦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号资产支持专项计划</t>
    </r>
  </si>
  <si>
    <r>
      <rPr>
        <sz val="9"/>
        <rFont val="楷体"/>
        <charset val="134"/>
      </rPr>
      <t>京东科技荟享</t>
    </r>
    <r>
      <rPr>
        <sz val="9"/>
        <rFont val="Times New Roman"/>
        <charset val="134"/>
      </rPr>
      <t>19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</t>
    </r>
  </si>
  <si>
    <t>首创证券股份有限公司</t>
  </si>
  <si>
    <r>
      <rPr>
        <sz val="9"/>
        <rFont val="楷体"/>
        <charset val="134"/>
      </rPr>
      <t>中间级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</si>
  <si>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小满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</si>
  <si>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重庆度小满小额贷款有限公司</t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</si>
  <si>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A1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</si>
  <si>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A2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</si>
  <si>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B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</si>
  <si>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C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</si>
  <si>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奇富小贷毓秀第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</si>
  <si>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华泰证券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上海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楷体"/>
        <charset val="134"/>
      </rPr>
      <t>资产管理有限公司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</si>
  <si>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A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</si>
  <si>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</si>
  <si>
    <t>厦门国际信托有限公司</t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</si>
  <si>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19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</si>
  <si>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东吴证券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鑫鑫农贷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</si>
  <si>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t>苏州市姑苏区鑫鑫农村小额贷款股份有限公司</t>
  </si>
  <si>
    <t>东吴证券股份有限公司</t>
  </si>
  <si>
    <t>鑫鑫农贷</t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</si>
  <si>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贵诚惠及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</si>
  <si>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平安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众安小贷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</si>
  <si>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重庆众安小额贷款有限公司</t>
  </si>
  <si>
    <t>众安小贷</t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</si>
  <si>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熠月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</si>
  <si>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华鑫信托美满予鑫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9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</si>
  <si>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京东科技盛宏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</si>
  <si>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重庆京东盛际小额贷款有限公司</t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</si>
  <si>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星灿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</si>
  <si>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优先级</t>
    </r>
  </si>
  <si>
    <t>平安担保</t>
  </si>
  <si>
    <r>
      <rPr>
        <sz val="9"/>
        <color rgb="FF000000"/>
        <rFont val="楷体"/>
        <charset val="134"/>
      </rPr>
      <t>次级</t>
    </r>
  </si>
  <si>
    <r>
      <rPr>
        <sz val="9"/>
        <color rgb="FF000000"/>
        <rFont val="楷体"/>
        <charset val="134"/>
      </rPr>
      <t>财通资管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星悦</t>
    </r>
    <r>
      <rPr>
        <sz val="9"/>
        <color rgb="FF000000"/>
        <rFont val="Times New Roman"/>
        <charset val="134"/>
      </rPr>
      <t>12</t>
    </r>
    <r>
      <rPr>
        <sz val="9"/>
        <color rgb="FF000000"/>
        <rFont val="楷体"/>
        <charset val="134"/>
      </rPr>
      <t>期资产支持专项计划</t>
    </r>
  </si>
  <si>
    <t>中国对外经济贸易信托有限</t>
  </si>
  <si>
    <r>
      <rPr>
        <sz val="9"/>
        <color rgb="FF000000"/>
        <rFont val="楷体"/>
        <charset val="134"/>
      </rPr>
      <t>次</t>
    </r>
    <r>
      <rPr>
        <sz val="9"/>
        <color rgb="FF000000"/>
        <rFont val="Times New Roman"/>
        <charset val="134"/>
      </rPr>
      <t>A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</si>
  <si>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次</t>
    </r>
    <r>
      <rPr>
        <sz val="9"/>
        <color rgb="FF000000"/>
        <rFont val="Times New Roman"/>
        <charset val="134"/>
      </rPr>
      <t>B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</si>
  <si>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奇富小贷消费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</si>
  <si>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</si>
  <si>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京东科技博远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</si>
  <si>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上海国泰君安证券资产管理有限公司</t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</si>
  <si>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19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</si>
  <si>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惠成一号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</si>
  <si>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新华保险保单贷款求进系列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</si>
  <si>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新华人寿保险股份有限公司</t>
  </si>
  <si>
    <t>兴证证券资产管理有限公司</t>
  </si>
  <si>
    <t>新华人寿</t>
  </si>
  <si>
    <r>
      <rPr>
        <sz val="9"/>
        <color rgb="FF000000"/>
        <rFont val="楷体"/>
        <charset val="134"/>
      </rPr>
      <t>东方汇智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朗煜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</si>
  <si>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A3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</si>
  <si>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19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</si>
  <si>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华鑫信托美满予鑫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10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</si>
  <si>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C1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</si>
  <si>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C2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</si>
  <si>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星灿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</si>
  <si>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19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</si>
  <si>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贵诚惠及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</si>
  <si>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国金资管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景熠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</si>
  <si>
    <r>
      <rPr>
        <sz val="9"/>
        <rFont val="楷体"/>
        <charset val="134"/>
      </rPr>
      <t>中信证券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美好生活</t>
    </r>
    <r>
      <rPr>
        <sz val="9"/>
        <rFont val="Times New Roman"/>
        <charset val="134"/>
      </rPr>
      <t>2024</t>
    </r>
    <r>
      <rPr>
        <sz val="9"/>
        <rFont val="楷体"/>
        <charset val="134"/>
      </rPr>
      <t>年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号资产支持专项计划</t>
    </r>
  </si>
  <si>
    <t>重庆美团三快小额贷款有限公司</t>
  </si>
  <si>
    <r>
      <rPr>
        <sz val="9"/>
        <rFont val="楷体"/>
        <charset val="134"/>
      </rPr>
      <t>中信证券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美好生活</t>
    </r>
    <r>
      <rPr>
        <sz val="9"/>
        <rFont val="Times New Roman"/>
        <charset val="134"/>
      </rPr>
      <t>2024</t>
    </r>
    <r>
      <rPr>
        <sz val="9"/>
        <rFont val="楷体"/>
        <charset val="134"/>
      </rPr>
      <t>年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</si>
  <si>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华鑫信托美满予鑫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11</t>
    </r>
    <r>
      <rPr>
        <sz val="9"/>
        <color rgb="FF000000"/>
        <rFont val="楷体"/>
        <charset val="134"/>
      </rPr>
      <t>期资产支持专项计划</t>
    </r>
  </si>
  <si>
    <r>
      <rPr>
        <sz val="9"/>
        <rFont val="楷体"/>
        <charset val="134"/>
      </rPr>
      <t>招商证券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华鑫信托月影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</si>
  <si>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次</t>
    </r>
    <r>
      <rPr>
        <sz val="9"/>
        <rFont val="Times New Roman"/>
        <charset val="134"/>
      </rPr>
      <t>A</t>
    </r>
    <r>
      <rPr>
        <sz val="9"/>
        <rFont val="楷体"/>
        <charset val="134"/>
      </rPr>
      <t>级</t>
    </r>
  </si>
  <si>
    <r>
      <rPr>
        <sz val="9"/>
        <rFont val="楷体"/>
        <charset val="134"/>
      </rPr>
      <t>次</t>
    </r>
    <r>
      <rPr>
        <sz val="9"/>
        <rFont val="Times New Roman"/>
        <charset val="134"/>
      </rPr>
      <t>B</t>
    </r>
    <r>
      <rPr>
        <sz val="9"/>
        <rFont val="楷体"/>
        <charset val="134"/>
      </rPr>
      <t>级</t>
    </r>
  </si>
  <si>
    <r>
      <rPr>
        <sz val="9"/>
        <rFont val="楷体"/>
        <charset val="134"/>
      </rPr>
      <t>招商证券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美睦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</t>
    </r>
    <r>
      <rPr>
        <sz val="9"/>
        <rFont val="Times New Roman"/>
        <charset val="134"/>
      </rPr>
      <t>7</t>
    </r>
    <r>
      <rPr>
        <sz val="9"/>
        <rFont val="楷体"/>
        <charset val="134"/>
      </rPr>
      <t>号资产支持专项计划</t>
    </r>
  </si>
  <si>
    <r>
      <rPr>
        <sz val="9"/>
        <rFont val="楷体"/>
        <charset val="134"/>
      </rPr>
      <t>耘睿</t>
    </r>
    <r>
      <rPr>
        <sz val="9"/>
        <rFont val="Times New Roman"/>
        <charset val="134"/>
      </rPr>
      <t>19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</si>
  <si>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华泰证券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上海</t>
    </r>
    <r>
      <rPr>
        <sz val="9"/>
        <rFont val="Times New Roman"/>
        <charset val="134"/>
      </rPr>
      <t>)</t>
    </r>
    <r>
      <rPr>
        <sz val="9"/>
        <rFont val="楷体"/>
        <charset val="134"/>
      </rPr>
      <t>资产管理有限公司</t>
    </r>
  </si>
  <si>
    <r>
      <rPr>
        <sz val="9"/>
        <rFont val="楷体"/>
        <charset val="134"/>
      </rPr>
      <t>华泰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国君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美润六期</t>
    </r>
    <r>
      <rPr>
        <sz val="9"/>
        <rFont val="Times New Roman"/>
        <charset val="134"/>
      </rPr>
      <t>11</t>
    </r>
    <r>
      <rPr>
        <sz val="9"/>
        <rFont val="楷体"/>
        <charset val="134"/>
      </rPr>
      <t>号资产支持专项计划</t>
    </r>
  </si>
  <si>
    <r>
      <rPr>
        <sz val="9"/>
        <rFont val="楷体"/>
        <charset val="134"/>
      </rPr>
      <t>京东科技荟享</t>
    </r>
    <r>
      <rPr>
        <sz val="9"/>
        <rFont val="Times New Roman"/>
        <charset val="134"/>
      </rPr>
      <t>23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</si>
  <si>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国联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度小满消费分期</t>
    </r>
    <r>
      <rPr>
        <sz val="9"/>
        <rFont val="Times New Roman"/>
        <charset val="134"/>
      </rPr>
      <t>6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</si>
  <si>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优先</t>
    </r>
    <r>
      <rPr>
        <sz val="9"/>
        <rFont val="Times New Roman"/>
        <charset val="134"/>
      </rPr>
      <t>A1</t>
    </r>
    <r>
      <rPr>
        <sz val="9"/>
        <rFont val="楷体"/>
        <charset val="134"/>
      </rPr>
      <t>级</t>
    </r>
  </si>
  <si>
    <r>
      <rPr>
        <sz val="9"/>
        <rFont val="楷体"/>
        <charset val="134"/>
      </rPr>
      <t>优先</t>
    </r>
    <r>
      <rPr>
        <sz val="9"/>
        <rFont val="Times New Roman"/>
        <charset val="134"/>
      </rPr>
      <t>A2</t>
    </r>
    <r>
      <rPr>
        <sz val="9"/>
        <rFont val="楷体"/>
        <charset val="134"/>
      </rPr>
      <t>级</t>
    </r>
  </si>
  <si>
    <r>
      <rPr>
        <sz val="9"/>
        <rFont val="楷体"/>
        <charset val="134"/>
      </rPr>
      <t>国联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奇富小贷小微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</si>
  <si>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国君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华泰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华能信托美憬三期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号资产支持专项计划</t>
    </r>
  </si>
  <si>
    <r>
      <rPr>
        <sz val="9"/>
        <rFont val="楷体"/>
        <charset val="134"/>
      </rPr>
      <t>次级</t>
    </r>
    <r>
      <rPr>
        <sz val="9"/>
        <rFont val="Times New Roman"/>
        <charset val="134"/>
      </rPr>
      <t>A</t>
    </r>
  </si>
  <si>
    <r>
      <rPr>
        <sz val="9"/>
        <rFont val="楷体"/>
        <charset val="134"/>
      </rPr>
      <t>次级</t>
    </r>
    <r>
      <rPr>
        <sz val="9"/>
        <rFont val="Times New Roman"/>
        <charset val="134"/>
      </rPr>
      <t>B</t>
    </r>
  </si>
  <si>
    <r>
      <rPr>
        <sz val="9"/>
        <rFont val="楷体"/>
        <charset val="134"/>
      </rPr>
      <t>耘睿</t>
    </r>
    <r>
      <rPr>
        <sz val="9"/>
        <rFont val="Times New Roman"/>
        <charset val="134"/>
      </rPr>
      <t>19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</si>
  <si>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禾昱六号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两新</t>
    </r>
    <r>
      <rPr>
        <sz val="9"/>
        <rFont val="Times New Roman"/>
        <charset val="134"/>
      </rPr>
      <t>)</t>
    </r>
  </si>
  <si>
    <r>
      <rPr>
        <sz val="9"/>
        <rFont val="楷体"/>
        <charset val="134"/>
      </rPr>
      <t>招证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美满生意</t>
    </r>
    <r>
      <rPr>
        <sz val="9"/>
        <rFont val="Times New Roman"/>
        <charset val="134"/>
      </rPr>
      <t>2024</t>
    </r>
    <r>
      <rPr>
        <sz val="9"/>
        <rFont val="楷体"/>
        <charset val="134"/>
      </rPr>
      <t>年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号资产支持专项计划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中小微企业融资</t>
    </r>
    <r>
      <rPr>
        <sz val="9"/>
        <rFont val="Times New Roman"/>
        <charset val="134"/>
      </rPr>
      <t>)</t>
    </r>
  </si>
  <si>
    <r>
      <rPr>
        <sz val="9"/>
        <rFont val="楷体"/>
        <charset val="134"/>
      </rPr>
      <t>国联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度小满消费分期</t>
    </r>
    <r>
      <rPr>
        <sz val="9"/>
        <rFont val="Times New Roman"/>
        <charset val="134"/>
      </rPr>
      <t>6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</si>
  <si>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t>BB+sf</t>
  </si>
  <si>
    <r>
      <rPr>
        <sz val="9"/>
        <rFont val="楷体"/>
        <charset val="134"/>
      </rPr>
      <t>中金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贵诚惠及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</si>
  <si>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天风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国投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普洛斯产融科技车险分期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9</t>
    </r>
    <r>
      <rPr>
        <sz val="9"/>
        <rFont val="楷体"/>
        <charset val="134"/>
      </rPr>
      <t>期资产支持专项计划</t>
    </r>
  </si>
  <si>
    <t>普洛斯产融</t>
  </si>
  <si>
    <r>
      <rPr>
        <sz val="9"/>
        <rFont val="楷体"/>
        <charset val="134"/>
      </rPr>
      <t>国金资管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景熠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号中小微企业融资支持</t>
    </r>
    <r>
      <rPr>
        <sz val="9"/>
        <rFont val="Times New Roman"/>
        <charset val="134"/>
      </rPr>
      <t>6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</t>
    </r>
  </si>
  <si>
    <t>中粮信托有限责任公司</t>
  </si>
  <si>
    <r>
      <rPr>
        <sz val="9"/>
        <rFont val="楷体"/>
        <charset val="134"/>
      </rPr>
      <t>优先级</t>
    </r>
  </si>
  <si>
    <r>
      <rPr>
        <sz val="9"/>
        <rFont val="楷体"/>
        <charset val="134"/>
      </rPr>
      <t>创享微营一号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期中小微企业融资支持资产支持专项计划</t>
    </r>
  </si>
  <si>
    <t>上海爱建信托有限责任公司</t>
  </si>
  <si>
    <t>中信建投证券股份有限公司</t>
  </si>
  <si>
    <r>
      <rPr>
        <sz val="9"/>
        <rFont val="楷体"/>
        <charset val="134"/>
      </rPr>
      <t>优先</t>
    </r>
    <r>
      <rPr>
        <sz val="9"/>
        <rFont val="Times New Roman"/>
        <charset val="134"/>
      </rPr>
      <t>A3</t>
    </r>
    <r>
      <rPr>
        <sz val="9"/>
        <rFont val="楷体"/>
        <charset val="134"/>
      </rPr>
      <t>级</t>
    </r>
  </si>
  <si>
    <r>
      <rPr>
        <sz val="9"/>
        <rFont val="楷体"/>
        <charset val="134"/>
      </rPr>
      <t>京东科技荟享</t>
    </r>
    <r>
      <rPr>
        <sz val="9"/>
        <rFont val="Times New Roman"/>
        <charset val="134"/>
      </rPr>
      <t>23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</si>
  <si>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中金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惠民一号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</si>
  <si>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京东科技荟享</t>
    </r>
    <r>
      <rPr>
        <sz val="9"/>
        <rFont val="Times New Roman"/>
        <charset val="134"/>
      </rPr>
      <t>23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</si>
  <si>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国君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华泰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华能信托美憬三期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号资产支持专项计划</t>
    </r>
  </si>
  <si>
    <r>
      <rPr>
        <sz val="9"/>
        <rFont val="楷体"/>
        <charset val="134"/>
      </rPr>
      <t>次级</t>
    </r>
    <r>
      <rPr>
        <sz val="9"/>
        <rFont val="Times New Roman"/>
        <charset val="134"/>
      </rPr>
      <t>C</t>
    </r>
  </si>
  <si>
    <r>
      <rPr>
        <sz val="9"/>
        <rFont val="楷体"/>
        <charset val="134"/>
      </rPr>
      <t>次级</t>
    </r>
    <r>
      <rPr>
        <sz val="9"/>
        <rFont val="Times New Roman"/>
        <charset val="134"/>
      </rPr>
      <t>D</t>
    </r>
  </si>
  <si>
    <r>
      <rPr>
        <sz val="9"/>
        <rFont val="楷体"/>
        <charset val="134"/>
      </rPr>
      <t>国联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小满助业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号中小微企业融资支持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</si>
  <si>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京东科技荟享</t>
    </r>
    <r>
      <rPr>
        <sz val="9"/>
        <rFont val="Times New Roman"/>
        <charset val="134"/>
      </rPr>
      <t>13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</t>
    </r>
    <r>
      <rPr>
        <sz val="9"/>
        <rFont val="楷体"/>
        <charset val="134"/>
      </rPr>
      <t>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期次</t>
    </r>
  </si>
  <si>
    <r>
      <rPr>
        <sz val="9"/>
        <rFont val="楷体"/>
        <charset val="134"/>
      </rPr>
      <t>招商证券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华鑫信托月影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</si>
  <si>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招商证券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华能太泽</t>
    </r>
    <r>
      <rPr>
        <sz val="9"/>
        <rFont val="Times New Roman"/>
        <charset val="134"/>
      </rPr>
      <t>9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</si>
  <si>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平安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方正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东煜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号中小微企业融资支持</t>
    </r>
    <r>
      <rPr>
        <sz val="9"/>
        <rFont val="Times New Roman"/>
        <charset val="134"/>
      </rPr>
      <t>7</t>
    </r>
    <r>
      <rPr>
        <sz val="9"/>
        <rFont val="楷体"/>
        <charset val="134"/>
      </rPr>
      <t>期资产支持专项计划</t>
    </r>
  </si>
  <si>
    <t>方正证券股份有限公司</t>
  </si>
  <si>
    <r>
      <rPr>
        <sz val="9"/>
        <rFont val="楷体"/>
        <charset val="134"/>
      </rPr>
      <t>招商证券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美睦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</t>
    </r>
    <r>
      <rPr>
        <sz val="9"/>
        <rFont val="Times New Roman"/>
        <charset val="134"/>
      </rPr>
      <t>8</t>
    </r>
    <r>
      <rPr>
        <sz val="9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</si>
  <si>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华泰资管毓鸿第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</si>
  <si>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rFont val="楷体"/>
        <charset val="134"/>
      </rPr>
      <t>招商证券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华鑫信托美满予鑫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12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</si>
  <si>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次级</t>
    </r>
    <r>
      <rPr>
        <sz val="9"/>
        <rFont val="Times New Roman"/>
        <charset val="134"/>
      </rPr>
      <t>C1</t>
    </r>
  </si>
  <si>
    <r>
      <rPr>
        <sz val="9"/>
        <rFont val="楷体"/>
        <charset val="134"/>
      </rPr>
      <t>次级</t>
    </r>
    <r>
      <rPr>
        <sz val="9"/>
        <rFont val="Times New Roman"/>
        <charset val="134"/>
      </rPr>
      <t>C2</t>
    </r>
  </si>
  <si>
    <r>
      <rPr>
        <sz val="9"/>
        <rFont val="楷体"/>
        <charset val="134"/>
      </rPr>
      <t>京东科技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尚亦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期中小微企业融资支持资产支持专项计划</t>
    </r>
  </si>
  <si>
    <r>
      <rPr>
        <sz val="9"/>
        <rFont val="楷体"/>
        <charset val="134"/>
      </rPr>
      <t>华泰资管润泽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期中小微融资支持资产支持专项计划</t>
    </r>
  </si>
  <si>
    <t>浙江省浙商商业保理有限公司</t>
  </si>
  <si>
    <r>
      <rPr>
        <sz val="9"/>
        <rFont val="Times New Roman"/>
        <charset val="134"/>
      </rPr>
      <t xml:space="preserve"> </t>
    </r>
    <r>
      <rPr>
        <sz val="9"/>
        <rFont val="楷体"/>
        <charset val="134"/>
      </rPr>
      <t>华泰证券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上海</t>
    </r>
    <r>
      <rPr>
        <sz val="9"/>
        <rFont val="Times New Roman"/>
        <charset val="134"/>
      </rPr>
      <t>)</t>
    </r>
    <r>
      <rPr>
        <sz val="9"/>
        <rFont val="楷体"/>
        <charset val="134"/>
      </rPr>
      <t>资产管理有限公司</t>
    </r>
  </si>
  <si>
    <r>
      <rPr>
        <sz val="9"/>
        <rFont val="楷体"/>
        <charset val="134"/>
      </rPr>
      <t>创享微营一号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期中小微企业融资支持资产支持专项计划</t>
    </r>
  </si>
  <si>
    <r>
      <rPr>
        <sz val="9"/>
        <rFont val="楷体"/>
        <charset val="134"/>
      </rPr>
      <t>耘睿</t>
    </r>
    <r>
      <rPr>
        <sz val="9"/>
        <color rgb="FF000000"/>
        <rFont val="Times New Roman"/>
        <charset val="134"/>
      </rPr>
      <t>20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</si>
  <si>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广发证券资产管理（广东）有限公司</t>
  </si>
  <si>
    <r>
      <rPr>
        <sz val="9"/>
        <color rgb="FF000000"/>
        <rFont val="楷体"/>
        <charset val="134"/>
      </rPr>
      <t>中间级</t>
    </r>
  </si>
  <si>
    <r>
      <rPr>
        <sz val="9"/>
        <rFont val="楷体"/>
        <charset val="134"/>
      </rPr>
      <t>华泰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平安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众安小贷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</si>
  <si>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华泰证券（上海）资产管理有限公司</t>
  </si>
  <si>
    <r>
      <rPr>
        <sz val="9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期资产支持专项计划（可续发型）（第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期次）</t>
    </r>
  </si>
  <si>
    <r>
      <rPr>
        <sz val="9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20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</si>
  <si>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期资产支持专项计划（可续发型）（第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期次）</t>
    </r>
  </si>
  <si>
    <t>2025-03-18</t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</si>
  <si>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华能太泽</t>
    </r>
    <r>
      <rPr>
        <sz val="9"/>
        <color rgb="FF000000"/>
        <rFont val="Times New Roman"/>
        <charset val="134"/>
      </rPr>
      <t>10</t>
    </r>
    <r>
      <rPr>
        <sz val="9"/>
        <color rgb="FF000000"/>
        <rFont val="楷体"/>
        <charset val="134"/>
      </rPr>
      <t>期资产支持专项计划</t>
    </r>
  </si>
  <si>
    <t>2025-03-20</t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</si>
  <si>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乘风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</si>
  <si>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t>马上消费</t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</si>
  <si>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华鑫信托月影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</si>
  <si>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t>2025-03-19</t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</si>
  <si>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23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</si>
  <si>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9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</si>
  <si>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21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</si>
  <si>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奇富小微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中小微企业融资</t>
    </r>
    <r>
      <rPr>
        <sz val="9"/>
        <color rgb="FF000000"/>
        <rFont val="Times New Roman"/>
        <charset val="134"/>
      </rPr>
      <t>)</t>
    </r>
  </si>
  <si>
    <t>2025-03-14</t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</si>
  <si>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熠月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</si>
  <si>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20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</si>
  <si>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美好生活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号资产支持专项计划</t>
    </r>
  </si>
  <si>
    <t>2025-03-12</t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</si>
  <si>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爱建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太享生活一号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</si>
  <si>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国君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华泰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华能信托美憬三期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</si>
  <si>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奇富小微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中小微企业融资支持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</si>
  <si>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</si>
  <si>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21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</si>
  <si>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京东科技盛宏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</si>
  <si>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21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</si>
  <si>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</si>
  <si>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</si>
  <si>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</si>
  <si>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建投国君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外贸信托晨泽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</si>
  <si>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新华保险保单贷款求实系列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</si>
  <si>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rFont val="楷体"/>
        <charset val="134"/>
      </rPr>
      <t>次优级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</si>
  <si>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惠民一号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</si>
  <si>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诚盈惠泽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</si>
  <si>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华鑫信托美满予鑫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</si>
  <si>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广发满泽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</si>
  <si>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中诚信托有限责任公司</t>
  </si>
  <si>
    <r>
      <rPr>
        <sz val="9"/>
        <color rgb="FF000000"/>
        <rFont val="楷体"/>
        <charset val="134"/>
      </rPr>
      <t>广发证券资产管理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广东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楷体"/>
        <charset val="134"/>
      </rPr>
      <t>有限公司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</si>
  <si>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国投至启中小微企业融资支持第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</si>
  <si>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23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</si>
  <si>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奇富小贷毓秀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</si>
  <si>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尚亦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期中小微企业融资支持资产支持专项计划</t>
    </r>
  </si>
  <si>
    <r>
      <rPr>
        <sz val="9"/>
        <color rgb="FF000000"/>
        <rFont val="楷体"/>
        <charset val="134"/>
      </rPr>
      <t>京东科技博远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</si>
  <si>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t>2025-03-28</t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</si>
  <si>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20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</si>
  <si>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20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</si>
  <si>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尚亦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期中小微企业融资支持资产支持专项计划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</si>
  <si>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22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</si>
  <si>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10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</si>
  <si>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</si>
  <si>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</si>
  <si>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财通资管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星朗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</si>
  <si>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次级</t>
    </r>
    <r>
      <rPr>
        <sz val="9"/>
        <color rgb="FF000000"/>
        <rFont val="Times New Roman"/>
        <charset val="134"/>
      </rPr>
      <t>A</t>
    </r>
    <r>
      <rPr>
        <sz val="9"/>
        <color rgb="FF000000"/>
        <rFont val="楷体"/>
        <charset val="134"/>
      </rPr>
      <t>档</t>
    </r>
  </si>
  <si>
    <r>
      <rPr>
        <sz val="9"/>
        <color rgb="FF000000"/>
        <rFont val="楷体"/>
        <charset val="134"/>
      </rPr>
      <t>次级</t>
    </r>
    <r>
      <rPr>
        <sz val="9"/>
        <color rgb="FF000000"/>
        <rFont val="Times New Roman"/>
        <charset val="134"/>
      </rPr>
      <t>B</t>
    </r>
    <r>
      <rPr>
        <sz val="9"/>
        <color rgb="FF000000"/>
        <rFont val="楷体"/>
        <charset val="134"/>
      </rPr>
      <t>档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</si>
  <si>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</si>
  <si>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20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</si>
  <si>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rFont val="楷体"/>
        <charset val="134"/>
      </rPr>
      <t>广发证券资产管理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广东</t>
    </r>
    <r>
      <rPr>
        <sz val="9"/>
        <rFont val="Times New Roman"/>
        <charset val="134"/>
      </rPr>
      <t>)</t>
    </r>
    <r>
      <rPr>
        <sz val="9"/>
        <rFont val="楷体"/>
        <charset val="134"/>
      </rPr>
      <t>有限公司</t>
    </r>
  </si>
  <si>
    <r>
      <rPr>
        <sz val="9"/>
        <color rgb="FF333333"/>
        <rFont val="楷体"/>
        <charset val="134"/>
      </rPr>
      <t>天风</t>
    </r>
    <r>
      <rPr>
        <sz val="9"/>
        <color rgb="FF333333"/>
        <rFont val="Times New Roman"/>
        <charset val="134"/>
      </rPr>
      <t>-</t>
    </r>
    <r>
      <rPr>
        <sz val="9"/>
        <color rgb="FF333333"/>
        <rFont val="楷体"/>
        <charset val="134"/>
      </rPr>
      <t>启悦</t>
    </r>
    <r>
      <rPr>
        <sz val="9"/>
        <color rgb="FF333333"/>
        <rFont val="Times New Roman"/>
        <charset val="134"/>
      </rPr>
      <t>15</t>
    </r>
    <r>
      <rPr>
        <sz val="9"/>
        <color rgb="FF333333"/>
        <rFont val="楷体"/>
        <charset val="134"/>
      </rPr>
      <t>期资产支持专项计划</t>
    </r>
  </si>
  <si>
    <r>
      <rPr>
        <sz val="9"/>
        <color rgb="FF333333"/>
        <rFont val="楷体"/>
        <charset val="134"/>
      </rPr>
      <t>天风</t>
    </r>
    <r>
      <rPr>
        <sz val="9"/>
        <color rgb="FF333333"/>
        <rFont val="Times New Roman"/>
        <charset val="134"/>
      </rPr>
      <t>(</t>
    </r>
    <r>
      <rPr>
        <sz val="9"/>
        <color rgb="FF333333"/>
        <rFont val="楷体"/>
        <charset val="134"/>
      </rPr>
      <t>上海</t>
    </r>
    <r>
      <rPr>
        <sz val="9"/>
        <color rgb="FF333333"/>
        <rFont val="Times New Roman"/>
        <charset val="134"/>
      </rPr>
      <t>)</t>
    </r>
    <r>
      <rPr>
        <sz val="9"/>
        <color rgb="FF333333"/>
        <rFont val="楷体"/>
        <charset val="134"/>
      </rPr>
      <t>证券资产管理有限公司</t>
    </r>
  </si>
  <si>
    <r>
      <rPr>
        <sz val="9"/>
        <rFont val="楷体"/>
        <charset val="134"/>
      </rPr>
      <t>天风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分期乐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</si>
  <si>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color rgb="FF333333"/>
        <rFont val="楷体"/>
        <charset val="134"/>
      </rPr>
      <t>中金</t>
    </r>
    <r>
      <rPr>
        <sz val="9"/>
        <color rgb="FF333333"/>
        <rFont val="Times New Roman"/>
        <charset val="134"/>
      </rPr>
      <t>-</t>
    </r>
    <r>
      <rPr>
        <sz val="9"/>
        <color rgb="FF333333"/>
        <rFont val="楷体"/>
        <charset val="134"/>
      </rPr>
      <t>惠民一号</t>
    </r>
    <r>
      <rPr>
        <sz val="9"/>
        <color rgb="FF333333"/>
        <rFont val="Times New Roman"/>
        <charset val="134"/>
      </rPr>
      <t>3</t>
    </r>
    <r>
      <rPr>
        <sz val="9"/>
        <color rgb="FF333333"/>
        <rFont val="楷体"/>
        <charset val="134"/>
      </rPr>
      <t>期资产支持专项计划</t>
    </r>
  </si>
  <si>
    <r>
      <rPr>
        <sz val="9"/>
        <rFont val="楷体"/>
        <charset val="134"/>
      </rPr>
      <t>中金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惠民一号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</si>
  <si>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rFont val="Arial"/>
        <charset val="134"/>
      </rPr>
      <t xml:space="preserve">	</t>
    </r>
    <r>
      <rPr>
        <sz val="9"/>
        <rFont val="楷体"/>
        <charset val="134"/>
      </rPr>
      <t>深圳</t>
    </r>
  </si>
  <si>
    <r>
      <rPr>
        <sz val="9"/>
        <rFont val="楷体"/>
        <charset val="134"/>
      </rPr>
      <t>中金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惠成一号2期资产支持专项计划</t>
    </r>
  </si>
  <si>
    <r>
      <rPr>
        <sz val="9"/>
        <rFont val="Arial"/>
        <charset val="134"/>
      </rPr>
      <t xml:space="preserve">	</t>
    </r>
    <r>
      <rPr>
        <sz val="9"/>
        <rFont val="楷体"/>
        <charset val="134"/>
      </rPr>
      <t>上海</t>
    </r>
  </si>
  <si>
    <r>
      <rPr>
        <sz val="9"/>
        <rFont val="楷体"/>
        <charset val="134"/>
      </rPr>
      <t>国君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友邦人寿保单贷款第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</si>
  <si>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t>友邦人寿保险有限公司</t>
  </si>
  <si>
    <t>友邦人寿</t>
  </si>
  <si>
    <r>
      <rPr>
        <sz val="9"/>
        <rFont val="楷体"/>
        <charset val="134"/>
      </rPr>
      <t>国联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奇富小贷消费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</si>
  <si>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京东科技荟享</t>
    </r>
    <r>
      <rPr>
        <sz val="9"/>
        <rFont val="Times New Roman"/>
        <charset val="134"/>
      </rPr>
      <t>22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</si>
  <si>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京东科技荟享</t>
    </r>
    <r>
      <rPr>
        <sz val="9"/>
        <rFont val="Times New Roman"/>
        <charset val="134"/>
      </rPr>
      <t>22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</si>
  <si>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财通资管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普享第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</si>
  <si>
    <t>杭银消金</t>
  </si>
  <si>
    <r>
      <rPr>
        <sz val="9"/>
        <rFont val="楷体"/>
        <charset val="134"/>
      </rPr>
      <t>次级</t>
    </r>
    <r>
      <rPr>
        <sz val="9"/>
        <rFont val="Times New Roman"/>
        <charset val="134"/>
      </rPr>
      <t>A</t>
    </r>
    <r>
      <rPr>
        <sz val="9"/>
        <rFont val="楷体"/>
        <charset val="134"/>
      </rPr>
      <t>档</t>
    </r>
  </si>
  <si>
    <r>
      <rPr>
        <sz val="9"/>
        <rFont val="楷体"/>
        <charset val="134"/>
      </rPr>
      <t>次级</t>
    </r>
    <r>
      <rPr>
        <sz val="9"/>
        <rFont val="Times New Roman"/>
        <charset val="134"/>
      </rPr>
      <t>B</t>
    </r>
    <r>
      <rPr>
        <sz val="9"/>
        <rFont val="楷体"/>
        <charset val="134"/>
      </rPr>
      <t>档</t>
    </r>
  </si>
  <si>
    <r>
      <rPr>
        <sz val="9"/>
        <rFont val="楷体"/>
        <charset val="134"/>
      </rPr>
      <t>京东科技荟享</t>
    </r>
    <r>
      <rPr>
        <sz val="9"/>
        <rFont val="Times New Roman"/>
        <charset val="134"/>
      </rPr>
      <t>20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</si>
  <si>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京东科技荟享</t>
    </r>
    <r>
      <rPr>
        <sz val="9"/>
        <rFont val="Times New Roman"/>
        <charset val="134"/>
      </rPr>
      <t>21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</si>
  <si>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国联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度小满消费分期</t>
    </r>
    <r>
      <rPr>
        <sz val="9"/>
        <rFont val="Times New Roman"/>
        <charset val="134"/>
      </rPr>
      <t>6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期资产支持专项计划</t>
    </r>
  </si>
  <si>
    <t>2025-04-18</t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</si>
  <si>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奇富小微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中小微企业融资支持</t>
    </r>
    <r>
      <rPr>
        <sz val="9"/>
        <color rgb="FF000000"/>
        <rFont val="Times New Roman"/>
        <charset val="134"/>
      </rPr>
      <t>)</t>
    </r>
  </si>
  <si>
    <t>2025-04-22</t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</si>
  <si>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华鑫信托美满予鑫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</si>
  <si>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泰康人寿保单贷款第</t>
    </r>
    <r>
      <rPr>
        <sz val="9"/>
        <color rgb="FF000000"/>
        <rFont val="Times New Roman"/>
        <charset val="134"/>
      </rPr>
      <t>9</t>
    </r>
    <r>
      <rPr>
        <sz val="9"/>
        <color rgb="FF000000"/>
        <rFont val="楷体"/>
        <charset val="134"/>
      </rPr>
      <t>期资产支持专项计划</t>
    </r>
  </si>
  <si>
    <t>泰康人寿保险有限责任公司</t>
  </si>
  <si>
    <t>泰康保险</t>
  </si>
  <si>
    <r>
      <rPr>
        <sz val="9"/>
        <color rgb="FF000000"/>
        <rFont val="楷体"/>
        <charset val="134"/>
      </rPr>
      <t>京东科技博远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</si>
  <si>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铭睿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期中小微企业融资支持资产支持专项计划</t>
    </r>
  </si>
  <si>
    <r>
      <rPr>
        <sz val="9"/>
        <rFont val="楷体"/>
        <charset val="134"/>
      </rPr>
      <t>华泰资管润泽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期中小微融资支持资产支持专项计划</t>
    </r>
  </si>
  <si>
    <t>2025-04-23</t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</si>
  <si>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11</t>
    </r>
    <r>
      <rPr>
        <sz val="9"/>
        <color rgb="FF000000"/>
        <rFont val="楷体"/>
        <charset val="134"/>
      </rPr>
      <t>号资产支持专项计划</t>
    </r>
  </si>
  <si>
    <t>2025-04-24</t>
  </si>
  <si>
    <r>
      <rPr>
        <sz val="9"/>
        <color rgb="FF000000"/>
        <rFont val="楷体"/>
        <charset val="134"/>
      </rPr>
      <t>阳光人寿保单贷款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</si>
  <si>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阳光人寿保险股份有限公司</t>
  </si>
  <si>
    <t>阳光保险</t>
  </si>
  <si>
    <r>
      <rPr>
        <sz val="9"/>
        <color rgb="FF000000"/>
        <rFont val="楷体"/>
        <charset val="134"/>
      </rPr>
      <t>诚盈惠泽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</si>
  <si>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太平洋寿险保单贷款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</si>
  <si>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中国太平洋人寿保险股份有限公司</t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</si>
  <si>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平安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众安小贷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</si>
  <si>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t xml:space="preserve"> AAAsf</t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</si>
  <si>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</si>
  <si>
    <t xml:space="preserve"> AA+sf</t>
  </si>
  <si>
    <t xml:space="preserve"> AA-sf</t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</si>
  <si>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熠然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</si>
  <si>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</si>
  <si>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</si>
  <si>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21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</si>
  <si>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京东科技盛煜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</si>
  <si>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程意第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期中小微企业融资支持资产支持专项计划</t>
    </r>
  </si>
  <si>
    <t>重庆携程小额贷款有限公司</t>
  </si>
  <si>
    <r>
      <rPr>
        <sz val="9"/>
        <color rgb="FF000000"/>
        <rFont val="楷体"/>
        <charset val="134"/>
      </rPr>
      <t>财通资管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星朗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</si>
  <si>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乘风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</si>
  <si>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t>2025-05-13</t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</si>
  <si>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美好生活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号资产支持专项计划</t>
    </r>
  </si>
  <si>
    <t>2025-05-15</t>
  </si>
  <si>
    <r>
      <rPr>
        <sz val="9"/>
        <color rgb="FF000000"/>
        <rFont val="楷体"/>
        <charset val="134"/>
      </rPr>
      <t>惠沣凌赫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</si>
  <si>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申万宏源证券资产管理有限公司</t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</si>
  <si>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奇富小贷毓秀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</si>
  <si>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2025-05-09</t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</si>
  <si>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度小满消费分期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</si>
  <si>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</si>
  <si>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建投国君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外贸信托晨泽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</si>
  <si>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</si>
  <si>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京东科技盛煜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</si>
  <si>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禾昱七号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</si>
  <si>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奇富小微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中小微企业支持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</si>
  <si>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京东科技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尚亦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期中小微企业融资支持资产支持专项计划</t>
    </r>
  </si>
  <si>
    <r>
      <rPr>
        <sz val="9"/>
        <color rgb="FF000000"/>
        <rFont val="楷体"/>
        <charset val="134"/>
      </rPr>
      <t>太平洋寿险保单贷款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</si>
  <si>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2025-05-22</t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</si>
  <si>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</si>
  <si>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22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</si>
  <si>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t>2025-05-16</t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</si>
  <si>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美月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号资产支持专项计划</t>
    </r>
  </si>
  <si>
    <t>2025-05-21</t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</si>
  <si>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</si>
  <si>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t>2025-05-20</t>
  </si>
  <si>
    <r>
      <rPr>
        <sz val="9"/>
        <color rgb="FF000000"/>
        <rFont val="楷体"/>
        <charset val="134"/>
      </rPr>
      <t>国君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华泰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华能信托美憬三期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</si>
  <si>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禾昱七号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</si>
  <si>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 xml:space="preserve"> 2025-05-28</t>
  </si>
  <si>
    <r>
      <rPr>
        <sz val="9"/>
        <color rgb="FF000000"/>
        <rFont val="楷体"/>
        <charset val="134"/>
      </rPr>
      <t>铭睿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期中小微企业融资支持资产支持专项计划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</si>
  <si>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乘风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</si>
  <si>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华泰资管毓鸿第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</si>
  <si>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</si>
  <si>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12</t>
    </r>
    <r>
      <rPr>
        <sz val="9"/>
        <color rgb="FF000000"/>
        <rFont val="楷体"/>
        <charset val="134"/>
      </rPr>
      <t>号资产支持专项计划</t>
    </r>
  </si>
  <si>
    <r>
      <rPr>
        <sz val="9"/>
        <rFont val="Times New Roman"/>
        <charset val="134"/>
      </rPr>
      <t xml:space="preserve"> </t>
    </r>
    <r>
      <rPr>
        <sz val="9"/>
        <rFont val="楷体"/>
        <charset val="134"/>
      </rPr>
      <t>招商证券资产管理有限公司</t>
    </r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</si>
  <si>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美满生意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中小微企业融资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</si>
  <si>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华泰资管诚新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</si>
  <si>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京东科技博远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</si>
  <si>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禾昱六号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</si>
  <si>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t>国投证券资产管理有限公司</t>
  </si>
  <si>
    <r>
      <rPr>
        <sz val="9"/>
        <color rgb="FF000000"/>
        <rFont val="楷体"/>
        <charset val="134"/>
      </rPr>
      <t>荟享</t>
    </r>
    <r>
      <rPr>
        <sz val="9"/>
        <color rgb="FF000000"/>
        <rFont val="Times New Roman"/>
        <charset val="134"/>
      </rPr>
      <t>24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</si>
  <si>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度小满消费分期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</si>
  <si>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华鑫信托美满予鑫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</si>
  <si>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次级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</si>
  <si>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次级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</si>
  <si>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</si>
  <si>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度小满消费分期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</si>
  <si>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华泰资管润泽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期中小微企业融资支持资产支持专项计划</t>
    </r>
  </si>
  <si>
    <r>
      <rPr>
        <sz val="9"/>
        <color rgb="FF000000"/>
        <rFont val="楷体"/>
        <charset val="134"/>
      </rPr>
      <t>次级</t>
    </r>
    <r>
      <rPr>
        <sz val="9"/>
        <color rgb="FF000000"/>
        <rFont val="Times New Roman"/>
        <charset val="134"/>
      </rPr>
      <t>A</t>
    </r>
  </si>
  <si>
    <r>
      <rPr>
        <sz val="9"/>
        <color rgb="FF000000"/>
        <rFont val="楷体"/>
        <charset val="134"/>
      </rPr>
      <t>次级</t>
    </r>
    <r>
      <rPr>
        <sz val="9"/>
        <color rgb="FF000000"/>
        <rFont val="Times New Roman"/>
        <charset val="134"/>
      </rPr>
      <t>B</t>
    </r>
  </si>
  <si>
    <r>
      <rPr>
        <sz val="9"/>
        <color rgb="FF000000"/>
        <rFont val="楷体"/>
        <charset val="134"/>
      </rPr>
      <t>广发满泽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</si>
  <si>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</si>
  <si>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国君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华泰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华能信托美憬三期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</si>
  <si>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小满助业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</si>
  <si>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国联证券资产管理有限公司</t>
    </r>
    <r>
      <rPr>
        <sz val="9"/>
        <color rgb="FF000000"/>
        <rFont val="Times New Roman"/>
        <charset val="134"/>
      </rPr>
      <t xml:space="preserve"> </t>
    </r>
  </si>
  <si>
    <r>
      <rPr>
        <sz val="9"/>
        <color rgb="FF000000"/>
        <rFont val="楷体"/>
        <charset val="134"/>
      </rPr>
      <t>铭睿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期中小微企业融资支持资产支持专项计划</t>
    </r>
  </si>
  <si>
    <t>2025-06-17</t>
  </si>
  <si>
    <r>
      <rPr>
        <sz val="9"/>
        <color rgb="FF000000"/>
        <rFont val="楷体"/>
        <charset val="134"/>
      </rPr>
      <t>荟享</t>
    </r>
    <r>
      <rPr>
        <sz val="9"/>
        <color rgb="FF000000"/>
        <rFont val="Times New Roman"/>
        <charset val="134"/>
      </rPr>
      <t>24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</si>
  <si>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2025-06-13</t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</si>
  <si>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奇富小贷毓秀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</si>
  <si>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荟享</t>
    </r>
    <r>
      <rPr>
        <sz val="9"/>
        <color rgb="FF000000"/>
        <rFont val="Times New Roman"/>
        <charset val="134"/>
      </rPr>
      <t>24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</si>
  <si>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t>2025-06-19</t>
  </si>
  <si>
    <r>
      <rPr>
        <sz val="9"/>
        <color rgb="FF000000"/>
        <rFont val="楷体"/>
        <charset val="134"/>
      </rPr>
      <t>财通资管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星朗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</si>
  <si>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乘风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期资产支持专项计划</t>
    </r>
  </si>
  <si>
    <t>2025-06-26</t>
  </si>
  <si>
    <r>
      <rPr>
        <sz val="9"/>
        <color rgb="FF000000"/>
        <rFont val="楷体"/>
        <charset val="134"/>
      </rPr>
      <t>国联满扬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</si>
  <si>
    <t>云南国际信托有限公司</t>
  </si>
  <si>
    <t>2025-06-24</t>
  </si>
  <si>
    <r>
      <rPr>
        <sz val="9"/>
        <color rgb="FF000000"/>
        <rFont val="楷体"/>
        <charset val="134"/>
      </rPr>
      <t>国君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华泰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华能信托美憬三期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号资产支持专项计划</t>
    </r>
  </si>
  <si>
    <r>
      <rPr>
        <sz val="9"/>
        <rFont val="楷体"/>
        <charset val="134"/>
      </rPr>
      <t>次级</t>
    </r>
    <r>
      <rPr>
        <sz val="9"/>
        <rFont val="Times New Roman"/>
        <charset val="134"/>
      </rPr>
      <t>1</t>
    </r>
  </si>
  <si>
    <r>
      <rPr>
        <sz val="9"/>
        <rFont val="楷体"/>
        <charset val="134"/>
      </rPr>
      <t>次级</t>
    </r>
    <r>
      <rPr>
        <sz val="9"/>
        <rFont val="Times New Roman"/>
        <charset val="134"/>
      </rPr>
      <t>2</t>
    </r>
  </si>
  <si>
    <r>
      <rPr>
        <sz val="9"/>
        <color rgb="FF000000"/>
        <rFont val="楷体"/>
        <charset val="134"/>
      </rPr>
      <t>东道十六号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期京东白条应收账款债权资产支持专项计划</t>
    </r>
  </si>
  <si>
    <r>
      <rPr>
        <sz val="9"/>
        <color rgb="FF000000"/>
        <rFont val="楷体"/>
        <charset val="134"/>
      </rPr>
      <t>建投国君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外贸信托晨泽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号资产支持专项计划</t>
    </r>
  </si>
  <si>
    <t>2025-06-20</t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</si>
  <si>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熠然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</si>
  <si>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t>2025-06-23</t>
  </si>
  <si>
    <r>
      <rPr>
        <sz val="9"/>
        <color rgb="FF000000"/>
        <rFont val="楷体"/>
        <charset val="134"/>
      </rPr>
      <t>国金资管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景熠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</si>
  <si>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平安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方正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东煜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</si>
  <si>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上信至盛中小微企业融资支持第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</si>
  <si>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</si>
  <si>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太平洋寿险保单贷款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期资产支持专项计划</t>
    </r>
  </si>
  <si>
    <t>上海海通证券资产管理有限公司</t>
  </si>
  <si>
    <t>2025-06-27</t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</si>
  <si>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17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</si>
  <si>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奇富小贷消费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</si>
  <si>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17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</si>
  <si>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美满生意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中小微企业融资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</si>
  <si>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</si>
  <si>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t>2025-07-03</t>
  </si>
  <si>
    <r>
      <rPr>
        <sz val="9"/>
        <rFont val="楷体"/>
        <charset val="134"/>
      </rPr>
      <t>财通资管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星朗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)(</t>
    </r>
    <r>
      <rPr>
        <sz val="9"/>
        <rFont val="楷体"/>
        <charset val="134"/>
      </rPr>
      <t>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期次</t>
    </r>
    <r>
      <rPr>
        <sz val="9"/>
        <rFont val="Times New Roman"/>
        <charset val="134"/>
      </rPr>
      <t>)</t>
    </r>
  </si>
  <si>
    <r>
      <rPr>
        <sz val="9"/>
        <rFont val="楷体"/>
        <charset val="134"/>
      </rPr>
      <t>耘睿</t>
    </r>
    <r>
      <rPr>
        <sz val="9"/>
        <rFont val="Times New Roman"/>
        <charset val="134"/>
      </rPr>
      <t>22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</si>
  <si>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国联满扬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</t>
    </r>
    <r>
      <rPr>
        <sz val="9"/>
        <rFont val="楷体"/>
        <charset val="134"/>
      </rPr>
      <t>第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期次</t>
    </r>
  </si>
  <si>
    <t>Aasf</t>
  </si>
  <si>
    <r>
      <rPr>
        <sz val="9"/>
        <rFont val="楷体"/>
        <charset val="134"/>
      </rPr>
      <t>京东科技博远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</si>
  <si>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京东科技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尚亦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7</t>
    </r>
    <r>
      <rPr>
        <sz val="9"/>
        <rFont val="楷体"/>
        <charset val="134"/>
      </rPr>
      <t>期中小微企业融资支持资产支持专项计划</t>
    </r>
  </si>
  <si>
    <r>
      <rPr>
        <sz val="9"/>
        <rFont val="楷体"/>
        <charset val="134"/>
      </rPr>
      <t>中金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国投至启中小微企业融资支持第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</si>
  <si>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华鑫信托美满予鑫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</si>
  <si>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国联满运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</si>
  <si>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天风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分期乐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</si>
  <si>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天风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上海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楷体"/>
        <charset val="134"/>
      </rPr>
      <t>证券资产管理有限公司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</si>
  <si>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</si>
  <si>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太平洋寿险保单贷款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</si>
  <si>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泓远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</si>
  <si>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深圳市中融小额贷款有限公司</t>
  </si>
  <si>
    <t>字节跳动</t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</si>
  <si>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泓晟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</si>
  <si>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国联满扬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</si>
  <si>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京东科技盛澜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中小微企业支持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</si>
  <si>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铭睿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期中小微企业融资支持资产支持专项计划</t>
    </r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</si>
  <si>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美月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号资产支持专项计划</t>
    </r>
  </si>
  <si>
    <t>2025-07-24</t>
  </si>
  <si>
    <r>
      <rPr>
        <sz val="9"/>
        <rFont val="楷体"/>
        <charset val="134"/>
      </rPr>
      <t>招商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奇富消费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</si>
  <si>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东方汇智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华鑫至新中小微企业融资支持第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</si>
  <si>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华泰资管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美歆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</si>
  <si>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t>2025-07-25</t>
  </si>
  <si>
    <r>
      <rPr>
        <sz val="9"/>
        <rFont val="楷体"/>
        <charset val="134"/>
      </rPr>
      <t>耘睿</t>
    </r>
    <r>
      <rPr>
        <sz val="9"/>
        <rFont val="Times New Roman"/>
        <charset val="134"/>
      </rPr>
      <t>13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)(</t>
    </r>
    <r>
      <rPr>
        <sz val="9"/>
        <rFont val="楷体"/>
        <charset val="134"/>
      </rPr>
      <t>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期次</t>
    </r>
    <r>
      <rPr>
        <sz val="9"/>
        <rFont val="Times New Roman"/>
        <charset val="134"/>
      </rPr>
      <t>)</t>
    </r>
  </si>
  <si>
    <t>2025-07-23</t>
  </si>
  <si>
    <r>
      <rPr>
        <sz val="9"/>
        <rFont val="楷体"/>
        <charset val="134"/>
      </rPr>
      <t>财通资管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星悦</t>
    </r>
    <r>
      <rPr>
        <sz val="9"/>
        <rFont val="Times New Roman"/>
        <charset val="134"/>
      </rPr>
      <t>13</t>
    </r>
    <r>
      <rPr>
        <sz val="9"/>
        <rFont val="楷体"/>
        <charset val="134"/>
      </rPr>
      <t>期资产支持专项计划</t>
    </r>
  </si>
  <si>
    <t>2025-07-22</t>
  </si>
  <si>
    <r>
      <rPr>
        <sz val="9"/>
        <rFont val="楷体"/>
        <charset val="134"/>
      </rPr>
      <t>荟享</t>
    </r>
    <r>
      <rPr>
        <sz val="9"/>
        <rFont val="Times New Roman"/>
        <charset val="134"/>
      </rPr>
      <t>24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</si>
  <si>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泰康人寿保单贷款第</t>
    </r>
    <r>
      <rPr>
        <sz val="9"/>
        <rFont val="Times New Roman"/>
        <charset val="134"/>
      </rPr>
      <t>10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</si>
  <si>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次优先级</t>
    </r>
  </si>
  <si>
    <t>2025-07-18</t>
  </si>
  <si>
    <r>
      <rPr>
        <sz val="9"/>
        <rFont val="楷体"/>
        <charset val="134"/>
      </rPr>
      <t>华泰资管诚新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</si>
  <si>
    <t>2025-07-21</t>
  </si>
  <si>
    <r>
      <rPr>
        <sz val="9"/>
        <rFont val="楷体"/>
        <charset val="134"/>
      </rPr>
      <t>国金资管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景熠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</t>
    </r>
  </si>
  <si>
    <t>2025-07-30</t>
  </si>
  <si>
    <r>
      <rPr>
        <sz val="9"/>
        <rFont val="楷体"/>
        <charset val="134"/>
      </rPr>
      <t>招商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祈恒一号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</t>
    </r>
  </si>
  <si>
    <t>2025-07-31</t>
  </si>
  <si>
    <r>
      <rPr>
        <sz val="9"/>
        <rFont val="楷体"/>
        <charset val="134"/>
      </rPr>
      <t>京东科技博远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</si>
  <si>
    <t>2025-08-01</t>
  </si>
  <si>
    <r>
      <rPr>
        <sz val="9"/>
        <rFont val="楷体"/>
        <charset val="134"/>
      </rPr>
      <t>京东科技荟享</t>
    </r>
    <r>
      <rPr>
        <sz val="9"/>
        <rFont val="Times New Roman"/>
        <charset val="134"/>
      </rPr>
      <t>18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</t>
    </r>
    <r>
      <rPr>
        <sz val="9"/>
        <rFont val="楷体"/>
        <charset val="134"/>
      </rPr>
      <t>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期次</t>
    </r>
  </si>
  <si>
    <t>2025-07-29</t>
  </si>
  <si>
    <r>
      <rPr>
        <sz val="9"/>
        <rFont val="楷体"/>
        <charset val="134"/>
      </rPr>
      <t>东道十六号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期京东白条应收账款债权绿色资产支持专项计划</t>
    </r>
  </si>
  <si>
    <r>
      <rPr>
        <sz val="9"/>
        <rFont val="楷体"/>
        <charset val="134"/>
      </rPr>
      <t>华泰资管鹏远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</si>
  <si>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平安证券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东煊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)(</t>
    </r>
    <r>
      <rPr>
        <sz val="9"/>
        <rFont val="楷体"/>
        <charset val="134"/>
      </rPr>
      <t>第二期次</t>
    </r>
    <r>
      <rPr>
        <sz val="9"/>
        <rFont val="Times New Roman"/>
        <charset val="134"/>
      </rPr>
      <t>)</t>
    </r>
  </si>
  <si>
    <t>2025-08-08</t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</si>
  <si>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18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</si>
  <si>
    <t>2025-08-07</t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</si>
  <si>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熠月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</si>
  <si>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华泰资管诚新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</si>
  <si>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t>2025-08-06</t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</si>
  <si>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</si>
  <si>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国信证券资产管理有限公司</t>
  </si>
  <si>
    <r>
      <rPr>
        <sz val="9"/>
        <color rgb="FF000000"/>
        <rFont val="楷体"/>
        <charset val="134"/>
      </rPr>
      <t>建投国君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外贸信托晨泽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</si>
  <si>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禾昱七号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</si>
  <si>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18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</si>
  <si>
    <r>
      <rPr>
        <sz val="9"/>
        <color rgb="FF000000"/>
        <rFont val="楷体"/>
        <charset val="134"/>
      </rPr>
      <t>华泰资管鹏远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</si>
  <si>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天风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惠享添诚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</si>
  <si>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国联满扬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</si>
  <si>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世纪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厦门恒鑫小贷第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乡村振兴</t>
    </r>
    <r>
      <rPr>
        <sz val="9"/>
        <color rgb="FF000000"/>
        <rFont val="Times New Roman"/>
        <charset val="134"/>
      </rPr>
      <t>)</t>
    </r>
  </si>
  <si>
    <t>厦门恒鑫小额贷款有限公司</t>
  </si>
  <si>
    <t>世纪证券有限责任公司</t>
  </si>
  <si>
    <t>厦门恒鑫小贷</t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</si>
  <si>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奇富小贷消费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</si>
  <si>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国联满扬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</si>
  <si>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B2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</si>
  <si>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泓远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</si>
  <si>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泓晟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</si>
  <si>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2025-08-21</t>
  </si>
  <si>
    <r>
      <rPr>
        <sz val="9"/>
        <rFont val="楷体"/>
        <charset val="134"/>
      </rPr>
      <t>中金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国投至启中小微企业融资支持第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</si>
  <si>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国金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锦盛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号资产支持专项计划</t>
    </r>
  </si>
  <si>
    <t>2025-08-20</t>
  </si>
  <si>
    <r>
      <rPr>
        <sz val="9"/>
        <rFont val="楷体"/>
        <charset val="134"/>
      </rPr>
      <t>耘睿</t>
    </r>
    <r>
      <rPr>
        <sz val="9"/>
        <rFont val="Times New Roman"/>
        <charset val="134"/>
      </rPr>
      <t>23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</si>
  <si>
    <t>2025-08-22</t>
  </si>
  <si>
    <r>
      <rPr>
        <sz val="9"/>
        <rFont val="楷体"/>
        <charset val="134"/>
      </rPr>
      <t>耘睿</t>
    </r>
    <r>
      <rPr>
        <sz val="9"/>
        <rFont val="Times New Roman"/>
        <charset val="134"/>
      </rPr>
      <t>15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)(</t>
    </r>
    <r>
      <rPr>
        <sz val="9"/>
        <rFont val="楷体"/>
        <charset val="134"/>
      </rPr>
      <t>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期次</t>
    </r>
    <r>
      <rPr>
        <sz val="9"/>
        <rFont val="Times New Roman"/>
        <charset val="134"/>
      </rPr>
      <t>)</t>
    </r>
  </si>
  <si>
    <r>
      <rPr>
        <sz val="9"/>
        <rFont val="楷体"/>
        <charset val="134"/>
      </rPr>
      <t>华泰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澜睦一号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</t>
    </r>
  </si>
  <si>
    <t>2025-08-19</t>
  </si>
  <si>
    <r>
      <rPr>
        <sz val="9"/>
        <rFont val="楷体"/>
        <charset val="134"/>
      </rPr>
      <t>天风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启悦</t>
    </r>
    <r>
      <rPr>
        <sz val="9"/>
        <rFont val="Times New Roman"/>
        <charset val="134"/>
      </rPr>
      <t>16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</si>
  <si>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中信证券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上信至盛中小微企业融资支持第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</si>
  <si>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中信证券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奇富小微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中小微企业融资支持</t>
    </r>
    <r>
      <rPr>
        <sz val="9"/>
        <rFont val="Times New Roman"/>
        <charset val="134"/>
      </rPr>
      <t>)</t>
    </r>
  </si>
  <si>
    <t>2025-08-15</t>
  </si>
  <si>
    <r>
      <rPr>
        <sz val="9"/>
        <rFont val="楷体"/>
        <charset val="134"/>
      </rPr>
      <t>招商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祈恒一号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</t>
    </r>
  </si>
  <si>
    <r>
      <rPr>
        <sz val="9"/>
        <rFont val="楷体"/>
        <charset val="134"/>
      </rPr>
      <t>平安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方正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东煜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</si>
  <si>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东方汇智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华鑫至新中小微企业融资支持第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</si>
  <si>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东方汇智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华鑫至新中小微企业融资支持第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</si>
  <si>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招证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美好生活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号资产支持专项计划</t>
    </r>
  </si>
  <si>
    <r>
      <rPr>
        <sz val="9"/>
        <rFont val="楷体"/>
        <charset val="134"/>
      </rPr>
      <t>中金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携程小贷拿去花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</si>
  <si>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京东科技荟享</t>
    </r>
    <r>
      <rPr>
        <sz val="9"/>
        <rFont val="Times New Roman"/>
        <charset val="134"/>
      </rPr>
      <t>17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)(</t>
    </r>
    <r>
      <rPr>
        <sz val="9"/>
        <rFont val="楷体"/>
        <charset val="134"/>
      </rPr>
      <t>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期次</t>
    </r>
    <r>
      <rPr>
        <sz val="9"/>
        <rFont val="Times New Roman"/>
        <charset val="134"/>
      </rPr>
      <t>)</t>
    </r>
  </si>
  <si>
    <r>
      <rPr>
        <sz val="9"/>
        <rFont val="楷体"/>
        <charset val="134"/>
      </rPr>
      <t>招证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美月</t>
    </r>
    <r>
      <rPr>
        <sz val="9"/>
        <rFont val="Times New Roman"/>
        <charset val="134"/>
      </rPr>
      <t>2023</t>
    </r>
    <r>
      <rPr>
        <sz val="9"/>
        <rFont val="楷体"/>
        <charset val="134"/>
      </rPr>
      <t>年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号资产支持专项计划</t>
    </r>
  </si>
  <si>
    <r>
      <rPr>
        <sz val="9"/>
        <rFont val="楷体"/>
        <charset val="134"/>
      </rPr>
      <t>国联满扬</t>
    </r>
    <r>
      <rPr>
        <sz val="9"/>
        <rFont val="Times New Roman"/>
        <charset val="134"/>
      </rPr>
      <t>8</t>
    </r>
    <r>
      <rPr>
        <sz val="9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</si>
  <si>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天风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惠享添诚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</si>
  <si>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17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</si>
  <si>
    <r>
      <rPr>
        <sz val="9"/>
        <color rgb="FF000000"/>
        <rFont val="楷体"/>
        <charset val="134"/>
      </rPr>
      <t>东道十八号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期京东白条应收账款债权资产支持专项计划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</si>
  <si>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惠成一号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</si>
  <si>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平安证券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东煊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第二期次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</si>
  <si>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国投至启中小微企业融资支持第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</si>
  <si>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国君满诚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</si>
  <si>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平安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方正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东煜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</si>
  <si>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新华保险保单贷款求进系列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</si>
  <si>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度小满消费分期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</si>
  <si>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人保资产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人保寿险保单质押贷款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</si>
  <si>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中国人民人寿保险股份有限公司</t>
  </si>
  <si>
    <t>中国人保资产管理有限公司</t>
  </si>
  <si>
    <t>人保寿险</t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</si>
  <si>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</si>
  <si>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上海信托圆满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</si>
  <si>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国投至启中小微企业融资支持第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</si>
  <si>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京东科技盛赢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</si>
  <si>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财通资管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星享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</si>
  <si>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2025-09-05</t>
  </si>
  <si>
    <r>
      <rPr>
        <sz val="9"/>
        <color rgb="FF000000"/>
        <rFont val="楷体"/>
        <charset val="134"/>
      </rPr>
      <t>国联满扬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</si>
  <si>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2025-09-09</t>
  </si>
  <si>
    <r>
      <rPr>
        <sz val="9"/>
        <rFont val="楷体"/>
        <charset val="134"/>
      </rPr>
      <t>东道十八号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期京东白条应收账款债权资产支持专项计划</t>
    </r>
  </si>
  <si>
    <r>
      <rPr>
        <sz val="9"/>
        <rFont val="楷体"/>
        <charset val="134"/>
      </rPr>
      <t>京东科技荟享</t>
    </r>
    <r>
      <rPr>
        <sz val="9"/>
        <rFont val="Times New Roman"/>
        <charset val="134"/>
      </rPr>
      <t>17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)(</t>
    </r>
    <r>
      <rPr>
        <sz val="9"/>
        <rFont val="楷体"/>
        <charset val="134"/>
      </rPr>
      <t>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期次</t>
    </r>
    <r>
      <rPr>
        <sz val="9"/>
        <rFont val="Times New Roman"/>
        <charset val="134"/>
      </rPr>
      <t>)</t>
    </r>
  </si>
  <si>
    <t>2025-09-02</t>
  </si>
  <si>
    <r>
      <rPr>
        <sz val="9"/>
        <rFont val="楷体"/>
        <charset val="134"/>
      </rPr>
      <t>荟享</t>
    </r>
    <r>
      <rPr>
        <sz val="9"/>
        <rFont val="Times New Roman"/>
        <charset val="134"/>
      </rPr>
      <t>25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</si>
  <si>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财通资管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星悦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</si>
  <si>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泓晟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中小微企业融资支持</t>
    </r>
    <r>
      <rPr>
        <sz val="9"/>
        <color rgb="FF000000"/>
        <rFont val="Times New Roman"/>
        <charset val="134"/>
      </rPr>
      <t>)</t>
    </r>
  </si>
  <si>
    <t xml:space="preserve">深圳市中融小额贷款有限公司 </t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</si>
  <si>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18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</si>
  <si>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国联满扬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</si>
  <si>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度小满消费分期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</si>
  <si>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东方汇智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华鑫至新中小微企业融资支持第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</si>
  <si>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东方汇智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华鑫至新中小微企业融资支持第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</si>
  <si>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</si>
  <si>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华泰资管鹏远3期资产支持专项计划</t>
  </si>
  <si>
    <r>
      <rPr>
        <sz val="9"/>
        <color rgb="FF000000"/>
        <rFont val="楷体"/>
        <charset val="134"/>
      </rPr>
      <t>华泰资管鹏远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</si>
  <si>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t>2025-09-18</t>
  </si>
  <si>
    <r>
      <rPr>
        <sz val="9"/>
        <rFont val="楷体"/>
        <charset val="134"/>
      </rPr>
      <t>招商证券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华鑫信托美满予鑫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</si>
  <si>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上海</t>
    </r>
  </si>
  <si>
    <r>
      <rPr>
        <sz val="9"/>
        <rFont val="楷体"/>
        <charset val="134"/>
      </rPr>
      <t>华鑫国际信托有限公司</t>
    </r>
  </si>
  <si>
    <r>
      <rPr>
        <sz val="9"/>
        <rFont val="楷体"/>
        <charset val="134"/>
      </rPr>
      <t>招商证券资产管理有限公司</t>
    </r>
  </si>
  <si>
    <t>2025-09-17</t>
  </si>
  <si>
    <r>
      <rPr>
        <sz val="9"/>
        <rFont val="楷体"/>
        <charset val="134"/>
      </rPr>
      <t>耘睿</t>
    </r>
    <r>
      <rPr>
        <sz val="9"/>
        <rFont val="Times New Roman"/>
        <charset val="134"/>
      </rPr>
      <t>24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</si>
  <si>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上海国泰海通证券资产管理有限公司</t>
    </r>
  </si>
  <si>
    <r>
      <rPr>
        <sz val="9"/>
        <rFont val="楷体"/>
        <charset val="134"/>
      </rPr>
      <t>国联满运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号中小微企业融资支持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</si>
  <si>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中国对外经济贸易信托有限公司</t>
    </r>
  </si>
  <si>
    <r>
      <rPr>
        <sz val="9"/>
        <rFont val="楷体"/>
        <charset val="134"/>
      </rPr>
      <t>国联证券资产管理有限公司</t>
    </r>
  </si>
  <si>
    <t>2025-09-16</t>
  </si>
  <si>
    <r>
      <rPr>
        <sz val="9"/>
        <rFont val="楷体"/>
        <charset val="134"/>
      </rPr>
      <t>中信证券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上信至盛中小微企业融资支持第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</si>
  <si>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上海国际信托有限公司</t>
    </r>
  </si>
  <si>
    <r>
      <rPr>
        <sz val="9"/>
        <rFont val="楷体"/>
        <charset val="134"/>
      </rPr>
      <t>中信证券股份有限公司</t>
    </r>
  </si>
  <si>
    <r>
      <rPr>
        <sz val="9"/>
        <rFont val="楷体"/>
        <charset val="134"/>
      </rPr>
      <t>天风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隆携小贷</t>
    </r>
    <r>
      <rPr>
        <sz val="9"/>
        <rFont val="Times New Roman"/>
        <charset val="134"/>
      </rPr>
      <t>5G</t>
    </r>
    <r>
      <rPr>
        <sz val="9"/>
        <rFont val="楷体"/>
        <charset val="134"/>
      </rPr>
      <t>新消费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提振消费</t>
    </r>
    <r>
      <rPr>
        <sz val="9"/>
        <rFont val="Times New Roman"/>
        <charset val="134"/>
      </rPr>
      <t>)</t>
    </r>
  </si>
  <si>
    <r>
      <rPr>
        <sz val="9"/>
        <rFont val="楷体"/>
        <charset val="134"/>
      </rPr>
      <t>深圳</t>
    </r>
  </si>
  <si>
    <r>
      <rPr>
        <sz val="9"/>
        <rFont val="楷体"/>
        <charset val="134"/>
      </rPr>
      <t>重庆隆携小额贷款有限公司</t>
    </r>
  </si>
  <si>
    <t>隆携小贷</t>
  </si>
  <si>
    <r>
      <rPr>
        <sz val="9"/>
        <rFont val="楷体"/>
        <charset val="134"/>
      </rPr>
      <t>中信证券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顺丰小贷第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</si>
  <si>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深圳市顺丰合丰小额贷款有限公司</t>
    </r>
  </si>
  <si>
    <t>顺丰</t>
  </si>
  <si>
    <r>
      <rPr>
        <sz val="9"/>
        <rFont val="楷体"/>
        <charset val="134"/>
      </rPr>
      <t>中信证券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泓远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</si>
  <si>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深圳市中融小额贷款有限公司</t>
    </r>
  </si>
  <si>
    <r>
      <rPr>
        <sz val="9"/>
        <rFont val="楷体"/>
        <charset val="134"/>
      </rPr>
      <t>广发满珩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</si>
  <si>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重庆度小满小额贷款有限公司</t>
    </r>
  </si>
  <si>
    <r>
      <rPr>
        <sz val="9"/>
        <rFont val="楷体"/>
        <charset val="134"/>
      </rPr>
      <t>京东科技荟享</t>
    </r>
    <r>
      <rPr>
        <sz val="9"/>
        <rFont val="Times New Roman"/>
        <charset val="134"/>
      </rPr>
      <t>18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</t>
    </r>
    <r>
      <rPr>
        <sz val="9"/>
        <rFont val="楷体"/>
        <charset val="134"/>
      </rPr>
      <t>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期次</t>
    </r>
  </si>
  <si>
    <r>
      <rPr>
        <sz val="9"/>
        <rFont val="楷体"/>
        <charset val="134"/>
      </rPr>
      <t>厦门国际信托有限公司</t>
    </r>
  </si>
  <si>
    <r>
      <rPr>
        <sz val="9"/>
        <rFont val="楷体"/>
        <charset val="134"/>
      </rPr>
      <t>东方汇智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朗煜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号中小微企业融资支持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</si>
  <si>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华能贵诚信托有限公司</t>
    </r>
  </si>
  <si>
    <r>
      <rPr>
        <sz val="9"/>
        <rFont val="楷体"/>
        <charset val="134"/>
      </rPr>
      <t>东方汇智资产管理有限公司</t>
    </r>
  </si>
  <si>
    <t>2025-09-10</t>
  </si>
  <si>
    <r>
      <rPr>
        <sz val="9"/>
        <rFont val="楷体"/>
        <charset val="134"/>
      </rPr>
      <t>国金资管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景熠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号中小微企业融资支持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)(</t>
    </r>
    <r>
      <rPr>
        <sz val="9"/>
        <rFont val="楷体"/>
        <charset val="134"/>
      </rPr>
      <t>第二期次</t>
    </r>
    <r>
      <rPr>
        <sz val="9"/>
        <rFont val="Times New Roman"/>
        <charset val="134"/>
      </rPr>
      <t>)</t>
    </r>
  </si>
  <si>
    <r>
      <rPr>
        <sz val="9"/>
        <rFont val="楷体"/>
        <charset val="134"/>
      </rPr>
      <t>中粮信托有限责任公司</t>
    </r>
  </si>
  <si>
    <r>
      <rPr>
        <sz val="9"/>
        <rFont val="楷体"/>
        <charset val="134"/>
      </rPr>
      <t>国金证券资产管理有限公司</t>
    </r>
  </si>
  <si>
    <t>2025-09-12</t>
  </si>
  <si>
    <r>
      <rPr>
        <sz val="9"/>
        <rFont val="楷体"/>
        <charset val="134"/>
      </rPr>
      <t>华泰资管鹏远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</si>
  <si>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耘睿</t>
    </r>
    <r>
      <rPr>
        <sz val="9"/>
        <rFont val="Times New Roman"/>
        <charset val="134"/>
      </rPr>
      <t>23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</si>
  <si>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中信建投证券股份有限公司</t>
    </r>
  </si>
  <si>
    <r>
      <rPr>
        <sz val="9"/>
        <rFont val="楷体"/>
        <charset val="134"/>
      </rPr>
      <t>招证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美月</t>
    </r>
    <r>
      <rPr>
        <sz val="9"/>
        <rFont val="Times New Roman"/>
        <charset val="134"/>
      </rPr>
      <t>2023</t>
    </r>
    <r>
      <rPr>
        <sz val="9"/>
        <rFont val="楷体"/>
        <charset val="134"/>
      </rPr>
      <t>年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</t>
    </r>
    <r>
      <rPr>
        <sz val="9"/>
        <rFont val="Times New Roman"/>
        <charset val="134"/>
      </rPr>
      <t>6</t>
    </r>
    <r>
      <rPr>
        <sz val="9"/>
        <rFont val="楷体"/>
        <charset val="134"/>
      </rPr>
      <t>号资产支持专项计划</t>
    </r>
  </si>
  <si>
    <r>
      <rPr>
        <sz val="9"/>
        <rFont val="楷体"/>
        <charset val="134"/>
      </rPr>
      <t>重庆美团三快小额贷款有限公司</t>
    </r>
  </si>
  <si>
    <r>
      <rPr>
        <sz val="9"/>
        <rFont val="楷体"/>
        <charset val="134"/>
      </rPr>
      <t>中信证券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美好生活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号资产支持专项计划</t>
    </r>
  </si>
  <si>
    <r>
      <rPr>
        <sz val="9"/>
        <rFont val="楷体"/>
        <charset val="134"/>
      </rPr>
      <t>山证汇通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炽诚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号中小微企业融资支持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</si>
  <si>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山证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上海</t>
    </r>
    <r>
      <rPr>
        <sz val="9"/>
        <rFont val="Times New Roman"/>
        <charset val="134"/>
      </rPr>
      <t>)</t>
    </r>
    <r>
      <rPr>
        <sz val="9"/>
        <rFont val="楷体"/>
        <charset val="134"/>
      </rPr>
      <t>资产管理有限公司</t>
    </r>
  </si>
  <si>
    <t>2025-09-25</t>
  </si>
  <si>
    <r>
      <rPr>
        <sz val="9"/>
        <rFont val="楷体"/>
        <charset val="134"/>
      </rPr>
      <t>国联满扬</t>
    </r>
    <r>
      <rPr>
        <sz val="9"/>
        <rFont val="Times New Roman"/>
        <charset val="134"/>
      </rPr>
      <t>9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</si>
  <si>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中诚信托有限责任公司</t>
    </r>
  </si>
  <si>
    <t>2025-09-24</t>
  </si>
  <si>
    <r>
      <rPr>
        <sz val="9"/>
        <rFont val="楷体"/>
        <charset val="134"/>
      </rPr>
      <t>新华保险保单贷款求实系列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</si>
  <si>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新华人寿保险股份有限公司</t>
    </r>
  </si>
  <si>
    <r>
      <rPr>
        <sz val="9"/>
        <rFont val="楷体"/>
        <charset val="134"/>
      </rPr>
      <t>耘睿</t>
    </r>
    <r>
      <rPr>
        <sz val="9"/>
        <rFont val="Times New Roman"/>
        <charset val="134"/>
      </rPr>
      <t>24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</si>
  <si>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财通证券资产管理有限公司</t>
    </r>
  </si>
  <si>
    <r>
      <rPr>
        <sz val="9"/>
        <rFont val="楷体"/>
        <charset val="134"/>
      </rPr>
      <t>京东科技盛赢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</si>
  <si>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重庆京东盛际小额贷款有限公司</t>
    </r>
  </si>
  <si>
    <t>2025-09-23</t>
  </si>
  <si>
    <r>
      <rPr>
        <sz val="9"/>
        <rFont val="楷体"/>
        <charset val="134"/>
      </rPr>
      <t>中信证券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上信至盛中小微企业融资支持第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</si>
  <si>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国联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奇富小微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中小微企业支持</t>
    </r>
    <r>
      <rPr>
        <sz val="9"/>
        <rFont val="Times New Roman"/>
        <charset val="134"/>
      </rPr>
      <t>)</t>
    </r>
  </si>
  <si>
    <r>
      <rPr>
        <sz val="9"/>
        <rFont val="楷体"/>
        <charset val="134"/>
      </rPr>
      <t>国投泰康信托有限公司</t>
    </r>
  </si>
  <si>
    <r>
      <rPr>
        <sz val="9"/>
        <rFont val="楷体"/>
        <charset val="134"/>
      </rPr>
      <t>京东科技博远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</si>
  <si>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t>2025-09-19</t>
  </si>
  <si>
    <r>
      <rPr>
        <sz val="9"/>
        <rFont val="楷体"/>
        <charset val="134"/>
      </rPr>
      <t>国金资管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景熠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</t>
    </r>
  </si>
  <si>
    <r>
      <rPr>
        <sz val="9"/>
        <rFont val="楷体"/>
        <charset val="134"/>
      </rPr>
      <t>招商证券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华能惠沣嘉安第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</si>
  <si>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天风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惠享添诚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</si>
  <si>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重庆众安小额贷款有限公司</t>
    </r>
  </si>
  <si>
    <r>
      <rPr>
        <sz val="9"/>
        <rFont val="楷体"/>
        <charset val="134"/>
      </rPr>
      <t>铭睿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期中小微企业融资支持资产支持专项计划</t>
    </r>
  </si>
  <si>
    <r>
      <rPr>
        <sz val="9"/>
        <rFont val="楷体"/>
        <charset val="134"/>
      </rPr>
      <t>中金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惠成一号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</si>
  <si>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深圳市财付通网络金融小额贷款有限公司</t>
    </r>
  </si>
  <si>
    <r>
      <rPr>
        <sz val="9"/>
        <rFont val="楷体"/>
        <charset val="134"/>
      </rPr>
      <t>中国国际金融股份有限公司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</si>
  <si>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上信至嘉中小微企业融资支持第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</si>
  <si>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上海</t>
    </r>
  </si>
  <si>
    <r>
      <rPr>
        <sz val="9"/>
        <color rgb="FF000000"/>
        <rFont val="楷体"/>
        <charset val="134"/>
      </rPr>
      <t>上海国际信托有限公司</t>
    </r>
  </si>
  <si>
    <r>
      <rPr>
        <sz val="9"/>
        <color rgb="FF000000"/>
        <rFont val="楷体"/>
        <charset val="134"/>
      </rPr>
      <t>中信证券股份有限公司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</si>
  <si>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上信至嘉中小微企业融资支持第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</si>
  <si>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t>2025-09-30</t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</si>
  <si>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上信至嘉中小微企业融资支持第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</si>
  <si>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</si>
  <si>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t>2025-09-26</t>
  </si>
  <si>
    <r>
      <rPr>
        <sz val="9"/>
        <color rgb="FF000000"/>
        <rFont val="楷体"/>
        <charset val="134"/>
      </rPr>
      <t>招商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祈恒一号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</si>
  <si>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华鑫信托美满予鑫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</si>
  <si>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铭睿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期中小微企业融资支持资产支持专项计划</t>
    </r>
  </si>
  <si>
    <t>华泰资管诚新4期资产支持专项计划</t>
  </si>
  <si>
    <r>
      <rPr>
        <sz val="9"/>
        <rFont val="楷体"/>
        <charset val="134"/>
      </rPr>
      <t>优先</t>
    </r>
    <r>
      <rPr>
        <sz val="9"/>
        <rFont val="Times New Roman"/>
        <charset val="134"/>
      </rPr>
      <t>A-1</t>
    </r>
    <r>
      <rPr>
        <sz val="9"/>
        <rFont val="楷体"/>
        <charset val="134"/>
      </rPr>
      <t>级</t>
    </r>
  </si>
  <si>
    <r>
      <rPr>
        <sz val="9"/>
        <rFont val="楷体"/>
        <charset val="134"/>
      </rPr>
      <t>优先</t>
    </r>
    <r>
      <rPr>
        <sz val="9"/>
        <rFont val="Times New Roman"/>
        <charset val="134"/>
      </rPr>
      <t>A-2</t>
    </r>
    <r>
      <rPr>
        <sz val="9"/>
        <rFont val="楷体"/>
        <charset val="134"/>
      </rPr>
      <t>级</t>
    </r>
  </si>
  <si>
    <r>
      <rPr>
        <sz val="9"/>
        <color rgb="FF000000"/>
        <rFont val="楷体"/>
        <charset val="134"/>
      </rPr>
      <t>华泰资管诚新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</si>
  <si>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国联满运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</si>
  <si>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尚亦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期中小微企业融资支持资产支持专项计划</t>
    </r>
  </si>
  <si>
    <r>
      <rPr>
        <sz val="9"/>
        <color rgb="FF000000"/>
        <rFont val="楷体"/>
        <charset val="134"/>
      </rPr>
      <t>华泰资管诚新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</si>
  <si>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r>
      <rPr>
        <sz val="9"/>
        <rFont val="楷体"/>
        <charset val="134"/>
      </rPr>
      <t>优先</t>
    </r>
    <r>
      <rPr>
        <sz val="9"/>
        <color rgb="FF000000"/>
        <rFont val="Times New Roman"/>
        <charset val="134"/>
      </rPr>
      <t>A1</t>
    </r>
    <r>
      <rPr>
        <sz val="9"/>
        <color rgb="FF000000"/>
        <rFont val="楷体"/>
        <charset val="134"/>
      </rPr>
      <t>级</t>
    </r>
  </si>
  <si>
    <r>
      <rPr>
        <sz val="9"/>
        <rFont val="楷体"/>
        <charset val="134"/>
      </rPr>
      <t>优先</t>
    </r>
    <r>
      <rPr>
        <sz val="9"/>
        <color rgb="FF000000"/>
        <rFont val="Times New Roman"/>
        <charset val="134"/>
      </rPr>
      <t>A2</t>
    </r>
    <r>
      <rPr>
        <sz val="9"/>
        <color rgb="FF000000"/>
        <rFont val="楷体"/>
        <charset val="134"/>
      </rPr>
      <t>级</t>
    </r>
  </si>
  <si>
    <r>
      <rPr>
        <sz val="9"/>
        <rFont val="楷体"/>
        <charset val="134"/>
      </rPr>
      <t>优先</t>
    </r>
    <r>
      <rPr>
        <sz val="9"/>
        <color rgb="FF000000"/>
        <rFont val="Times New Roman"/>
        <charset val="134"/>
      </rPr>
      <t>B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</si>
  <si>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贵诚惠及5期资产支持专项计划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</si>
  <si>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启臻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期中小微企业融资支持资产支持专项计划</t>
    </r>
  </si>
  <si>
    <r>
      <rPr>
        <sz val="9"/>
        <rFont val="楷体"/>
        <charset val="134"/>
      </rPr>
      <t>优先</t>
    </r>
    <r>
      <rPr>
        <sz val="9"/>
        <color rgb="FF000000"/>
        <rFont val="Times New Roman"/>
        <charset val="134"/>
      </rPr>
      <t>A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</si>
  <si>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华泰资管毓鸿第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</si>
  <si>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rFont val="楷体"/>
        <charset val="134"/>
      </rPr>
      <t>优先</t>
    </r>
    <r>
      <rPr>
        <sz val="9"/>
        <color rgb="FF000000"/>
        <rFont val="Times New Roman"/>
        <charset val="134"/>
      </rPr>
      <t>C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</si>
  <si>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天风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惠享添诚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</si>
  <si>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rFont val="楷体"/>
        <charset val="134"/>
      </rPr>
      <t>中信证券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泓远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</si>
  <si>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泓晟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号第4期资产支持专项计划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中小微企业融资支持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</si>
  <si>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东道十五号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期京东白条应收账款债权资产支持专项计划</t>
    </r>
  </si>
  <si>
    <r>
      <rPr>
        <sz val="9"/>
        <color rgb="FF000000"/>
        <rFont val="楷体"/>
        <charset val="134"/>
      </rPr>
      <t>华泰资管诚远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</si>
  <si>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A-1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</si>
  <si>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A-2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</si>
  <si>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</si>
  <si>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t>2025-10-23</t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</si>
  <si>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熠月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</si>
  <si>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次级</t>
    </r>
    <r>
      <rPr>
        <sz val="9"/>
        <color rgb="FF000000"/>
        <rFont val="Times New Roman"/>
        <charset val="134"/>
      </rPr>
      <t>A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</si>
  <si>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次级</t>
    </r>
    <r>
      <rPr>
        <sz val="9"/>
        <color rgb="FF000000"/>
        <rFont val="Times New Roman"/>
        <charset val="134"/>
      </rPr>
      <t>B</t>
    </r>
    <r>
      <rPr>
        <sz val="9"/>
        <color rgb="FF000000"/>
        <rFont val="楷体"/>
        <charset val="134"/>
      </rPr>
      <t>级</t>
    </r>
  </si>
  <si>
    <t>2025-10-21</t>
  </si>
  <si>
    <r>
      <rPr>
        <sz val="9"/>
        <color rgb="FF000000"/>
        <rFont val="楷体"/>
        <charset val="134"/>
      </rPr>
      <t>东道十五号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期京东白条应收账款债权资产支持专项计划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</si>
  <si>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乘风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</si>
  <si>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优先</t>
    </r>
    <r>
      <rPr>
        <sz val="9"/>
        <rFont val="Times New Roman"/>
        <charset val="134"/>
      </rPr>
      <t>A</t>
    </r>
    <r>
      <rPr>
        <sz val="9"/>
        <rFont val="楷体"/>
        <charset val="134"/>
      </rPr>
      <t>级</t>
    </r>
  </si>
  <si>
    <r>
      <rPr>
        <sz val="9"/>
        <color rgb="FF000000"/>
        <rFont val="楷体"/>
        <charset val="134"/>
      </rPr>
      <t>优先</t>
    </r>
    <r>
      <rPr>
        <sz val="9"/>
        <rFont val="Times New Roman"/>
        <charset val="134"/>
      </rPr>
      <t>B</t>
    </r>
    <r>
      <rPr>
        <sz val="9"/>
        <rFont val="楷体"/>
        <charset val="134"/>
      </rPr>
      <t>级</t>
    </r>
  </si>
  <si>
    <r>
      <rPr>
        <sz val="9"/>
        <color rgb="FF000000"/>
        <rFont val="楷体"/>
        <charset val="134"/>
      </rPr>
      <t>太平洋寿险保单贷款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</si>
  <si>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次级</t>
    </r>
    <r>
      <rPr>
        <sz val="9"/>
        <color rgb="FF000000"/>
        <rFont val="Times New Roman"/>
        <charset val="134"/>
      </rPr>
      <t>C</t>
    </r>
  </si>
  <si>
    <r>
      <rPr>
        <sz val="9"/>
        <color rgb="FF000000"/>
        <rFont val="楷体"/>
        <charset val="134"/>
      </rPr>
      <t>国君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华泰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华能信托美憬三期</t>
    </r>
    <r>
      <rPr>
        <sz val="9"/>
        <color rgb="FF000000"/>
        <rFont val="Times New Roman"/>
        <charset val="134"/>
      </rPr>
      <t>9</t>
    </r>
    <r>
      <rPr>
        <sz val="9"/>
        <color rgb="FF000000"/>
        <rFont val="楷体"/>
        <charset val="134"/>
      </rPr>
      <t>号资产支持专项计划</t>
    </r>
  </si>
  <si>
    <t>2025-10-17</t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</si>
  <si>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弘拓第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</si>
  <si>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美好生活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号资产支持专项计划</t>
    </r>
  </si>
  <si>
    <t>2025-10-30</t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</si>
  <si>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度小满金融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</si>
  <si>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深圳</t>
    </r>
  </si>
  <si>
    <r>
      <rPr>
        <sz val="9"/>
        <color rgb="FF000000"/>
        <rFont val="楷体"/>
        <charset val="134"/>
      </rPr>
      <t>重庆度小满小额贷款有限公司</t>
    </r>
  </si>
  <si>
    <r>
      <rPr>
        <sz val="9"/>
        <color rgb="FF000000"/>
        <rFont val="楷体"/>
        <charset val="134"/>
      </rPr>
      <t>国联证券资产管理有限公司</t>
    </r>
  </si>
  <si>
    <r>
      <rPr>
        <sz val="9"/>
        <color rgb="FF000000"/>
        <rFont val="楷体"/>
        <charset val="134"/>
      </rPr>
      <t>华泰资管诚远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</si>
  <si>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华能贵诚信托有限公司</t>
    </r>
  </si>
  <si>
    <t>2025-10-31</t>
  </si>
  <si>
    <r>
      <rPr>
        <sz val="9"/>
        <color rgb="FF000000"/>
        <rFont val="楷体"/>
        <charset val="134"/>
      </rPr>
      <t>财通资管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普享第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</si>
  <si>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中国对外经济贸易信托有限公司</t>
    </r>
  </si>
  <si>
    <r>
      <rPr>
        <sz val="9"/>
        <color rgb="FF000000"/>
        <rFont val="楷体"/>
        <charset val="134"/>
      </rPr>
      <t>财通证券资产管理有限公司</t>
    </r>
  </si>
  <si>
    <r>
      <rPr>
        <sz val="9"/>
        <color rgb="FF000000"/>
        <rFont val="楷体"/>
        <charset val="134"/>
      </rPr>
      <t>财通资管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星朗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</si>
  <si>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t>2025-10-29</t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</si>
  <si>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弘拓第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</si>
  <si>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中信信托有限责任公司</t>
    </r>
  </si>
  <si>
    <r>
      <rPr>
        <sz val="9"/>
        <color rgb="FF000000"/>
        <rFont val="楷体"/>
        <charset val="134"/>
      </rPr>
      <t>中信建投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华鑫至融中小微企业融资支持第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</si>
  <si>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华鑫国际信托有限公司</t>
    </r>
  </si>
  <si>
    <r>
      <rPr>
        <sz val="9"/>
        <color rgb="FF000000"/>
        <rFont val="楷体"/>
        <charset val="134"/>
      </rPr>
      <t>中信建投证券股份有限公司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</si>
  <si>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度小满消费分期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</si>
  <si>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2025-10-24</t>
  </si>
  <si>
    <r>
      <rPr>
        <sz val="9"/>
        <color rgb="FF000000"/>
        <rFont val="楷体"/>
        <charset val="134"/>
      </rPr>
      <t>国金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锦盛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</si>
  <si>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国金证券资产管理有限公司</t>
    </r>
  </si>
  <si>
    <t>2025-10-28</t>
  </si>
  <si>
    <r>
      <rPr>
        <sz val="9"/>
        <color rgb="FF000000"/>
        <rFont val="楷体"/>
        <charset val="134"/>
      </rPr>
      <t>山证汇通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炽诚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</si>
  <si>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山证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上海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楷体"/>
        <charset val="134"/>
      </rPr>
      <t>资产管理有限公司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</si>
  <si>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奇富消费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</si>
  <si>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国投泰康信托有限公司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</si>
  <si>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中和农信小额贷款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乡村振兴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</si>
  <si>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海南中和农信小额贷款有限公司</t>
    </r>
    <r>
      <rPr>
        <sz val="9"/>
        <color rgb="FF000000"/>
        <rFont val="Times New Roman"/>
        <charset val="134"/>
      </rPr>
      <t>,</t>
    </r>
    <r>
      <rPr>
        <sz val="9"/>
        <color rgb="FF000000"/>
        <rFont val="楷体"/>
        <charset val="134"/>
      </rPr>
      <t>辽宁康平县中和农信小额贷款有限责任公司</t>
    </r>
  </si>
  <si>
    <t>中和农信</t>
  </si>
  <si>
    <r>
      <rPr>
        <sz val="9"/>
        <rFont val="楷体"/>
        <charset val="134"/>
      </rPr>
      <t>耘睿</t>
    </r>
    <r>
      <rPr>
        <sz val="9"/>
        <rFont val="Times New Roman"/>
        <charset val="134"/>
      </rPr>
      <t>23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期资产支持专项计划</t>
    </r>
  </si>
  <si>
    <t>2025-11-06</t>
  </si>
  <si>
    <r>
      <rPr>
        <sz val="9"/>
        <rFont val="楷体"/>
        <charset val="134"/>
      </rPr>
      <t>华泰资管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美歆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</si>
  <si>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次级</t>
    </r>
    <r>
      <rPr>
        <sz val="9"/>
        <rFont val="Times New Roman"/>
        <charset val="134"/>
      </rPr>
      <t>A</t>
    </r>
    <r>
      <rPr>
        <sz val="9"/>
        <rFont val="楷体"/>
        <charset val="134"/>
      </rPr>
      <t>级</t>
    </r>
  </si>
  <si>
    <r>
      <rPr>
        <sz val="9"/>
        <rFont val="楷体"/>
        <charset val="134"/>
      </rPr>
      <t>次级</t>
    </r>
    <r>
      <rPr>
        <sz val="9"/>
        <rFont val="Times New Roman"/>
        <charset val="134"/>
      </rPr>
      <t>B</t>
    </r>
    <r>
      <rPr>
        <sz val="9"/>
        <rFont val="楷体"/>
        <charset val="134"/>
      </rPr>
      <t>级</t>
    </r>
  </si>
  <si>
    <t>2025-11-05</t>
  </si>
  <si>
    <r>
      <rPr>
        <sz val="9"/>
        <rFont val="楷体"/>
        <charset val="134"/>
      </rPr>
      <t>财通资管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星悦</t>
    </r>
    <r>
      <rPr>
        <sz val="9"/>
        <rFont val="Times New Roman"/>
        <charset val="134"/>
      </rPr>
      <t>15</t>
    </r>
    <r>
      <rPr>
        <sz val="9"/>
        <rFont val="楷体"/>
        <charset val="134"/>
      </rPr>
      <t>期资产支持专项计划</t>
    </r>
  </si>
  <si>
    <t>2025-11-04</t>
  </si>
  <si>
    <r>
      <rPr>
        <sz val="9"/>
        <rFont val="楷体"/>
        <charset val="134"/>
      </rPr>
      <t>国联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小满助业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号中小微企业融资支持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</si>
  <si>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广发满泽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</t>
    </r>
    <r>
      <rPr>
        <sz val="9"/>
        <rFont val="Times New Roman"/>
        <charset val="134"/>
      </rPr>
      <t>4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</si>
  <si>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国联满扬</t>
    </r>
    <r>
      <rPr>
        <sz val="9"/>
        <rFont val="Times New Roman"/>
        <charset val="134"/>
      </rPr>
      <t>10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</si>
  <si>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中信证券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泓远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</si>
  <si>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太平洋寿险保单贷款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期资产支持专项计划</t>
    </r>
  </si>
  <si>
    <r>
      <rPr>
        <sz val="9"/>
        <rFont val="楷体"/>
        <charset val="134"/>
      </rPr>
      <t>中信证券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泓晟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号第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中小微企业融资支持</t>
    </r>
    <r>
      <rPr>
        <sz val="9"/>
        <rFont val="Times New Roman"/>
        <charset val="134"/>
      </rPr>
      <t>)</t>
    </r>
  </si>
  <si>
    <r>
      <rPr>
        <sz val="9"/>
        <rFont val="楷体"/>
        <charset val="134"/>
      </rPr>
      <t>国金资管</t>
    </r>
    <r>
      <rPr>
        <sz val="9"/>
        <rFont val="Times New Roman"/>
        <charset val="134"/>
      </rPr>
      <t>-</t>
    </r>
    <r>
      <rPr>
        <sz val="9"/>
        <rFont val="楷体"/>
        <charset val="134"/>
      </rPr>
      <t>景熠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号中小微企业融资支持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期资产支持专项计划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可续发型</t>
    </r>
    <r>
      <rPr>
        <sz val="9"/>
        <rFont val="Times New Roman"/>
        <charset val="134"/>
      </rPr>
      <t>)(</t>
    </r>
    <r>
      <rPr>
        <sz val="9"/>
        <rFont val="楷体"/>
        <charset val="134"/>
      </rPr>
      <t>第一期次</t>
    </r>
    <r>
      <rPr>
        <sz val="9"/>
        <rFont val="Times New Roman"/>
        <charset val="134"/>
      </rPr>
      <t>)</t>
    </r>
  </si>
  <si>
    <r>
      <rPr>
        <sz val="9"/>
        <color rgb="FF000000"/>
        <rFont val="楷体"/>
        <charset val="134"/>
      </rPr>
      <t>国金资管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景熠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第二期次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</si>
  <si>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美好生活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</si>
  <si>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臻至第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中小微企业融资支持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</si>
  <si>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臻至第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中小微企业融资支持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</si>
  <si>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美好生活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号资产支持专项计划</t>
    </r>
  </si>
  <si>
    <t>2025-11-12</t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</si>
  <si>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众安小贷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</si>
  <si>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2025-11-11</t>
  </si>
  <si>
    <r>
      <rPr>
        <sz val="9"/>
        <color rgb="FF000000"/>
        <rFont val="楷体"/>
        <charset val="134"/>
      </rPr>
      <t>国联资管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分期乐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</si>
  <si>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中信建投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华鑫至融中小微企业融资支持第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</si>
  <si>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中信建投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华鑫至融中小微企业融资支持第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</si>
  <si>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网商银行</t>
    </r>
  </si>
  <si>
    <r>
      <rPr>
        <sz val="9"/>
        <color rgb="FF000000"/>
        <rFont val="楷体"/>
        <charset val="134"/>
      </rPr>
      <t>华泰资管诚新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</si>
  <si>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财通资管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星朗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</si>
  <si>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山证汇通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炽诚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</si>
  <si>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东方汇智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至安中小微企业融资支持第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</si>
  <si>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华泰资管诚远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</si>
  <si>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京东科技盛赢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</si>
  <si>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太平洋寿险保单贷款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</si>
  <si>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t>太平洋资产管理有限责任公司</t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</si>
  <si>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23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</si>
  <si>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澜睦一号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</si>
  <si>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 xml:space="preserve"> A+sf </t>
  </si>
  <si>
    <t>2025-11-27</t>
  </si>
  <si>
    <r>
      <rPr>
        <sz val="9"/>
        <color rgb="FF000000"/>
        <rFont val="楷体"/>
        <charset val="134"/>
      </rPr>
      <t>华泰资管诚远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</si>
  <si>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t>2025-11-26</t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</si>
  <si>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弘拓第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</si>
  <si>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国君满诚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</si>
  <si>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2025-11-25</t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</si>
  <si>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奇富小微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中小微企业支持</t>
    </r>
    <r>
      <rPr>
        <sz val="9"/>
        <color rgb="FF000000"/>
        <rFont val="Times New Roman"/>
        <charset val="134"/>
      </rPr>
      <t>)</t>
    </r>
  </si>
  <si>
    <t xml:space="preserve"> Asf </t>
  </si>
  <si>
    <t>2025-11-21</t>
  </si>
  <si>
    <r>
      <rPr>
        <sz val="9"/>
        <color rgb="FF000000"/>
        <rFont val="楷体"/>
        <charset val="134"/>
      </rPr>
      <t>国联满扬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</si>
  <si>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t>2025-12-09</t>
  </si>
  <si>
    <r>
      <rPr>
        <sz val="9"/>
        <color rgb="FF000000"/>
        <rFont val="楷体"/>
        <charset val="134"/>
      </rPr>
      <t>东方汇智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至安中小微企业融资支持第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</si>
  <si>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国联-度小满消费分期8号2期资产支持专项计划</t>
  </si>
  <si>
    <t>广发满珩1号2期资产支持专项计划</t>
  </si>
  <si>
    <t>广发证券资产管理(广东)有限公司</t>
  </si>
  <si>
    <t>国联-度小满金融4号2期资产支持专项计划</t>
  </si>
  <si>
    <t>国金资管-景熠2号4期资产支持专项计划(可续发型)</t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</si>
  <si>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美满生意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中小微企业融资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</si>
  <si>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至优中小微企业融资支持第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</si>
  <si>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美歆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</si>
  <si>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rFont val="楷体"/>
        <charset val="134"/>
      </rPr>
      <t>次级</t>
    </r>
    <r>
      <rPr>
        <sz val="9"/>
        <color rgb="FF000000"/>
        <rFont val="Times New Roman"/>
        <charset val="134"/>
      </rPr>
      <t>1</t>
    </r>
  </si>
  <si>
    <r>
      <rPr>
        <sz val="9"/>
        <rFont val="楷体"/>
        <charset val="134"/>
      </rPr>
      <t>次级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</si>
  <si>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19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</si>
  <si>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华泰资管诚远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</si>
  <si>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东方汇智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至安中小微企业融资支持第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</si>
  <si>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新华保险保单贷款求进系列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</si>
  <si>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美歆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</si>
  <si>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t>华泰证券(上海)资产管理有限公司</t>
  </si>
  <si>
    <t>2025-12-18</t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</si>
  <si>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熠然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</si>
  <si>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r>
      <rPr>
        <sz val="9"/>
        <rFont val="楷体"/>
        <charset val="134"/>
      </rPr>
      <t>优先</t>
    </r>
    <r>
      <rPr>
        <sz val="9"/>
        <rFont val="Times New Roman"/>
        <charset val="134"/>
      </rPr>
      <t>A-3</t>
    </r>
    <r>
      <rPr>
        <sz val="9"/>
        <rFont val="楷体"/>
        <charset val="134"/>
      </rPr>
      <t>级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</si>
  <si>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国投至盈第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中小微企业支持</t>
    </r>
    <r>
      <rPr>
        <sz val="9"/>
        <color rgb="FF000000"/>
        <rFont val="Times New Roman"/>
        <charset val="134"/>
      </rPr>
      <t>)</t>
    </r>
  </si>
  <si>
    <t>2025-12-10</t>
  </si>
  <si>
    <r>
      <rPr>
        <sz val="9"/>
        <color rgb="FF000000"/>
        <rFont val="楷体"/>
        <charset val="134"/>
      </rPr>
      <t>国金资管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景熠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第二期次</t>
    </r>
    <r>
      <rPr>
        <sz val="9"/>
        <color rgb="FF000000"/>
        <rFont val="Times New Roman"/>
        <charset val="134"/>
      </rPr>
      <t>)</t>
    </r>
  </si>
  <si>
    <t>2025-12-12</t>
  </si>
  <si>
    <r>
      <rPr>
        <sz val="9"/>
        <color rgb="FF000000"/>
        <rFont val="楷体"/>
        <charset val="134"/>
      </rPr>
      <t>国联满扬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</si>
  <si>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t>2025-12-16</t>
  </si>
  <si>
    <r>
      <rPr>
        <sz val="9"/>
        <color rgb="FF000000"/>
        <rFont val="楷体"/>
        <charset val="134"/>
      </rPr>
      <t>国联满扬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</si>
  <si>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华泰资管诚远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</si>
  <si>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国联资管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分期乐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</si>
  <si>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2025-12-19</t>
  </si>
  <si>
    <r>
      <rPr>
        <sz val="9"/>
        <color rgb="FF000000"/>
        <rFont val="楷体"/>
        <charset val="134"/>
      </rPr>
      <t>国泰海通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至微中小微企业融资支持第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</si>
  <si>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2025-12-23</t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</si>
  <si>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熠然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</si>
  <si>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楷体"/>
        <charset val="134"/>
      </rPr>
      <t>程意第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期中小微企业融资支持资产支持专项计划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</si>
  <si>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19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</si>
  <si>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t>2025-12-24</t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</si>
  <si>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19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Times New Roman"/>
        <charset val="134"/>
      </rPr>
      <t>)(</t>
    </r>
    <r>
      <rPr>
        <sz val="9"/>
        <color rgb="FF000000"/>
        <rFont val="楷体"/>
        <charset val="134"/>
      </rPr>
      <t>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期次</t>
    </r>
    <r>
      <rPr>
        <sz val="9"/>
        <color rgb="FF000000"/>
        <rFont val="Times New Roman"/>
        <charset val="134"/>
      </rPr>
      <t>)</t>
    </r>
  </si>
  <si>
    <t>2025-12-25</t>
  </si>
  <si>
    <t>京东科技-尚亦1号第8期中小微企业融资支持资产支持专项计划</t>
  </si>
  <si>
    <t>京东科技尚赢2号1期资产支持专项计划</t>
  </si>
  <si>
    <t>2025-12-26</t>
  </si>
  <si>
    <t>招商-贵诚惠泽一号1期资产支持专项计划(中小微企业融资支持)</t>
  </si>
  <si>
    <t>国联满扬2号5期资产支持专项计划(可续发型)</t>
  </si>
  <si>
    <t>2025-12-30</t>
  </si>
  <si>
    <t>国联-度小满金融4号3期资产支持专项计划</t>
  </si>
  <si>
    <t>华泰资管-美歆7期资产支持专项计划</t>
  </si>
  <si>
    <t>设立时间</t>
  </si>
  <si>
    <t>分层</t>
  </si>
  <si>
    <t>票面利率（%）</t>
  </si>
  <si>
    <r>
      <rPr>
        <sz val="9"/>
        <color rgb="FF000000"/>
        <rFont val="楷体"/>
        <charset val="134"/>
      </rPr>
      <t>招商中投保-富微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</si>
  <si>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五矿国际信托有限公司</t>
  </si>
  <si>
    <t>AAA</t>
  </si>
  <si>
    <r>
      <rPr>
        <sz val="9"/>
        <color rgb="FF000000"/>
        <rFont val="Times New Roman"/>
        <charset val="134"/>
      </rPr>
      <t>AA</t>
    </r>
    <r>
      <rPr>
        <sz val="9"/>
        <color rgb="FF000000"/>
        <rFont val="楷体"/>
        <charset val="134"/>
      </rPr>
      <t>+</t>
    </r>
  </si>
  <si>
    <t>A</t>
  </si>
  <si>
    <r>
      <rPr>
        <sz val="9"/>
        <color rgb="FF000000"/>
        <rFont val="楷体"/>
        <charset val="134"/>
      </rPr>
      <t>招证-安康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</si>
  <si>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t>平安银行</t>
  </si>
  <si>
    <r>
      <rPr>
        <sz val="9"/>
        <color rgb="FF000000"/>
        <rFont val="楷体"/>
        <charset val="134"/>
      </rPr>
      <t>华泰资管-焜皓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</si>
  <si>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国联证券-</t>
    </r>
    <r>
      <rPr>
        <sz val="9"/>
        <color rgb="FF000000"/>
        <rFont val="Times New Roman"/>
        <charset val="134"/>
      </rPr>
      <t>360</t>
    </r>
    <r>
      <rPr>
        <sz val="9"/>
        <color rgb="FF000000"/>
        <rFont val="楷体"/>
        <charset val="134"/>
      </rPr>
      <t>消费满分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</si>
  <si>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t>国联证券股份有限公司</t>
  </si>
  <si>
    <r>
      <rPr>
        <sz val="9"/>
        <color rgb="FF000000"/>
        <rFont val="Times New Roman"/>
        <charset val="134"/>
      </rPr>
      <t>A</t>
    </r>
    <r>
      <rPr>
        <sz val="9"/>
        <color rgb="FF000000"/>
        <rFont val="楷体"/>
        <charset val="134"/>
      </rPr>
      <t>+</t>
    </r>
  </si>
  <si>
    <r>
      <rPr>
        <sz val="9"/>
        <color rgb="FF000000"/>
        <rFont val="楷体"/>
        <charset val="134"/>
      </rPr>
      <t>天风-启悦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期资产支持专项计划</t>
    </r>
  </si>
  <si>
    <t>中航信托股份有限公司</t>
  </si>
  <si>
    <t>天风(上海)证券资产管理有限公司</t>
  </si>
  <si>
    <r>
      <rPr>
        <sz val="9"/>
        <color rgb="FF000000"/>
        <rFont val="Times New Roman"/>
        <charset val="134"/>
      </rPr>
      <t>AA</t>
    </r>
    <r>
      <rPr>
        <sz val="9"/>
        <color rgb="FF000000"/>
        <rFont val="Arial Regular"/>
        <charset val="134"/>
      </rPr>
      <t>+</t>
    </r>
  </si>
  <si>
    <r>
      <rPr>
        <sz val="9"/>
        <color rgb="FF000000"/>
        <rFont val="楷体"/>
        <charset val="134"/>
      </rPr>
      <t>平安证券-东煜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</si>
  <si>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招商证券-熠安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</si>
  <si>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财通资管-星悦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</si>
  <si>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招商证券-中航信托美满乐享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</si>
  <si>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国君-华能信托美憬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</si>
  <si>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Times New Roman"/>
        <charset val="134"/>
      </rPr>
      <t>AA</t>
    </r>
    <r>
      <rPr>
        <sz val="9"/>
        <color rgb="FF000000"/>
        <rFont val="Arial"/>
        <charset val="134"/>
      </rPr>
      <t>+</t>
    </r>
  </si>
  <si>
    <r>
      <rPr>
        <sz val="9"/>
        <color rgb="FF000000"/>
        <rFont val="楷体"/>
        <charset val="134"/>
      </rPr>
      <t>深圳担保集团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先行示范区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中小微企业</t>
    </r>
    <r>
      <rPr>
        <sz val="9"/>
        <color rgb="FF000000"/>
        <rFont val="Times New Roman"/>
        <charset val="134"/>
      </rPr>
      <t>11</t>
    </r>
    <r>
      <rPr>
        <sz val="9"/>
        <color rgb="FF000000"/>
        <rFont val="楷体"/>
        <charset val="134"/>
      </rPr>
      <t>号资产支持专项计划</t>
    </r>
  </si>
  <si>
    <t>深圳市中小担小额贷款有限公司</t>
  </si>
  <si>
    <t>深圳中小担小贷</t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</si>
  <si>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江苏信保科贷中小微企业贷款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</si>
  <si>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江苏信保科技小额贷款股份有限公司</t>
  </si>
  <si>
    <r>
      <rPr>
        <sz val="9"/>
        <color rgb="FF000000"/>
        <rFont val="楷体"/>
        <charset val="134"/>
      </rPr>
      <t>华泰证券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上海</t>
    </r>
    <r>
      <rPr>
        <sz val="9"/>
        <color rgb="FF000000"/>
        <rFont val="Arial"/>
        <charset val="134"/>
      </rPr>
      <t>)</t>
    </r>
    <r>
      <rPr>
        <sz val="9"/>
        <color rgb="FF000000"/>
        <rFont val="楷体"/>
        <charset val="134"/>
      </rPr>
      <t>资产管理有限公司</t>
    </r>
  </si>
  <si>
    <t>江苏信保科贷</t>
  </si>
  <si>
    <r>
      <rPr>
        <sz val="9"/>
        <color rgb="FF000000"/>
        <rFont val="楷体"/>
        <charset val="134"/>
      </rPr>
      <t>中信证券博远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</si>
  <si>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华能信托美润五期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</si>
  <si>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美誉心诚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</si>
  <si>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</si>
  <si>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圆满生活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</si>
  <si>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三六零小贷毓信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</si>
  <si>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t>福州三六零网络小额贷款有限公司</t>
  </si>
  <si>
    <r>
      <rPr>
        <sz val="9"/>
        <color rgb="FF000000"/>
        <rFont val="楷体"/>
        <charset val="134"/>
      </rPr>
      <t>天风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大众</t>
    </r>
    <r>
      <rPr>
        <sz val="9"/>
        <color rgb="FF000000"/>
        <rFont val="Times New Roman"/>
        <charset val="134"/>
      </rPr>
      <t>5G</t>
    </r>
    <r>
      <rPr>
        <sz val="9"/>
        <color rgb="FF000000"/>
        <rFont val="楷体"/>
        <charset val="134"/>
      </rPr>
      <t>通讯分期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</si>
  <si>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t>上海大众融资租赁有限公司</t>
  </si>
  <si>
    <r>
      <rPr>
        <sz val="9"/>
        <color rgb="FF000000"/>
        <rFont val="楷体"/>
        <charset val="134"/>
      </rPr>
      <t>天风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上海</t>
    </r>
    <r>
      <rPr>
        <sz val="9"/>
        <color rgb="FF000000"/>
        <rFont val="Arial"/>
        <charset val="134"/>
      </rPr>
      <t>)</t>
    </r>
    <r>
      <rPr>
        <sz val="9"/>
        <color rgb="FF000000"/>
        <rFont val="楷体"/>
        <charset val="134"/>
      </rPr>
      <t>证券资产管理有限公司</t>
    </r>
  </si>
  <si>
    <t>大众融租</t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</si>
  <si>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度小满消费分期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</si>
  <si>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Times New Roman"/>
        <charset val="134"/>
      </rPr>
      <t>BBB</t>
    </r>
    <r>
      <rPr>
        <sz val="9"/>
        <color rgb="FF000000"/>
        <rFont val="Arial"/>
        <charset val="134"/>
      </rPr>
      <t>+</t>
    </r>
  </si>
  <si>
    <r>
      <rPr>
        <sz val="9"/>
        <color rgb="FF000000"/>
        <rFont val="楷体"/>
        <charset val="134"/>
      </rPr>
      <t>京东科技盛赢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</si>
  <si>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中信证券-美好生活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</si>
  <si>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招商证券-美誉心诚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</si>
  <si>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次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</si>
  <si>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次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</si>
  <si>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平安证券-东煜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</si>
  <si>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惠沣嘉诚</t>
    </r>
    <r>
      <rPr>
        <sz val="9"/>
        <color rgb="FF000000"/>
        <rFont val="Times New Roman"/>
        <charset val="134"/>
      </rPr>
      <t>9</t>
    </r>
    <r>
      <rPr>
        <sz val="9"/>
        <color rgb="FF000000"/>
        <rFont val="楷体"/>
        <charset val="134"/>
      </rPr>
      <t>期资产支持专项计划</t>
    </r>
  </si>
  <si>
    <t>大地产险</t>
  </si>
  <si>
    <r>
      <rPr>
        <sz val="9"/>
        <color rgb="FF000000"/>
        <rFont val="楷体"/>
        <charset val="134"/>
      </rPr>
      <t>招证-美月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</si>
  <si>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中信建投-鸿安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</si>
  <si>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美好生活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</si>
  <si>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平安证券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东煜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</si>
  <si>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美满生意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</si>
  <si>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光证资管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美好生活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</si>
  <si>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光大兴陇信托有限责任公司</t>
  </si>
  <si>
    <t>上海光大证券资产管理有限公司</t>
  </si>
  <si>
    <r>
      <rPr>
        <sz val="9"/>
        <color rgb="FF000000"/>
        <rFont val="楷体"/>
        <charset val="134"/>
      </rPr>
      <t>国联证券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三六零小贷小微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</si>
  <si>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圆满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</si>
  <si>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D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</si>
  <si>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熠安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</si>
  <si>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中航信托美满乐享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</si>
  <si>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东方汇智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熹焱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</si>
  <si>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华能信托美润五期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</si>
  <si>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国君-华能信托美憬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</si>
  <si>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天风-三六零小贷第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</si>
  <si>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平安证券</t>
    </r>
    <r>
      <rPr>
        <sz val="9"/>
        <color rgb="FF000000"/>
        <rFont val="Arial Regular"/>
        <charset val="134"/>
      </rPr>
      <t>-</t>
    </r>
    <r>
      <rPr>
        <sz val="9"/>
        <color rgb="FF000000"/>
        <rFont val="楷体"/>
        <charset val="134"/>
      </rPr>
      <t>满分周转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</si>
  <si>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Times New Roman"/>
        <charset val="134"/>
      </rPr>
      <t>BBB</t>
    </r>
    <r>
      <rPr>
        <sz val="9"/>
        <color rgb="FF000000"/>
        <rFont val="Arial Regular"/>
        <charset val="134"/>
      </rPr>
      <t>+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</si>
  <si>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 Regular"/>
        <charset val="134"/>
      </rPr>
      <t>-</t>
    </r>
    <r>
      <rPr>
        <sz val="9"/>
        <color rgb="FF000000"/>
        <rFont val="楷体"/>
        <charset val="134"/>
      </rPr>
      <t>惠智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</si>
  <si>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华泰资管-焜皓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</si>
  <si>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华能信托美润五期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</si>
  <si>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耀月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</si>
  <si>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五矿信托美满团圆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</si>
  <si>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熠安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</si>
  <si>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平安证券</t>
    </r>
    <r>
      <rPr>
        <sz val="9"/>
        <color rgb="FF000000"/>
        <rFont val="Arial Regular"/>
        <charset val="134"/>
      </rPr>
      <t>-</t>
    </r>
    <r>
      <rPr>
        <sz val="9"/>
        <color rgb="FF000000"/>
        <rFont val="楷体"/>
        <charset val="134"/>
      </rPr>
      <t>东煜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</si>
  <si>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中信证券博远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</si>
  <si>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</si>
  <si>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Arial Regular"/>
        <charset val="134"/>
      </rPr>
      <t>-</t>
    </r>
    <r>
      <rPr>
        <sz val="9"/>
        <color rgb="FF000000"/>
        <rFont val="楷体"/>
        <charset val="134"/>
      </rPr>
      <t>月航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</si>
  <si>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华泰证券</t>
    </r>
    <r>
      <rPr>
        <sz val="9"/>
        <color rgb="FF000000"/>
        <rFont val="Arial Regular"/>
        <charset val="134"/>
      </rPr>
      <t>(</t>
    </r>
    <r>
      <rPr>
        <sz val="9"/>
        <color rgb="FF000000"/>
        <rFont val="楷体"/>
        <charset val="134"/>
      </rPr>
      <t>上海</t>
    </r>
    <r>
      <rPr>
        <sz val="9"/>
        <color rgb="FF000000"/>
        <rFont val="Arial Regular"/>
        <charset val="134"/>
      </rPr>
      <t>)</t>
    </r>
    <r>
      <rPr>
        <sz val="9"/>
        <color rgb="FF000000"/>
        <rFont val="楷体"/>
        <charset val="134"/>
      </rPr>
      <t>资产管理有限公司</t>
    </r>
  </si>
  <si>
    <r>
      <rPr>
        <sz val="9"/>
        <color rgb="FF000000"/>
        <rFont val="楷体"/>
        <charset val="134"/>
      </rPr>
      <t>国联证券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奇富小微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</si>
  <si>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Times New Roman"/>
        <charset val="134"/>
      </rPr>
      <t>A</t>
    </r>
    <r>
      <rPr>
        <sz val="9"/>
        <color rgb="FF000000"/>
        <rFont val="Arial"/>
        <charset val="134"/>
      </rPr>
      <t>+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</si>
  <si>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</si>
  <si>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 Regular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 Regular"/>
        <charset val="134"/>
      </rPr>
      <t>)</t>
    </r>
  </si>
  <si>
    <r>
      <rPr>
        <sz val="9"/>
        <color rgb="FF000000"/>
        <rFont val="楷体"/>
        <charset val="134"/>
      </rPr>
      <t>天风-启悦</t>
    </r>
    <r>
      <rPr>
        <sz val="9"/>
        <color rgb="FF000000"/>
        <rFont val="Times New Roman"/>
        <charset val="134"/>
      </rPr>
      <t>10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</si>
  <si>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五矿信托美满团圆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</si>
  <si>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Arial Regular"/>
        <charset val="134"/>
      </rPr>
      <t>-</t>
    </r>
    <r>
      <rPr>
        <sz val="9"/>
        <color rgb="FF000000"/>
        <rFont val="楷体"/>
        <charset val="134"/>
      </rPr>
      <t>美满生意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</si>
  <si>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阳光人寿保单贷款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</si>
  <si>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京东科技荟臻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</si>
  <si>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中航信托美满乐享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</si>
  <si>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Arial Regular"/>
        <charset val="134"/>
      </rPr>
      <t>-</t>
    </r>
    <r>
      <rPr>
        <sz val="9"/>
        <color rgb="FF000000"/>
        <rFont val="楷体"/>
        <charset val="134"/>
      </rPr>
      <t>美月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</si>
  <si>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华能信托美润五期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</si>
  <si>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美好生活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</si>
  <si>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京东科技尚赢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</si>
  <si>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 Regular"/>
        <charset val="134"/>
      </rPr>
      <t>-</t>
    </r>
    <r>
      <rPr>
        <sz val="9"/>
        <color rgb="FF000000"/>
        <rFont val="楷体"/>
        <charset val="134"/>
      </rPr>
      <t>美誉心诚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</si>
  <si>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月航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</si>
  <si>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华能太泽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</si>
  <si>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平安证券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东煜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</si>
  <si>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Arial Regular"/>
        <charset val="134"/>
      </rPr>
      <t>-</t>
    </r>
    <r>
      <rPr>
        <sz val="9"/>
        <color rgb="FF000000"/>
        <rFont val="楷体"/>
        <charset val="134"/>
      </rPr>
      <t>月盈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</si>
  <si>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京东科技盛采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</si>
  <si>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天风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国投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普洛斯产融科技车险分期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</si>
  <si>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t>国投泰康信托</t>
  </si>
  <si>
    <r>
      <rPr>
        <sz val="9"/>
        <color rgb="FF000000"/>
        <rFont val="楷体"/>
        <charset val="134"/>
      </rPr>
      <t>华能信托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三六零小贷第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</si>
  <si>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未评级</t>
  </si>
  <si>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友邦人寿保单贷款第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</si>
  <si>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</si>
  <si>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B1</t>
    </r>
    <r>
      <rPr>
        <sz val="9"/>
        <color rgb="FF000000"/>
        <rFont val="楷体"/>
        <charset val="134"/>
      </rPr>
      <t>级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</si>
  <si>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</si>
  <si>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</si>
  <si>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</si>
  <si>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</si>
  <si>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</si>
  <si>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</si>
  <si>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月航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</si>
  <si>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财通资管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星悦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</si>
  <si>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天风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三六零小贷第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</si>
  <si>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美歆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</si>
  <si>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华能信托美憬</t>
    </r>
    <r>
      <rPr>
        <sz val="9"/>
        <color rgb="FF000000"/>
        <rFont val="Times New Roman"/>
        <charset val="134"/>
      </rPr>
      <t>9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</si>
  <si>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华能信托美润五期</t>
    </r>
    <r>
      <rPr>
        <sz val="9"/>
        <color rgb="FF000000"/>
        <rFont val="Times New Roman"/>
        <charset val="134"/>
      </rPr>
      <t>9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</si>
  <si>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中航信托美满乐享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</si>
  <si>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</si>
  <si>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小满助业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</si>
  <si>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华能信托美润五期</t>
    </r>
    <r>
      <rPr>
        <sz val="9"/>
        <color rgb="FF000000"/>
        <rFont val="Times New Roman"/>
        <charset val="134"/>
      </rPr>
      <t>10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</si>
  <si>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度小满消费分期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</si>
  <si>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度小满消费分期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</si>
  <si>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招商中投保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富微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</si>
  <si>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月盈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</si>
  <si>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广发满泽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</si>
  <si>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广发证券资产管理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广东</t>
    </r>
    <r>
      <rPr>
        <sz val="9"/>
        <color rgb="FF000000"/>
        <rFont val="Arial"/>
        <charset val="134"/>
      </rPr>
      <t>)</t>
    </r>
    <r>
      <rPr>
        <sz val="9"/>
        <color rgb="FF000000"/>
        <rFont val="楷体"/>
        <charset val="134"/>
      </rPr>
      <t>有限公司</t>
    </r>
  </si>
  <si>
    <r>
      <rPr>
        <sz val="9"/>
        <color rgb="FF000000"/>
        <rFont val="Times New Roman"/>
        <charset val="134"/>
      </rPr>
      <t>AAA</t>
    </r>
    <r>
      <rPr>
        <sz val="9"/>
        <color rgb="FF000000"/>
        <rFont val="Arial"/>
        <charset val="134"/>
      </rPr>
      <t xml:space="preserve"> </t>
    </r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</si>
  <si>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美满生意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号资产支持专项计划</t>
    </r>
  </si>
  <si>
    <t>美团三快小贷</t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</si>
  <si>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奇富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</si>
  <si>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五矿信托</t>
  </si>
  <si>
    <r>
      <rPr>
        <sz val="9"/>
        <color rgb="FF000000"/>
        <rFont val="Times New Roman"/>
        <charset val="134"/>
      </rPr>
      <t>AA</t>
    </r>
    <r>
      <rPr>
        <sz val="9"/>
        <color rgb="FF000000"/>
        <rFont val="Arial"/>
        <charset val="134"/>
      </rPr>
      <t>-</t>
    </r>
  </si>
  <si>
    <r>
      <rPr>
        <sz val="9"/>
        <color rgb="FF000000"/>
        <rFont val="楷体"/>
        <charset val="134"/>
      </rPr>
      <t>天风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分期乐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</si>
  <si>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</si>
  <si>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中信证券博远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</si>
  <si>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Times New Roman"/>
        <charset val="134"/>
      </rPr>
      <t>A</t>
    </r>
    <r>
      <rPr>
        <sz val="9"/>
        <color rgb="FF000000"/>
        <rFont val="Arial"/>
        <charset val="134"/>
      </rPr>
      <t>-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</si>
  <si>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耀月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</si>
  <si>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</si>
  <si>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</si>
  <si>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华能信托美憬</t>
    </r>
    <r>
      <rPr>
        <sz val="9"/>
        <color rgb="FF000000"/>
        <rFont val="Times New Roman"/>
        <charset val="134"/>
      </rPr>
      <t>10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</si>
  <si>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中航信托美满乐享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</si>
  <si>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美润六期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</si>
  <si>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东方汇智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熹焱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</si>
  <si>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</si>
  <si>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</si>
  <si>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</si>
  <si>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熠然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</si>
  <si>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月盈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</si>
  <si>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度小满消费分期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</si>
  <si>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天风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国投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普洛斯产融科技车险分期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</si>
  <si>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华能信托美憬二期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</si>
  <si>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三六零小贷第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</si>
  <si>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美歆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</si>
  <si>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Times New Roman"/>
        <charset val="134"/>
      </rPr>
      <t>360</t>
    </r>
    <r>
      <rPr>
        <sz val="9"/>
        <color rgb="FF000000"/>
        <rFont val="楷体"/>
        <charset val="134"/>
      </rPr>
      <t>消费满分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</si>
  <si>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惠智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</si>
  <si>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A1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</si>
  <si>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A2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</si>
  <si>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A3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</si>
  <si>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</si>
  <si>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天风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启悦</t>
    </r>
    <r>
      <rPr>
        <sz val="9"/>
        <color rgb="FF000000"/>
        <rFont val="Times New Roman"/>
        <charset val="134"/>
      </rPr>
      <t>12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</si>
  <si>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财通资管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星悦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</si>
  <si>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平安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深担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睿昕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</si>
  <si>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泰康人寿保单贷款第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期资产支持专项计划</t>
    </r>
  </si>
  <si>
    <t>泰康人寿</t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</si>
  <si>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星灿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</si>
  <si>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平安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方正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东煜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</si>
  <si>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</si>
  <si>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熠然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</si>
  <si>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圆满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</si>
  <si>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京东科技荟臻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</si>
  <si>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16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</si>
  <si>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16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</si>
  <si>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</si>
  <si>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度小满金融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</si>
  <si>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中航信托美满乐享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</si>
  <si>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美誉心诚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</si>
  <si>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京东科技盛采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</si>
  <si>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财通资管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星悦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</si>
  <si>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东方汇智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熹焱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</si>
  <si>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16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</si>
  <si>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熠然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</si>
  <si>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美好生活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</si>
  <si>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美满生意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</si>
  <si>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三六零小贷第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</si>
  <si>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</si>
  <si>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熠安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</si>
  <si>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京东科技荟煜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</si>
  <si>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耘睿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</si>
  <si>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京东科技盛赢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</si>
  <si>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华能信托美憬二期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</si>
  <si>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江苏信保科贷中小微企业贷款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</si>
  <si>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国联满扬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</si>
  <si>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京东科技荟享</t>
    </r>
    <r>
      <rPr>
        <sz val="9"/>
        <color rgb="FF000000"/>
        <rFont val="Times New Roman"/>
        <charset val="134"/>
      </rPr>
      <t>17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</si>
  <si>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天风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国投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普洛斯产融科技车险分期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</si>
  <si>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天风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上海</t>
    </r>
    <r>
      <rPr>
        <sz val="9"/>
        <color rgb="FF000000"/>
        <rFont val="Arial"/>
        <charset val="134"/>
      </rPr>
      <t>)</t>
    </r>
    <r>
      <rPr>
        <sz val="9"/>
        <color rgb="FF000000"/>
        <rFont val="KaiTi"/>
        <charset val="134"/>
      </rPr>
      <t>证券资产管理有限公司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</si>
  <si>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玮盈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</si>
  <si>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17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</si>
  <si>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中信证券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三六零小贷毓信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</si>
  <si>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京东科技荟赢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</si>
  <si>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东方汇智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熹焱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</si>
  <si>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熠然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</si>
  <si>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携程小贷拿去花第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</si>
  <si>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16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</si>
  <si>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尚亦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期中小微企业融资支持资产支持专项计划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</si>
  <si>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耀月</t>
    </r>
    <r>
      <rPr>
        <sz val="9"/>
        <color rgb="FF000000"/>
        <rFont val="Times New Roman"/>
        <charset val="134"/>
      </rPr>
      <t>16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</si>
  <si>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月盈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</si>
  <si>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财通资管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星悦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</si>
  <si>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KaiTi"/>
        <charset val="134"/>
      </rPr>
      <t>国联满扬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</si>
  <si>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平安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方正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东煜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号中小微企业融资支持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</si>
  <si>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楷体"/>
        <charset val="134"/>
      </rPr>
      <t>财通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国惠小贷第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</si>
  <si>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t>山东国惠小额贷款有限公司</t>
  </si>
  <si>
    <t>国惠小贷</t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</si>
  <si>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华能太泽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</si>
  <si>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KaiTi"/>
        <charset val="134"/>
      </rPr>
      <t>东吴证券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鑫鑫农贷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</si>
  <si>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优先</t>
    </r>
    <r>
      <rPr>
        <sz val="9"/>
        <color rgb="FF000000"/>
        <rFont val="Times New Roman"/>
        <charset val="134"/>
      </rPr>
      <t>A1</t>
    </r>
    <r>
      <rPr>
        <sz val="9"/>
        <color rgb="FF000000"/>
        <rFont val="KaiTi"/>
        <charset val="134"/>
      </rPr>
      <t>级</t>
    </r>
  </si>
  <si>
    <r>
      <rPr>
        <sz val="9"/>
        <color rgb="FF000000"/>
        <rFont val="KaiTi"/>
        <charset val="134"/>
      </rPr>
      <t>优先</t>
    </r>
    <r>
      <rPr>
        <sz val="9"/>
        <color rgb="FF000000"/>
        <rFont val="Times New Roman"/>
        <charset val="134"/>
      </rPr>
      <t>A2</t>
    </r>
    <r>
      <rPr>
        <sz val="9"/>
        <color rgb="FF000000"/>
        <rFont val="KaiTi"/>
        <charset val="134"/>
      </rPr>
      <t>级</t>
    </r>
  </si>
  <si>
    <r>
      <rPr>
        <sz val="9"/>
        <color rgb="FF000000"/>
        <rFont val="KaiTi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华能信托美憬二期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</si>
  <si>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华泰证券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上海</t>
    </r>
    <r>
      <rPr>
        <sz val="9"/>
        <color rgb="FF000000"/>
        <rFont val="Arial"/>
        <charset val="134"/>
      </rPr>
      <t>)</t>
    </r>
    <r>
      <rPr>
        <sz val="9"/>
        <color rgb="FF000000"/>
        <rFont val="KaiTi"/>
        <charset val="134"/>
      </rPr>
      <t>资产管理有限公司</t>
    </r>
  </si>
  <si>
    <r>
      <rPr>
        <sz val="9"/>
        <color rgb="FF000000"/>
        <rFont val="KaiTi"/>
        <charset val="134"/>
      </rPr>
      <t>优先</t>
    </r>
    <r>
      <rPr>
        <sz val="9"/>
        <color rgb="FF000000"/>
        <rFont val="Times New Roman"/>
        <charset val="134"/>
      </rPr>
      <t>A</t>
    </r>
    <r>
      <rPr>
        <sz val="9"/>
        <color rgb="FF000000"/>
        <rFont val="KaiTi"/>
        <charset val="134"/>
      </rPr>
      <t>级</t>
    </r>
  </si>
  <si>
    <r>
      <rPr>
        <sz val="9"/>
        <color rgb="FF000000"/>
        <rFont val="KaiTi"/>
        <charset val="134"/>
      </rPr>
      <t>优先</t>
    </r>
    <r>
      <rPr>
        <sz val="9"/>
        <color rgb="FF000000"/>
        <rFont val="Times New Roman"/>
        <charset val="134"/>
      </rPr>
      <t>B</t>
    </r>
    <r>
      <rPr>
        <sz val="9"/>
        <color rgb="FF000000"/>
        <rFont val="KaiTi"/>
        <charset val="134"/>
      </rPr>
      <t>级</t>
    </r>
  </si>
  <si>
    <r>
      <rPr>
        <sz val="9"/>
        <color rgb="FF000000"/>
        <rFont val="KaiTi"/>
        <charset val="134"/>
      </rPr>
      <t>次</t>
    </r>
    <r>
      <rPr>
        <sz val="9"/>
        <color rgb="FF000000"/>
        <rFont val="Times New Roman"/>
        <charset val="134"/>
      </rPr>
      <t>A</t>
    </r>
    <r>
      <rPr>
        <sz val="9"/>
        <color rgb="FF000000"/>
        <rFont val="KaiTi"/>
        <charset val="134"/>
      </rPr>
      <t>级</t>
    </r>
  </si>
  <si>
    <r>
      <rPr>
        <sz val="9"/>
        <color rgb="FF000000"/>
        <rFont val="KaiTi"/>
        <charset val="134"/>
      </rPr>
      <t>次</t>
    </r>
    <r>
      <rPr>
        <sz val="9"/>
        <color rgb="FF000000"/>
        <rFont val="Times New Roman"/>
        <charset val="134"/>
      </rPr>
      <t>B</t>
    </r>
    <r>
      <rPr>
        <sz val="9"/>
        <color rgb="FF000000"/>
        <rFont val="KaiTi"/>
        <charset val="134"/>
      </rPr>
      <t>级</t>
    </r>
  </si>
  <si>
    <r>
      <rPr>
        <sz val="9"/>
        <color rgb="FF000000"/>
        <rFont val="KaiTi"/>
        <charset val="134"/>
      </rPr>
      <t>深圳担保集团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先行示范区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中小微企业</t>
    </r>
    <r>
      <rPr>
        <sz val="9"/>
        <color rgb="FF000000"/>
        <rFont val="Times New Roman"/>
        <charset val="134"/>
      </rPr>
      <t>18</t>
    </r>
    <r>
      <rPr>
        <sz val="9"/>
        <color rgb="FF000000"/>
        <rFont val="KaiTi"/>
        <charset val="134"/>
      </rPr>
      <t>号资产支持专项计划</t>
    </r>
  </si>
  <si>
    <t>粤开证券股份有限公司</t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</si>
  <si>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</si>
  <si>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天风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启悦</t>
    </r>
    <r>
      <rPr>
        <sz val="9"/>
        <color rgb="FF000000"/>
        <rFont val="Times New Roman"/>
        <charset val="134"/>
      </rPr>
      <t>11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</si>
  <si>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广发满晟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</si>
  <si>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广发证券资产管理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广东</t>
    </r>
    <r>
      <rPr>
        <sz val="9"/>
        <color rgb="FF000000"/>
        <rFont val="Arial"/>
        <charset val="134"/>
      </rPr>
      <t>)</t>
    </r>
    <r>
      <rPr>
        <sz val="9"/>
        <color rgb="FF000000"/>
        <rFont val="KaiTi"/>
        <charset val="134"/>
      </rPr>
      <t>有限公司</t>
    </r>
  </si>
  <si>
    <r>
      <rPr>
        <sz val="9"/>
        <color rgb="FF000000"/>
        <rFont val="KaiTi"/>
        <charset val="134"/>
      </rPr>
      <t>优先</t>
    </r>
    <r>
      <rPr>
        <sz val="9"/>
        <color rgb="FF000000"/>
        <rFont val="Times New Roman"/>
        <charset val="134"/>
      </rPr>
      <t>C</t>
    </r>
    <r>
      <rPr>
        <sz val="9"/>
        <color rgb="FF000000"/>
        <rFont val="KaiTi"/>
        <charset val="134"/>
      </rPr>
      <t>级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</si>
  <si>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美誉心诚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</si>
  <si>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天风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分期乐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</si>
  <si>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星灿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</si>
  <si>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中航信托美满乐享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</si>
  <si>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京东科技荟臻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</si>
  <si>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平安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方正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东煜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</si>
  <si>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KaiTi"/>
        <charset val="134"/>
      </rPr>
      <t>深圳担保集团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南山区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中小微企业</t>
    </r>
    <r>
      <rPr>
        <sz val="9"/>
        <color rgb="FF000000"/>
        <rFont val="Times New Roman"/>
        <charset val="134"/>
      </rPr>
      <t>19</t>
    </r>
    <r>
      <rPr>
        <sz val="9"/>
        <color rgb="FF000000"/>
        <rFont val="KaiTi"/>
        <charset val="134"/>
      </rPr>
      <t>号资产支持专项计划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碳资产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</si>
  <si>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国联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KaiTi"/>
        <charset val="134"/>
      </rPr>
      <t>度小满消费分期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</si>
  <si>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t>BBB+</t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</si>
  <si>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</si>
  <si>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太平洋寿险保单贷款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</si>
  <si>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t>太平洋寿险</t>
  </si>
  <si>
    <r>
      <rPr>
        <sz val="9"/>
        <color rgb="FF000000"/>
        <rFont val="KaiTi"/>
        <charset val="134"/>
      </rPr>
      <t>招证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美满生意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</si>
  <si>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招证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美好生活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</si>
  <si>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</si>
  <si>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度小满金融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</si>
  <si>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度小满消费分期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</si>
  <si>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京东科技荟享</t>
    </r>
    <r>
      <rPr>
        <sz val="9"/>
        <color rgb="FF000000"/>
        <rFont val="Times New Roman"/>
        <charset val="134"/>
      </rPr>
      <t>17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</si>
  <si>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平安证券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东煊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</si>
  <si>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国信证券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北投小贷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</si>
  <si>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t>南宁市北投小额贷款有限公司</t>
  </si>
  <si>
    <t>国信证券股份有限公司</t>
  </si>
  <si>
    <t>北投小贷</t>
  </si>
  <si>
    <r>
      <rPr>
        <sz val="9"/>
        <color rgb="FF000000"/>
        <rFont val="KaiTi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耀月</t>
    </r>
    <r>
      <rPr>
        <sz val="9"/>
        <color rgb="FF000000"/>
        <rFont val="Times New Roman"/>
        <charset val="134"/>
      </rPr>
      <t>17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</si>
  <si>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</si>
  <si>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三六零小贷小微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</si>
  <si>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华能信托美憬二期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</si>
  <si>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KaiTi"/>
        <charset val="134"/>
      </rPr>
      <t>京东科技盛采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期中小微企业融资支持资产支持专项计划</t>
    </r>
  </si>
  <si>
    <r>
      <rPr>
        <sz val="9"/>
        <color rgb="FF000000"/>
        <rFont val="KaiTi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玮盈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</si>
  <si>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14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</si>
  <si>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</si>
  <si>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京东科技荟享</t>
    </r>
    <r>
      <rPr>
        <sz val="9"/>
        <color rgb="FF000000"/>
        <rFont val="Times New Roman"/>
        <charset val="134"/>
      </rPr>
      <t>17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</si>
  <si>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京东科技荟享</t>
    </r>
    <r>
      <rPr>
        <sz val="9"/>
        <color rgb="FF000000"/>
        <rFont val="Times New Roman"/>
        <charset val="134"/>
      </rPr>
      <t>17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</si>
  <si>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东方汇智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熹焱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</si>
  <si>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优先</t>
    </r>
    <r>
      <rPr>
        <sz val="9"/>
        <color rgb="FF000000"/>
        <rFont val="Times New Roman"/>
        <charset val="134"/>
      </rPr>
      <t>A3</t>
    </r>
    <r>
      <rPr>
        <sz val="9"/>
        <color rgb="FF000000"/>
        <rFont val="KaiTi"/>
        <charset val="134"/>
      </rPr>
      <t>级</t>
    </r>
  </si>
  <si>
    <r>
      <rPr>
        <sz val="9"/>
        <color rgb="FF000000"/>
        <rFont val="KaiTi"/>
        <charset val="134"/>
      </rPr>
      <t>京东科技盛采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期中小微企业融资支持资产支持专项计划</t>
    </r>
  </si>
  <si>
    <r>
      <rPr>
        <sz val="9"/>
        <color rgb="FF000000"/>
        <rFont val="KaiTi"/>
        <charset val="134"/>
      </rPr>
      <t>财通资管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星悦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</si>
  <si>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美润六期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</si>
  <si>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</si>
  <si>
    <t>安信证券资产管理有限公司</t>
  </si>
  <si>
    <r>
      <rPr>
        <sz val="9"/>
        <color rgb="FF000000"/>
        <rFont val="KaiTi"/>
        <charset val="134"/>
      </rPr>
      <t>国联满扬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</si>
  <si>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上海信托圆满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</si>
  <si>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京东科技荟享</t>
    </r>
    <r>
      <rPr>
        <sz val="9"/>
        <color rgb="FF000000"/>
        <rFont val="Times New Roman"/>
        <charset val="134"/>
      </rPr>
      <t>18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</si>
  <si>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财通资管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星悦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</si>
  <si>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中信证券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顺丰小贷第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</si>
  <si>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t>深圳市顺丰合丰小额贷款有限公司</t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</si>
  <si>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美誉心诚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</si>
  <si>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t>未披露</t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</si>
  <si>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</si>
  <si>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创享微营一号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期中小微企业融资支持资产支持专项计划</t>
    </r>
  </si>
  <si>
    <r>
      <rPr>
        <sz val="9"/>
        <color rgb="FF000000"/>
        <rFont val="KaiTi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平安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启宸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</si>
  <si>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国联满扬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</si>
  <si>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平安证券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东煊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</si>
  <si>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15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</si>
  <si>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中信证券博远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</si>
  <si>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京东科技荟煜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</si>
  <si>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京东科技荟享</t>
    </r>
    <r>
      <rPr>
        <sz val="9"/>
        <color rgb="FF000000"/>
        <rFont val="Times New Roman"/>
        <charset val="134"/>
      </rPr>
      <t>18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</si>
  <si>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广发满晟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</si>
  <si>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华能信托美憬二期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</si>
  <si>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次级</t>
    </r>
    <r>
      <rPr>
        <sz val="9"/>
        <color rgb="FF000000"/>
        <rFont val="Times New Roman"/>
        <charset val="134"/>
      </rPr>
      <t>A</t>
    </r>
  </si>
  <si>
    <r>
      <rPr>
        <sz val="9"/>
        <color rgb="FF000000"/>
        <rFont val="KaiTi"/>
        <charset val="134"/>
      </rPr>
      <t>次级</t>
    </r>
    <r>
      <rPr>
        <sz val="9"/>
        <color rgb="FF000000"/>
        <rFont val="Times New Roman"/>
        <charset val="134"/>
      </rPr>
      <t>B</t>
    </r>
  </si>
  <si>
    <r>
      <rPr>
        <sz val="9"/>
        <color rgb="FF000000"/>
        <rFont val="KaiTi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熠月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</si>
  <si>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t>宁波银行</t>
  </si>
  <si>
    <r>
      <rPr>
        <sz val="9"/>
        <color rgb="FF000000"/>
        <rFont val="KaiTi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携程小贷拿去花第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</si>
  <si>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华泰资管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奇富小贷毓秀第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</si>
  <si>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招证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美好生活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</si>
  <si>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华能信托美憬二期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</si>
  <si>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天风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国投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普洛斯产融科技车险分期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</si>
  <si>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华泰资管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月盈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</si>
  <si>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京东科技盛赢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</si>
  <si>
    <t>BBB</t>
  </si>
  <si>
    <r>
      <rPr>
        <sz val="9"/>
        <color rgb="FF000000"/>
        <rFont val="KaiTi"/>
        <charset val="134"/>
      </rPr>
      <t>招证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美满生意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中小微企业融资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</si>
  <si>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京东科技荟臻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</si>
  <si>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财通资管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普享第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</si>
  <si>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奇富小贷第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</si>
  <si>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太平洋寿险保单贷款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</si>
  <si>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京东科技盛赢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</si>
  <si>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华泰资管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焜皓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</si>
  <si>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财通资管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星悦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</si>
  <si>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国联满运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号中小微企业融资支持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</si>
  <si>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度小满金融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</si>
  <si>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国联证券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小满助业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</si>
  <si>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玮盈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</si>
  <si>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五矿信托美满团圆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</si>
  <si>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美润六期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</si>
  <si>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16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</si>
  <si>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美润六期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</si>
  <si>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华鑫信托美满予鑫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</si>
  <si>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华能信托美憬二期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</si>
  <si>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国金资管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景熠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号中小微企业融资支持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</si>
  <si>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太平洋寿险保单贷款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</si>
  <si>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16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</si>
  <si>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16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</si>
  <si>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17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</si>
  <si>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国联满运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号中小微企业融资支持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</si>
  <si>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17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</si>
  <si>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16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</si>
  <si>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太平洋寿险保单贷款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</si>
  <si>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五矿信托美满团圆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</si>
  <si>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京东科技荟臻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</si>
  <si>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华鑫信托美满予鑫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</si>
  <si>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天风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启悦</t>
    </r>
    <r>
      <rPr>
        <sz val="9"/>
        <color rgb="FF000000"/>
        <rFont val="Times New Roman"/>
        <charset val="134"/>
      </rPr>
      <t>13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</si>
  <si>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华能信托美憬二期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</si>
  <si>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熠安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</si>
  <si>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爱建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太享生活一号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</si>
  <si>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17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</si>
  <si>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财通资管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星朗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</si>
  <si>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玮盈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</si>
  <si>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奇富小贷第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</si>
  <si>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招证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美好生活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</si>
  <si>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平安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方正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东煜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号中小微企业融资支持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</si>
  <si>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东方汇智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熹焱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</si>
  <si>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美润六期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</si>
  <si>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度小满消费分期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</si>
  <si>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国联证券</t>
    </r>
    <r>
      <rPr>
        <sz val="9"/>
        <color rgb="FF000000"/>
        <rFont val="KaiTi"/>
        <charset val="134"/>
      </rPr>
      <t>资产管理有限公司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</si>
  <si>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18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</si>
  <si>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18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</si>
  <si>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京东科技荟享</t>
    </r>
    <r>
      <rPr>
        <sz val="9"/>
        <color rgb="FF000000"/>
        <rFont val="Times New Roman"/>
        <charset val="134"/>
      </rPr>
      <t>18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</si>
  <si>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奇富小贷小微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</si>
  <si>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18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</si>
  <si>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华鑫信托美满予鑫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</si>
  <si>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中信证券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圆满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</si>
  <si>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财通资管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星悦</t>
    </r>
    <r>
      <rPr>
        <sz val="9"/>
        <color rgb="FF000000"/>
        <rFont val="Times New Roman"/>
        <charset val="134"/>
      </rPr>
      <t>9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</si>
  <si>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招证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美好生活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</si>
  <si>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招证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美满生意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中小微企业融资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</si>
  <si>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度小满金融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</si>
  <si>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KaiTi"/>
        <charset val="134"/>
      </rPr>
      <t>财通资管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星朗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</si>
  <si>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五矿信托美满团圆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9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</si>
  <si>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华能信托美憬二期</t>
    </r>
    <r>
      <rPr>
        <sz val="9"/>
        <color rgb="FF000000"/>
        <rFont val="Times New Roman"/>
        <charset val="134"/>
      </rPr>
      <t>10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</si>
  <si>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熠月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</si>
  <si>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平安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方正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东煜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号中小微企业融资支持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</si>
  <si>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华泰资管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月盈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</si>
  <si>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京东科技荟享</t>
    </r>
    <r>
      <rPr>
        <sz val="9"/>
        <color rgb="FF000000"/>
        <rFont val="Times New Roman"/>
        <charset val="134"/>
      </rPr>
      <t>18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</si>
  <si>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创享微营一号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期中小微企业融资支持资产支持专项计划</t>
    </r>
  </si>
  <si>
    <r>
      <rPr>
        <sz val="9"/>
        <color rgb="FF000000"/>
        <rFont val="KaiTi"/>
        <charset val="134"/>
      </rPr>
      <t>优先</t>
    </r>
    <r>
      <rPr>
        <sz val="9"/>
        <color rgb="FF000000"/>
        <rFont val="Times New Roman"/>
        <charset val="134"/>
      </rPr>
      <t>A3</t>
    </r>
  </si>
  <si>
    <r>
      <rPr>
        <sz val="9"/>
        <color rgb="FF000000"/>
        <rFont val="KaiTi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华能信托美憬二期</t>
    </r>
    <r>
      <rPr>
        <sz val="9"/>
        <color rgb="FF000000"/>
        <rFont val="Times New Roman"/>
        <charset val="134"/>
      </rPr>
      <t>9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</si>
  <si>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京东科技盛采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期中小微企业融资支持资产支持专项计划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</si>
  <si>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华鑫信托美满予鑫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</si>
  <si>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东方汇智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熹焱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</si>
  <si>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京东科技荟煜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</si>
  <si>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玮盈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</si>
  <si>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天风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国投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普洛斯产融科技车险分期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KaiTi"/>
        <charset val="134"/>
      </rPr>
      <t>期资产支持专项计划</t>
    </r>
  </si>
  <si>
    <t>国投康泰信托</t>
  </si>
  <si>
    <r>
      <rPr>
        <sz val="9"/>
        <color rgb="FF000000"/>
        <rFont val="KaiTi"/>
        <charset val="134"/>
      </rPr>
      <t>京东科技盛宏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</si>
  <si>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京东科技盛赢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</si>
  <si>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国联满誉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</si>
  <si>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</si>
  <si>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京东科技荟享</t>
    </r>
    <r>
      <rPr>
        <sz val="9"/>
        <color rgb="FF000000"/>
        <rFont val="Times New Roman"/>
        <charset val="134"/>
      </rPr>
      <t>20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</si>
  <si>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京东科技荟享</t>
    </r>
    <r>
      <rPr>
        <sz val="9"/>
        <color rgb="FF000000"/>
        <rFont val="Times New Roman"/>
        <charset val="134"/>
      </rPr>
      <t>19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</si>
  <si>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星灿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</si>
  <si>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财通资管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星悦</t>
    </r>
    <r>
      <rPr>
        <sz val="9"/>
        <color rgb="FF000000"/>
        <rFont val="Times New Roman"/>
        <charset val="134"/>
      </rPr>
      <t>10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</si>
  <si>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熠然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号中小微企业融资支持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</si>
  <si>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熠月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</si>
  <si>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玮盈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</si>
  <si>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18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</si>
  <si>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中信证券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美好生活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</si>
  <si>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美润六期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</si>
  <si>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耘睿</t>
    </r>
    <r>
      <rPr>
        <sz val="9"/>
        <color rgb="FF000000"/>
        <rFont val="Times New Roman"/>
        <charset val="134"/>
      </rPr>
      <t>18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</si>
  <si>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太平洋寿险保单贷款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</si>
  <si>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太平洋寿险保单贷款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</si>
  <si>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招证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美满生意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号资产支持专项计划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中小微企业融资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</si>
  <si>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人保资产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人保寿险保单质押贷款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</si>
  <si>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Times New Roman"/>
        <charset val="134"/>
      </rPr>
      <t>A</t>
    </r>
    <r>
      <rPr>
        <sz val="9"/>
        <color rgb="FF000000"/>
        <rFont val="KaiTi"/>
        <charset val="134"/>
      </rPr>
      <t>级</t>
    </r>
  </si>
  <si>
    <r>
      <rPr>
        <sz val="9"/>
        <color rgb="FF000000"/>
        <rFont val="Times New Roman"/>
        <charset val="134"/>
      </rPr>
      <t>B</t>
    </r>
    <r>
      <rPr>
        <sz val="9"/>
        <color rgb="FF000000"/>
        <rFont val="KaiTi"/>
        <charset val="134"/>
      </rPr>
      <t>级</t>
    </r>
  </si>
  <si>
    <r>
      <rPr>
        <sz val="9"/>
        <color rgb="FF000000"/>
        <rFont val="KaiTi"/>
        <charset val="134"/>
      </rPr>
      <t>京东科技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尚亦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期中小微企业融资支持资产支持专项计划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</si>
  <si>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华能太泽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</si>
  <si>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度小满消费分期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</si>
  <si>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华鑫信托美满予鑫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</si>
  <si>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招证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美好生活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</si>
  <si>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美润六期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</si>
  <si>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度小满消费分期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</si>
  <si>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招证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美满生意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KaiTi"/>
        <charset val="134"/>
      </rPr>
      <t>年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中小微企业融资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</si>
  <si>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美睦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号资产支持专项计划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</si>
  <si>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华鑫信托月影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</si>
  <si>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华泰资管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月盈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</si>
  <si>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华鑫信托美满予鑫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</si>
  <si>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京东科技荟煜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</si>
  <si>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京东科技博远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</si>
  <si>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京东科技盛煜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</si>
  <si>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t>优先D级</t>
  </si>
  <si>
    <r>
      <rPr>
        <sz val="9"/>
        <color rgb="FF000000"/>
        <rFont val="KaiTi"/>
        <charset val="134"/>
      </rPr>
      <t>国联满誉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</si>
  <si>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京东科技盛煜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</si>
  <si>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KaiTi"/>
        <charset val="134"/>
      </rPr>
      <t>国金资管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KaiTi"/>
        <charset val="134"/>
      </rPr>
      <t>景熠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KaiTi"/>
        <charset val="134"/>
      </rPr>
      <t>号中小微企业融资支持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KaiTi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</si>
  <si>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KaiTi"/>
        <charset val="134"/>
      </rPr>
      <t>京东科技荟煜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KaiTi"/>
        <charset val="134"/>
      </rPr>
      <t>号第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KaiTi"/>
        <charset val="134"/>
      </rPr>
      <t>期资产支持专项计划</t>
    </r>
  </si>
  <si>
    <r>
      <rPr>
        <sz val="9"/>
        <color rgb="FF000000"/>
        <rFont val="楷体"/>
        <charset val="134"/>
      </rPr>
      <t>惠沣嘉诚</t>
    </r>
    <r>
      <rPr>
        <sz val="9"/>
        <color rgb="FF000000"/>
        <rFont val="Times New Roman"/>
        <charset val="134"/>
      </rPr>
      <t>10</t>
    </r>
    <r>
      <rPr>
        <sz val="9"/>
        <color rgb="FF000000"/>
        <rFont val="楷体"/>
        <charset val="134"/>
      </rPr>
      <t>期资产支持专项计划</t>
    </r>
  </si>
  <si>
    <t>未簿记</t>
  </si>
  <si>
    <r>
      <rPr>
        <sz val="9"/>
        <color rgb="FF000000"/>
        <rFont val="楷体"/>
        <charset val="134"/>
      </rPr>
      <t>国联满誉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</si>
  <si>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华鑫信托美满予鑫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</si>
  <si>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熠月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</si>
  <si>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</si>
  <si>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华泰资管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月盈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</si>
  <si>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天风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国投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普洛斯产融科技车险分期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</si>
  <si>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美润六期</t>
    </r>
    <r>
      <rPr>
        <sz val="9"/>
        <color rgb="FF000000"/>
        <rFont val="Times New Roman"/>
        <charset val="134"/>
      </rPr>
      <t>9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</si>
  <si>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华泰资管甲辰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</si>
  <si>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熠然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</si>
  <si>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招证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程意第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期中小微企业融资支持资产支持专项计划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</si>
  <si>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19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</si>
  <si>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建投国君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外贸信托晨泽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</si>
  <si>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京东科技荟享</t>
    </r>
    <r>
      <rPr>
        <sz val="9"/>
        <color rgb="FF000000"/>
        <rFont val="Times New Roman"/>
        <charset val="134"/>
      </rPr>
      <t>19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</si>
  <si>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</si>
  <si>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度小满消费分期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</si>
  <si>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平安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睿铭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</si>
  <si>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度小满消费分期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</si>
  <si>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创享微营一号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期新市民融资支持资产支持专项计划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</si>
  <si>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贵诚惠及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</si>
  <si>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华能信托美憬三期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号资产支持专项计划</t>
    </r>
  </si>
  <si>
    <r>
      <rPr>
        <sz val="9"/>
        <color rgb="FF000000"/>
        <rFont val="楷体"/>
        <charset val="134"/>
      </rPr>
      <t>京东科技盛采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期中小微企业融资支持资产支持专项计划</t>
    </r>
  </si>
  <si>
    <r>
      <rPr>
        <sz val="9"/>
        <color rgb="FF000000"/>
        <rFont val="楷体"/>
        <charset val="134"/>
      </rPr>
      <t>招商证券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华鑫信托美满予鑫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</si>
  <si>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京东科技荟煜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</si>
  <si>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国金资管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景熠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号中小微企业融资支持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  <r>
      <rPr>
        <sz val="9"/>
        <color rgb="FF000000"/>
        <rFont val="Arial"/>
        <charset val="134"/>
      </rPr>
      <t>(</t>
    </r>
    <r>
      <rPr>
        <sz val="9"/>
        <color rgb="FF000000"/>
        <rFont val="楷体"/>
        <charset val="134"/>
      </rPr>
      <t>可续发型</t>
    </r>
    <r>
      <rPr>
        <sz val="9"/>
        <color rgb="FF000000"/>
        <rFont val="Arial"/>
        <charset val="134"/>
      </rPr>
      <t>)</t>
    </r>
  </si>
  <si>
    <r>
      <rPr>
        <sz val="9"/>
        <color rgb="FF000000"/>
        <rFont val="楷体"/>
        <charset val="134"/>
      </rPr>
      <t>天风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鑫通科贷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</si>
  <si>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t>泰州市鑫通科技小额贷款有限公司</t>
  </si>
  <si>
    <t>鑫通科贷</t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</si>
  <si>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乘风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</si>
  <si>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中金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国投至启中小微企业融资支持第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</si>
  <si>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圆满生活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</si>
  <si>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财通资管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星悦</t>
    </r>
    <r>
      <rPr>
        <sz val="9"/>
        <color rgb="FF000000"/>
        <rFont val="Times New Roman"/>
        <charset val="134"/>
      </rPr>
      <t>11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</si>
  <si>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国联满悦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期资产支持专项计划</t>
    </r>
  </si>
  <si>
    <r>
      <rPr>
        <sz val="9"/>
        <color rgb="FF000000"/>
        <rFont val="楷体"/>
        <charset val="134"/>
      </rPr>
      <t>华泰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国君</t>
    </r>
    <r>
      <rPr>
        <sz val="9"/>
        <color rgb="FF000000"/>
        <rFont val="Arial"/>
        <charset val="134"/>
      </rPr>
      <t>-</t>
    </r>
    <r>
      <rPr>
        <sz val="9"/>
        <color rgb="FF000000"/>
        <rFont val="楷体"/>
        <charset val="134"/>
      </rPr>
      <t>美润六期</t>
    </r>
    <r>
      <rPr>
        <sz val="9"/>
        <color rgb="FF000000"/>
        <rFont val="Times New Roman"/>
        <charset val="134"/>
      </rPr>
      <t>10</t>
    </r>
    <r>
      <rPr>
        <sz val="9"/>
        <color rgb="FF000000"/>
        <rFont val="楷体"/>
        <charset val="134"/>
      </rPr>
      <t>号资产支持专项计划</t>
    </r>
  </si>
  <si>
    <r>
      <rPr>
        <b/>
        <sz val="9"/>
        <rFont val="楷体"/>
        <charset val="134"/>
      </rPr>
      <t>专项计划名称</t>
    </r>
  </si>
  <si>
    <t>发起机构</t>
  </si>
  <si>
    <r>
      <rPr>
        <b/>
        <sz val="9"/>
        <rFont val="楷体"/>
        <charset val="134"/>
      </rPr>
      <t>发行机构</t>
    </r>
  </si>
  <si>
    <t>期限(年)</t>
  </si>
  <si>
    <r>
      <rPr>
        <b/>
        <sz val="9"/>
        <rFont val="楷体"/>
        <charset val="134"/>
      </rPr>
      <t>资产方</t>
    </r>
  </si>
  <si>
    <r>
      <rPr>
        <sz val="9"/>
        <rFont val="楷体"/>
        <charset val="134"/>
      </rPr>
      <t>国投泰康信托有限公司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年度致远</t>
    </r>
    <r>
      <rPr>
        <sz val="9"/>
        <rFont val="Times New Roman"/>
        <charset val="134"/>
      </rPr>
      <t>6</t>
    </r>
    <r>
      <rPr>
        <sz val="9"/>
        <rFont val="楷体"/>
        <charset val="134"/>
      </rPr>
      <t>号第一期定向资产支持商业票据</t>
    </r>
  </si>
  <si>
    <r>
      <rPr>
        <sz val="9"/>
        <rFont val="楷体"/>
        <charset val="134"/>
      </rPr>
      <t>腾讯</t>
    </r>
  </si>
  <si>
    <r>
      <rPr>
        <sz val="9"/>
        <rFont val="楷体"/>
        <charset val="134"/>
      </rPr>
      <t>东樾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号秋樾第一期定向资产支持商业票据</t>
    </r>
  </si>
  <si>
    <r>
      <rPr>
        <sz val="9"/>
        <rFont val="楷体"/>
        <charset val="134"/>
      </rPr>
      <t>京东</t>
    </r>
  </si>
  <si>
    <r>
      <rPr>
        <sz val="9"/>
        <rFont val="楷体"/>
        <charset val="134"/>
      </rPr>
      <t>国投泰康信托有限公司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年度致远</t>
    </r>
    <r>
      <rPr>
        <sz val="9"/>
        <rFont val="Times New Roman"/>
        <charset val="134"/>
      </rPr>
      <t>7</t>
    </r>
    <r>
      <rPr>
        <sz val="9"/>
        <rFont val="楷体"/>
        <charset val="134"/>
      </rPr>
      <t>号第一期定向资产支持商业票据</t>
    </r>
  </si>
  <si>
    <r>
      <rPr>
        <sz val="9"/>
        <rFont val="楷体"/>
        <charset val="134"/>
      </rPr>
      <t>北京京东世纪贸易有限公司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年度东裕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号京东白条第一期定向资产支持票据</t>
    </r>
  </si>
  <si>
    <r>
      <rPr>
        <sz val="9"/>
        <rFont val="楷体"/>
        <charset val="134"/>
      </rPr>
      <t>北京京东世纪贸易有限公司</t>
    </r>
  </si>
  <si>
    <r>
      <rPr>
        <sz val="9"/>
        <rFont val="楷体"/>
        <charset val="134"/>
      </rPr>
      <t>华能贵诚信托有限公司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年度第一期启辰定向资产支持票据</t>
    </r>
  </si>
  <si>
    <r>
      <rPr>
        <sz val="9"/>
        <rFont val="楷体"/>
        <charset val="134"/>
      </rPr>
      <t>微众银行</t>
    </r>
  </si>
  <si>
    <r>
      <rPr>
        <sz val="9"/>
        <rFont val="楷体"/>
        <charset val="134"/>
      </rPr>
      <t>国投泰康信托有限公司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年度信玥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号第一期定向资产支持票据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债券通</t>
    </r>
    <r>
      <rPr>
        <sz val="9"/>
        <rFont val="Times New Roman"/>
        <charset val="134"/>
      </rPr>
      <t>)</t>
    </r>
  </si>
  <si>
    <r>
      <rPr>
        <sz val="9"/>
        <rFont val="楷体"/>
        <charset val="134"/>
      </rPr>
      <t>奇富科技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</si>
  <si>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年度致远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</si>
  <si>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腾讯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</si>
  <si>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年度浩悦第一期定向资产支持票据</t>
    </r>
  </si>
  <si>
    <r>
      <rPr>
        <sz val="9"/>
        <color rgb="FF000000"/>
        <rFont val="楷体"/>
        <charset val="134"/>
      </rPr>
      <t>华润深国投信托有限公司</t>
    </r>
  </si>
  <si>
    <r>
      <rPr>
        <sz val="9"/>
        <color rgb="FF000000"/>
        <rFont val="楷体"/>
        <charset val="134"/>
      </rPr>
      <t>金城银行</t>
    </r>
  </si>
  <si>
    <r>
      <rPr>
        <sz val="9"/>
        <color rgb="FF000000"/>
        <rFont val="楷体"/>
        <charset val="134"/>
      </rPr>
      <t>睿洺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</si>
  <si>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蚂蚁</t>
    </r>
  </si>
  <si>
    <r>
      <rPr>
        <sz val="9"/>
        <color rgb="FF000000"/>
        <rFont val="楷体"/>
        <charset val="134"/>
      </rPr>
      <t>次优先级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</si>
  <si>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年度美润第一期定向资产支持票据</t>
    </r>
  </si>
  <si>
    <r>
      <rPr>
        <sz val="9"/>
        <color rgb="FF000000"/>
        <rFont val="楷体"/>
        <charset val="134"/>
      </rPr>
      <t>美团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</si>
  <si>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年度和盛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</si>
  <si>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深圳市财付通网络金融小额贷款有限公司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</si>
  <si>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号第一期定向资产支持票据</t>
    </r>
  </si>
  <si>
    <r>
      <rPr>
        <sz val="9"/>
        <color rgb="FF000000"/>
        <rFont val="楷体"/>
        <charset val="134"/>
      </rPr>
      <t>京东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</si>
  <si>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年度惠佳第一期定向资产支持票据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</si>
  <si>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年度惠欣第一期定向资产支持票据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</si>
  <si>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号京东白条第二期定向资产支持票据</t>
    </r>
  </si>
  <si>
    <r>
      <rPr>
        <sz val="9"/>
        <color rgb="FF000000"/>
        <rFont val="楷体"/>
        <charset val="134"/>
      </rPr>
      <t>北京京东世纪贸易有限公司</t>
    </r>
  </si>
  <si>
    <r>
      <rPr>
        <sz val="9"/>
        <color rgb="FF000000"/>
        <rFont val="楷体"/>
        <charset val="134"/>
      </rPr>
      <t>星曦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</si>
  <si>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年度惠欣第二期定向资产支持票据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</si>
  <si>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年度惠佳第二期定向资产支持票据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</si>
  <si>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年度惠佳第四期定向资产支持票据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</si>
  <si>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年度和盛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</si>
  <si>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年度惠聚第二期定向资产支持票据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</si>
  <si>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年度惠佳第三期定向资产支持票据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</si>
  <si>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年度第一期启达定向资产支持票据</t>
    </r>
  </si>
  <si>
    <r>
      <rPr>
        <sz val="9"/>
        <color rgb="FF000000"/>
        <rFont val="楷体"/>
        <charset val="134"/>
      </rPr>
      <t>微众银行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</si>
  <si>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年度致远</t>
    </r>
    <r>
      <rPr>
        <sz val="9"/>
        <color rgb="FF000000"/>
        <rFont val="Times New Roman"/>
        <charset val="134"/>
      </rPr>
      <t>9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</si>
  <si>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年度惠诗第一期定向资产支持票据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</si>
  <si>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年度惠聚第一期定向资产支持票据</t>
    </r>
  </si>
  <si>
    <r>
      <rPr>
        <sz val="9"/>
        <color rgb="FF000000"/>
        <rFont val="楷体"/>
        <charset val="134"/>
      </rPr>
      <t>睿洺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</si>
  <si>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年度惠欣第三期定向资产支持票据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</si>
  <si>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号第一期定向资产支持票据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</si>
  <si>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号第二期定向资产支持票据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</si>
  <si>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年度第一期惠元定向资产支持票据</t>
    </r>
  </si>
  <si>
    <r>
      <rPr>
        <sz val="9"/>
        <color rgb="FF000000"/>
        <rFont val="楷体"/>
        <charset val="134"/>
      </rPr>
      <t>平安担保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</si>
  <si>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号第三期定向资产支持票据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</si>
  <si>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号京东白条第三期定向资产支持票据</t>
    </r>
  </si>
  <si>
    <r>
      <rPr>
        <sz val="9"/>
        <color rgb="FF000000"/>
        <rFont val="楷体"/>
        <charset val="134"/>
      </rPr>
      <t>云南国际信托有限公司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</si>
  <si>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年度美润第二期定向资产支持票据</t>
    </r>
  </si>
  <si>
    <r>
      <rPr>
        <sz val="9"/>
        <color rgb="FF000000"/>
        <rFont val="楷体"/>
        <charset val="134"/>
      </rPr>
      <t>重庆市西岸小额贷款有限公司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年度启橙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号第一期定向资产支持票据</t>
    </r>
  </si>
  <si>
    <r>
      <rPr>
        <sz val="9"/>
        <color rgb="FF000000"/>
        <rFont val="楷体"/>
        <charset val="134"/>
      </rPr>
      <t>重庆市西岸小额贷款有限公司</t>
    </r>
  </si>
  <si>
    <r>
      <rPr>
        <sz val="9"/>
        <color rgb="FF000000"/>
        <rFont val="楷体"/>
        <charset val="134"/>
      </rPr>
      <t>广东粤财信托有限公司</t>
    </r>
  </si>
  <si>
    <r>
      <rPr>
        <sz val="9"/>
        <color rgb="FF000000"/>
        <rFont val="楷体"/>
        <charset val="134"/>
      </rPr>
      <t>滴滴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</si>
  <si>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年度美润第三期定向资产支持票据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</si>
  <si>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号仲裕京东白条第一期定向资产支持商业票据</t>
    </r>
  </si>
  <si>
    <r>
      <rPr>
        <sz val="9"/>
        <color rgb="FF000000"/>
        <rFont val="楷体"/>
        <charset val="134"/>
      </rPr>
      <t>中航信托股份有限公司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</si>
  <si>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年度惠佳第五期定向资产支持票据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</si>
  <si>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年度启赢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号第二期京东定向资产支持票据</t>
    </r>
  </si>
  <si>
    <r>
      <rPr>
        <sz val="9"/>
        <rFont val="楷体"/>
        <charset val="134"/>
      </rPr>
      <t>睿洺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年度第三期定向资产支持票据</t>
    </r>
  </si>
  <si>
    <r>
      <rPr>
        <sz val="9"/>
        <rFont val="楷体"/>
        <charset val="134"/>
      </rPr>
      <t>蚂蚁</t>
    </r>
  </si>
  <si>
    <r>
      <rPr>
        <sz val="9"/>
        <rFont val="楷体"/>
        <charset val="134"/>
      </rPr>
      <t>睿洺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年度第四期定向资产支持票据</t>
    </r>
  </si>
  <si>
    <r>
      <rPr>
        <sz val="9"/>
        <rFont val="楷体"/>
        <charset val="134"/>
      </rPr>
      <t>北京京东世纪贸易有限公司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年度东裕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号伯裕京东白条第一期定向资产支持商业票据</t>
    </r>
  </si>
  <si>
    <r>
      <rPr>
        <sz val="9"/>
        <rFont val="楷体"/>
        <charset val="134"/>
      </rPr>
      <t>中航信托股份有限公司</t>
    </r>
  </si>
  <si>
    <r>
      <rPr>
        <sz val="9"/>
        <rFont val="楷体"/>
        <charset val="134"/>
      </rPr>
      <t>国投泰康信托有限公司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年度致远</t>
    </r>
    <r>
      <rPr>
        <sz val="9"/>
        <rFont val="Times New Roman"/>
        <charset val="134"/>
      </rPr>
      <t>10</t>
    </r>
    <r>
      <rPr>
        <sz val="9"/>
        <rFont val="楷体"/>
        <charset val="134"/>
      </rPr>
      <t>号第一期定向资产支持商业票据</t>
    </r>
  </si>
  <si>
    <r>
      <rPr>
        <sz val="9"/>
        <rFont val="楷体"/>
        <charset val="134"/>
      </rPr>
      <t>华鑫国际信托有限公司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年度惠佳第六期定向资产支持票据</t>
    </r>
  </si>
  <si>
    <r>
      <rPr>
        <sz val="9"/>
        <rFont val="楷体"/>
        <charset val="134"/>
      </rPr>
      <t>网商银行</t>
    </r>
  </si>
  <si>
    <r>
      <rPr>
        <sz val="9"/>
        <rFont val="楷体"/>
        <charset val="134"/>
      </rPr>
      <t>北京京东世纪贸易有限公司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年度东裕</t>
    </r>
    <r>
      <rPr>
        <sz val="9"/>
        <rFont val="Times New Roman"/>
        <charset val="134"/>
      </rPr>
      <t>6</t>
    </r>
    <r>
      <rPr>
        <sz val="9"/>
        <rFont val="楷体"/>
        <charset val="134"/>
      </rPr>
      <t>号京东白条第一期两新定向资产支持票据</t>
    </r>
  </si>
  <si>
    <r>
      <rPr>
        <sz val="9"/>
        <rFont val="楷体"/>
        <charset val="134"/>
      </rPr>
      <t>云南国际信托有限公司</t>
    </r>
  </si>
  <si>
    <r>
      <rPr>
        <sz val="9"/>
        <rFont val="楷体"/>
        <charset val="134"/>
      </rPr>
      <t>星熠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年度第一期定向资产支持票据</t>
    </r>
  </si>
  <si>
    <r>
      <rPr>
        <sz val="9"/>
        <rFont val="楷体"/>
        <charset val="134"/>
      </rPr>
      <t>北京京东世纪贸易有限公司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年度东裕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号叔裕京东白条第一期定向资产支持商业票据</t>
    </r>
  </si>
  <si>
    <r>
      <rPr>
        <sz val="9"/>
        <rFont val="楷体"/>
        <charset val="134"/>
      </rPr>
      <t>华能贵诚信托有限公司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年度第一期启通定向资产支持票据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</si>
  <si>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年度惠聚第四期定向资产支持票据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</si>
  <si>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号第四期定向资产支持票据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</si>
  <si>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年度惠聚第三期定向资产支持票据</t>
    </r>
  </si>
  <si>
    <r>
      <rPr>
        <sz val="9"/>
        <color rgb="FF000000"/>
        <rFont val="楷体"/>
        <charset val="134"/>
      </rPr>
      <t>澄丰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</si>
  <si>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年度惠行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</si>
  <si>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年度惠诗第二期定向资产支持票据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</si>
  <si>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号季裕京东白条第一期定向资产支持商业票据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</si>
  <si>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年度拾穗丰润第一期定向资产支持票据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乡村振兴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</si>
  <si>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中和农信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</si>
  <si>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年度惠欣第四期定向资产支持票据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</si>
  <si>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号仲裕京东白条第一期定向资产支持商业票据</t>
    </r>
  </si>
  <si>
    <r>
      <rPr>
        <sz val="9"/>
        <color rgb="FF000000"/>
        <rFont val="楷体"/>
        <charset val="134"/>
      </rPr>
      <t>睿洺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年度第七期定向资产支持票据</t>
    </r>
  </si>
  <si>
    <r>
      <rPr>
        <sz val="9"/>
        <color rgb="FF000000"/>
        <rFont val="楷体"/>
        <charset val="134"/>
      </rPr>
      <t>星曦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</si>
  <si>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年度第一期锦新小微定向资产支持票据</t>
    </r>
  </si>
  <si>
    <r>
      <rPr>
        <sz val="9"/>
        <color rgb="FF000000"/>
        <rFont val="楷体"/>
        <charset val="134"/>
      </rPr>
      <t>新网银行</t>
    </r>
  </si>
  <si>
    <r>
      <rPr>
        <sz val="9"/>
        <color rgb="FF000000"/>
        <rFont val="楷体"/>
        <charset val="134"/>
      </rPr>
      <t>星昀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</si>
  <si>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厦门国际信托有限公司</t>
    </r>
  </si>
  <si>
    <r>
      <rPr>
        <sz val="9"/>
        <color rgb="FF000000"/>
        <rFont val="楷体"/>
        <charset val="134"/>
      </rPr>
      <t>睿洺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年度第六期定向资产支持票据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</si>
  <si>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号京东白条第二期定向资产支持票据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</si>
  <si>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年度恒信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</si>
  <si>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睿洺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年度第五期定向资产支持票据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</si>
  <si>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年度惠欣第五期定向资产支持票据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</si>
  <si>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号季裕京东白条第一期定向资产支持商业票据</t>
    </r>
  </si>
  <si>
    <r>
      <rPr>
        <sz val="9"/>
        <rFont val="楷体"/>
        <charset val="134"/>
      </rPr>
      <t>北京京东世纪贸易有限公司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年度东裕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号春裕京东白条第一期定向资产支持商业票据</t>
    </r>
  </si>
  <si>
    <r>
      <rPr>
        <sz val="9"/>
        <rFont val="楷体"/>
        <charset val="134"/>
      </rPr>
      <t>星熠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年度第二期定向资产支持票据</t>
    </r>
  </si>
  <si>
    <r>
      <rPr>
        <sz val="9"/>
        <rFont val="楷体"/>
        <charset val="134"/>
      </rPr>
      <t>中信信托有限责任公司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</si>
  <si>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年度恒信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</si>
  <si>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333333"/>
        <rFont val="楷体"/>
        <charset val="134"/>
      </rPr>
      <t>华能贵诚信托有限公司</t>
    </r>
  </si>
  <si>
    <r>
      <rPr>
        <sz val="9"/>
        <color rgb="FF333333"/>
        <rFont val="楷体"/>
        <charset val="134"/>
      </rPr>
      <t>国投泰康信托有限公司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</si>
  <si>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号京东白条第五期定向资产支持票据</t>
    </r>
  </si>
  <si>
    <r>
      <rPr>
        <sz val="9"/>
        <color rgb="FF333333"/>
        <rFont val="楷体"/>
        <charset val="134"/>
      </rPr>
      <t>北京京东世纪贸易有限公司</t>
    </r>
  </si>
  <si>
    <r>
      <rPr>
        <sz val="9"/>
        <color rgb="FF333333"/>
        <rFont val="楷体"/>
        <charset val="134"/>
      </rPr>
      <t>云南国际信托有限公司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</si>
  <si>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年度信玥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号第二期定向资产支持票据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债券通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</si>
  <si>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奇富科技</t>
    </r>
  </si>
  <si>
    <r>
      <rPr>
        <sz val="9"/>
        <rFont val="楷体"/>
        <charset val="134"/>
      </rPr>
      <t>北京京东世纪贸易有限公司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年度东裕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号叔裕京东白条第一期定向资产支持商业票据</t>
    </r>
  </si>
  <si>
    <r>
      <rPr>
        <sz val="10"/>
        <color rgb="FF000000"/>
        <rFont val="楷体"/>
        <charset val="134"/>
      </rPr>
      <t>华能贵诚信托有限公司</t>
    </r>
    <r>
      <rPr>
        <sz val="10"/>
        <color rgb="FF000000"/>
        <rFont val="Times New Roman"/>
        <charset val="134"/>
      </rPr>
      <t>2025</t>
    </r>
    <r>
      <rPr>
        <sz val="10"/>
        <color rgb="FF000000"/>
        <rFont val="楷体"/>
        <charset val="134"/>
      </rPr>
      <t>年度第二期启达定向资产支持票据</t>
    </r>
  </si>
  <si>
    <r>
      <rPr>
        <sz val="10"/>
        <color rgb="FF000000"/>
        <rFont val="楷体"/>
        <charset val="134"/>
      </rPr>
      <t>华能贵诚信托有限公司</t>
    </r>
  </si>
  <si>
    <r>
      <rPr>
        <sz val="10"/>
        <rFont val="楷体"/>
        <charset val="134"/>
      </rPr>
      <t>微众银行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</si>
  <si>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年度美润二号第一期定向资产支持票据</t>
    </r>
  </si>
  <si>
    <r>
      <rPr>
        <sz val="9"/>
        <color rgb="FF000000"/>
        <rFont val="楷体"/>
        <charset val="134"/>
      </rPr>
      <t>澄悦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</si>
  <si>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睿洺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年度第八期定向资产支持票据</t>
    </r>
  </si>
  <si>
    <r>
      <rPr>
        <sz val="9"/>
        <color rgb="FF000000"/>
        <rFont val="楷体"/>
        <charset val="134"/>
      </rPr>
      <t>重庆美团三快小额贷款有限公司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年度美玥第一期定向资产支持票据</t>
    </r>
  </si>
  <si>
    <r>
      <rPr>
        <sz val="9"/>
        <color rgb="FF000000"/>
        <rFont val="楷体"/>
        <charset val="134"/>
      </rPr>
      <t>重庆美团三快小额贷款有限公司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</si>
  <si>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年度美憬第一期定向资产支持票据</t>
    </r>
  </si>
  <si>
    <r>
      <rPr>
        <sz val="9"/>
        <color rgb="FF000000"/>
        <rFont val="楷体"/>
        <charset val="134"/>
      </rPr>
      <t>星熠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</si>
  <si>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年度惠尚第一期定向资产支持票据</t>
    </r>
  </si>
  <si>
    <r>
      <rPr>
        <sz val="9"/>
        <color rgb="FF000000"/>
        <rFont val="楷体"/>
        <charset val="134"/>
      </rPr>
      <t>星晗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</si>
  <si>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睿晨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</si>
  <si>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号京东白条第六期定向资产支持票据</t>
    </r>
  </si>
  <si>
    <r>
      <rPr>
        <sz val="9"/>
        <color rgb="FF000000"/>
        <rFont val="楷体"/>
        <charset val="134"/>
      </rPr>
      <t>澄嘉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</si>
  <si>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年度恒信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号第一期定向资产支持商业票据</t>
    </r>
  </si>
  <si>
    <t xml:space="preserve"> 2025-04-23</t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</si>
  <si>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号京东白条第七期定向资产支持票据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</si>
  <si>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号第六期定向资产支持票据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</si>
  <si>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年度惠行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</si>
  <si>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号第五期定向资产支持票据</t>
    </r>
  </si>
  <si>
    <r>
      <rPr>
        <sz val="9"/>
        <color rgb="FF000000"/>
        <rFont val="楷体"/>
        <charset val="134"/>
      </rPr>
      <t>重庆市西岸小额贷款有限公司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年度启橙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号第二期定向资产支持票据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</si>
  <si>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号伯裕京东白条第一期定向资产支持商业票据</t>
    </r>
  </si>
  <si>
    <r>
      <rPr>
        <sz val="9"/>
        <color rgb="FF000000"/>
        <rFont val="楷体"/>
        <charset val="134"/>
      </rPr>
      <t>睿晨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</si>
  <si>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年度惠行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</si>
  <si>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年度美憬第二期定向资产支持票据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</si>
  <si>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年度美润二号第二期定向资产支持票据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</si>
  <si>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号京东白条第八期定向资产支持票据</t>
    </r>
  </si>
  <si>
    <r>
      <rPr>
        <sz val="9"/>
        <color rgb="FF000000"/>
        <rFont val="楷体"/>
        <charset val="134"/>
      </rPr>
      <t>澄悦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</si>
  <si>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澄悦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</si>
  <si>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澄丰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</si>
  <si>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睿晨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年度第三期定向资产支持票据</t>
    </r>
  </si>
  <si>
    <t>2025-05-12</t>
  </si>
  <si>
    <r>
      <rPr>
        <sz val="9"/>
        <color rgb="FF000000"/>
        <rFont val="楷体"/>
        <charset val="134"/>
      </rPr>
      <t>重庆度小满小额贷款有限公司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年度第一期满航定向资产支持票据</t>
    </r>
  </si>
  <si>
    <r>
      <rPr>
        <sz val="9"/>
        <color rgb="FF000000"/>
        <rFont val="楷体"/>
        <charset val="134"/>
      </rPr>
      <t>度小满</t>
    </r>
  </si>
  <si>
    <r>
      <rPr>
        <sz val="9"/>
        <color rgb="FF000000"/>
        <rFont val="楷体"/>
        <charset val="134"/>
      </rPr>
      <t>睿晨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年度第五期定向资产支持票据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</si>
  <si>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号春裕京东白条第一期定向资产支持商业票据</t>
    </r>
  </si>
  <si>
    <t xml:space="preserve"> A+sf</t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</si>
  <si>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号第七期定向资产支持票据</t>
    </r>
  </si>
  <si>
    <t>2025-05-19</t>
  </si>
  <si>
    <r>
      <rPr>
        <sz val="9"/>
        <color rgb="FF000000"/>
        <rFont val="楷体"/>
        <charset val="134"/>
      </rPr>
      <t>星晗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</si>
  <si>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号第八期定向资产支持票据</t>
    </r>
  </si>
  <si>
    <r>
      <rPr>
        <sz val="9"/>
        <color rgb="FF000000"/>
        <rFont val="楷体"/>
        <charset val="134"/>
      </rPr>
      <t>澄悦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年度第五期定向资产支持票据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</si>
  <si>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年度美润二号第三期定向资产支持票据</t>
    </r>
  </si>
  <si>
    <r>
      <rPr>
        <sz val="9"/>
        <color rgb="FF000000"/>
        <rFont val="楷体"/>
        <charset val="134"/>
      </rPr>
      <t>睿晨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</si>
  <si>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澄丰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</si>
  <si>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睿新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</si>
  <si>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年度启赢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号第三期京东定向资产支持票据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</si>
  <si>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年度恒信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</si>
  <si>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年度惠行</t>
    </r>
    <r>
      <rPr>
        <sz val="9"/>
        <color rgb="FF000000"/>
        <rFont val="Times New Roman"/>
        <charset val="134"/>
      </rPr>
      <t>9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</si>
  <si>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澄悦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年度第六期定向资产支持票据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</si>
  <si>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号夏裕京东白条第一期定向资产支持商业票据</t>
    </r>
  </si>
  <si>
    <r>
      <rPr>
        <sz val="9"/>
        <color rgb="FF000000"/>
        <rFont val="楷体"/>
        <charset val="134"/>
      </rPr>
      <t>兴业国际信托有限公司</t>
    </r>
  </si>
  <si>
    <t xml:space="preserve"> Asf</t>
  </si>
  <si>
    <t xml:space="preserve"> 2025-05-26</t>
  </si>
  <si>
    <r>
      <rPr>
        <sz val="9"/>
        <color rgb="FF000000"/>
        <rFont val="楷体"/>
        <charset val="134"/>
      </rPr>
      <t>星晗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</si>
  <si>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年度惠行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</si>
  <si>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年度启赢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号第一期京东定向资产支持票据</t>
    </r>
  </si>
  <si>
    <t xml:space="preserve"> 2025-05-23</t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</si>
  <si>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号伯裕京东白条第一期定向资产支持商业票据</t>
    </r>
  </si>
  <si>
    <r>
      <rPr>
        <sz val="9"/>
        <rFont val="楷体"/>
        <charset val="134"/>
      </rPr>
      <t>未披露</t>
    </r>
  </si>
  <si>
    <t xml:space="preserve"> 2025-05-22</t>
  </si>
  <si>
    <r>
      <rPr>
        <sz val="9"/>
        <color rgb="FF000000"/>
        <rFont val="楷体"/>
        <charset val="134"/>
      </rPr>
      <t>星晗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年度第五期定向资产支持票据</t>
    </r>
  </si>
  <si>
    <r>
      <rPr>
        <sz val="9"/>
        <color rgb="FF000000"/>
        <rFont val="楷体"/>
        <charset val="134"/>
      </rPr>
      <t>星熠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</si>
  <si>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号叔裕京东白条第一期定向资产支持商业票据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</si>
  <si>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号秋裕京东白条第一期定向资产支持商业票据</t>
    </r>
  </si>
  <si>
    <r>
      <rPr>
        <sz val="9"/>
        <color rgb="FF000000"/>
        <rFont val="楷体"/>
        <charset val="134"/>
      </rPr>
      <t>睿新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</si>
  <si>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年度第二期锦新小微定向资产支持票据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</si>
  <si>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年度第一期满奕定向资产支持票据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</si>
  <si>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年度惠铭第一期定向资产支持票据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</si>
  <si>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年度拾穗丰润第二期定向资产支持票据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乡村振兴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</si>
  <si>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年度第二期启通定向资产支持票据</t>
    </r>
  </si>
  <si>
    <r>
      <rPr>
        <sz val="9"/>
        <color rgb="FF000000"/>
        <rFont val="楷体"/>
        <charset val="134"/>
      </rPr>
      <t>星熠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年度第六期定向资产支持票据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</si>
  <si>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年度美憬第三期定向资产支持票据</t>
    </r>
  </si>
  <si>
    <t xml:space="preserve"> AAsf</t>
  </si>
  <si>
    <t>2025-06-18</t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</si>
  <si>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年度恒信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</si>
  <si>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年度美满华年第一期定向资产支持票据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</si>
  <si>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年度惠行</t>
    </r>
    <r>
      <rPr>
        <sz val="9"/>
        <color rgb="FF000000"/>
        <rFont val="Times New Roman"/>
        <charset val="134"/>
      </rPr>
      <t>10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</si>
  <si>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号夏裕京东白条第一期定向资产支持商业票据</t>
    </r>
  </si>
  <si>
    <t>2025-06-25</t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</si>
  <si>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年度扬帆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</si>
  <si>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年度惠行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</si>
  <si>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星曦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</si>
  <si>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号冬裕京东白条第一期定向资产支持商业票据</t>
    </r>
  </si>
  <si>
    <r>
      <rPr>
        <sz val="9"/>
        <color rgb="FF000000"/>
        <rFont val="楷体"/>
        <charset val="134"/>
      </rPr>
      <t>睿晨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年度第六期定向资产支持票据</t>
    </r>
  </si>
  <si>
    <r>
      <rPr>
        <sz val="9"/>
        <color rgb="FF000000"/>
        <rFont val="楷体"/>
        <charset val="134"/>
      </rPr>
      <t>澄悦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年度第七期定向资产支持票据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</si>
  <si>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号秋裕京东白条第一期定向资产支持商业票据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</si>
  <si>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年度恒信</t>
    </r>
    <r>
      <rPr>
        <sz val="9"/>
        <color rgb="FF000000"/>
        <rFont val="Times New Roman"/>
        <charset val="134"/>
      </rPr>
      <t>9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</si>
  <si>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澄嘉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</si>
  <si>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星曦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</si>
  <si>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年度启赢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号第四期京东定向资产支持票据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</si>
  <si>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年度第三期和惠定向资产支持票据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</si>
  <si>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年度惠尚第四期定向资产支持票据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</si>
  <si>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年度惠尚第三期定向资产支持票据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</si>
  <si>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号第一期定向资产支持票据</t>
    </r>
  </si>
  <si>
    <r>
      <rPr>
        <sz val="9"/>
        <color rgb="FF000000"/>
        <rFont val="楷体"/>
        <charset val="134"/>
      </rPr>
      <t>中粮信托有限责任公司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</si>
  <si>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年度惠尚第二期定向资产支持票据</t>
    </r>
  </si>
  <si>
    <r>
      <rPr>
        <sz val="9"/>
        <color rgb="FF000000"/>
        <rFont val="楷体"/>
        <charset val="134"/>
      </rPr>
      <t>睿航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</si>
  <si>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澄嘉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</si>
  <si>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星熠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年度第七期定向资产支持票据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</si>
  <si>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年度启赢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号第五期京东定向资产支持票据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</si>
  <si>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号仲裕京东白条第一期定向资产支持商业票据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</si>
  <si>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年度第四期和惠定向资产支持票据</t>
    </r>
  </si>
  <si>
    <t>2025-07-15</t>
  </si>
  <si>
    <r>
      <rPr>
        <sz val="9"/>
        <color rgb="FF000000"/>
        <rFont val="楷体"/>
        <charset val="134"/>
      </rPr>
      <t>重庆美团三快小额贷款有限公司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年度美好生活第一期定向资产支持票据</t>
    </r>
  </si>
  <si>
    <r>
      <rPr>
        <sz val="9"/>
        <color rgb="FF000000"/>
        <rFont val="楷体"/>
        <charset val="134"/>
      </rPr>
      <t>睿晨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年度第七期定向资产支持票据</t>
    </r>
  </si>
  <si>
    <t>2025-07-17</t>
  </si>
  <si>
    <r>
      <rPr>
        <sz val="9"/>
        <color rgb="FF000000"/>
        <rFont val="楷体"/>
        <charset val="134"/>
      </rPr>
      <t>睿宁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</si>
  <si>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中信信托有限责任公司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年度悦辰第一期定向资产支持票据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</si>
  <si>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年度美睦第一期定向资产支持票据</t>
    </r>
  </si>
  <si>
    <t>2025-07-09</t>
  </si>
  <si>
    <r>
      <rPr>
        <sz val="9"/>
        <color rgb="FF000000"/>
        <rFont val="楷体"/>
        <charset val="134"/>
      </rPr>
      <t>重庆市西岸小额贷款有限公司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年度启橙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号第三期定向资产支持票据</t>
    </r>
  </si>
  <si>
    <t>2025-07-11</t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</si>
  <si>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年度信玥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号第三期定向资产支持票据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债券通</t>
    </r>
    <r>
      <rPr>
        <sz val="9"/>
        <color rgb="FF000000"/>
        <rFont val="Times New Roman"/>
        <charset val="134"/>
      </rPr>
      <t>)</t>
    </r>
  </si>
  <si>
    <r>
      <rPr>
        <sz val="9"/>
        <rFont val="楷体"/>
        <charset val="134"/>
      </rPr>
      <t>中国对外经济贸易信托有限公司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年度惠尚第五期定向资产支持票据</t>
    </r>
  </si>
  <si>
    <r>
      <rPr>
        <sz val="9"/>
        <rFont val="楷体"/>
        <charset val="134"/>
      </rPr>
      <t>华鑫国际信托有限公司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年度惠铭第二期定向资产支持票据</t>
    </r>
  </si>
  <si>
    <r>
      <rPr>
        <sz val="9"/>
        <rFont val="楷体"/>
        <charset val="134"/>
      </rPr>
      <t>华鑫国际信托有限公司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年度惠铭第三期定向资产支持票据</t>
    </r>
  </si>
  <si>
    <r>
      <rPr>
        <sz val="9"/>
        <rFont val="楷体"/>
        <charset val="134"/>
      </rPr>
      <t>华能贵诚信托有限公司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年度扬帆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号第一期定向资产支持商业票据</t>
    </r>
  </si>
  <si>
    <r>
      <rPr>
        <sz val="9"/>
        <rFont val="楷体"/>
        <charset val="134"/>
      </rPr>
      <t>深圳市财付通网络金融小额贷款有限公司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年度和畅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号第一期定向资产支持商业票据</t>
    </r>
  </si>
  <si>
    <r>
      <rPr>
        <sz val="9"/>
        <rFont val="楷体"/>
        <charset val="134"/>
      </rPr>
      <t>国投泰康信托有限公司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年度惠行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号第一期定向资产支持商业票据</t>
    </r>
  </si>
  <si>
    <r>
      <rPr>
        <sz val="9"/>
        <rFont val="楷体"/>
        <charset val="134"/>
      </rPr>
      <t>华能贵诚信托有限公司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年度扬帆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号第一期定向资产支持商业票据</t>
    </r>
  </si>
  <si>
    <r>
      <rPr>
        <sz val="9"/>
        <rFont val="楷体"/>
        <charset val="134"/>
      </rPr>
      <t>中国对外经济贸易信托有限公司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年度拾穗丰润第三期定向资产支持票据</t>
    </r>
    <r>
      <rPr>
        <sz val="9"/>
        <rFont val="Times New Roman"/>
        <charset val="134"/>
      </rPr>
      <t>(</t>
    </r>
    <r>
      <rPr>
        <sz val="9"/>
        <rFont val="楷体"/>
        <charset val="134"/>
      </rPr>
      <t>乡村振兴</t>
    </r>
    <r>
      <rPr>
        <sz val="9"/>
        <rFont val="Times New Roman"/>
        <charset val="134"/>
      </rPr>
      <t>)</t>
    </r>
  </si>
  <si>
    <r>
      <rPr>
        <sz val="9"/>
        <rFont val="楷体"/>
        <charset val="134"/>
      </rPr>
      <t>华润深国投信托有限公司</t>
    </r>
  </si>
  <si>
    <r>
      <rPr>
        <sz val="9"/>
        <rFont val="楷体"/>
        <charset val="134"/>
      </rPr>
      <t>中和农信</t>
    </r>
  </si>
  <si>
    <t> - </t>
  </si>
  <si>
    <r>
      <rPr>
        <sz val="9"/>
        <rFont val="楷体"/>
        <charset val="134"/>
      </rPr>
      <t>华能贵诚信托有限公司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年度恒信</t>
    </r>
    <r>
      <rPr>
        <sz val="9"/>
        <rFont val="Times New Roman"/>
        <charset val="134"/>
      </rPr>
      <t>10</t>
    </r>
    <r>
      <rPr>
        <sz val="9"/>
        <rFont val="楷体"/>
        <charset val="134"/>
      </rPr>
      <t>号第一期定向资产支持商业票据</t>
    </r>
  </si>
  <si>
    <r>
      <rPr>
        <sz val="9"/>
        <rFont val="楷体"/>
        <charset val="134"/>
      </rPr>
      <t>重庆美团三快小额贷款有限公司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年度美玥第二期定向资产支持票据</t>
    </r>
  </si>
  <si>
    <r>
      <rPr>
        <sz val="9"/>
        <rFont val="楷体"/>
        <charset val="134"/>
      </rPr>
      <t>美团</t>
    </r>
  </si>
  <si>
    <t>2025-07-16</t>
  </si>
  <si>
    <r>
      <rPr>
        <sz val="9"/>
        <rFont val="楷体"/>
        <charset val="134"/>
      </rPr>
      <t>重庆市西岸小额贷款有限公司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年度惠橙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号第一期定向资产支持票据</t>
    </r>
  </si>
  <si>
    <r>
      <rPr>
        <sz val="9"/>
        <rFont val="楷体"/>
        <charset val="134"/>
      </rPr>
      <t>重庆市西岸小额贷款有限公司</t>
    </r>
  </si>
  <si>
    <r>
      <rPr>
        <sz val="9"/>
        <rFont val="楷体"/>
        <charset val="134"/>
      </rPr>
      <t>广东粤财信托有限公司</t>
    </r>
  </si>
  <si>
    <r>
      <rPr>
        <sz val="9"/>
        <rFont val="楷体"/>
        <charset val="134"/>
      </rPr>
      <t>滴滴</t>
    </r>
  </si>
  <si>
    <r>
      <rPr>
        <sz val="9"/>
        <rFont val="楷体"/>
        <charset val="134"/>
      </rPr>
      <t>重庆携程小额贷款有限公司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年度拿去花第一期定向资产支持票据</t>
    </r>
  </si>
  <si>
    <r>
      <rPr>
        <sz val="9"/>
        <rFont val="楷体"/>
        <charset val="134"/>
      </rPr>
      <t>重庆携程小额贷款有限公司</t>
    </r>
  </si>
  <si>
    <r>
      <rPr>
        <sz val="9"/>
        <rFont val="楷体"/>
        <charset val="134"/>
      </rPr>
      <t>携程</t>
    </r>
  </si>
  <si>
    <r>
      <rPr>
        <sz val="9"/>
        <rFont val="楷体"/>
        <charset val="134"/>
      </rPr>
      <t>澄嘉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</si>
  <si>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年度第三期启达定向资产支持票据</t>
    </r>
  </si>
  <si>
    <r>
      <rPr>
        <sz val="9"/>
        <color indexed="8"/>
        <rFont val="楷体"/>
        <charset val="134"/>
      </rPr>
      <t>华能贵诚信托有限公司</t>
    </r>
  </si>
  <si>
    <r>
      <rPr>
        <sz val="9"/>
        <color rgb="FF000000"/>
        <rFont val="楷体"/>
        <charset val="134"/>
      </rPr>
      <t>中信信托有限责任公司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年度悦辰第二期定向资产支持票据</t>
    </r>
  </si>
  <si>
    <r>
      <rPr>
        <sz val="9"/>
        <color indexed="8"/>
        <rFont val="楷体"/>
        <charset val="134"/>
      </rPr>
      <t>中信信托有限责任公司</t>
    </r>
  </si>
  <si>
    <t>2025-07-28</t>
  </si>
  <si>
    <r>
      <rPr>
        <sz val="9"/>
        <color rgb="FF000000"/>
        <rFont val="楷体"/>
        <charset val="134"/>
      </rPr>
      <t>星昀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</si>
  <si>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indexed="8"/>
        <rFont val="楷体"/>
        <charset val="134"/>
      </rPr>
      <t>国投泰康信托有限公司</t>
    </r>
  </si>
  <si>
    <r>
      <rPr>
        <sz val="9"/>
        <color indexed="8"/>
        <rFont val="楷体"/>
        <charset val="134"/>
      </rPr>
      <t>厦门国际信托有限公司</t>
    </r>
  </si>
  <si>
    <r>
      <rPr>
        <sz val="9"/>
        <color rgb="FF000000"/>
        <rFont val="楷体"/>
        <charset val="134"/>
      </rPr>
      <t>睿新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</si>
  <si>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星晗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年度第六期定向资产支持票据</t>
    </r>
  </si>
  <si>
    <r>
      <rPr>
        <sz val="9"/>
        <color indexed="8"/>
        <rFont val="楷体"/>
        <charset val="134"/>
      </rPr>
      <t>华鑫国际信托有限公司</t>
    </r>
  </si>
  <si>
    <r>
      <rPr>
        <sz val="9"/>
        <color indexed="8"/>
        <rFont val="楷体"/>
        <charset val="134"/>
      </rPr>
      <t>国投泰康信托有限公司</t>
    </r>
    <r>
      <rPr>
        <sz val="9"/>
        <color indexed="8"/>
        <rFont val="Times New Roman"/>
        <charset val="134"/>
      </rPr>
      <t>2025</t>
    </r>
    <r>
      <rPr>
        <sz val="9"/>
        <color indexed="8"/>
        <rFont val="楷体"/>
        <charset val="134"/>
      </rPr>
      <t>年度惠诗第三期定向资产支持票据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</si>
  <si>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年度第五期和惠定向资产支持票据</t>
    </r>
  </si>
  <si>
    <r>
      <rPr>
        <sz val="9"/>
        <color indexed="8"/>
        <rFont val="楷体"/>
        <charset val="134"/>
      </rPr>
      <t>深圳市财付通网络金融小额贷款有限公司</t>
    </r>
  </si>
  <si>
    <r>
      <rPr>
        <sz val="9"/>
        <color indexed="8"/>
        <rFont val="楷体"/>
        <charset val="134"/>
      </rPr>
      <t>澄悦</t>
    </r>
    <r>
      <rPr>
        <sz val="9"/>
        <color indexed="8"/>
        <rFont val="Times New Roman"/>
        <charset val="134"/>
      </rPr>
      <t>2025</t>
    </r>
    <r>
      <rPr>
        <sz val="9"/>
        <color indexed="8"/>
        <rFont val="楷体"/>
        <charset val="134"/>
      </rPr>
      <t>年度第八期定向资产支持票据</t>
    </r>
  </si>
  <si>
    <r>
      <rPr>
        <sz val="9"/>
        <color indexed="8"/>
        <rFont val="楷体"/>
        <charset val="134"/>
      </rPr>
      <t>星昀</t>
    </r>
    <r>
      <rPr>
        <sz val="9"/>
        <color indexed="8"/>
        <rFont val="Times New Roman"/>
        <charset val="134"/>
      </rPr>
      <t>2025</t>
    </r>
    <r>
      <rPr>
        <sz val="9"/>
        <color indexed="8"/>
        <rFont val="楷体"/>
        <charset val="134"/>
      </rPr>
      <t>年度第二期定向资产支持票据</t>
    </r>
  </si>
  <si>
    <r>
      <rPr>
        <sz val="9"/>
        <color indexed="8"/>
        <rFont val="楷体"/>
        <charset val="134"/>
      </rPr>
      <t>中国对外经济贸易信托有限公司</t>
    </r>
    <r>
      <rPr>
        <sz val="9"/>
        <color indexed="8"/>
        <rFont val="Times New Roman"/>
        <charset val="134"/>
      </rPr>
      <t>2025</t>
    </r>
    <r>
      <rPr>
        <sz val="9"/>
        <color indexed="8"/>
        <rFont val="楷体"/>
        <charset val="134"/>
      </rPr>
      <t>年度惠尚第六期定向资产支持票据</t>
    </r>
  </si>
  <si>
    <r>
      <rPr>
        <sz val="9"/>
        <color indexed="8"/>
        <rFont val="楷体"/>
        <charset val="134"/>
      </rPr>
      <t>中国对外经济贸易信托有限公司</t>
    </r>
  </si>
  <si>
    <r>
      <rPr>
        <sz val="9"/>
        <color indexed="8"/>
        <rFont val="楷体"/>
        <charset val="134"/>
      </rPr>
      <t>东樾</t>
    </r>
    <r>
      <rPr>
        <sz val="9"/>
        <color indexed="8"/>
        <rFont val="Times New Roman"/>
        <charset val="134"/>
      </rPr>
      <t>2025</t>
    </r>
    <r>
      <rPr>
        <sz val="9"/>
        <color indexed="8"/>
        <rFont val="楷体"/>
        <charset val="134"/>
      </rPr>
      <t>年度</t>
    </r>
    <r>
      <rPr>
        <sz val="9"/>
        <color indexed="8"/>
        <rFont val="Times New Roman"/>
        <charset val="134"/>
      </rPr>
      <t>2</t>
    </r>
    <r>
      <rPr>
        <sz val="9"/>
        <color indexed="8"/>
        <rFont val="楷体"/>
        <charset val="134"/>
      </rPr>
      <t>号第二期定向资产支持票据</t>
    </r>
  </si>
  <si>
    <r>
      <rPr>
        <sz val="9"/>
        <color indexed="8"/>
        <rFont val="楷体"/>
        <charset val="134"/>
      </rPr>
      <t>中粮信托有限责任公司</t>
    </r>
  </si>
  <si>
    <r>
      <rPr>
        <sz val="9"/>
        <color indexed="8"/>
        <rFont val="楷体"/>
        <charset val="134"/>
      </rPr>
      <t>睿航</t>
    </r>
    <r>
      <rPr>
        <sz val="9"/>
        <color indexed="8"/>
        <rFont val="Times New Roman"/>
        <charset val="134"/>
      </rPr>
      <t>2025</t>
    </r>
    <r>
      <rPr>
        <sz val="9"/>
        <color indexed="8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</si>
  <si>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年度第六期和惠定向资产支持票据</t>
    </r>
  </si>
  <si>
    <r>
      <rPr>
        <sz val="9"/>
        <color rgb="FF000000"/>
        <rFont val="楷体"/>
        <charset val="134"/>
      </rPr>
      <t>重庆市中和农信小额贷款有限公司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乡村振兴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</si>
  <si>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重庆市中和农信小额贷款有限公司</t>
    </r>
  </si>
  <si>
    <r>
      <rPr>
        <sz val="9"/>
        <color rgb="FF000000"/>
        <rFont val="楷体"/>
        <charset val="134"/>
      </rPr>
      <t>熠顺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</si>
  <si>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澄嘉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年度第五期定向资产支持票据</t>
    </r>
  </si>
  <si>
    <r>
      <rPr>
        <sz val="9"/>
        <color rgb="FF000000"/>
        <rFont val="楷体"/>
        <charset val="134"/>
      </rPr>
      <t>重庆市西岸小额贷款有限公司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年度惠橙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号第二期定向资产支持票据</t>
    </r>
  </si>
  <si>
    <r>
      <rPr>
        <sz val="9"/>
        <color rgb="FF000000"/>
        <rFont val="楷体"/>
        <charset val="134"/>
      </rPr>
      <t>澄悦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年度第九期定向资产支持票据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</si>
  <si>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年度和畅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</si>
  <si>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重庆美团三快小额贷款有限公司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年度美好生活第二期定向资产支持票据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</si>
  <si>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年度恒信</t>
    </r>
    <r>
      <rPr>
        <sz val="9"/>
        <color rgb="FF000000"/>
        <rFont val="Times New Roman"/>
        <charset val="134"/>
      </rPr>
      <t>11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</si>
  <si>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rFont val="楷体"/>
        <charset val="134"/>
      </rPr>
      <t>中国对外经济贸易信托有限公司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年度第三期锦新小微定向资产支持票据</t>
    </r>
  </si>
  <si>
    <r>
      <rPr>
        <sz val="9"/>
        <rFont val="楷体"/>
        <charset val="134"/>
      </rPr>
      <t>新网银行</t>
    </r>
  </si>
  <si>
    <t>2025-08-25</t>
  </si>
  <si>
    <r>
      <rPr>
        <sz val="9"/>
        <rFont val="楷体"/>
        <charset val="134"/>
      </rPr>
      <t>深圳市财付通网络金融小额贷款有限公司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年度和畅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号第一期定向资产支持商业票据</t>
    </r>
  </si>
  <si>
    <r>
      <rPr>
        <sz val="9"/>
        <rFont val="楷体"/>
        <charset val="134"/>
      </rPr>
      <t>重庆市西岸小额贷款有限公司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年度惠橙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号第三期定向资产支持票据</t>
    </r>
  </si>
  <si>
    <r>
      <rPr>
        <sz val="9"/>
        <rFont val="楷体"/>
        <charset val="134"/>
      </rPr>
      <t>国投泰康信托有限公司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年度惠行</t>
    </r>
    <r>
      <rPr>
        <sz val="9"/>
        <rFont val="Times New Roman"/>
        <charset val="134"/>
      </rPr>
      <t>6</t>
    </r>
    <r>
      <rPr>
        <sz val="9"/>
        <rFont val="楷体"/>
        <charset val="134"/>
      </rPr>
      <t>号第一期定向资产支持商业票据</t>
    </r>
  </si>
  <si>
    <r>
      <rPr>
        <sz val="9"/>
        <rFont val="楷体"/>
        <charset val="134"/>
      </rPr>
      <t>深圳市财付通网络金融小额贷款有限公司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年度和畅</t>
    </r>
    <r>
      <rPr>
        <sz val="9"/>
        <rFont val="Times New Roman"/>
        <charset val="134"/>
      </rPr>
      <t>3</t>
    </r>
    <r>
      <rPr>
        <sz val="9"/>
        <rFont val="楷体"/>
        <charset val="134"/>
      </rPr>
      <t>号第一期定向资产支持商业票据</t>
    </r>
  </si>
  <si>
    <r>
      <rPr>
        <sz val="9"/>
        <rFont val="楷体"/>
        <charset val="134"/>
      </rPr>
      <t>国投泰康信托有限公司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年度惠诗第四期定向资产支持票据</t>
    </r>
  </si>
  <si>
    <r>
      <rPr>
        <sz val="9"/>
        <rFont val="楷体"/>
        <charset val="134"/>
      </rPr>
      <t>中国对外经济贸易信托有限公司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年度启赢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号第六期京东定向资产支持票据</t>
    </r>
  </si>
  <si>
    <r>
      <rPr>
        <sz val="9"/>
        <rFont val="楷体"/>
        <charset val="134"/>
      </rPr>
      <t>中国对外经济贸易信托有限公司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年度美顺第一期定向资产支持票据</t>
    </r>
  </si>
  <si>
    <r>
      <rPr>
        <sz val="9"/>
        <rFont val="楷体"/>
        <charset val="134"/>
      </rPr>
      <t>华鑫国际信托有限公司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年度惠铭第四期定向资产支持票据</t>
    </r>
  </si>
  <si>
    <r>
      <rPr>
        <sz val="9"/>
        <rFont val="楷体"/>
        <charset val="134"/>
      </rPr>
      <t>中信信托有限责任公司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年度悦辰第三期定向资产支持票据</t>
    </r>
  </si>
  <si>
    <r>
      <rPr>
        <sz val="9"/>
        <rFont val="楷体"/>
        <charset val="134"/>
      </rPr>
      <t>华能贵诚信托有限公司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年度美润二号第五期定向资产支持票据</t>
    </r>
  </si>
  <si>
    <t>2025-08-28</t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</si>
  <si>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年度美憬第四期定向资产支持票据</t>
    </r>
  </si>
  <si>
    <t>2025-08-27</t>
  </si>
  <si>
    <r>
      <rPr>
        <sz val="9"/>
        <color rgb="FF000000"/>
        <rFont val="楷体"/>
        <charset val="134"/>
      </rPr>
      <t>睿航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</si>
  <si>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号伯裕京东白条第一期定向资产支持商业票据</t>
    </r>
  </si>
  <si>
    <r>
      <rPr>
        <sz val="9"/>
        <color rgb="FF000000"/>
        <rFont val="楷体"/>
        <charset val="134"/>
      </rPr>
      <t>澄嘉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年度第六期定向资产支持票据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</si>
  <si>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年度扬帆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</si>
  <si>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年度扬帆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</si>
  <si>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睿新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年度第五期定向资产支持票据</t>
    </r>
  </si>
  <si>
    <t>AAASf</t>
  </si>
  <si>
    <t>2025-08-26</t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</si>
  <si>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年度惠尚第八期定向资产支持票据</t>
    </r>
  </si>
  <si>
    <r>
      <rPr>
        <sz val="9"/>
        <color rgb="FF000000"/>
        <rFont val="楷体"/>
        <charset val="134"/>
      </rPr>
      <t>中信信托有限责任公司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年度悦辰第五期定向资产支持票据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</si>
  <si>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年度惠尚第七期定向资产支持票据</t>
    </r>
  </si>
  <si>
    <t>AA+s</t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</si>
  <si>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年度第三期启通定向资产支持票据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</si>
  <si>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年度浩澜第一期定向资产支持票据</t>
    </r>
  </si>
  <si>
    <r>
      <rPr>
        <sz val="9"/>
        <rFont val="楷体"/>
        <charset val="134"/>
      </rPr>
      <t>金城银行</t>
    </r>
  </si>
  <si>
    <t>2025-09-15</t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</si>
  <si>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号仲裕京东白条第二期定向资产支持商业票据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</si>
  <si>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号伯裕京东白条第二期定向资产支持商业票据</t>
    </r>
  </si>
  <si>
    <t>2025-09-04</t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</si>
  <si>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年度奇信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号第一期定向资产支持票据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债券通</t>
    </r>
    <r>
      <rPr>
        <sz val="9"/>
        <color rgb="FF000000"/>
        <rFont val="Times New Roman"/>
        <charset val="134"/>
      </rPr>
      <t>)</t>
    </r>
  </si>
  <si>
    <t>2025-08-29</t>
  </si>
  <si>
    <r>
      <rPr>
        <sz val="9"/>
        <color rgb="FF000000"/>
        <rFont val="楷体"/>
        <charset val="134"/>
      </rPr>
      <t>星昀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</si>
  <si>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中信信托有限责任公司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年度悦辰第四期定向资产支持票据</t>
    </r>
  </si>
  <si>
    <r>
      <rPr>
        <sz val="9"/>
        <color rgb="FF000000"/>
        <rFont val="楷体"/>
        <charset val="134"/>
      </rPr>
      <t>星晗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年度第七期定向资产支持票据</t>
    </r>
  </si>
  <si>
    <r>
      <rPr>
        <sz val="9"/>
        <color rgb="FF000000"/>
        <rFont val="楷体"/>
        <charset val="134"/>
      </rPr>
      <t>澄丰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</si>
  <si>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年度惠诗第五期定向资产支持票据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</si>
  <si>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年度惠尚第九期定向资产支持票据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</si>
  <si>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年度第七期和惠定向资产支持票据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</si>
  <si>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年度惠铭第五期定向资产支持票据</t>
    </r>
  </si>
  <si>
    <r>
      <rPr>
        <sz val="9"/>
        <rFont val="楷体"/>
        <charset val="134"/>
      </rPr>
      <t>中信信托有限责任公司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年度悦辰第七期定向资产支持票据</t>
    </r>
  </si>
  <si>
    <r>
      <rPr>
        <sz val="9"/>
        <rFont val="楷体"/>
        <charset val="134"/>
      </rPr>
      <t>锦泽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年度第一期定向资产支持票据</t>
    </r>
  </si>
  <si>
    <r>
      <rPr>
        <sz val="9"/>
        <rFont val="楷体"/>
        <charset val="134"/>
      </rPr>
      <t>睿航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年度第四期定向资产支持票据</t>
    </r>
  </si>
  <si>
    <r>
      <rPr>
        <sz val="9"/>
        <rFont val="楷体"/>
        <charset val="134"/>
      </rPr>
      <t>中信信托有限责任公司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年度悦辰第六期定向资产支持票据</t>
    </r>
  </si>
  <si>
    <r>
      <rPr>
        <sz val="9"/>
        <rFont val="楷体"/>
        <charset val="134"/>
      </rPr>
      <t>华鑫国际信托有限公司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年度惠铭第六期定向资产支持票据</t>
    </r>
  </si>
  <si>
    <r>
      <rPr>
        <sz val="9"/>
        <rFont val="楷体"/>
        <charset val="134"/>
      </rPr>
      <t>华能贵诚信托有限公司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年度第四期启达定向资产支持票据</t>
    </r>
  </si>
  <si>
    <r>
      <rPr>
        <sz val="9"/>
        <rFont val="楷体"/>
        <charset val="134"/>
      </rPr>
      <t>中国对外经济贸易信托有限公司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年度启赢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号第七期京东定向资产支持票据</t>
    </r>
  </si>
  <si>
    <r>
      <rPr>
        <sz val="9"/>
        <rFont val="楷体"/>
        <charset val="134"/>
      </rPr>
      <t>深圳市财付通网络金融小额贷款有限公司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年度和畅</t>
    </r>
    <r>
      <rPr>
        <sz val="9"/>
        <rFont val="Times New Roman"/>
        <charset val="134"/>
      </rPr>
      <t>5</t>
    </r>
    <r>
      <rPr>
        <sz val="9"/>
        <rFont val="楷体"/>
        <charset val="134"/>
      </rPr>
      <t>号第一期定向资产支持商业票据</t>
    </r>
  </si>
  <si>
    <r>
      <rPr>
        <sz val="9"/>
        <rFont val="楷体"/>
        <charset val="134"/>
      </rPr>
      <t>中国对外经济贸易信托有限公司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年度启赢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号第十期京东定向资产支持票据</t>
    </r>
  </si>
  <si>
    <r>
      <rPr>
        <sz val="9"/>
        <rFont val="楷体"/>
        <charset val="134"/>
      </rPr>
      <t>中信信托有限责任公司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年度芬郁第一期定向资产支持票据</t>
    </r>
  </si>
  <si>
    <r>
      <rPr>
        <sz val="9"/>
        <rFont val="楷体"/>
        <charset val="134"/>
      </rPr>
      <t>睿航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年度第五期定向资产支持票据</t>
    </r>
  </si>
  <si>
    <r>
      <rPr>
        <sz val="9"/>
        <rFont val="楷体"/>
        <charset val="134"/>
      </rPr>
      <t>星昀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年度第五期定向资产支持票据</t>
    </r>
  </si>
  <si>
    <r>
      <rPr>
        <sz val="9"/>
        <rFont val="楷体"/>
        <charset val="134"/>
      </rPr>
      <t>国投泰康信托有限公司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年度惠诗第六期定向资产支持票据</t>
    </r>
  </si>
  <si>
    <r>
      <rPr>
        <sz val="9"/>
        <rFont val="楷体"/>
        <charset val="134"/>
      </rPr>
      <t>澄瑞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年度第一期定向资产支持票据</t>
    </r>
  </si>
  <si>
    <r>
      <rPr>
        <sz val="9"/>
        <rFont val="楷体"/>
        <charset val="134"/>
      </rPr>
      <t>中国对外经济贸易信托有限公司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年度惠满第一期定向资产支持票据</t>
    </r>
  </si>
  <si>
    <r>
      <rPr>
        <sz val="9"/>
        <rFont val="楷体"/>
        <charset val="134"/>
      </rPr>
      <t>天津信托有限责任公司</t>
    </r>
  </si>
  <si>
    <r>
      <rPr>
        <sz val="9"/>
        <rFont val="楷体"/>
        <charset val="134"/>
      </rPr>
      <t>国投泰康信托有限公司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年度致远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号第一期定向资产支持商业票据</t>
    </r>
  </si>
  <si>
    <r>
      <rPr>
        <sz val="9"/>
        <rFont val="楷体"/>
        <charset val="134"/>
      </rPr>
      <t>中信信托有限责任公司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年度悦辰第八期定向资产支持票据</t>
    </r>
  </si>
  <si>
    <r>
      <rPr>
        <sz val="9"/>
        <rFont val="楷体"/>
        <charset val="134"/>
      </rPr>
      <t>华鑫国际信托有限公司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年度惠创第一期定向资产支持票据</t>
    </r>
  </si>
  <si>
    <r>
      <rPr>
        <sz val="9"/>
        <rFont val="楷体"/>
        <charset val="134"/>
      </rPr>
      <t>星曦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年度第五期定向资产支持票据</t>
    </r>
  </si>
  <si>
    <r>
      <rPr>
        <sz val="9"/>
        <rFont val="楷体"/>
        <charset val="134"/>
      </rPr>
      <t>国投泰康信托有限公司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年度致远</t>
    </r>
    <r>
      <rPr>
        <sz val="9"/>
        <rFont val="Times New Roman"/>
        <charset val="134"/>
      </rPr>
      <t>1</t>
    </r>
    <r>
      <rPr>
        <sz val="9"/>
        <rFont val="楷体"/>
        <charset val="134"/>
      </rPr>
      <t>号第一期定向资产支持商业票据</t>
    </r>
  </si>
  <si>
    <t>2025-09-22</t>
  </si>
  <si>
    <r>
      <rPr>
        <sz val="9"/>
        <rFont val="楷体"/>
        <charset val="134"/>
      </rPr>
      <t>星熠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年度第八期定向资产支持票据</t>
    </r>
  </si>
  <si>
    <r>
      <rPr>
        <sz val="9"/>
        <rFont val="楷体"/>
        <charset val="134"/>
      </rPr>
      <t>中国对外经济贸易信托有限公司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年度启赢</t>
    </r>
    <r>
      <rPr>
        <sz val="9"/>
        <rFont val="Times New Roman"/>
        <charset val="134"/>
      </rPr>
      <t>2</t>
    </r>
    <r>
      <rPr>
        <sz val="9"/>
        <rFont val="楷体"/>
        <charset val="134"/>
      </rPr>
      <t>号第八期京东定向资产支持票据</t>
    </r>
  </si>
  <si>
    <r>
      <rPr>
        <sz val="9"/>
        <rFont val="楷体"/>
        <charset val="134"/>
      </rPr>
      <t>中国对外经济贸易信托有限公司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年度美睦第二期定向资产支持票据</t>
    </r>
  </si>
  <si>
    <r>
      <rPr>
        <sz val="9"/>
        <rFont val="楷体"/>
        <charset val="134"/>
      </rPr>
      <t>中国对外经济贸易信托有限公司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年度惠尚第十期定向资产支持票据</t>
    </r>
  </si>
  <si>
    <r>
      <rPr>
        <sz val="9"/>
        <rFont val="楷体"/>
        <charset val="134"/>
      </rPr>
      <t>澄煦</t>
    </r>
    <r>
      <rPr>
        <sz val="9"/>
        <rFont val="Times New Roman"/>
        <charset val="134"/>
      </rPr>
      <t>2025</t>
    </r>
    <r>
      <rPr>
        <sz val="9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</si>
  <si>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年度启赢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号第九期京东定向资产支持票据</t>
    </r>
  </si>
  <si>
    <r>
      <rPr>
        <sz val="9"/>
        <color rgb="FF000000"/>
        <rFont val="楷体"/>
        <charset val="134"/>
      </rPr>
      <t>星琰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</si>
  <si>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年度启赢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号第十一期京东定向资产支持票据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</si>
  <si>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号第三期定向资产支持票据</t>
    </r>
  </si>
  <si>
    <t>2025-09-29</t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</si>
  <si>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年度惠满第二期定向资产支持票据</t>
    </r>
  </si>
  <si>
    <t>天津信托有限责任公司</t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</si>
  <si>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号第九期定向资产支持票据</t>
    </r>
  </si>
  <si>
    <r>
      <rPr>
        <sz val="9"/>
        <color rgb="FF000000"/>
        <rFont val="楷体"/>
        <charset val="134"/>
      </rPr>
      <t>澄瑞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</si>
  <si>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年度惠欣第六期定向资产支持票据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</si>
  <si>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年度美睦第三期定向资产支持票据</t>
    </r>
  </si>
  <si>
    <r>
      <rPr>
        <sz val="9"/>
        <color rgb="FF000000"/>
        <rFont val="楷体"/>
        <charset val="134"/>
      </rPr>
      <t>重庆市中和农信小额贷款有限公司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年度第二期定向资产支持票据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乡村振兴</t>
    </r>
    <r>
      <rPr>
        <sz val="9"/>
        <color rgb="FF000000"/>
        <rFont val="Times New Roman"/>
        <charset val="134"/>
      </rPr>
      <t>)</t>
    </r>
  </si>
  <si>
    <t>重庆市中和农信小额贷款有限公司</t>
  </si>
  <si>
    <t>华润深国投信托有限公司</t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</si>
  <si>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年度第四期启通定向资产支持票据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</si>
  <si>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年度和畅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</si>
  <si>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重庆美团三快小额贷款有限公司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年度美好生活第三期定向资产支持票据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</si>
  <si>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年度和畅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</si>
  <si>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澄嘉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年度第七期定向资产支持票据</t>
    </r>
  </si>
  <si>
    <t>2025-10-20</t>
  </si>
  <si>
    <r>
      <rPr>
        <sz val="9"/>
        <color rgb="FF000000"/>
        <rFont val="楷体"/>
        <charset val="134"/>
      </rPr>
      <t>重庆市西岸小额贷款有限公司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年度启橙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号第四期定向资产支持票据</t>
    </r>
  </si>
  <si>
    <t>重庆市西岸小额贷款有限公司</t>
  </si>
  <si>
    <t>广东粤财信托有限公司</t>
  </si>
  <si>
    <t>滴滴</t>
  </si>
  <si>
    <t>2025-10-16</t>
  </si>
  <si>
    <r>
      <rPr>
        <sz val="9"/>
        <color rgb="FF000000"/>
        <rFont val="楷体"/>
        <charset val="134"/>
      </rPr>
      <t>重庆市西岸小额贷款有限公司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年度惠橙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号第四期定向资产支持票据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</si>
  <si>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年度惠满第三期定向资产支持票据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</si>
  <si>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号春樾第一期定向资产支持商业票据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</si>
  <si>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年度第八期和惠定向资产支持票据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</si>
  <si>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号伯裕京东白条第一期定向资产支持商业票据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</si>
  <si>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年度惠铭第八期定向资产支持票据</t>
    </r>
  </si>
  <si>
    <r>
      <rPr>
        <sz val="9"/>
        <color rgb="FF000000"/>
        <rFont val="楷体"/>
        <charset val="134"/>
      </rPr>
      <t>中信信托有限责任公司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年度悦辰第九期定向资产支持票据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</si>
  <si>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号仲裕京东白条第一期定向资产支持商业票据</t>
    </r>
  </si>
  <si>
    <r>
      <rPr>
        <sz val="9"/>
        <color rgb="FF000000"/>
        <rFont val="楷体"/>
        <charset val="134"/>
      </rPr>
      <t>澄瑞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</si>
  <si>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睿晨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年度第八期定向资产支持票据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</si>
  <si>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年度美润二号第六期定向资产支持票据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</si>
  <si>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年度惠铭第七期定向资产支持票据</t>
    </r>
  </si>
  <si>
    <r>
      <rPr>
        <sz val="9"/>
        <color rgb="FF000000"/>
        <rFont val="楷体"/>
        <charset val="134"/>
      </rPr>
      <t>睿航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年度第六期定向资产支持票据</t>
    </r>
  </si>
  <si>
    <t>2025-10-27</t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</si>
  <si>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年度扬帆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</si>
  <si>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年度惠行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</si>
  <si>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星昀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年度第六期定向资产支持票据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</si>
  <si>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年度惠满第四期定向资产支持票据</t>
    </r>
  </si>
  <si>
    <r>
      <rPr>
        <sz val="9"/>
        <color rgb="FF000000"/>
        <rFont val="楷体"/>
        <charset val="134"/>
      </rPr>
      <t>天津信托有限责任公司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</si>
  <si>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年度启赢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号第十二期京东定向资产支持票据</t>
    </r>
  </si>
  <si>
    <t>2025-11-13</t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</si>
  <si>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年度惠满第五期定向资产支持票据</t>
    </r>
  </si>
  <si>
    <r>
      <rPr>
        <sz val="9"/>
        <color rgb="FF000000"/>
        <rFont val="楷体"/>
        <charset val="134"/>
      </rPr>
      <t>重庆美团三快小额贷款有限公司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年度美玥第三期定向资产支持票据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</si>
  <si>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年度惠创第三期定向资产支持票据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</si>
  <si>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年度拾穗丰润第四期定向资产支持票据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楷体"/>
        <charset val="134"/>
      </rPr>
      <t>乡村振兴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</si>
  <si>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年度奇信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号第二期定向资产支持票据</t>
    </r>
  </si>
  <si>
    <r>
      <rPr>
        <sz val="9"/>
        <color rgb="FF000000"/>
        <rFont val="楷体"/>
        <charset val="134"/>
      </rPr>
      <t>中信信托有限责任公司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年度悦辰第十期定向资产支持票据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</si>
  <si>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年度第五期启达定向资产支持票据</t>
    </r>
  </si>
  <si>
    <t>2025-11-28</t>
  </si>
  <si>
    <r>
      <rPr>
        <sz val="9"/>
        <color rgb="FF000000"/>
        <rFont val="楷体"/>
        <charset val="134"/>
      </rPr>
      <t>重庆携程小额贷款有限公司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年度拿去花第二期定向资产支持票据</t>
    </r>
  </si>
  <si>
    <r>
      <rPr>
        <sz val="9"/>
        <color rgb="FF000000"/>
        <rFont val="楷体"/>
        <charset val="134"/>
      </rPr>
      <t>澄嘉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年度第八期定向资产支持票据</t>
    </r>
  </si>
  <si>
    <r>
      <rPr>
        <sz val="9"/>
        <color rgb="FF000000"/>
        <rFont val="楷体"/>
        <charset val="134"/>
      </rPr>
      <t>锦泽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</si>
  <si>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年度致远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</si>
  <si>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年度恒信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</si>
  <si>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睿哲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</si>
  <si>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年度致远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号第一期定向资产支持商业票据</t>
    </r>
  </si>
  <si>
    <t>北京京东世纪贸易有限公司2025年度东裕7号叔裕京东白条第二期定向资产支持商业票据</t>
  </si>
  <si>
    <t>兴业国际信托有限公司</t>
  </si>
  <si>
    <t>重庆市中和农信小额贷款有限公司2025年度第三期定向资产支持票据(乡村振兴)</t>
  </si>
  <si>
    <t>澄晴2025年度第一期定向资产支持票据</t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</si>
  <si>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年度启赢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号第一期京东定向资产支持票据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</si>
  <si>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年度和盛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</si>
  <si>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年度惠达第一期定向资产支持票据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</si>
  <si>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年度和盛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</si>
  <si>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年度惠诗第八期定向资产支持票据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</si>
  <si>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年度第二期惠元定向资产支持票据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</si>
  <si>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年度浩澜第二期定向资产支持票据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</si>
  <si>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年度第五期启通定向资产支持票据</t>
    </r>
  </si>
  <si>
    <t>2025-12-17</t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</si>
  <si>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年度第四期锦新小微定向资产支持票据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</si>
  <si>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年度美满华年第二期定向资产支持票据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</si>
  <si>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年度美睦第四期定向资产支持票据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</si>
  <si>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年度恒信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</si>
  <si>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年度致远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</si>
  <si>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澄煦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年度第二期定向资产支持票据</t>
    </r>
  </si>
  <si>
    <t>2025-12-22</t>
  </si>
  <si>
    <r>
      <rPr>
        <sz val="9"/>
        <color rgb="FF000000"/>
        <rFont val="楷体"/>
        <charset val="134"/>
      </rPr>
      <t>睿哲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</si>
  <si>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睿新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年度第六期定向资产支持票据</t>
    </r>
  </si>
  <si>
    <t>星昀2025年度第七期定向资产支持票据</t>
  </si>
  <si>
    <t>中国对外经济贸易信托有限公司2025年度启赢3号第二期京东定向资产支持票据</t>
  </si>
  <si>
    <t>澄煦2025年度第三期定向资产支持票据</t>
  </si>
  <si>
    <t>东樾2025年度1号夏樾第一期定向资产支持商业票据</t>
  </si>
  <si>
    <t>发行机构</t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</si>
  <si>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号京东白条第一期定向资产支持票据</t>
    </r>
  </si>
  <si>
    <r>
      <rPr>
        <sz val="9"/>
        <color rgb="FF000000"/>
        <rFont val="Times New Roman"/>
        <charset val="134"/>
      </rPr>
      <t>A</t>
    </r>
    <r>
      <rPr>
        <sz val="9"/>
        <color rgb="FF000000"/>
        <rFont val="楷体"/>
        <charset val="134"/>
      </rPr>
      <t>-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</si>
  <si>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年度第一期惠行定向资产支持票据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</si>
  <si>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年度星睿第一期定向资产支持票据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</si>
  <si>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年度第一期和煦定向资产支持票据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</si>
  <si>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年度惠启第一期定向资产支持票据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</si>
  <si>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年度惠澄第二期定向资产支持票据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</si>
  <si>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年度惠澄第一期定向资产支持票据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</si>
  <si>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年度惠启第二期定向资产支持票据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</si>
  <si>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号伯裕京东白条第一期定向资产支持商业票据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</si>
  <si>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号仲裕京东白条第一期定向资产支持商业票据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</si>
  <si>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号叔裕京东白条第一期定向资产支持商业票据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</si>
  <si>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年度惠启第三期定向资产支持票据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</si>
  <si>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年度星睿第二期定向资产支持票据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</si>
  <si>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年度惠启第四期定向资产支持票据</t>
    </r>
  </si>
  <si>
    <r>
      <rPr>
        <sz val="9"/>
        <color rgb="FF000000"/>
        <rFont val="楷体"/>
        <charset val="134"/>
      </rPr>
      <t>重庆美团三快小额贷款有限公司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年度美月第一期定向资产支持票据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</si>
  <si>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年度惠行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</si>
  <si>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号季裕京东白条第一期定向资产支持商业票据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</si>
  <si>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年度星睿第三期定向资产支持票据</t>
    </r>
  </si>
  <si>
    <r>
      <rPr>
        <sz val="9"/>
        <color rgb="FF000000"/>
        <rFont val="楷体"/>
        <charset val="134"/>
      </rPr>
      <t>澄熙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年度第一期定向资产支持票据</t>
    </r>
  </si>
  <si>
    <t>百瑞信托有限责任公司</t>
  </si>
  <si>
    <r>
      <rPr>
        <sz val="9"/>
        <color rgb="FF000000"/>
        <rFont val="楷体"/>
        <charset val="134"/>
      </rPr>
      <t>澄熙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</si>
  <si>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年度惠澄第三期定向资产支持票据</t>
    </r>
  </si>
  <si>
    <r>
      <rPr>
        <sz val="9"/>
        <color rgb="FF000000"/>
        <rFont val="楷体"/>
        <charset val="134"/>
      </rPr>
      <t>重庆美团三快小额贷款有限公司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年度美月第二期定向资产支持票据</t>
    </r>
  </si>
  <si>
    <r>
      <rPr>
        <sz val="9"/>
        <color rgb="FF000000"/>
        <rFont val="楷体"/>
        <charset val="134"/>
      </rPr>
      <t>睿诚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</si>
  <si>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年度星睿第四期定向资产支持票据</t>
    </r>
  </si>
  <si>
    <r>
      <rPr>
        <sz val="9"/>
        <color rgb="FF000000"/>
        <rFont val="楷体"/>
        <charset val="134"/>
      </rPr>
      <t>睿诚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</si>
  <si>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年度惠启第五期定向资产支持票据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</si>
  <si>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年度惠鸿第一期定向资产支持票据</t>
    </r>
  </si>
  <si>
    <r>
      <rPr>
        <sz val="9"/>
        <color rgb="FF000000"/>
        <rFont val="楷体"/>
        <charset val="134"/>
      </rPr>
      <t>澄熙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</si>
  <si>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澄熙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年度第五期定向资产支持票据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</si>
  <si>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年度惠行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</si>
  <si>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澄熙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</si>
  <si>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年度星睿第五期定向资产支持票据</t>
    </r>
  </si>
  <si>
    <r>
      <rPr>
        <sz val="9"/>
        <color rgb="FF000000"/>
        <rFont val="楷体"/>
        <charset val="134"/>
      </rPr>
      <t>星澜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</si>
  <si>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年度美润第一期定向资产支持票据</t>
    </r>
  </si>
  <si>
    <r>
      <rPr>
        <sz val="9"/>
        <color rgb="FF000000"/>
        <rFont val="楷体"/>
        <charset val="134"/>
      </rPr>
      <t>睿诚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</si>
  <si>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年度第二期和煦定向资产支持票据</t>
    </r>
  </si>
  <si>
    <r>
      <rPr>
        <sz val="9"/>
        <color rgb="FF000000"/>
        <rFont val="楷体"/>
        <charset val="134"/>
      </rPr>
      <t>重庆携程小额贷款有限公司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年度拿去花第一期定向资产支持票据</t>
    </r>
  </si>
  <si>
    <r>
      <rPr>
        <sz val="9"/>
        <color rgb="FF000000"/>
        <rFont val="Times New Roman"/>
        <charset val="134"/>
      </rPr>
      <t>BBB</t>
    </r>
    <r>
      <rPr>
        <sz val="9"/>
        <color rgb="FF000000"/>
        <rFont val="楷体"/>
        <charset val="134"/>
      </rPr>
      <t>+</t>
    </r>
  </si>
  <si>
    <r>
      <rPr>
        <sz val="9"/>
        <color rgb="FF000000"/>
        <rFont val="楷体"/>
        <charset val="134"/>
      </rPr>
      <t>睿诚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年度第五期定向资产支持票据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</si>
  <si>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号春裕京东白条第一期定向资产支持商业票据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</si>
  <si>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年度美润第二期定向资产支持票据</t>
    </r>
  </si>
  <si>
    <r>
      <rPr>
        <sz val="9"/>
        <color rgb="FF000000"/>
        <rFont val="楷体"/>
        <charset val="134"/>
      </rPr>
      <t>睿诚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</si>
  <si>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星澜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</si>
  <si>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睿诚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年度第七期定向资产支持票据</t>
    </r>
  </si>
  <si>
    <r>
      <rPr>
        <sz val="9"/>
        <color rgb="FF000000"/>
        <rFont val="楷体"/>
        <charset val="134"/>
      </rPr>
      <t>澄熙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年度第九期定向资产支持票据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</si>
  <si>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号秋裕京东白条第一期定向资产支持商业票据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</si>
  <si>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号春裕京东白条第一期定向资产支持商业票据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</si>
  <si>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年度惠鸿第二期定向资产支持票据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</si>
  <si>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号季裕京东白条第一期定向资产支持商业票据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</si>
  <si>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号叔裕京东白条第一期定向资产支持商业票据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</si>
  <si>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号仲裕京东白条第一期定向资产支持商业票据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</si>
  <si>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号伯裕京东白条第一期定向资产支持商业票据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</si>
  <si>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年度惠鸿第四期定向资产支持票据</t>
    </r>
  </si>
  <si>
    <r>
      <rPr>
        <sz val="9"/>
        <color rgb="FF000000"/>
        <rFont val="楷体"/>
        <charset val="134"/>
      </rPr>
      <t>重庆美团三快小额贷款有限公司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年度美月第三期定向资产支持票据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</si>
  <si>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年度惠澄第四期定向资产支持票据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</si>
  <si>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年度美润第三期定向资产支持票据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</si>
  <si>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号夏裕京东白条第一期定向资产支持商业票据</t>
    </r>
  </si>
  <si>
    <r>
      <rPr>
        <sz val="9"/>
        <color rgb="FF000000"/>
        <rFont val="楷体"/>
        <charset val="134"/>
      </rPr>
      <t>华润深国投信托有限公司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年度第一期锦惠定向资产支持票据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</si>
  <si>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年度第三期和煦定向资产支持票据</t>
    </r>
  </si>
  <si>
    <r>
      <rPr>
        <sz val="9"/>
        <color rgb="FF000000"/>
        <rFont val="楷体"/>
        <charset val="134"/>
      </rPr>
      <t>睿诚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年度第八期定向资产支持票据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</si>
  <si>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年度惠启第六期定向资产支持票据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</si>
  <si>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年度惠澄第五期定向资产支持票据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</si>
  <si>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年度惠鸿第五期定向资产支持票据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</si>
  <si>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年度扬帆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</si>
  <si>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号秋裕京东白条第一期定向资产支持商业票据</t>
    </r>
  </si>
  <si>
    <r>
      <rPr>
        <sz val="9"/>
        <color rgb="FF000000"/>
        <rFont val="楷体"/>
        <charset val="134"/>
      </rPr>
      <t>睿鸿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</si>
  <si>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年度惠澄第六期定向资产支持票据</t>
    </r>
  </si>
  <si>
    <r>
      <rPr>
        <sz val="9"/>
        <color rgb="FF000000"/>
        <rFont val="楷体"/>
        <charset val="134"/>
      </rPr>
      <t>睿鸿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</si>
  <si>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星澜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</si>
  <si>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澄欣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年度第一期定向资产支持票据</t>
    </r>
  </si>
  <si>
    <t>次优级</t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</si>
  <si>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号冬裕京东白条第一期定向资产支持商业票据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</si>
  <si>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年度星睿第六期定向资产支持票据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</si>
  <si>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年度扬帆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</si>
  <si>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年度美润第四期定向资产支持票据</t>
    </r>
  </si>
  <si>
    <r>
      <rPr>
        <sz val="9"/>
        <color rgb="FF000000"/>
        <rFont val="楷体"/>
        <charset val="134"/>
      </rPr>
      <t>重庆美团三快小额贷款有限公司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年度美月第四期定向资产支持票据</t>
    </r>
  </si>
  <si>
    <r>
      <rPr>
        <sz val="9"/>
        <color rgb="FF000000"/>
        <rFont val="楷体"/>
        <charset val="134"/>
      </rPr>
      <t>睿鸿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</si>
  <si>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年度惠瑞第一期定向资产支持票据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</si>
  <si>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年度第四期和煦定向资产支持票据</t>
    </r>
  </si>
  <si>
    <r>
      <rPr>
        <sz val="9"/>
        <color rgb="FF000000"/>
        <rFont val="楷体"/>
        <charset val="134"/>
      </rPr>
      <t>睿鸿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</si>
  <si>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年度第一期启辰定向资产支持票据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</si>
  <si>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年度和畅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</si>
  <si>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睿鸿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年度第五期定向资产支持票据</t>
    </r>
  </si>
  <si>
    <r>
      <rPr>
        <sz val="9"/>
        <color rgb="FF000000"/>
        <rFont val="楷体"/>
        <charset val="134"/>
      </rPr>
      <t>星炳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</si>
  <si>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澄欣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</si>
  <si>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年度惠行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</si>
  <si>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年度惠瑞第二期定向资产支持票据</t>
    </r>
  </si>
  <si>
    <r>
      <rPr>
        <sz val="9"/>
        <color rgb="FF000000"/>
        <rFont val="楷体"/>
        <charset val="134"/>
      </rPr>
      <t>星炳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</si>
  <si>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年度惠畅第一期定向资产支持票据</t>
    </r>
  </si>
  <si>
    <r>
      <rPr>
        <sz val="9"/>
        <color rgb="FF000000"/>
        <rFont val="楷体"/>
        <charset val="134"/>
      </rPr>
      <t>睿鸿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年度第六期定向资产支持票据</t>
    </r>
  </si>
  <si>
    <r>
      <rPr>
        <sz val="9"/>
        <color rgb="FF000000"/>
        <rFont val="楷体"/>
        <charset val="134"/>
      </rPr>
      <t>澄欣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</si>
  <si>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年度第一期惠元定向资产支持票据</t>
    </r>
  </si>
  <si>
    <r>
      <rPr>
        <sz val="9"/>
        <color rgb="FF000000"/>
        <rFont val="楷体"/>
        <charset val="134"/>
      </rPr>
      <t>澄欣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</si>
  <si>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年度惠畅第二期定向资产支持票据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</si>
  <si>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年度扬帆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</si>
  <si>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睿鸿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年度第七期定向资产支持票据</t>
    </r>
  </si>
  <si>
    <r>
      <rPr>
        <sz val="9"/>
        <color rgb="FF000000"/>
        <rFont val="楷体"/>
        <charset val="134"/>
      </rPr>
      <t>澄欣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年度第五期定向资产支持票据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</si>
  <si>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年度和畅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</si>
  <si>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星炳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</si>
  <si>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号京东白条第二期定向资产支持商业票据</t>
    </r>
  </si>
  <si>
    <r>
      <rPr>
        <sz val="9"/>
        <color rgb="FF000000"/>
        <rFont val="楷体"/>
        <charset val="134"/>
      </rPr>
      <t>澄欣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年度第六期定向资产支持票据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</si>
  <si>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年度和畅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</si>
  <si>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睿鸿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年度第八期定向资产支持票据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</si>
  <si>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号京东白条第一期定向资产支持商业票据</t>
    </r>
  </si>
  <si>
    <r>
      <rPr>
        <sz val="9"/>
        <color rgb="FF000000"/>
        <rFont val="楷体"/>
        <charset val="134"/>
      </rPr>
      <t>星炳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</si>
  <si>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年度扬帆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</si>
  <si>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年度和畅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</si>
  <si>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重庆美团三快小额贷款有限公司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年度美月第五期定向资产支持票据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</si>
  <si>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年度第一期启赢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号京东定向资产支持票据</t>
    </r>
  </si>
  <si>
    <r>
      <rPr>
        <sz val="9"/>
        <color rgb="FF000000"/>
        <rFont val="楷体"/>
        <charset val="134"/>
      </rPr>
      <t>睿鸿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年度第九期定向资产支持票据</t>
    </r>
  </si>
  <si>
    <r>
      <rPr>
        <sz val="9"/>
        <color rgb="FF000000"/>
        <rFont val="楷体"/>
        <charset val="134"/>
      </rPr>
      <t>星炳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年度第七期定向资产支持票据</t>
    </r>
  </si>
  <si>
    <r>
      <rPr>
        <sz val="9"/>
        <color rgb="FF000000"/>
        <rFont val="楷体"/>
        <charset val="134"/>
      </rPr>
      <t>星炳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年度第六期定向资产支持票据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</si>
  <si>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</si>
  <si>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年度第二期启辰定向资产支持票据</t>
    </r>
  </si>
  <si>
    <r>
      <rPr>
        <sz val="9"/>
        <color rgb="FF000000"/>
        <rFont val="楷体"/>
        <charset val="134"/>
      </rPr>
      <t>星炳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年度第五期定向资产支持票据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</si>
  <si>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年度惠行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</si>
  <si>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年度信玥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号第一期定向资产支持票据(债券通)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</si>
  <si>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年度美润第五期定向资产支持票据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</si>
  <si>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号第二期定向资产支持票据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</si>
  <si>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年度惠瑞第三期定向资产支持票据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</si>
  <si>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号伯裕京东白条第一期定向资产支持商业票据</t>
    </r>
  </si>
  <si>
    <r>
      <rPr>
        <sz val="9"/>
        <color rgb="FF000000"/>
        <rFont val="楷体"/>
        <charset val="134"/>
      </rPr>
      <t>睿鸿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年度第十期定向资产支持票据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</si>
  <si>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年度扬帆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</si>
  <si>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号京东白条第一期定向资产支持票据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</si>
  <si>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年度惠丰第一期定向资产支持票据</t>
    </r>
  </si>
  <si>
    <r>
      <rPr>
        <sz val="9"/>
        <color rgb="FF000000"/>
        <rFont val="楷体"/>
        <charset val="134"/>
      </rPr>
      <t>澄欣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年度第七期定向资产支持票据</t>
    </r>
  </si>
  <si>
    <r>
      <rPr>
        <sz val="9"/>
        <color rgb="FF000000"/>
        <rFont val="楷体"/>
        <charset val="134"/>
      </rPr>
      <t>睿鸿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年度第十一期定向资产支持票据</t>
    </r>
  </si>
  <si>
    <r>
      <rPr>
        <sz val="9"/>
        <color rgb="FF000000"/>
        <rFont val="楷体"/>
        <charset val="134"/>
      </rPr>
      <t>星昭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</si>
  <si>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澄欣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年度第八期定向资产支持票据</t>
    </r>
  </si>
  <si>
    <r>
      <rPr>
        <sz val="9"/>
        <color rgb="FF000000"/>
        <rFont val="楷体"/>
        <charset val="134"/>
      </rPr>
      <t>澄景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</si>
  <si>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号京东白条第二期定向资产支持票据</t>
    </r>
  </si>
  <si>
    <r>
      <rPr>
        <sz val="9"/>
        <color rgb="FF000000"/>
        <rFont val="楷体"/>
        <charset val="134"/>
      </rPr>
      <t>星澜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年度第五期定向资产支持票据</t>
    </r>
  </si>
  <si>
    <r>
      <rPr>
        <sz val="9"/>
        <color rgb="FF000000"/>
        <rFont val="楷体"/>
        <charset val="134"/>
      </rPr>
      <t>星澜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年度第六期定向资产支持票据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</si>
  <si>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年度惠畅第四期定向资产支持票据</t>
    </r>
  </si>
  <si>
    <r>
      <rPr>
        <sz val="9"/>
        <color rgb="FF000000"/>
        <rFont val="楷体"/>
        <charset val="134"/>
      </rPr>
      <t>澄景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</si>
  <si>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年度惠丰第三期定向资产支持票据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</si>
  <si>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年度惠瑞第四期定向资产支持票据</t>
    </r>
  </si>
  <si>
    <r>
      <rPr>
        <sz val="9"/>
        <color rgb="FF000000"/>
        <rFont val="楷体"/>
        <charset val="134"/>
      </rPr>
      <t>睿泽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</si>
  <si>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澄欣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年度第九期定向资产支持票据</t>
    </r>
  </si>
  <si>
    <r>
      <rPr>
        <sz val="9"/>
        <color rgb="FF000000"/>
        <rFont val="楷体"/>
        <charset val="134"/>
      </rPr>
      <t>星炳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年度第八期定向资产支持票据</t>
    </r>
  </si>
  <si>
    <r>
      <rPr>
        <sz val="9"/>
        <color rgb="FF000000"/>
        <rFont val="楷体"/>
        <charset val="134"/>
      </rPr>
      <t>睿泽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</si>
  <si>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年度第一期启明定向资产支持票据</t>
    </r>
  </si>
  <si>
    <r>
      <rPr>
        <sz val="9"/>
        <color rgb="FF000000"/>
        <rFont val="楷体"/>
        <charset val="134"/>
      </rPr>
      <t>澄景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</si>
  <si>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睿鸿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年度第十二期定向资产支持票据</t>
    </r>
  </si>
  <si>
    <r>
      <rPr>
        <sz val="9"/>
        <color rgb="FF000000"/>
        <rFont val="楷体"/>
        <charset val="134"/>
      </rPr>
      <t>重庆度小满小额贷款有限公司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年度第一期满航定向资产支持票据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</si>
  <si>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年度惠畅第三期定向资产支持票据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</si>
  <si>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年度惠丰第二期定向资产支持票据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</si>
  <si>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年度扬帆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</si>
  <si>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号仲裕京东白条第一期定向资产支持商业票据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</si>
  <si>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年度惠畅第六期定向资产支持票据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</si>
  <si>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年度致远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</si>
  <si>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年度惠畅第五期定向资产支持票据</t>
    </r>
  </si>
  <si>
    <r>
      <rPr>
        <sz val="9"/>
        <color rgb="FF000000"/>
        <rFont val="楷体"/>
        <charset val="134"/>
      </rPr>
      <t>睿泽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</si>
  <si>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年度惠丰第四期定向资产支持票据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</si>
  <si>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年度惠畅第八期定向资产支持票据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</si>
  <si>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年度惠瑞第六期定向资产支持票据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</si>
  <si>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年度惠丰第五期定向资产支持票据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</si>
  <si>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年度惠丰第六期定向资产支持票据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</si>
  <si>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年度致远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</si>
  <si>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年度和畅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</si>
  <si>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年度惠瑞第五期定向资产支持票据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</si>
  <si>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号京东白条第三期定向资产支持票据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</si>
  <si>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年度第二期启赢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号京东定向资产支持票据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</si>
  <si>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号第三期定向资产支持票据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</si>
  <si>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年度惠畅第七期定向资产支持票据</t>
    </r>
  </si>
  <si>
    <r>
      <rPr>
        <sz val="9"/>
        <color rgb="FF000000"/>
        <rFont val="楷体"/>
        <charset val="134"/>
      </rPr>
      <t>睿泽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</si>
  <si>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澄景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</si>
  <si>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号京东白条第五期定向资产支持票据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</si>
  <si>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年度扬帆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</si>
  <si>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年度第二期启明定向资产支持票据</t>
    </r>
  </si>
  <si>
    <r>
      <rPr>
        <sz val="9"/>
        <color rgb="FF000000"/>
        <rFont val="楷体"/>
        <charset val="134"/>
      </rPr>
      <t>星昭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</si>
  <si>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星澜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年度第七期定向资产支持票据</t>
    </r>
  </si>
  <si>
    <r>
      <rPr>
        <sz val="9"/>
        <color rgb="FF000000"/>
        <rFont val="楷体"/>
        <charset val="134"/>
      </rPr>
      <t>澄景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年度第五期定向资产支持票据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</si>
  <si>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年度美润第六期定向资产支持票据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</si>
  <si>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年度第三期启赢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号京东定向资产支持票据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</si>
  <si>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年度第五期和煦定向资产支持票据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</si>
  <si>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年度惠丰第七期定向资产支持票据</t>
    </r>
  </si>
  <si>
    <r>
      <rPr>
        <sz val="9"/>
        <color rgb="FF000000"/>
        <rFont val="楷体"/>
        <charset val="134"/>
      </rPr>
      <t>睿泽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年度第五期定向资产支持票据</t>
    </r>
  </si>
  <si>
    <r>
      <rPr>
        <sz val="9"/>
        <color rgb="FF000000"/>
        <rFont val="楷体"/>
        <charset val="134"/>
      </rPr>
      <t>星昭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</si>
  <si>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号京东白条第四期定向资产支持票据</t>
    </r>
  </si>
  <si>
    <r>
      <rPr>
        <sz val="9"/>
        <color rgb="FF000000"/>
        <rFont val="楷体"/>
        <charset val="134"/>
      </rPr>
      <t>重庆京东盛际小额贷款有限公司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</si>
  <si>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年度第四期启赢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号京东定向资产支持票据</t>
    </r>
  </si>
  <si>
    <r>
      <rPr>
        <sz val="9"/>
        <color rgb="FF000000"/>
        <rFont val="Times New Roman"/>
        <charset val="134"/>
      </rPr>
      <t>BBB</t>
    </r>
    <r>
      <rPr>
        <sz val="9"/>
        <color rgb="FF000000"/>
        <rFont val="楷体"/>
        <charset val="134"/>
      </rPr>
      <t>-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</si>
  <si>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年度第三期启明定向资产支持票据</t>
    </r>
  </si>
  <si>
    <r>
      <rPr>
        <sz val="9"/>
        <color rgb="FF000000"/>
        <rFont val="楷体"/>
        <charset val="134"/>
      </rPr>
      <t>澄欣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年度第十期定向资产支持票据</t>
    </r>
  </si>
  <si>
    <r>
      <rPr>
        <sz val="9"/>
        <color rgb="FF000000"/>
        <rFont val="楷体"/>
        <charset val="134"/>
      </rPr>
      <t>睿泽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年度第六期定向资产支持票据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</si>
  <si>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年度惠瑞第七期定向资产支持票据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</si>
  <si>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号京东白条第六期定向资产支持票据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</si>
  <si>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号京东白条第七期定向资产支持票据</t>
    </r>
  </si>
  <si>
    <r>
      <rPr>
        <sz val="9"/>
        <color rgb="FF000000"/>
        <rFont val="楷体"/>
        <charset val="134"/>
      </rPr>
      <t>中国对外经济贸易信托有限公司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年度第一期锦新小微定向资产支持票据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</si>
  <si>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年度惠行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</si>
  <si>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年度和畅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</si>
  <si>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年度惠欣第二期定向资产支持票据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</si>
  <si>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年度惠聚第一期定向资产支持票据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</si>
  <si>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年度扬帆</t>
    </r>
    <r>
      <rPr>
        <sz val="9"/>
        <color rgb="FF000000"/>
        <rFont val="Times New Roman"/>
        <charset val="134"/>
      </rPr>
      <t>8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</si>
  <si>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年度美润第七期定向资产支持票据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</si>
  <si>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年度和畅</t>
    </r>
    <r>
      <rPr>
        <sz val="9"/>
        <color rgb="FF000000"/>
        <rFont val="Times New Roman"/>
        <charset val="134"/>
      </rPr>
      <t>7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</si>
  <si>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年度惠佳第一期定向资产支持票据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</si>
  <si>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年度惠欣第一期定向资产支持票据</t>
    </r>
  </si>
  <si>
    <r>
      <rPr>
        <sz val="9"/>
        <color rgb="FF000000"/>
        <rFont val="楷体"/>
        <charset val="134"/>
      </rPr>
      <t>星炳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年度第九期定向资产支持票据</t>
    </r>
  </si>
  <si>
    <r>
      <rPr>
        <sz val="9"/>
        <color rgb="FF000000"/>
        <rFont val="楷体"/>
        <charset val="134"/>
      </rPr>
      <t>星昭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</si>
  <si>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号京东白条第八期定向资产支持票据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</si>
  <si>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号京东白条第二期定向资产支持票据</t>
    </r>
  </si>
  <si>
    <r>
      <rPr>
        <sz val="9"/>
        <color rgb="FF000000"/>
        <rFont val="楷体"/>
        <charset val="134"/>
      </rPr>
      <t>睿泽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年度第九期定向资产支持票据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</si>
  <si>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年度信玥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号第二期定向资产支持票据(债券通)</t>
    </r>
  </si>
  <si>
    <r>
      <rPr>
        <sz val="9"/>
        <color rgb="FF000000"/>
        <rFont val="楷体"/>
        <charset val="134"/>
      </rPr>
      <t>澄景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年度第八期定向资产支持票据</t>
    </r>
  </si>
  <si>
    <r>
      <rPr>
        <sz val="9"/>
        <color rgb="FF000000"/>
        <rFont val="楷体"/>
        <charset val="134"/>
      </rPr>
      <t>重庆携程小额贷款有限公司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年度拿去花第二期定向资产支持票据</t>
    </r>
  </si>
  <si>
    <r>
      <rPr>
        <sz val="9"/>
        <color rgb="FF000000"/>
        <rFont val="楷体"/>
        <charset val="134"/>
      </rPr>
      <t>星澜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年度第八期定向资产支持票据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</si>
  <si>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号京东白条第一期定向资产支持票据</t>
    </r>
  </si>
  <si>
    <r>
      <rPr>
        <sz val="9"/>
        <color rgb="FF000000"/>
        <rFont val="Times New Roman"/>
        <charset val="134"/>
      </rPr>
      <t>AA</t>
    </r>
    <r>
      <rPr>
        <sz val="9"/>
        <color rgb="FF000000"/>
        <rFont val="楷体"/>
        <charset val="134"/>
      </rPr>
      <t>-</t>
    </r>
  </si>
  <si>
    <r>
      <rPr>
        <sz val="9"/>
        <color rgb="FF000000"/>
        <rFont val="楷体"/>
        <charset val="134"/>
      </rPr>
      <t>睿泽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年度第八期定向资产支持票据</t>
    </r>
  </si>
  <si>
    <r>
      <rPr>
        <sz val="9"/>
        <color rgb="FF000000"/>
        <rFont val="楷体"/>
        <charset val="134"/>
      </rPr>
      <t>澄景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年度第七期定向资产支持票据</t>
    </r>
  </si>
  <si>
    <r>
      <rPr>
        <sz val="9"/>
        <color rgb="FF000000"/>
        <rFont val="楷体"/>
        <charset val="134"/>
      </rPr>
      <t>澄景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年度第六期定向资产支持票据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</si>
  <si>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年度第三期启辰定向资产支持票据</t>
    </r>
  </si>
  <si>
    <r>
      <rPr>
        <sz val="9"/>
        <color rgb="FF000000"/>
        <rFont val="楷体"/>
        <charset val="134"/>
      </rPr>
      <t>睿泽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年度第七期定向资产支持票据</t>
    </r>
  </si>
  <si>
    <r>
      <rPr>
        <sz val="9"/>
        <color rgb="FF000000"/>
        <rFont val="楷体"/>
        <charset val="134"/>
      </rPr>
      <t>上海国际信托有限公司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年度惠聚第二期定向资产支持票据</t>
    </r>
  </si>
  <si>
    <r>
      <rPr>
        <sz val="9"/>
        <color rgb="FF000000"/>
        <rFont val="楷体"/>
        <charset val="134"/>
      </rPr>
      <t>东樾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号夏樾第一期定向资产支持商业票据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</si>
  <si>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年度致远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</si>
  <si>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重庆京东盛际小额贷款有限公司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号第三期定向资产支持票据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</si>
  <si>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号仲裕京东白条第一期定向资产支持商业票据</t>
    </r>
  </si>
  <si>
    <r>
      <rPr>
        <sz val="9"/>
        <color rgb="FF000000"/>
        <rFont val="楷体"/>
        <charset val="134"/>
      </rPr>
      <t>星昭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年度第五期定向资产支持票据</t>
    </r>
  </si>
  <si>
    <r>
      <rPr>
        <sz val="9"/>
        <color rgb="FF000000"/>
        <rFont val="楷体"/>
        <charset val="134"/>
      </rPr>
      <t>重庆京东盛际小额贷款有限公司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号第二期定向资产支持票据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</si>
  <si>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号伯裕京东白条第一期定向资产支持商业票据</t>
    </r>
  </si>
  <si>
    <r>
      <rPr>
        <sz val="9"/>
        <color rgb="FF000000"/>
        <rFont val="楷体"/>
        <charset val="134"/>
      </rPr>
      <t>星炳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年度第十期定向资产支持票据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</si>
  <si>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年度第一期和盛定向资产支持票据</t>
    </r>
  </si>
  <si>
    <r>
      <rPr>
        <sz val="9"/>
        <color rgb="FF000000"/>
        <rFont val="楷体"/>
        <charset val="134"/>
      </rPr>
      <t>重庆京东盛际小额贷款有限公司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年度东澜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号第四期定向资产支持票据</t>
    </r>
  </si>
  <si>
    <r>
      <rPr>
        <sz val="9"/>
        <color rgb="FF000000"/>
        <rFont val="楷体"/>
        <charset val="134"/>
      </rPr>
      <t>澄欣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年度第十一期定向资产支持票据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</si>
  <si>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年度第四期启明定向资产支持票据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</si>
  <si>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号京东白条第三期定向资产支持票据</t>
    </r>
  </si>
  <si>
    <r>
      <rPr>
        <sz val="9"/>
        <color rgb="FF000000"/>
        <rFont val="楷体"/>
        <charset val="134"/>
      </rPr>
      <t>北京京东世纪贸易有限公司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年度东裕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号京东白条第四期定向资产支持票据</t>
    </r>
  </si>
  <si>
    <r>
      <rPr>
        <sz val="9"/>
        <color rgb="FF000000"/>
        <rFont val="楷体"/>
        <charset val="134"/>
      </rPr>
      <t>重庆度小满小额贷款有限公司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年度第二期满航定向资产支持票据</t>
    </r>
  </si>
  <si>
    <r>
      <rPr>
        <sz val="9"/>
        <color rgb="FF000000"/>
        <rFont val="楷体"/>
        <charset val="134"/>
      </rPr>
      <t>澄丰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</si>
  <si>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年度信玥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号第三期定向资产支持票据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</si>
  <si>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年度致远</t>
    </r>
    <r>
      <rPr>
        <sz val="9"/>
        <color rgb="FF000000"/>
        <rFont val="Times New Roman"/>
        <charset val="134"/>
      </rPr>
      <t>4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</si>
  <si>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年度第四期启辰定向资产支持票据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</si>
  <si>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年度第五期启明定向资产支持票据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</si>
  <si>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年度和盛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</si>
  <si>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年度致远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</si>
  <si>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年度恒信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</si>
  <si>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澄丰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</si>
  <si>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年度第二期惠元定向资产支持票据</t>
    </r>
  </si>
  <si>
    <r>
      <rPr>
        <sz val="9"/>
        <color rgb="FF000000"/>
        <rFont val="楷体"/>
        <charset val="134"/>
      </rPr>
      <t>澄丰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</si>
  <si>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睿航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年度第三期定向资产支持票据</t>
    </r>
  </si>
  <si>
    <r>
      <rPr>
        <sz val="9"/>
        <color rgb="FF000000"/>
        <rFont val="楷体"/>
        <charset val="134"/>
      </rPr>
      <t>深圳市财付通网络金融小额贷款有限公司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年度和盛</t>
    </r>
    <r>
      <rPr>
        <sz val="9"/>
        <color rgb="FF000000"/>
        <rFont val="Times New Roman"/>
        <charset val="134"/>
      </rPr>
      <t>2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</si>
  <si>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重庆美团三快小额贷款有限公司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年度美玥第二期定向资产支持票据</t>
    </r>
  </si>
  <si>
    <r>
      <rPr>
        <sz val="9"/>
        <color rgb="FF000000"/>
        <rFont val="楷体"/>
        <charset val="134"/>
      </rPr>
      <t>睿航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</si>
  <si>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年度惠欣第三期定向资产支持票据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</si>
  <si>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年度惠佳第二期定向资产支持票据</t>
    </r>
  </si>
  <si>
    <r>
      <rPr>
        <sz val="9"/>
        <color rgb="FF000000"/>
        <rFont val="楷体"/>
        <charset val="134"/>
      </rPr>
      <t>睿航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年度第一期定向资产支持票据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</si>
  <si>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年度惠欣第四期定向资产支持票据</t>
    </r>
  </si>
  <si>
    <r>
      <rPr>
        <sz val="9"/>
        <color rgb="FF000000"/>
        <rFont val="楷体"/>
        <charset val="134"/>
      </rPr>
      <t>华鑫国际信托有限公司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年度惠佳第三期定向资产支持票据</t>
    </r>
  </si>
  <si>
    <r>
      <rPr>
        <sz val="9"/>
        <color rgb="FF000000"/>
        <rFont val="楷体"/>
        <charset val="134"/>
      </rPr>
      <t>澄丰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年度第四期定向资产支持票据</t>
    </r>
  </si>
  <si>
    <r>
      <rPr>
        <sz val="9"/>
        <color rgb="FF000000"/>
        <rFont val="楷体"/>
        <charset val="134"/>
      </rPr>
      <t>星曦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年度第二期定向资产支持票据</t>
    </r>
  </si>
  <si>
    <r>
      <rPr>
        <sz val="9"/>
        <color rgb="FF000000"/>
        <rFont val="楷体"/>
        <charset val="134"/>
      </rPr>
      <t>华能贵诚信托有限公司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年度恒信</t>
    </r>
    <r>
      <rPr>
        <sz val="9"/>
        <color rgb="FF000000"/>
        <rFont val="Times New Roman"/>
        <charset val="134"/>
      </rPr>
      <t>3</t>
    </r>
    <r>
      <rPr>
        <sz val="9"/>
        <color rgb="FF000000"/>
        <rFont val="楷体"/>
        <charset val="134"/>
      </rPr>
      <t>号第一期定向资产支持商业票据</t>
    </r>
  </si>
  <si>
    <r>
      <rPr>
        <sz val="9"/>
        <color rgb="FF000000"/>
        <rFont val="楷体"/>
        <charset val="134"/>
      </rPr>
      <t>国投泰康信托有限公司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年度致远</t>
    </r>
    <r>
      <rPr>
        <sz val="9"/>
        <color rgb="FF000000"/>
        <rFont val="Times New Roman"/>
        <charset val="134"/>
      </rPr>
      <t>6</t>
    </r>
    <r>
      <rPr>
        <sz val="9"/>
        <color rgb="FF000000"/>
        <rFont val="楷体"/>
        <charset val="134"/>
      </rPr>
      <t>号第一期定向资产支持商业票据</t>
    </r>
  </si>
  <si>
    <t>项目简称</t>
  </si>
  <si>
    <t>起息日</t>
  </si>
  <si>
    <t>各档分层</t>
  </si>
  <si>
    <t>各档规模(亿元)</t>
  </si>
  <si>
    <t>各档占比</t>
  </si>
  <si>
    <t>预计到期日</t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</si>
  <si>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2022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</si>
  <si>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t>马上消费金融股份有限公司</t>
  </si>
  <si>
    <r>
      <rPr>
        <sz val="9"/>
        <color rgb="FF000000"/>
        <rFont val="楷体"/>
        <charset val="134"/>
      </rPr>
      <t>兴晴</t>
    </r>
    <r>
      <rPr>
        <sz val="9"/>
        <color rgb="FF000000"/>
        <rFont val="Times New Roman"/>
        <charset val="134"/>
      </rPr>
      <t>2022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</si>
  <si>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t>兴业消费金融股份公司</t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</si>
  <si>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2022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</si>
  <si>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楚赢</t>
    </r>
    <r>
      <rPr>
        <sz val="9"/>
        <color rgb="FF000000"/>
        <rFont val="Times New Roman"/>
        <charset val="134"/>
      </rPr>
      <t>2022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</si>
  <si>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t>湖北消费金融股份有限公司</t>
  </si>
  <si>
    <r>
      <rPr>
        <sz val="9"/>
        <color rgb="FF000000"/>
        <rFont val="楷体"/>
        <charset val="134"/>
      </rPr>
      <t>鼎柚</t>
    </r>
    <r>
      <rPr>
        <sz val="9"/>
        <color rgb="FF000000"/>
        <rFont val="Times New Roman"/>
        <charset val="134"/>
      </rPr>
      <t>2022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</si>
  <si>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t>河南中原消费金融股份有限公司</t>
  </si>
  <si>
    <r>
      <rPr>
        <sz val="9"/>
        <color rgb="FF000000"/>
        <rFont val="楷体"/>
        <charset val="134"/>
      </rPr>
      <t>城一代</t>
    </r>
    <r>
      <rPr>
        <sz val="9"/>
        <color rgb="FF000000"/>
        <rFont val="Times New Roman"/>
        <charset val="134"/>
      </rPr>
      <t>2022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</si>
  <si>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t>湖南长银五八消费金融股份有限公司</t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</si>
  <si>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2022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3</t>
    </r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</si>
  <si>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2022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4</t>
    </r>
  </si>
  <si>
    <r>
      <rPr>
        <sz val="9"/>
        <color rgb="FF000000"/>
        <rFont val="楷体"/>
        <charset val="134"/>
      </rPr>
      <t>鹭盈</t>
    </r>
    <r>
      <rPr>
        <sz val="9"/>
        <color rgb="FF000000"/>
        <rFont val="Times New Roman"/>
        <charset val="134"/>
      </rPr>
      <t>2022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</si>
  <si>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t>厦门金美信消费金融有限责任公司</t>
  </si>
  <si>
    <r>
      <rPr>
        <sz val="9"/>
        <color rgb="FF000000"/>
        <rFont val="楷体"/>
        <charset val="134"/>
      </rPr>
      <t>鼎柚</t>
    </r>
    <r>
      <rPr>
        <sz val="9"/>
        <color rgb="FF000000"/>
        <rFont val="Times New Roman"/>
        <charset val="134"/>
      </rPr>
      <t>2022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</si>
  <si>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杭邦</t>
    </r>
    <r>
      <rPr>
        <sz val="9"/>
        <color rgb="FF000000"/>
        <rFont val="Times New Roman"/>
        <charset val="134"/>
      </rPr>
      <t>2022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</si>
  <si>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t>杭银消费金融股份有限公司</t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</si>
  <si>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2022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5</t>
    </r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</si>
  <si>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</si>
  <si>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鼎柚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</si>
  <si>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</si>
  <si>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鼎柚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</si>
  <si>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楚赢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</si>
  <si>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兴晴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</si>
  <si>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海鑫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</si>
  <si>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t>海尔消费金融有限公司</t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</si>
  <si>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3</t>
    </r>
  </si>
  <si>
    <r>
      <rPr>
        <sz val="9"/>
        <color rgb="FF000000"/>
        <rFont val="楷体"/>
        <charset val="134"/>
      </rPr>
      <t>鼎柚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3</t>
    </r>
  </si>
  <si>
    <r>
      <rPr>
        <sz val="9"/>
        <color rgb="FF000000"/>
        <rFont val="楷体"/>
        <charset val="134"/>
      </rPr>
      <t>兴晴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</si>
  <si>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B</t>
    </r>
  </si>
  <si>
    <r>
      <rPr>
        <sz val="9"/>
        <color rgb="FF000000"/>
        <rFont val="楷体"/>
        <charset val="134"/>
      </rPr>
      <t>优先</t>
    </r>
    <r>
      <rPr>
        <sz val="9"/>
        <color rgb="FF000000"/>
        <rFont val="Times New Roman"/>
        <charset val="134"/>
      </rPr>
      <t>C</t>
    </r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</si>
  <si>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4</t>
    </r>
  </si>
  <si>
    <r>
      <rPr>
        <sz val="9"/>
        <color rgb="FF000000"/>
        <rFont val="楷体"/>
        <charset val="134"/>
      </rPr>
      <t>城一代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</si>
  <si>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鼎柚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4</t>
    </r>
  </si>
  <si>
    <r>
      <rPr>
        <sz val="9"/>
        <color rgb="FF000000"/>
        <rFont val="楷体"/>
        <charset val="134"/>
      </rPr>
      <t>杭邦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</si>
  <si>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5</t>
    </r>
  </si>
  <si>
    <r>
      <rPr>
        <sz val="9"/>
        <color rgb="FF000000"/>
        <rFont val="楷体"/>
        <charset val="134"/>
      </rPr>
      <t>海鑫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</si>
  <si>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中赢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</si>
  <si>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t>中银消费金融有限公司</t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</si>
  <si>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2023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6</t>
    </r>
  </si>
  <si>
    <r>
      <rPr>
        <sz val="9"/>
        <color rgb="FF000000"/>
        <rFont val="楷体"/>
        <charset val="134"/>
      </rPr>
      <t>南银法巴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</si>
  <si>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t>南银法巴消费金融有限公司</t>
  </si>
  <si>
    <r>
      <rPr>
        <sz val="9"/>
        <color rgb="FF000000"/>
        <rFont val="楷体"/>
        <charset val="134"/>
      </rPr>
      <t>鼎柚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</si>
  <si>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</si>
  <si>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海鑫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</si>
  <si>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杭邦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</si>
  <si>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鼎柚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</si>
  <si>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</si>
  <si>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鼎柚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3</t>
    </r>
  </si>
  <si>
    <r>
      <rPr>
        <sz val="9"/>
        <color rgb="FF000000"/>
        <rFont val="楷体"/>
        <charset val="134"/>
      </rPr>
      <t>够花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</si>
  <si>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城一代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</si>
  <si>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鼎柚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4</t>
    </r>
  </si>
  <si>
    <r>
      <rPr>
        <sz val="9"/>
        <color rgb="FF000000"/>
        <rFont val="楷体"/>
        <charset val="134"/>
      </rPr>
      <t>够花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</si>
  <si>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南银法巴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</si>
  <si>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宁惠</t>
    </r>
    <r>
      <rPr>
        <sz val="9"/>
        <color rgb="FF000000"/>
        <rFont val="Times New Roman"/>
        <charset val="134"/>
      </rPr>
      <t>2024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</si>
  <si>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t>浙江宁银消费金融股份有限公司</t>
  </si>
  <si>
    <r>
      <rPr>
        <sz val="9"/>
        <color rgb="FF000000"/>
        <rFont val="楷体"/>
        <charset val="134"/>
      </rPr>
      <t>鼎柚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</si>
  <si>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够花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</si>
  <si>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南银法巴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</si>
  <si>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鼎柚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</si>
  <si>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1</t>
    </r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</si>
  <si>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</si>
  <si>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鼎柚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3</t>
    </r>
  </si>
  <si>
    <r>
      <rPr>
        <sz val="9"/>
        <color rgb="FF000000"/>
        <rFont val="楷体"/>
        <charset val="134"/>
      </rPr>
      <t>够花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2</t>
    </r>
  </si>
  <si>
    <r>
      <rPr>
        <sz val="9"/>
        <color rgb="FF000000"/>
        <rFont val="楷体"/>
        <charset val="134"/>
      </rPr>
      <t>鼎柚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4</t>
    </r>
  </si>
  <si>
    <r>
      <rPr>
        <sz val="9"/>
        <color rgb="FF000000"/>
        <rFont val="楷体"/>
        <charset val="134"/>
      </rPr>
      <t>宁惠</t>
    </r>
    <r>
      <rPr>
        <sz val="9"/>
        <color rgb="FF000000"/>
        <rFont val="楷体"/>
        <charset val="134"/>
      </rPr>
      <t>2025</t>
    </r>
    <r>
      <rPr>
        <sz val="9"/>
        <color rgb="FF000000"/>
        <rFont val="楷体"/>
        <charset val="134"/>
      </rPr>
      <t>-</t>
    </r>
    <r>
      <rPr>
        <sz val="9"/>
        <color rgb="FF000000"/>
        <rFont val="楷体"/>
        <charset val="134"/>
      </rPr>
      <t>1</t>
    </r>
  </si>
  <si>
    <t>优先C级</t>
  </si>
  <si>
    <r>
      <rPr>
        <sz val="9"/>
        <color rgb="FF000000"/>
        <rFont val="楷体"/>
        <charset val="134"/>
      </rPr>
      <t>安逸花</t>
    </r>
    <r>
      <rPr>
        <sz val="9"/>
        <color rgb="FF000000"/>
        <rFont val="Times New Roman"/>
        <charset val="134"/>
      </rPr>
      <t>2025</t>
    </r>
    <r>
      <rPr>
        <sz val="9"/>
        <color rgb="FF000000"/>
        <rFont val="楷体"/>
        <charset val="134"/>
      </rPr>
      <t>-</t>
    </r>
    <r>
      <rPr>
        <sz val="9"/>
        <color rgb="FF000000"/>
        <rFont val="Times New Roman"/>
        <charset val="134"/>
      </rPr>
      <t>3</t>
    </r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</si>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</sst>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yyyy/mm/dd;@"/>
    <numFmt numFmtId="178" formatCode="[$-409]yyyy/mm/dd;@"/>
    <numFmt numFmtId="179" formatCode="yyyy/m/d;@"/>
    <numFmt numFmtId="180" formatCode="0.00_ "/>
    <numFmt numFmtId="181" formatCode="_ * #,##0.000_ ;_ * \-#,##0.000_ ;_ * &quot;-&quot;??.0_ ;_ @_ "/>
    <numFmt numFmtId="182" formatCode="_ * #,##0.000_ ;_ * \-#,##0.000_ ;_ * &quot;-&quot;??_ ;_ @_ "/>
    <numFmt numFmtId="183" formatCode="0.00_);[Red]\(0.00\)"/>
    <numFmt numFmtId="184" formatCode="0.000_ "/>
  </numFmts>
  <fonts count="60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b/>
      <sz val="9"/>
      <name val="楷体"/>
      <charset val="134"/>
    </font>
    <font>
      <sz val="9"/>
      <color rgb="FF000000"/>
      <name val="楷体"/>
      <charset val="134"/>
    </font>
    <font>
      <sz val="9"/>
      <color rgb="FF000000"/>
      <name val="Times New Roman"/>
      <charset val="134"/>
    </font>
    <font>
      <sz val="9"/>
      <name val="楷体"/>
      <charset val="134"/>
    </font>
    <font>
      <b/>
      <sz val="9"/>
      <color rgb="FF000000"/>
      <name val="楷体"/>
      <charset val="134"/>
    </font>
    <font>
      <b/>
      <sz val="9"/>
      <color rgb="FF000000"/>
      <name val="Times New Roman"/>
      <charset val="134"/>
    </font>
    <font>
      <sz val="9"/>
      <color theme="1"/>
      <name val="楷体"/>
      <charset val="134"/>
    </font>
    <font>
      <sz val="10"/>
      <color rgb="FF000000"/>
      <name val="Times New Roman"/>
      <charset val="134"/>
    </font>
    <font>
      <sz val="9"/>
      <name val="Times New Roman"/>
      <charset val="134"/>
    </font>
    <font>
      <sz val="9"/>
      <color theme="1"/>
      <name val="Times New Roman"/>
      <charset val="134"/>
    </font>
    <font>
      <sz val="11"/>
      <name val="楷体"/>
      <charset val="134"/>
    </font>
    <font>
      <b/>
      <sz val="9"/>
      <name val="Times New Roman"/>
      <charset val="134"/>
    </font>
    <font>
      <sz val="9"/>
      <color rgb="FF333333"/>
      <name val="Times New Roman"/>
      <charset val="134"/>
    </font>
    <font>
      <sz val="10"/>
      <name val="Times New Roman"/>
      <charset val="134"/>
    </font>
    <font>
      <sz val="9"/>
      <color indexed="8"/>
      <name val="Times New Roman"/>
      <charset val="134"/>
    </font>
    <font>
      <sz val="5"/>
      <color rgb="FF333333"/>
      <name val="Arial"/>
      <charset val="134"/>
    </font>
    <font>
      <sz val="10"/>
      <color rgb="FF000000"/>
      <name val="楷体"/>
      <charset val="134"/>
    </font>
    <font>
      <sz val="9"/>
      <color rgb="FF000000"/>
      <name val="KaiTi"/>
      <charset val="134"/>
    </font>
    <font>
      <sz val="9"/>
      <color rgb="FF000000"/>
      <name val="Arial Regular"/>
      <charset val="134"/>
    </font>
    <font>
      <sz val="9"/>
      <color rgb="FF000000"/>
      <name val="Arial"/>
      <charset val="134"/>
    </font>
    <font>
      <sz val="9"/>
      <name val="Arial"/>
      <charset val="134"/>
    </font>
    <font>
      <sz val="9"/>
      <color rgb="FF333333"/>
      <name val="楷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rgb="FF333333"/>
      <name val="Times New Roman"/>
      <charset val="134"/>
    </font>
    <font>
      <sz val="11"/>
      <color theme="1"/>
      <name val="楷体"/>
      <charset val="134"/>
    </font>
    <font>
      <sz val="11"/>
      <color rgb="FF000000"/>
      <name val="楷体"/>
      <charset val="134"/>
    </font>
    <font>
      <sz val="11"/>
      <color rgb="FF000000"/>
      <name val="宋体"/>
      <charset val="134"/>
    </font>
    <font>
      <b/>
      <sz val="18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Calibri"/>
      <charset val="134"/>
    </font>
    <font>
      <sz val="11"/>
      <name val="Calibri"/>
      <charset val="134"/>
    </font>
    <font>
      <sz val="10"/>
      <name val="楷体"/>
      <charset val="134"/>
    </font>
    <font>
      <sz val="10"/>
      <color rgb="FF000000"/>
      <name val="Times New Roman Regular"/>
      <charset val="134"/>
    </font>
    <font>
      <sz val="9"/>
      <color indexed="8"/>
      <name val="楷体"/>
      <charset val="134"/>
    </font>
    <font>
      <sz val="11"/>
      <color rgb="FF333333"/>
      <name val="楷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5" tint="0.799462874233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40183721427"/>
        <bgColor indexed="64"/>
      </patternFill>
    </fill>
    <fill>
      <patternFill patternType="solid">
        <fgColor theme="5" tint="0.7994323557237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dotted">
        <color rgb="FFDFDFDF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8" borderId="25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9" borderId="28" applyNumberFormat="0" applyAlignment="0" applyProtection="0">
      <alignment vertical="center"/>
    </xf>
    <xf numFmtId="0" fontId="44" fillId="10" borderId="29" applyNumberFormat="0" applyAlignment="0" applyProtection="0">
      <alignment vertical="center"/>
    </xf>
    <xf numFmtId="0" fontId="45" fillId="10" borderId="28" applyNumberFormat="0" applyAlignment="0" applyProtection="0">
      <alignment vertical="center"/>
    </xf>
    <xf numFmtId="0" fontId="46" fillId="11" borderId="30" applyNumberFormat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/>
    <xf numFmtId="0" fontId="54" fillId="0" borderId="0"/>
    <xf numFmtId="0" fontId="1" fillId="0" borderId="0"/>
    <xf numFmtId="0" fontId="55" fillId="0" borderId="0"/>
    <xf numFmtId="0" fontId="0" fillId="0" borderId="0">
      <alignment vertical="center"/>
    </xf>
    <xf numFmtId="43" fontId="55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797">
    <xf numFmtId="0" fontId="0" fillId="0" borderId="0" xfId="0">
      <alignment vertical="center"/>
    </xf>
    <xf numFmtId="0" fontId="1" fillId="0" borderId="0" xfId="50"/>
    <xf numFmtId="14" fontId="1" fillId="0" borderId="0" xfId="50" applyNumberFormat="1"/>
    <xf numFmtId="43" fontId="1" fillId="0" borderId="0" xfId="50" applyNumberFormat="1" applyAlignment="1">
      <alignment horizontal="right"/>
    </xf>
    <xf numFmtId="14" fontId="2" fillId="0" borderId="1" xfId="50" applyNumberFormat="1" applyFont="1" applyBorder="1" applyAlignment="1">
      <alignment horizontal="center" vertical="center" wrapText="1"/>
    </xf>
    <xf numFmtId="0" fontId="2" fillId="0" borderId="1" xfId="50" applyFont="1" applyBorder="1" applyAlignment="1">
      <alignment horizontal="center" vertical="center" wrapText="1"/>
    </xf>
    <xf numFmtId="176" fontId="2" fillId="0" borderId="1" xfId="50" applyNumberFormat="1" applyFont="1" applyBorder="1" applyAlignment="1">
      <alignment horizontal="center" vertical="center" wrapText="1"/>
    </xf>
    <xf numFmtId="43" fontId="2" fillId="0" borderId="1" xfId="50" applyNumberFormat="1" applyFont="1" applyBorder="1" applyAlignment="1">
      <alignment horizontal="right" vertical="center" wrapText="1"/>
    </xf>
    <xf numFmtId="0" fontId="3" fillId="0" borderId="2" xfId="50" applyFont="1" applyBorder="1" applyAlignment="1">
      <alignment horizontal="center" vertical="center" wrapText="1" readingOrder="1"/>
    </xf>
    <xf numFmtId="14" fontId="4" fillId="0" borderId="2" xfId="50" applyNumberFormat="1" applyFont="1" applyBorder="1" applyAlignment="1">
      <alignment horizontal="center" vertical="center" wrapText="1" readingOrder="1"/>
    </xf>
    <xf numFmtId="2" fontId="4" fillId="0" borderId="2" xfId="50" applyNumberFormat="1" applyFont="1" applyBorder="1" applyAlignment="1">
      <alignment horizontal="center" vertical="center" wrapText="1" readingOrder="1"/>
    </xf>
    <xf numFmtId="43" fontId="4" fillId="0" borderId="2" xfId="50" applyNumberFormat="1" applyFont="1" applyBorder="1" applyAlignment="1">
      <alignment horizontal="right" vertical="center" wrapText="1" readingOrder="1"/>
    </xf>
    <xf numFmtId="10" fontId="4" fillId="0" borderId="2" xfId="50" applyNumberFormat="1" applyFont="1" applyBorder="1" applyAlignment="1">
      <alignment horizontal="center" vertical="center" wrapText="1" readingOrder="1"/>
    </xf>
    <xf numFmtId="0" fontId="4" fillId="0" borderId="2" xfId="50" applyFont="1" applyBorder="1" applyAlignment="1">
      <alignment horizontal="center" vertical="center" wrapText="1" readingOrder="1"/>
    </xf>
    <xf numFmtId="14" fontId="3" fillId="0" borderId="2" xfId="50" applyNumberFormat="1" applyFont="1" applyBorder="1" applyAlignment="1">
      <alignment horizontal="center" vertical="center" wrapText="1" readingOrder="1"/>
    </xf>
    <xf numFmtId="2" fontId="3" fillId="0" borderId="2" xfId="50" applyNumberFormat="1" applyFont="1" applyBorder="1" applyAlignment="1">
      <alignment horizontal="center" vertical="center" wrapText="1" readingOrder="1"/>
    </xf>
    <xf numFmtId="0" fontId="5" fillId="0" borderId="2" xfId="50" applyFont="1" applyBorder="1" applyAlignment="1">
      <alignment horizontal="center" vertical="center" wrapText="1"/>
    </xf>
    <xf numFmtId="14" fontId="5" fillId="0" borderId="2" xfId="50" applyNumberFormat="1" applyFont="1" applyBorder="1" applyAlignment="1">
      <alignment horizontal="center" vertical="center" wrapText="1"/>
    </xf>
    <xf numFmtId="2" fontId="1" fillId="0" borderId="0" xfId="50" applyNumberFormat="1"/>
    <xf numFmtId="0" fontId="6" fillId="0" borderId="3" xfId="50" applyFont="1" applyBorder="1" applyAlignment="1">
      <alignment horizontal="center" vertical="center" wrapText="1" readingOrder="1"/>
    </xf>
    <xf numFmtId="0" fontId="6" fillId="0" borderId="4" xfId="50" applyFont="1" applyBorder="1" applyAlignment="1">
      <alignment horizontal="center" vertical="center" wrapText="1" readingOrder="1"/>
    </xf>
    <xf numFmtId="0" fontId="6" fillId="0" borderId="5" xfId="50" applyFont="1" applyBorder="1" applyAlignment="1">
      <alignment horizontal="center" vertical="center" wrapText="1" readingOrder="1"/>
    </xf>
    <xf numFmtId="2" fontId="7" fillId="0" borderId="2" xfId="50" applyNumberFormat="1" applyFont="1" applyBorder="1" applyAlignment="1">
      <alignment horizontal="center" vertical="center" wrapText="1" readingOrder="1"/>
    </xf>
    <xf numFmtId="43" fontId="5" fillId="0" borderId="2" xfId="50" applyNumberFormat="1" applyFont="1" applyBorder="1" applyAlignment="1">
      <alignment horizontal="right" vertical="center" wrapText="1"/>
    </xf>
    <xf numFmtId="0" fontId="8" fillId="0" borderId="0" xfId="50" applyFont="1"/>
    <xf numFmtId="0" fontId="8" fillId="0" borderId="0" xfId="50" applyFont="1" applyAlignment="1">
      <alignment horizontal="center" vertical="center"/>
    </xf>
    <xf numFmtId="14" fontId="2" fillId="0" borderId="2" xfId="50" applyNumberFormat="1" applyFont="1" applyBorder="1" applyAlignment="1">
      <alignment horizontal="center" vertical="center" wrapText="1"/>
    </xf>
    <xf numFmtId="0" fontId="2" fillId="0" borderId="2" xfId="50" applyFont="1" applyBorder="1" applyAlignment="1">
      <alignment horizontal="center" vertical="center" wrapText="1"/>
    </xf>
    <xf numFmtId="176" fontId="2" fillId="0" borderId="2" xfId="50" applyNumberFormat="1" applyFont="1" applyBorder="1" applyAlignment="1">
      <alignment horizontal="center" vertical="center" wrapText="1"/>
    </xf>
    <xf numFmtId="0" fontId="3" fillId="0" borderId="2" xfId="50" applyFont="1" applyBorder="1" applyAlignment="1">
      <alignment horizontal="center" vertical="center" wrapText="1" shrinkToFit="1" readingOrder="1"/>
    </xf>
    <xf numFmtId="4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/>
    <xf numFmtId="177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3" fontId="10" fillId="0" borderId="0" xfId="0" applyNumberFormat="1" applyFont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/>
    </xf>
    <xf numFmtId="43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3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13" fillId="0" borderId="2" xfId="0" applyNumberFormat="1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7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3" fontId="10" fillId="0" borderId="2" xfId="0" applyNumberFormat="1" applyFont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43" fontId="10" fillId="0" borderId="2" xfId="1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 wrapText="1" readingOrder="1"/>
    </xf>
    <xf numFmtId="177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3" fontId="4" fillId="0" borderId="2" xfId="0" applyNumberFormat="1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3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7" fontId="4" fillId="2" borderId="6" xfId="0" applyNumberFormat="1" applyFont="1" applyFill="1" applyBorder="1" applyAlignment="1">
      <alignment horizontal="center" vertical="center" wrapText="1"/>
    </xf>
    <xf numFmtId="177" fontId="4" fillId="2" borderId="7" xfId="0" applyNumberFormat="1" applyFont="1" applyFill="1" applyBorder="1" applyAlignment="1">
      <alignment horizontal="center" vertical="center" wrapText="1"/>
    </xf>
    <xf numFmtId="177" fontId="4" fillId="2" borderId="2" xfId="0" applyNumberFormat="1" applyFont="1" applyFill="1" applyBorder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43" fontId="4" fillId="2" borderId="6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43" fontId="4" fillId="2" borderId="7" xfId="0" applyNumberFormat="1" applyFont="1" applyFill="1" applyBorder="1" applyAlignment="1">
      <alignment horizontal="center" vertical="center" wrapText="1"/>
    </xf>
    <xf numFmtId="177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43" fontId="10" fillId="2" borderId="2" xfId="0" applyNumberFormat="1" applyFont="1" applyFill="1" applyBorder="1" applyAlignment="1">
      <alignment horizontal="center" vertical="center" wrapText="1"/>
    </xf>
    <xf numFmtId="43" fontId="10" fillId="2" borderId="2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4" fillId="0" borderId="1" xfId="0" applyNumberFormat="1" applyFont="1" applyBorder="1" applyAlignment="1">
      <alignment horizontal="center" vertical="center" wrapText="1"/>
    </xf>
    <xf numFmtId="177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3" fontId="4" fillId="0" borderId="7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7" fontId="14" fillId="0" borderId="2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43" fontId="10" fillId="0" borderId="2" xfId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3" fontId="4" fillId="0" borderId="6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/>
    </xf>
    <xf numFmtId="43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10" fillId="0" borderId="1" xfId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 wrapText="1" readingOrder="1"/>
    </xf>
    <xf numFmtId="43" fontId="4" fillId="0" borderId="2" xfId="0" applyNumberFormat="1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43" fontId="10" fillId="0" borderId="2" xfId="1" applyFont="1" applyBorder="1" applyAlignment="1">
      <alignment horizontal="center" vertical="center" wrapText="1" readingOrder="1"/>
    </xf>
    <xf numFmtId="14" fontId="11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 readingOrder="1"/>
    </xf>
    <xf numFmtId="177" fontId="4" fillId="2" borderId="1" xfId="0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 readingOrder="1"/>
    </xf>
    <xf numFmtId="43" fontId="4" fillId="2" borderId="2" xfId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77" fontId="4" fillId="2" borderId="6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 readingOrder="1"/>
    </xf>
    <xf numFmtId="177" fontId="4" fillId="2" borderId="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 readingOrder="1"/>
    </xf>
    <xf numFmtId="176" fontId="10" fillId="2" borderId="0" xfId="0" applyNumberFormat="1" applyFont="1" applyFill="1" applyAlignment="1">
      <alignment horizontal="center" vertical="center"/>
    </xf>
    <xf numFmtId="43" fontId="4" fillId="0" borderId="2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177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 readingOrder="1"/>
    </xf>
    <xf numFmtId="177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 readingOrder="1"/>
    </xf>
    <xf numFmtId="43" fontId="4" fillId="0" borderId="1" xfId="1" applyFont="1" applyFill="1" applyBorder="1" applyAlignment="1">
      <alignment horizontal="center" vertical="center"/>
    </xf>
    <xf numFmtId="43" fontId="4" fillId="0" borderId="6" xfId="1" applyFont="1" applyFill="1" applyBorder="1" applyAlignment="1">
      <alignment horizontal="center" vertical="center"/>
    </xf>
    <xf numFmtId="43" fontId="4" fillId="0" borderId="7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3" fontId="5" fillId="0" borderId="2" xfId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 wrapText="1" readingOrder="1"/>
    </xf>
    <xf numFmtId="43" fontId="4" fillId="0" borderId="7" xfId="0" applyNumberFormat="1" applyFont="1" applyBorder="1" applyAlignment="1">
      <alignment horizontal="center" vertical="center"/>
    </xf>
    <xf numFmtId="43" fontId="4" fillId="0" borderId="6" xfId="0" applyNumberFormat="1" applyFont="1" applyBorder="1" applyAlignment="1">
      <alignment horizontal="center" vertical="center"/>
    </xf>
    <xf numFmtId="4" fontId="9" fillId="0" borderId="8" xfId="0" applyNumberFormat="1" applyFont="1" applyBorder="1" applyAlignment="1">
      <alignment horizontal="center" vertical="center"/>
    </xf>
    <xf numFmtId="4" fontId="9" fillId="3" borderId="8" xfId="0" applyNumberFormat="1" applyFont="1" applyFill="1" applyBorder="1" applyAlignment="1">
      <alignment horizontal="center" vertical="center"/>
    </xf>
    <xf numFmtId="4" fontId="9" fillId="3" borderId="0" xfId="0" applyNumberFormat="1" applyFont="1" applyFill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43" fontId="4" fillId="0" borderId="9" xfId="0" applyNumberFormat="1" applyFont="1" applyBorder="1" applyAlignment="1">
      <alignment horizontal="center" vertical="center" wrapText="1" readingOrder="1"/>
    </xf>
    <xf numFmtId="43" fontId="4" fillId="0" borderId="9" xfId="1" applyFont="1" applyBorder="1" applyAlignment="1">
      <alignment horizontal="center" vertical="center" wrapText="1" readingOrder="1"/>
    </xf>
    <xf numFmtId="43" fontId="4" fillId="0" borderId="2" xfId="1" applyFont="1" applyBorder="1" applyAlignment="1">
      <alignment horizontal="center" vertical="center"/>
    </xf>
    <xf numFmtId="177" fontId="4" fillId="0" borderId="10" xfId="0" applyNumberFormat="1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43" fontId="4" fillId="0" borderId="10" xfId="0" applyNumberFormat="1" applyFont="1" applyBorder="1" applyAlignment="1">
      <alignment horizontal="center" vertical="center" wrapText="1" readingOrder="1"/>
    </xf>
    <xf numFmtId="43" fontId="11" fillId="0" borderId="2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11" fillId="0" borderId="2" xfId="50" applyNumberFormat="1" applyFont="1" applyBorder="1" applyAlignment="1">
      <alignment horizontal="center" vertical="center" wrapText="1"/>
    </xf>
    <xf numFmtId="177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3" fontId="10" fillId="2" borderId="1" xfId="0" applyNumberFormat="1" applyFont="1" applyFill="1" applyBorder="1" applyAlignment="1">
      <alignment horizontal="center" vertical="center" wrapText="1"/>
    </xf>
    <xf numFmtId="43" fontId="11" fillId="2" borderId="2" xfId="1" applyFont="1" applyFill="1" applyBorder="1" applyAlignment="1">
      <alignment horizontal="center" vertical="center" wrapText="1"/>
    </xf>
    <xf numFmtId="43" fontId="11" fillId="2" borderId="2" xfId="50" applyNumberFormat="1" applyFont="1" applyFill="1" applyBorder="1" applyAlignment="1">
      <alignment horizontal="center" vertical="center" wrapText="1"/>
    </xf>
    <xf numFmtId="177" fontId="10" fillId="2" borderId="6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43" fontId="10" fillId="2" borderId="6" xfId="0" applyNumberFormat="1" applyFont="1" applyFill="1" applyBorder="1" applyAlignment="1">
      <alignment horizontal="center" vertical="center" wrapText="1"/>
    </xf>
    <xf numFmtId="177" fontId="10" fillId="2" borderId="7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43" fontId="10" fillId="2" borderId="7" xfId="0" applyNumberFormat="1" applyFont="1" applyFill="1" applyBorder="1" applyAlignment="1">
      <alignment horizontal="center" vertical="center" wrapText="1"/>
    </xf>
    <xf numFmtId="43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43" fontId="16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43" fontId="16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 wrapText="1"/>
    </xf>
    <xf numFmtId="177" fontId="10" fillId="0" borderId="6" xfId="0" applyNumberFormat="1" applyFont="1" applyBorder="1" applyAlignment="1">
      <alignment horizontal="center" vertical="center" wrapText="1"/>
    </xf>
    <xf numFmtId="177" fontId="10" fillId="0" borderId="7" xfId="0" applyNumberFormat="1" applyFont="1" applyBorder="1" applyAlignment="1">
      <alignment horizontal="center" vertical="center" wrapText="1"/>
    </xf>
    <xf numFmtId="177" fontId="4" fillId="0" borderId="1" xfId="50" applyNumberFormat="1" applyFont="1" applyBorder="1" applyAlignment="1">
      <alignment horizontal="center" vertical="center" wrapText="1" readingOrder="1"/>
    </xf>
    <xf numFmtId="177" fontId="4" fillId="0" borderId="6" xfId="50" applyNumberFormat="1" applyFont="1" applyBorder="1" applyAlignment="1">
      <alignment horizontal="center" vertical="center" wrapText="1" readingOrder="1"/>
    </xf>
    <xf numFmtId="177" fontId="4" fillId="0" borderId="7" xfId="50" applyNumberFormat="1" applyFont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 wrapText="1"/>
    </xf>
    <xf numFmtId="43" fontId="10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43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3" fontId="11" fillId="0" borderId="2" xfId="1" applyFont="1" applyBorder="1" applyAlignment="1">
      <alignment horizontal="center" vertical="center"/>
    </xf>
    <xf numFmtId="43" fontId="4" fillId="0" borderId="2" xfId="1" applyFont="1" applyBorder="1" applyAlignment="1">
      <alignment vertical="center" wrapText="1" readingOrder="1"/>
    </xf>
    <xf numFmtId="0" fontId="5" fillId="2" borderId="1" xfId="0" applyFont="1" applyFill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 wrapText="1"/>
    </xf>
    <xf numFmtId="43" fontId="10" fillId="0" borderId="6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43" fontId="10" fillId="0" borderId="7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3" fontId="10" fillId="0" borderId="2" xfId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53" applyFont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53" applyFont="1" applyBorder="1" applyAlignment="1">
      <alignment horizontal="center" vertical="center"/>
    </xf>
    <xf numFmtId="43" fontId="1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 readingOrder="1"/>
    </xf>
    <xf numFmtId="177" fontId="4" fillId="0" borderId="1" xfId="53" applyNumberFormat="1" applyFont="1" applyBorder="1" applyAlignment="1">
      <alignment horizontal="center" vertical="center"/>
    </xf>
    <xf numFmtId="0" fontId="3" fillId="0" borderId="1" xfId="53" applyFont="1" applyBorder="1" applyAlignment="1">
      <alignment horizontal="center" vertical="center" wrapText="1"/>
    </xf>
    <xf numFmtId="43" fontId="4" fillId="0" borderId="1" xfId="53" applyNumberFormat="1" applyFont="1" applyBorder="1" applyAlignment="1">
      <alignment horizontal="center" vertical="center"/>
    </xf>
    <xf numFmtId="0" fontId="3" fillId="0" borderId="1" xfId="53" applyFont="1" applyBorder="1" applyAlignment="1">
      <alignment horizontal="center" vertical="center"/>
    </xf>
    <xf numFmtId="177" fontId="4" fillId="0" borderId="6" xfId="53" applyNumberFormat="1" applyFont="1" applyBorder="1" applyAlignment="1">
      <alignment horizontal="center" vertical="center"/>
    </xf>
    <xf numFmtId="0" fontId="3" fillId="0" borderId="6" xfId="53" applyFont="1" applyBorder="1" applyAlignment="1">
      <alignment horizontal="center" vertical="center" wrapText="1"/>
    </xf>
    <xf numFmtId="43" fontId="4" fillId="0" borderId="6" xfId="53" applyNumberFormat="1" applyFont="1" applyBorder="1" applyAlignment="1">
      <alignment horizontal="center" vertical="center"/>
    </xf>
    <xf numFmtId="0" fontId="4" fillId="0" borderId="6" xfId="53" applyFont="1" applyBorder="1" applyAlignment="1">
      <alignment horizontal="center" vertical="center" wrapText="1"/>
    </xf>
    <xf numFmtId="0" fontId="4" fillId="0" borderId="6" xfId="53" applyFont="1" applyBorder="1" applyAlignment="1">
      <alignment horizontal="center" vertical="center"/>
    </xf>
    <xf numFmtId="177" fontId="4" fillId="0" borderId="7" xfId="53" applyNumberFormat="1" applyFont="1" applyBorder="1" applyAlignment="1">
      <alignment horizontal="center" vertical="center"/>
    </xf>
    <xf numFmtId="0" fontId="3" fillId="0" borderId="7" xfId="53" applyFont="1" applyBorder="1" applyAlignment="1">
      <alignment horizontal="center" vertical="center" wrapText="1"/>
    </xf>
    <xf numFmtId="43" fontId="4" fillId="0" borderId="7" xfId="53" applyNumberFormat="1" applyFont="1" applyBorder="1" applyAlignment="1">
      <alignment horizontal="center" vertical="center"/>
    </xf>
    <xf numFmtId="0" fontId="4" fillId="0" borderId="7" xfId="53" applyFont="1" applyBorder="1" applyAlignment="1">
      <alignment horizontal="center" vertical="center" wrapText="1"/>
    </xf>
    <xf numFmtId="0" fontId="4" fillId="0" borderId="7" xfId="53" applyFont="1" applyBorder="1" applyAlignment="1">
      <alignment horizontal="center" vertical="center"/>
    </xf>
    <xf numFmtId="0" fontId="3" fillId="0" borderId="7" xfId="53" applyFont="1" applyBorder="1" applyAlignment="1">
      <alignment horizontal="center" vertical="center"/>
    </xf>
    <xf numFmtId="177" fontId="4" fillId="0" borderId="2" xfId="53" applyNumberFormat="1" applyFont="1" applyBorder="1" applyAlignment="1">
      <alignment horizontal="center" vertical="center"/>
    </xf>
    <xf numFmtId="0" fontId="3" fillId="0" borderId="2" xfId="53" applyFont="1" applyBorder="1" applyAlignment="1">
      <alignment horizontal="center" vertical="center" wrapText="1"/>
    </xf>
    <xf numFmtId="43" fontId="4" fillId="0" borderId="2" xfId="53" applyNumberFormat="1" applyFont="1" applyBorder="1" applyAlignment="1">
      <alignment horizontal="center" vertical="center"/>
    </xf>
    <xf numFmtId="0" fontId="4" fillId="0" borderId="2" xfId="53" applyFont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 wrapText="1" readingOrder="1"/>
    </xf>
    <xf numFmtId="0" fontId="18" fillId="0" borderId="0" xfId="0" applyFont="1" applyAlignment="1">
      <alignment horizontal="left" vertical="center"/>
    </xf>
    <xf numFmtId="43" fontId="10" fillId="0" borderId="2" xfId="1" applyFont="1" applyFill="1" applyBorder="1" applyAlignment="1">
      <alignment horizontal="center" vertical="center" wrapText="1"/>
    </xf>
    <xf numFmtId="0" fontId="9" fillId="0" borderId="0" xfId="53" applyFont="1" applyAlignment="1">
      <alignment horizontal="left" vertical="center"/>
    </xf>
    <xf numFmtId="2" fontId="11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0" borderId="1" xfId="53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43" fontId="10" fillId="0" borderId="2" xfId="1" applyFont="1" applyFill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43" fontId="10" fillId="0" borderId="3" xfId="1" applyFont="1" applyFill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43" fontId="10" fillId="0" borderId="1" xfId="1" applyFont="1" applyFill="1" applyBorder="1" applyAlignment="1">
      <alignment horizontal="center" vertical="center" wrapText="1"/>
    </xf>
    <xf numFmtId="43" fontId="10" fillId="0" borderId="1" xfId="1" applyFont="1" applyFill="1" applyBorder="1" applyAlignment="1">
      <alignment horizontal="right" vertical="center" wrapText="1"/>
    </xf>
    <xf numFmtId="43" fontId="10" fillId="0" borderId="11" xfId="1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 readingOrder="1"/>
    </xf>
    <xf numFmtId="43" fontId="4" fillId="0" borderId="2" xfId="1" applyFont="1" applyFill="1" applyBorder="1" applyAlignment="1">
      <alignment horizontal="right" vertical="center" wrapText="1" readingOrder="1"/>
    </xf>
    <xf numFmtId="43" fontId="3" fillId="0" borderId="2" xfId="1" applyFont="1" applyFill="1" applyBorder="1" applyAlignment="1">
      <alignment horizontal="center" vertical="center" wrapText="1" readingOrder="1"/>
    </xf>
    <xf numFmtId="43" fontId="5" fillId="0" borderId="2" xfId="1" applyFont="1" applyFill="1" applyBorder="1" applyAlignment="1">
      <alignment horizontal="center" vertical="center" wrapText="1"/>
    </xf>
    <xf numFmtId="4" fontId="18" fillId="0" borderId="2" xfId="0" applyNumberFormat="1" applyFont="1" applyBorder="1" applyAlignment="1">
      <alignment horizontal="right" vertical="center"/>
    </xf>
    <xf numFmtId="43" fontId="10" fillId="0" borderId="1" xfId="1" applyFont="1" applyFill="1" applyBorder="1" applyAlignment="1">
      <alignment horizontal="center" vertical="center"/>
    </xf>
    <xf numFmtId="43" fontId="4" fillId="0" borderId="2" xfId="1" applyFont="1" applyFill="1" applyBorder="1" applyAlignment="1">
      <alignment horizontal="center" vertical="center" readingOrder="1"/>
    </xf>
    <xf numFmtId="43" fontId="5" fillId="0" borderId="2" xfId="0" applyNumberFormat="1" applyFont="1" applyBorder="1" applyAlignment="1">
      <alignment horizontal="center" vertical="center"/>
    </xf>
    <xf numFmtId="0" fontId="10" fillId="0" borderId="2" xfId="1" applyNumberFormat="1" applyFont="1" applyFill="1" applyBorder="1" applyAlignment="1">
      <alignment horizontal="right" vertical="center"/>
    </xf>
    <xf numFmtId="14" fontId="4" fillId="0" borderId="2" xfId="0" applyNumberFormat="1" applyFont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center" vertical="center" wrapText="1"/>
    </xf>
    <xf numFmtId="0" fontId="19" fillId="0" borderId="2" xfId="50" applyFont="1" applyBorder="1" applyAlignment="1">
      <alignment horizontal="center" vertical="center" wrapText="1" readingOrder="1"/>
    </xf>
    <xf numFmtId="14" fontId="8" fillId="0" borderId="0" xfId="50" applyNumberFormat="1" applyFont="1"/>
    <xf numFmtId="176" fontId="8" fillId="0" borderId="0" xfId="50" applyNumberFormat="1" applyFont="1"/>
    <xf numFmtId="14" fontId="10" fillId="0" borderId="2" xfId="50" applyNumberFormat="1" applyFont="1" applyBorder="1" applyAlignment="1">
      <alignment horizontal="center" vertical="center" wrapText="1"/>
    </xf>
    <xf numFmtId="176" fontId="4" fillId="0" borderId="2" xfId="50" applyNumberFormat="1" applyFont="1" applyBorder="1" applyAlignment="1">
      <alignment horizontal="center" vertical="center" wrapText="1" readingOrder="1"/>
    </xf>
    <xf numFmtId="176" fontId="3" fillId="0" borderId="2" xfId="50" applyNumberFormat="1" applyFont="1" applyBorder="1" applyAlignment="1">
      <alignment horizontal="center" vertical="center" wrapText="1" readingOrder="1"/>
    </xf>
    <xf numFmtId="14" fontId="20" fillId="0" borderId="2" xfId="50" applyNumberFormat="1" applyFont="1" applyBorder="1" applyAlignment="1">
      <alignment horizontal="center" vertical="center" wrapText="1" readingOrder="1"/>
    </xf>
    <xf numFmtId="176" fontId="20" fillId="0" borderId="2" xfId="50" applyNumberFormat="1" applyFont="1" applyBorder="1" applyAlignment="1">
      <alignment horizontal="center" vertical="center" wrapText="1" readingOrder="1"/>
    </xf>
    <xf numFmtId="0" fontId="20" fillId="0" borderId="2" xfId="50" applyFont="1" applyBorder="1" applyAlignment="1">
      <alignment horizontal="center" vertical="center" wrapText="1" readingOrder="1"/>
    </xf>
    <xf numFmtId="14" fontId="21" fillId="0" borderId="2" xfId="50" applyNumberFormat="1" applyFont="1" applyBorder="1" applyAlignment="1">
      <alignment horizontal="center" vertical="center" wrapText="1" readingOrder="1"/>
    </xf>
    <xf numFmtId="176" fontId="21" fillId="0" borderId="2" xfId="50" applyNumberFormat="1" applyFont="1" applyBorder="1" applyAlignment="1">
      <alignment horizontal="center" vertical="center" wrapText="1" readingOrder="1"/>
    </xf>
    <xf numFmtId="0" fontId="21" fillId="0" borderId="2" xfId="50" applyFont="1" applyBorder="1" applyAlignment="1">
      <alignment horizontal="center" vertical="center" wrapText="1" readingOrder="1"/>
    </xf>
    <xf numFmtId="0" fontId="4" fillId="0" borderId="2" xfId="50" applyFont="1" applyBorder="1" applyAlignment="1">
      <alignment horizontal="center" wrapText="1" readingOrder="1"/>
    </xf>
    <xf numFmtId="0" fontId="22" fillId="0" borderId="2" xfId="50" applyFont="1" applyBorder="1" applyAlignment="1">
      <alignment horizontal="center" vertical="center" wrapText="1"/>
    </xf>
    <xf numFmtId="14" fontId="19" fillId="0" borderId="2" xfId="50" applyNumberFormat="1" applyFont="1" applyBorder="1" applyAlignment="1">
      <alignment horizontal="center" vertical="center" wrapText="1" readingOrder="1"/>
    </xf>
    <xf numFmtId="176" fontId="19" fillId="0" borderId="2" xfId="50" applyNumberFormat="1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4" fontId="9" fillId="3" borderId="8" xfId="0" applyNumberFormat="1" applyFont="1" applyFill="1" applyBorder="1" applyAlignment="1">
      <alignment horizontal="right" vertical="center"/>
    </xf>
    <xf numFmtId="4" fontId="9" fillId="0" borderId="8" xfId="0" applyNumberFormat="1" applyFont="1" applyBorder="1" applyAlignment="1">
      <alignment horizontal="right" vertical="center"/>
    </xf>
    <xf numFmtId="0" fontId="11" fillId="2" borderId="0" xfId="50" applyFont="1" applyFill="1"/>
    <xf numFmtId="0" fontId="11" fillId="2" borderId="0" xfId="0" applyFont="1" applyFill="1" applyAlignment="1">
      <alignment horizontal="center" vertical="center"/>
    </xf>
    <xf numFmtId="179" fontId="10" fillId="0" borderId="2" xfId="0" applyNumberFormat="1" applyFont="1" applyBorder="1" applyAlignment="1">
      <alignment horizontal="center" vertical="center" wrapText="1"/>
    </xf>
    <xf numFmtId="179" fontId="13" fillId="0" borderId="2" xfId="0" applyNumberFormat="1" applyFont="1" applyBorder="1" applyAlignment="1">
      <alignment horizontal="center" vertical="center" wrapText="1"/>
    </xf>
    <xf numFmtId="179" fontId="4" fillId="0" borderId="2" xfId="0" applyNumberFormat="1" applyFont="1" applyBorder="1" applyAlignment="1">
      <alignment horizontal="center" vertical="center" wrapText="1"/>
    </xf>
    <xf numFmtId="179" fontId="10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3" fontId="10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9" fontId="10" fillId="0" borderId="6" xfId="0" applyNumberFormat="1" applyFont="1" applyBorder="1" applyAlignment="1">
      <alignment horizontal="center" vertical="center" wrapText="1"/>
    </xf>
    <xf numFmtId="43" fontId="10" fillId="0" borderId="6" xfId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79" fontId="10" fillId="0" borderId="7" xfId="0" applyNumberFormat="1" applyFont="1" applyBorder="1" applyAlignment="1">
      <alignment horizontal="center" vertical="center" wrapText="1"/>
    </xf>
    <xf numFmtId="43" fontId="10" fillId="0" borderId="7" xfId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179" fontId="4" fillId="0" borderId="7" xfId="0" applyNumberFormat="1" applyFont="1" applyBorder="1" applyAlignment="1">
      <alignment horizontal="center" vertical="center"/>
    </xf>
    <xf numFmtId="43" fontId="4" fillId="0" borderId="7" xfId="1" applyFont="1" applyBorder="1" applyAlignment="1">
      <alignment horizontal="center" vertical="center"/>
    </xf>
    <xf numFmtId="179" fontId="4" fillId="0" borderId="6" xfId="0" applyNumberFormat="1" applyFont="1" applyBorder="1" applyAlignment="1">
      <alignment horizontal="center" vertical="center"/>
    </xf>
    <xf numFmtId="43" fontId="4" fillId="0" borderId="6" xfId="1" applyFont="1" applyBorder="1" applyAlignment="1">
      <alignment horizontal="center" vertical="center"/>
    </xf>
    <xf numFmtId="43" fontId="14" fillId="0" borderId="2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14" fillId="0" borderId="0" xfId="1" applyFont="1" applyAlignment="1">
      <alignment horizontal="center" vertical="center"/>
    </xf>
    <xf numFmtId="179" fontId="4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3" fontId="4" fillId="0" borderId="13" xfId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79" fontId="4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43" fontId="4" fillId="0" borderId="15" xfId="1" applyFont="1" applyBorder="1" applyAlignment="1">
      <alignment horizontal="center" vertical="center"/>
    </xf>
    <xf numFmtId="43" fontId="10" fillId="0" borderId="2" xfId="1" applyFont="1" applyFill="1" applyBorder="1" applyAlignment="1" applyProtection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/>
    </xf>
    <xf numFmtId="179" fontId="14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9" fontId="10" fillId="0" borderId="6" xfId="0" applyNumberFormat="1" applyFont="1" applyBorder="1" applyAlignment="1">
      <alignment horizontal="center" vertical="center"/>
    </xf>
    <xf numFmtId="43" fontId="10" fillId="0" borderId="6" xfId="1" applyFont="1" applyBorder="1" applyAlignment="1">
      <alignment horizontal="center" vertical="center"/>
    </xf>
    <xf numFmtId="179" fontId="10" fillId="0" borderId="7" xfId="0" applyNumberFormat="1" applyFont="1" applyBorder="1" applyAlignment="1">
      <alignment horizontal="center" vertical="center"/>
    </xf>
    <xf numFmtId="43" fontId="10" fillId="0" borderId="7" xfId="1" applyFont="1" applyBorder="1" applyAlignment="1">
      <alignment horizontal="center" vertical="center"/>
    </xf>
    <xf numFmtId="179" fontId="1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43" fontId="10" fillId="4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43" fontId="10" fillId="4" borderId="2" xfId="1" applyFont="1" applyFill="1" applyBorder="1" applyAlignment="1">
      <alignment horizontal="center" vertical="center"/>
    </xf>
    <xf numFmtId="179" fontId="10" fillId="4" borderId="6" xfId="0" applyNumberFormat="1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43" fontId="10" fillId="4" borderId="6" xfId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79" fontId="10" fillId="4" borderId="7" xfId="0" applyNumberFormat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/>
    </xf>
    <xf numFmtId="43" fontId="10" fillId="4" borderId="7" xfId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 wrapText="1" readingOrder="1"/>
    </xf>
    <xf numFmtId="179" fontId="4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43" fontId="10" fillId="2" borderId="7" xfId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43" fontId="10" fillId="2" borderId="2" xfId="1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 readingOrder="1"/>
    </xf>
    <xf numFmtId="179" fontId="4" fillId="0" borderId="9" xfId="0" applyNumberFormat="1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179" fontId="4" fillId="0" borderId="10" xfId="0" applyNumberFormat="1" applyFont="1" applyBorder="1" applyAlignment="1">
      <alignment horizontal="center" vertical="center" wrapText="1" readingOrder="1"/>
    </xf>
    <xf numFmtId="43" fontId="4" fillId="0" borderId="10" xfId="1" applyFont="1" applyBorder="1" applyAlignment="1">
      <alignment horizontal="center" vertical="center" wrapText="1" readingOrder="1"/>
    </xf>
    <xf numFmtId="0" fontId="3" fillId="0" borderId="10" xfId="0" applyFont="1" applyBorder="1" applyAlignment="1">
      <alignment horizontal="center" vertical="center" wrapText="1" readingOrder="1"/>
    </xf>
    <xf numFmtId="179" fontId="4" fillId="0" borderId="2" xfId="0" applyNumberFormat="1" applyFont="1" applyBorder="1" applyAlignment="1">
      <alignment horizontal="center" vertical="center"/>
    </xf>
    <xf numFmtId="43" fontId="10" fillId="0" borderId="9" xfId="1" applyFont="1" applyBorder="1" applyAlignment="1">
      <alignment horizontal="center" vertical="center" wrapText="1" readingOrder="1"/>
    </xf>
    <xf numFmtId="43" fontId="4" fillId="0" borderId="0" xfId="1" applyFont="1" applyAlignment="1">
      <alignment horizontal="center" vertical="center" wrapText="1" readingOrder="1"/>
    </xf>
    <xf numFmtId="43" fontId="10" fillId="0" borderId="10" xfId="1" applyFont="1" applyBorder="1" applyAlignment="1">
      <alignment horizontal="center" vertical="center" wrapText="1" readingOrder="1"/>
    </xf>
    <xf numFmtId="14" fontId="4" fillId="0" borderId="9" xfId="0" applyNumberFormat="1" applyFont="1" applyBorder="1" applyAlignment="1">
      <alignment horizontal="center" vertical="center" wrapText="1" readingOrder="1"/>
    </xf>
    <xf numFmtId="14" fontId="4" fillId="0" borderId="10" xfId="0" applyNumberFormat="1" applyFont="1" applyBorder="1" applyAlignment="1">
      <alignment horizontal="center" vertical="center" wrapText="1" readingOrder="1"/>
    </xf>
    <xf numFmtId="14" fontId="4" fillId="0" borderId="16" xfId="0" applyNumberFormat="1" applyFont="1" applyBorder="1" applyAlignment="1">
      <alignment horizontal="center" vertical="center" wrapText="1" readingOrder="1"/>
    </xf>
    <xf numFmtId="0" fontId="4" fillId="0" borderId="16" xfId="0" applyFont="1" applyBorder="1" applyAlignment="1">
      <alignment horizontal="center" vertical="center" wrapText="1" readingOrder="1"/>
    </xf>
    <xf numFmtId="43" fontId="4" fillId="0" borderId="16" xfId="1" applyFont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center" vertical="center" wrapText="1" readingOrder="1"/>
    </xf>
    <xf numFmtId="14" fontId="4" fillId="0" borderId="17" xfId="0" applyNumberFormat="1" applyFont="1" applyBorder="1" applyAlignment="1">
      <alignment horizontal="center" vertical="center" wrapText="1" readingOrder="1"/>
    </xf>
    <xf numFmtId="0" fontId="4" fillId="0" borderId="17" xfId="0" applyFont="1" applyBorder="1" applyAlignment="1">
      <alignment horizontal="center" vertical="center" wrapText="1" readingOrder="1"/>
    </xf>
    <xf numFmtId="43" fontId="4" fillId="0" borderId="17" xfId="1" applyFont="1" applyBorder="1" applyAlignment="1">
      <alignment horizontal="center" vertical="center" wrapText="1" readingOrder="1"/>
    </xf>
    <xf numFmtId="0" fontId="3" fillId="0" borderId="17" xfId="0" applyFont="1" applyBorder="1" applyAlignment="1">
      <alignment horizontal="center" vertical="center" wrapText="1" readingOrder="1"/>
    </xf>
    <xf numFmtId="14" fontId="4" fillId="2" borderId="2" xfId="50" applyNumberFormat="1" applyFont="1" applyFill="1" applyBorder="1" applyAlignment="1">
      <alignment horizontal="center" vertical="center" wrapText="1" readingOrder="1"/>
    </xf>
    <xf numFmtId="0" fontId="3" fillId="2" borderId="2" xfId="50" applyFont="1" applyFill="1" applyBorder="1" applyAlignment="1">
      <alignment horizontal="center" vertical="center" wrapText="1" readingOrder="1"/>
    </xf>
    <xf numFmtId="0" fontId="4" fillId="2" borderId="2" xfId="50" applyFont="1" applyFill="1" applyBorder="1" applyAlignment="1">
      <alignment horizontal="center" vertical="center" wrapText="1" readingOrder="1"/>
    </xf>
    <xf numFmtId="176" fontId="11" fillId="2" borderId="0" xfId="50" applyNumberFormat="1" applyFont="1" applyFill="1"/>
    <xf numFmtId="14" fontId="4" fillId="0" borderId="2" xfId="0" applyNumberFormat="1" applyFont="1" applyBorder="1" applyAlignment="1">
      <alignment horizontal="center" vertical="center"/>
    </xf>
    <xf numFmtId="179" fontId="10" fillId="2" borderId="1" xfId="0" applyNumberFormat="1" applyFont="1" applyFill="1" applyBorder="1" applyAlignment="1">
      <alignment horizontal="center" vertical="center" wrapText="1"/>
    </xf>
    <xf numFmtId="43" fontId="10" fillId="2" borderId="1" xfId="1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 readingOrder="1"/>
    </xf>
    <xf numFmtId="179" fontId="10" fillId="2" borderId="6" xfId="0" applyNumberFormat="1" applyFont="1" applyFill="1" applyBorder="1" applyAlignment="1">
      <alignment horizontal="center" vertical="center" wrapText="1"/>
    </xf>
    <xf numFmtId="43" fontId="10" fillId="2" borderId="6" xfId="1" applyFont="1" applyFill="1" applyBorder="1" applyAlignment="1">
      <alignment horizontal="center" vertical="center" wrapText="1"/>
    </xf>
    <xf numFmtId="180" fontId="10" fillId="2" borderId="6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 readingOrder="1"/>
    </xf>
    <xf numFmtId="179" fontId="10" fillId="2" borderId="7" xfId="0" applyNumberFormat="1" applyFont="1" applyFill="1" applyBorder="1" applyAlignment="1">
      <alignment horizontal="center" vertical="center" wrapText="1"/>
    </xf>
    <xf numFmtId="43" fontId="10" fillId="2" borderId="7" xfId="1" applyFont="1" applyFill="1" applyBorder="1" applyAlignment="1">
      <alignment horizontal="center" vertical="center" wrapText="1"/>
    </xf>
    <xf numFmtId="180" fontId="10" fillId="2" borderId="7" xfId="0" applyNumberFormat="1" applyFont="1" applyFill="1" applyBorder="1" applyAlignment="1">
      <alignment horizontal="center" vertical="center" wrapText="1"/>
    </xf>
    <xf numFmtId="179" fontId="10" fillId="5" borderId="7" xfId="0" applyNumberFormat="1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43" fontId="10" fillId="5" borderId="7" xfId="1" applyFont="1" applyFill="1" applyBorder="1" applyAlignment="1">
      <alignment horizontal="center" vertical="center" wrapText="1"/>
    </xf>
    <xf numFmtId="180" fontId="10" fillId="5" borderId="7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43" fontId="4" fillId="0" borderId="1" xfId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14" fontId="4" fillId="0" borderId="1" xfId="0" applyNumberFormat="1" applyFont="1" applyBorder="1" applyAlignment="1">
      <alignment horizontal="center" vertical="center" wrapText="1"/>
    </xf>
    <xf numFmtId="43" fontId="4" fillId="0" borderId="1" xfId="1" applyFont="1" applyFill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43" fontId="4" fillId="0" borderId="7" xfId="1" applyFont="1" applyFill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43" fontId="4" fillId="0" borderId="6" xfId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43" fontId="4" fillId="0" borderId="7" xfId="1" applyFont="1" applyBorder="1" applyAlignment="1">
      <alignment horizontal="center" vertical="center" wrapText="1" readingOrder="1"/>
    </xf>
    <xf numFmtId="43" fontId="4" fillId="0" borderId="2" xfId="1" applyFont="1" applyBorder="1" applyAlignment="1">
      <alignment horizontal="right" vertical="center" wrapText="1" readingOrder="1"/>
    </xf>
    <xf numFmtId="14" fontId="4" fillId="4" borderId="2" xfId="0" applyNumberFormat="1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  <xf numFmtId="43" fontId="4" fillId="4" borderId="2" xfId="1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43" fontId="4" fillId="4" borderId="2" xfId="1" applyFont="1" applyFill="1" applyBorder="1" applyAlignment="1">
      <alignment horizontal="right" vertical="center" wrapText="1" readingOrder="1"/>
    </xf>
    <xf numFmtId="179" fontId="10" fillId="2" borderId="2" xfId="0" applyNumberFormat="1" applyFont="1" applyFill="1" applyBorder="1" applyAlignment="1">
      <alignment horizontal="center" vertical="center" wrapText="1"/>
    </xf>
    <xf numFmtId="43" fontId="10" fillId="2" borderId="2" xfId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left" vertical="center"/>
    </xf>
    <xf numFmtId="43" fontId="10" fillId="0" borderId="2" xfId="1" applyFont="1" applyBorder="1" applyAlignment="1">
      <alignment horizontal="right" vertical="center"/>
    </xf>
    <xf numFmtId="14" fontId="4" fillId="6" borderId="2" xfId="0" applyNumberFormat="1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43" fontId="10" fillId="6" borderId="1" xfId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43" fontId="10" fillId="6" borderId="2" xfId="1" applyFont="1" applyFill="1" applyBorder="1" applyAlignment="1">
      <alignment horizontal="right" vertical="center"/>
    </xf>
    <xf numFmtId="43" fontId="10" fillId="6" borderId="2" xfId="1" applyFont="1" applyFill="1" applyBorder="1" applyAlignment="1">
      <alignment horizontal="center" vertical="center"/>
    </xf>
    <xf numFmtId="0" fontId="3" fillId="6" borderId="2" xfId="53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 wrapText="1"/>
    </xf>
    <xf numFmtId="43" fontId="10" fillId="6" borderId="6" xfId="1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4" fillId="4" borderId="2" xfId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79" fontId="4" fillId="7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43" fontId="4" fillId="7" borderId="2" xfId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43" fontId="10" fillId="7" borderId="2" xfId="1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 readingOrder="1"/>
    </xf>
    <xf numFmtId="43" fontId="4" fillId="0" borderId="6" xfId="1" applyFont="1" applyBorder="1" applyAlignment="1">
      <alignment horizontal="center" vertical="center" wrapText="1" readingOrder="1"/>
    </xf>
    <xf numFmtId="14" fontId="4" fillId="0" borderId="1" xfId="53" applyNumberFormat="1" applyFont="1" applyBorder="1" applyAlignment="1">
      <alignment horizontal="center" vertical="center"/>
    </xf>
    <xf numFmtId="14" fontId="4" fillId="0" borderId="6" xfId="53" applyNumberFormat="1" applyFont="1" applyBorder="1" applyAlignment="1">
      <alignment horizontal="center" vertical="center"/>
    </xf>
    <xf numFmtId="14" fontId="4" fillId="0" borderId="7" xfId="53" applyNumberFormat="1" applyFont="1" applyBorder="1" applyAlignment="1">
      <alignment horizontal="center" vertical="center"/>
    </xf>
    <xf numFmtId="0" fontId="3" fillId="0" borderId="6" xfId="53" applyFont="1" applyBorder="1" applyAlignment="1">
      <alignment horizontal="center" vertical="center"/>
    </xf>
    <xf numFmtId="0" fontId="4" fillId="0" borderId="1" xfId="53" applyFont="1" applyBorder="1" applyAlignment="1">
      <alignment horizontal="center" vertical="center"/>
    </xf>
    <xf numFmtId="43" fontId="4" fillId="0" borderId="2" xfId="1" applyFont="1" applyFill="1" applyBorder="1" applyAlignment="1">
      <alignment horizontal="center" vertical="center" wrapText="1"/>
    </xf>
    <xf numFmtId="43" fontId="11" fillId="0" borderId="2" xfId="1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wrapText="1"/>
    </xf>
    <xf numFmtId="43" fontId="10" fillId="0" borderId="2" xfId="1" applyFont="1" applyFill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14" fontId="10" fillId="0" borderId="2" xfId="0" applyNumberFormat="1" applyFont="1" applyBorder="1" applyAlignment="1">
      <alignment horizontal="center" vertical="center"/>
    </xf>
    <xf numFmtId="181" fontId="4" fillId="0" borderId="2" xfId="1" applyNumberFormat="1" applyFont="1" applyFill="1" applyBorder="1" applyAlignment="1">
      <alignment horizontal="right" vertical="center" wrapText="1" readingOrder="1"/>
    </xf>
    <xf numFmtId="43" fontId="4" fillId="0" borderId="2" xfId="0" applyNumberFormat="1" applyFont="1" applyBorder="1" applyAlignment="1">
      <alignment horizontal="right" vertical="center"/>
    </xf>
    <xf numFmtId="182" fontId="10" fillId="0" borderId="2" xfId="1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43" fontId="5" fillId="0" borderId="2" xfId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43" fontId="10" fillId="0" borderId="6" xfId="1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43" fontId="10" fillId="0" borderId="7" xfId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17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83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3" fontId="26" fillId="0" borderId="0" xfId="0" applyNumberFormat="1" applyFont="1" applyAlignment="1">
      <alignment horizontal="center" vertical="center"/>
    </xf>
    <xf numFmtId="179" fontId="24" fillId="0" borderId="2" xfId="0" applyNumberFormat="1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183" fontId="24" fillId="0" borderId="2" xfId="0" applyNumberFormat="1" applyFont="1" applyFill="1" applyBorder="1" applyAlignment="1">
      <alignment horizontal="center" vertical="center" wrapText="1"/>
    </xf>
    <xf numFmtId="176" fontId="24" fillId="0" borderId="2" xfId="0" applyNumberFormat="1" applyFont="1" applyFill="1" applyBorder="1" applyAlignment="1">
      <alignment horizontal="center" vertical="center" wrapText="1"/>
    </xf>
    <xf numFmtId="183" fontId="24" fillId="0" borderId="2" xfId="1" applyNumberFormat="1" applyFont="1" applyFill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2" fontId="27" fillId="0" borderId="18" xfId="0" applyNumberFormat="1" applyFont="1" applyBorder="1" applyAlignment="1">
      <alignment horizontal="center" vertical="center" wrapText="1"/>
    </xf>
    <xf numFmtId="179" fontId="27" fillId="0" borderId="1" xfId="0" applyNumberFormat="1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183" fontId="27" fillId="0" borderId="1" xfId="0" applyNumberFormat="1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 readingOrder="1"/>
    </xf>
    <xf numFmtId="183" fontId="28" fillId="0" borderId="2" xfId="0" applyNumberFormat="1" applyFont="1" applyFill="1" applyBorder="1" applyAlignment="1">
      <alignment horizontal="center" vertical="center"/>
    </xf>
    <xf numFmtId="179" fontId="27" fillId="0" borderId="6" xfId="0" applyNumberFormat="1" applyFont="1" applyFill="1" applyBorder="1" applyAlignment="1">
      <alignment horizontal="center" vertical="center" wrapText="1"/>
    </xf>
    <xf numFmtId="0" fontId="27" fillId="0" borderId="6" xfId="0" applyFont="1" applyFill="1" applyBorder="1" applyAlignment="1">
      <alignment horizontal="center" vertical="center" wrapText="1"/>
    </xf>
    <xf numFmtId="183" fontId="27" fillId="0" borderId="6" xfId="0" applyNumberFormat="1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center" wrapText="1" readingOrder="1"/>
    </xf>
    <xf numFmtId="179" fontId="27" fillId="0" borderId="7" xfId="0" applyNumberFormat="1" applyFont="1" applyFill="1" applyBorder="1" applyAlignment="1">
      <alignment horizontal="center" vertical="center" wrapText="1"/>
    </xf>
    <xf numFmtId="0" fontId="27" fillId="0" borderId="7" xfId="0" applyFont="1" applyFill="1" applyBorder="1" applyAlignment="1">
      <alignment horizontal="center" vertical="center" wrapText="1"/>
    </xf>
    <xf numFmtId="183" fontId="27" fillId="0" borderId="7" xfId="0" applyNumberFormat="1" applyFont="1" applyFill="1" applyBorder="1" applyAlignment="1">
      <alignment horizontal="center" vertical="center" wrapText="1"/>
    </xf>
    <xf numFmtId="179" fontId="27" fillId="0" borderId="2" xfId="0" applyNumberFormat="1" applyFont="1" applyFill="1" applyBorder="1" applyAlignment="1">
      <alignment horizontal="center" vertical="center" wrapText="1"/>
    </xf>
    <xf numFmtId="183" fontId="27" fillId="0" borderId="2" xfId="0" applyNumberFormat="1" applyFont="1" applyFill="1" applyBorder="1" applyAlignment="1">
      <alignment horizontal="center" vertical="center" wrapText="1"/>
    </xf>
    <xf numFmtId="183" fontId="24" fillId="0" borderId="2" xfId="1" applyNumberFormat="1" applyFont="1" applyFill="1" applyBorder="1" applyAlignment="1">
      <alignment horizontal="center" vertical="center"/>
    </xf>
    <xf numFmtId="179" fontId="27" fillId="0" borderId="1" xfId="0" applyNumberFormat="1" applyFont="1" applyFill="1" applyBorder="1" applyAlignment="1">
      <alignment horizontal="center" vertical="center"/>
    </xf>
    <xf numFmtId="183" fontId="27" fillId="0" borderId="1" xfId="0" applyNumberFormat="1" applyFont="1" applyFill="1" applyBorder="1" applyAlignment="1">
      <alignment horizontal="center" vertical="center"/>
    </xf>
    <xf numFmtId="176" fontId="24" fillId="0" borderId="2" xfId="0" applyNumberFormat="1" applyFont="1" applyFill="1" applyBorder="1" applyAlignment="1">
      <alignment horizontal="center" vertical="center"/>
    </xf>
    <xf numFmtId="183" fontId="27" fillId="0" borderId="2" xfId="1" applyNumberFormat="1" applyFont="1" applyFill="1" applyBorder="1" applyAlignment="1">
      <alignment horizontal="center" vertical="center" wrapText="1" readingOrder="1"/>
    </xf>
    <xf numFmtId="0" fontId="27" fillId="0" borderId="1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179" fontId="27" fillId="0" borderId="6" xfId="0" applyNumberFormat="1" applyFont="1" applyFill="1" applyBorder="1" applyAlignment="1">
      <alignment horizontal="center" vertical="center"/>
    </xf>
    <xf numFmtId="183" fontId="27" fillId="0" borderId="6" xfId="0" applyNumberFormat="1" applyFont="1" applyFill="1" applyBorder="1" applyAlignment="1">
      <alignment horizontal="center" vertical="center"/>
    </xf>
    <xf numFmtId="183" fontId="24" fillId="0" borderId="2" xfId="0" applyNumberFormat="1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/>
    </xf>
    <xf numFmtId="179" fontId="27" fillId="0" borderId="7" xfId="0" applyNumberFormat="1" applyFont="1" applyFill="1" applyBorder="1" applyAlignment="1">
      <alignment horizontal="center" vertical="center"/>
    </xf>
    <xf numFmtId="183" fontId="27" fillId="0" borderId="7" xfId="0" applyNumberFormat="1" applyFont="1" applyFill="1" applyBorder="1" applyAlignment="1">
      <alignment horizontal="center" vertical="center"/>
    </xf>
    <xf numFmtId="0" fontId="27" fillId="0" borderId="7" xfId="0" applyFont="1" applyFill="1" applyBorder="1" applyAlignment="1">
      <alignment horizontal="center" vertical="center"/>
    </xf>
    <xf numFmtId="176" fontId="24" fillId="0" borderId="1" xfId="0" applyNumberFormat="1" applyFont="1" applyFill="1" applyBorder="1" applyAlignment="1">
      <alignment horizontal="center" vertical="center"/>
    </xf>
    <xf numFmtId="183" fontId="24" fillId="0" borderId="1" xfId="1" applyNumberFormat="1" applyFont="1" applyFill="1" applyBorder="1" applyAlignment="1">
      <alignment horizontal="center" vertical="center"/>
    </xf>
    <xf numFmtId="183" fontId="24" fillId="0" borderId="1" xfId="0" applyNumberFormat="1" applyFont="1" applyFill="1" applyBorder="1" applyAlignment="1">
      <alignment horizontal="center" vertical="center"/>
    </xf>
    <xf numFmtId="183" fontId="27" fillId="0" borderId="2" xfId="0" applyNumberFormat="1" applyFont="1" applyFill="1" applyBorder="1" applyAlignment="1">
      <alignment horizontal="center" vertical="center"/>
    </xf>
    <xf numFmtId="179" fontId="27" fillId="0" borderId="2" xfId="0" applyNumberFormat="1" applyFont="1" applyFill="1" applyBorder="1" applyAlignment="1">
      <alignment horizontal="center" vertical="center"/>
    </xf>
    <xf numFmtId="179" fontId="27" fillId="0" borderId="2" xfId="0" applyNumberFormat="1" applyFont="1" applyFill="1" applyBorder="1" applyAlignment="1">
      <alignment horizontal="center" vertical="center" wrapText="1" readingOrder="1"/>
    </xf>
    <xf numFmtId="183" fontId="27" fillId="0" borderId="2" xfId="0" applyNumberFormat="1" applyFont="1" applyFill="1" applyBorder="1" applyAlignment="1">
      <alignment horizontal="center" vertical="center" wrapText="1" readingOrder="1"/>
    </xf>
    <xf numFmtId="183" fontId="25" fillId="0" borderId="2" xfId="0" applyNumberFormat="1" applyFont="1" applyFill="1" applyBorder="1" applyAlignment="1">
      <alignment horizontal="center" vertical="center" wrapText="1"/>
    </xf>
    <xf numFmtId="0" fontId="27" fillId="0" borderId="2" xfId="53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horizontal="center" vertical="center" wrapText="1" readingOrder="1"/>
    </xf>
    <xf numFmtId="0" fontId="25" fillId="0" borderId="2" xfId="0" applyFont="1" applyFill="1" applyBorder="1" applyAlignment="1">
      <alignment horizontal="center" vertical="center"/>
    </xf>
    <xf numFmtId="183" fontId="25" fillId="0" borderId="2" xfId="0" applyNumberFormat="1" applyFont="1" applyFill="1" applyBorder="1" applyAlignment="1">
      <alignment horizontal="center" vertical="center"/>
    </xf>
    <xf numFmtId="179" fontId="27" fillId="0" borderId="1" xfId="53" applyNumberFormat="1" applyFont="1" applyFill="1" applyBorder="1" applyAlignment="1">
      <alignment horizontal="center" vertical="center"/>
    </xf>
    <xf numFmtId="0" fontId="27" fillId="0" borderId="1" xfId="53" applyFont="1" applyFill="1" applyBorder="1" applyAlignment="1">
      <alignment horizontal="center" vertical="center" wrapText="1"/>
    </xf>
    <xf numFmtId="183" fontId="27" fillId="0" borderId="1" xfId="53" applyNumberFormat="1" applyFont="1" applyFill="1" applyBorder="1" applyAlignment="1">
      <alignment horizontal="center" vertical="center"/>
    </xf>
    <xf numFmtId="179" fontId="27" fillId="0" borderId="6" xfId="53" applyNumberFormat="1" applyFont="1" applyFill="1" applyBorder="1" applyAlignment="1">
      <alignment horizontal="center" vertical="center"/>
    </xf>
    <xf numFmtId="0" fontId="27" fillId="0" borderId="6" xfId="53" applyFont="1" applyFill="1" applyBorder="1" applyAlignment="1">
      <alignment horizontal="center" vertical="center" wrapText="1"/>
    </xf>
    <xf numFmtId="183" fontId="27" fillId="0" borderId="6" xfId="53" applyNumberFormat="1" applyFont="1" applyFill="1" applyBorder="1" applyAlignment="1">
      <alignment horizontal="center" vertical="center"/>
    </xf>
    <xf numFmtId="179" fontId="27" fillId="0" borderId="7" xfId="53" applyNumberFormat="1" applyFont="1" applyFill="1" applyBorder="1" applyAlignment="1">
      <alignment horizontal="center" vertical="center"/>
    </xf>
    <xf numFmtId="0" fontId="27" fillId="0" borderId="7" xfId="53" applyFont="1" applyFill="1" applyBorder="1" applyAlignment="1">
      <alignment horizontal="center" vertical="center" wrapText="1"/>
    </xf>
    <xf numFmtId="183" fontId="27" fillId="0" borderId="7" xfId="53" applyNumberFormat="1" applyFont="1" applyFill="1" applyBorder="1" applyAlignment="1">
      <alignment horizontal="center" vertical="center"/>
    </xf>
    <xf numFmtId="179" fontId="27" fillId="0" borderId="2" xfId="53" applyNumberFormat="1" applyFont="1" applyFill="1" applyBorder="1" applyAlignment="1">
      <alignment horizontal="center" vertical="center"/>
    </xf>
    <xf numFmtId="183" fontId="27" fillId="0" borderId="2" xfId="53" applyNumberFormat="1" applyFont="1" applyFill="1" applyBorder="1" applyAlignment="1">
      <alignment horizontal="center" vertical="center"/>
    </xf>
    <xf numFmtId="0" fontId="27" fillId="0" borderId="2" xfId="53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183" fontId="25" fillId="0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 readingOrder="1"/>
    </xf>
    <xf numFmtId="183" fontId="27" fillId="0" borderId="1" xfId="1" applyNumberFormat="1" applyFont="1" applyFill="1" applyBorder="1" applyAlignment="1">
      <alignment horizontal="center" vertical="center" wrapText="1" readingOrder="1"/>
    </xf>
    <xf numFmtId="183" fontId="27" fillId="0" borderId="1" xfId="0" applyNumberFormat="1" applyFont="1" applyFill="1" applyBorder="1" applyAlignment="1">
      <alignment horizontal="center" vertical="center" wrapText="1" readingOrder="1"/>
    </xf>
    <xf numFmtId="0" fontId="24" fillId="0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183" fontId="25" fillId="0" borderId="6" xfId="0" applyNumberFormat="1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 wrapText="1"/>
    </xf>
    <xf numFmtId="0" fontId="25" fillId="0" borderId="6" xfId="0" applyFont="1" applyFill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/>
    </xf>
    <xf numFmtId="179" fontId="27" fillId="0" borderId="1" xfId="0" applyNumberFormat="1" applyFont="1" applyFill="1" applyBorder="1" applyAlignment="1">
      <alignment horizontal="center" vertical="center" wrapText="1" readingOrder="1"/>
    </xf>
    <xf numFmtId="183" fontId="28" fillId="0" borderId="2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9" fillId="0" borderId="2" xfId="0" applyFont="1" applyFill="1" applyBorder="1" applyAlignment="1">
      <alignment horizontal="center" vertical="center"/>
    </xf>
    <xf numFmtId="183" fontId="25" fillId="0" borderId="1" xfId="0" applyNumberFormat="1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179" fontId="25" fillId="0" borderId="1" xfId="0" applyNumberFormat="1" applyFont="1" applyFill="1" applyBorder="1" applyAlignment="1">
      <alignment horizontal="center" vertical="center"/>
    </xf>
    <xf numFmtId="179" fontId="25" fillId="0" borderId="6" xfId="0" applyNumberFormat="1" applyFont="1" applyFill="1" applyBorder="1" applyAlignment="1">
      <alignment horizontal="center" vertical="center"/>
    </xf>
    <xf numFmtId="179" fontId="25" fillId="0" borderId="7" xfId="0" applyNumberFormat="1" applyFont="1" applyFill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 wrapText="1"/>
    </xf>
    <xf numFmtId="183" fontId="25" fillId="0" borderId="7" xfId="0" applyNumberFormat="1" applyFont="1" applyFill="1" applyBorder="1" applyAlignment="1">
      <alignment horizontal="center" vertical="center"/>
    </xf>
    <xf numFmtId="183" fontId="25" fillId="0" borderId="0" xfId="0" applyNumberFormat="1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horizontal="center" vertical="center" wrapText="1" readingOrder="1"/>
    </xf>
    <xf numFmtId="179" fontId="25" fillId="0" borderId="2" xfId="0" applyNumberFormat="1" applyFont="1" applyFill="1" applyBorder="1" applyAlignment="1">
      <alignment horizontal="center" vertical="center"/>
    </xf>
    <xf numFmtId="179" fontId="24" fillId="0" borderId="2" xfId="0" applyNumberFormat="1" applyFont="1" applyFill="1" applyBorder="1" applyAlignment="1">
      <alignment horizontal="center" vertical="center"/>
    </xf>
    <xf numFmtId="183" fontId="24" fillId="0" borderId="2" xfId="0" applyNumberFormat="1" applyFont="1" applyFill="1" applyBorder="1" applyAlignment="1">
      <alignment horizontal="center" vertical="center" wrapText="1" readingOrder="1"/>
    </xf>
    <xf numFmtId="0" fontId="24" fillId="0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/>
    </xf>
    <xf numFmtId="183" fontId="27" fillId="0" borderId="2" xfId="1" applyNumberFormat="1" applyFont="1" applyFill="1" applyBorder="1" applyAlignment="1">
      <alignment horizontal="center" vertical="center"/>
    </xf>
    <xf numFmtId="179" fontId="27" fillId="0" borderId="18" xfId="0" applyNumberFormat="1" applyFont="1" applyFill="1" applyBorder="1" applyAlignment="1">
      <alignment horizontal="center" vertical="center" wrapText="1"/>
    </xf>
    <xf numFmtId="0" fontId="30" fillId="0" borderId="18" xfId="0" applyFont="1" applyFill="1" applyBorder="1" applyAlignment="1">
      <alignment horizontal="center" vertical="center" wrapText="1"/>
    </xf>
    <xf numFmtId="183" fontId="27" fillId="0" borderId="18" xfId="0" applyNumberFormat="1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179" fontId="27" fillId="0" borderId="19" xfId="0" applyNumberFormat="1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 vertical="center" wrapText="1"/>
    </xf>
    <xf numFmtId="183" fontId="27" fillId="0" borderId="19" xfId="0" applyNumberFormat="1" applyFont="1" applyFill="1" applyBorder="1" applyAlignment="1">
      <alignment horizontal="center" vertical="center" wrapText="1"/>
    </xf>
    <xf numFmtId="179" fontId="27" fillId="0" borderId="20" xfId="0" applyNumberFormat="1" applyFont="1" applyFill="1" applyBorder="1" applyAlignment="1">
      <alignment horizontal="center" vertical="center" wrapText="1"/>
    </xf>
    <xf numFmtId="0" fontId="27" fillId="0" borderId="20" xfId="0" applyFont="1" applyFill="1" applyBorder="1" applyAlignment="1">
      <alignment horizontal="center" vertical="center" wrapText="1"/>
    </xf>
    <xf numFmtId="183" fontId="27" fillId="0" borderId="20" xfId="0" applyNumberFormat="1" applyFont="1" applyFill="1" applyBorder="1" applyAlignment="1">
      <alignment horizontal="center" vertical="center" wrapText="1"/>
    </xf>
    <xf numFmtId="179" fontId="27" fillId="0" borderId="21" xfId="0" applyNumberFormat="1" applyFont="1" applyFill="1" applyBorder="1" applyAlignment="1">
      <alignment horizontal="center" vertical="center" wrapText="1"/>
    </xf>
    <xf numFmtId="0" fontId="27" fillId="0" borderId="21" xfId="0" applyFont="1" applyFill="1" applyBorder="1" applyAlignment="1">
      <alignment horizontal="center" vertical="center" wrapText="1"/>
    </xf>
    <xf numFmtId="183" fontId="27" fillId="0" borderId="21" xfId="0" applyNumberFormat="1" applyFont="1" applyFill="1" applyBorder="1" applyAlignment="1">
      <alignment horizontal="center" vertical="center" wrapText="1"/>
    </xf>
    <xf numFmtId="0" fontId="27" fillId="0" borderId="19" xfId="0" applyFont="1" applyFill="1" applyBorder="1" applyAlignment="1">
      <alignment horizontal="center" vertical="center" wrapText="1"/>
    </xf>
    <xf numFmtId="179" fontId="15" fillId="0" borderId="2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83" fontId="15" fillId="0" borderId="2" xfId="0" applyNumberFormat="1" applyFont="1" applyFill="1" applyBorder="1" applyAlignment="1">
      <alignment horizontal="center" vertical="center" wrapText="1"/>
    </xf>
    <xf numFmtId="0" fontId="15" fillId="0" borderId="2" xfId="0" applyNumberFormat="1" applyFont="1" applyFill="1" applyBorder="1" applyAlignment="1">
      <alignment horizontal="center" vertical="center" wrapText="1"/>
    </xf>
    <xf numFmtId="179" fontId="25" fillId="0" borderId="2" xfId="0" applyNumberFormat="1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/>
    </xf>
    <xf numFmtId="183" fontId="25" fillId="0" borderId="2" xfId="0" applyNumberFormat="1" applyFont="1" applyFill="1" applyBorder="1" applyAlignment="1">
      <alignment horizontal="center"/>
    </xf>
    <xf numFmtId="179" fontId="25" fillId="0" borderId="6" xfId="0" applyNumberFormat="1" applyFont="1" applyFill="1" applyBorder="1" applyAlignment="1">
      <alignment horizontal="center"/>
    </xf>
    <xf numFmtId="0" fontId="25" fillId="0" borderId="6" xfId="0" applyFont="1" applyFill="1" applyBorder="1" applyAlignment="1">
      <alignment horizontal="center"/>
    </xf>
    <xf numFmtId="183" fontId="25" fillId="0" borderId="6" xfId="0" applyNumberFormat="1" applyFont="1" applyFill="1" applyBorder="1" applyAlignment="1">
      <alignment horizontal="center"/>
    </xf>
    <xf numFmtId="179" fontId="25" fillId="0" borderId="7" xfId="0" applyNumberFormat="1" applyFont="1" applyFill="1" applyBorder="1" applyAlignment="1">
      <alignment horizontal="center"/>
    </xf>
    <xf numFmtId="0" fontId="25" fillId="0" borderId="7" xfId="0" applyFont="1" applyFill="1" applyBorder="1" applyAlignment="1">
      <alignment horizontal="center"/>
    </xf>
    <xf numFmtId="183" fontId="25" fillId="0" borderId="7" xfId="0" applyNumberFormat="1" applyFont="1" applyFill="1" applyBorder="1" applyAlignment="1">
      <alignment horizontal="center"/>
    </xf>
    <xf numFmtId="0" fontId="24" fillId="0" borderId="2" xfId="0" applyNumberFormat="1" applyFont="1" applyFill="1" applyBorder="1" applyAlignment="1">
      <alignment horizontal="center" vertical="center" wrapText="1"/>
    </xf>
    <xf numFmtId="180" fontId="24" fillId="0" borderId="2" xfId="0" applyNumberFormat="1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 readingOrder="1"/>
    </xf>
    <xf numFmtId="0" fontId="24" fillId="0" borderId="7" xfId="0" applyFont="1" applyFill="1" applyBorder="1" applyAlignment="1">
      <alignment horizontal="center" vertical="center" wrapText="1"/>
    </xf>
    <xf numFmtId="184" fontId="24" fillId="0" borderId="2" xfId="0" applyNumberFormat="1" applyFont="1" applyFill="1" applyBorder="1" applyAlignment="1">
      <alignment horizontal="center" vertical="center" wrapText="1"/>
    </xf>
    <xf numFmtId="179" fontId="9" fillId="0" borderId="18" xfId="0" applyNumberFormat="1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183" fontId="9" fillId="0" borderId="18" xfId="0" applyNumberFormat="1" applyFont="1" applyFill="1" applyBorder="1" applyAlignment="1">
      <alignment horizontal="center" vertical="center" wrapText="1"/>
    </xf>
    <xf numFmtId="180" fontId="9" fillId="0" borderId="18" xfId="0" applyNumberFormat="1" applyFont="1" applyFill="1" applyBorder="1" applyAlignment="1">
      <alignment horizontal="center" vertical="center" wrapText="1"/>
    </xf>
    <xf numFmtId="180" fontId="27" fillId="0" borderId="18" xfId="0" applyNumberFormat="1" applyFont="1" applyFill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183" fontId="27" fillId="0" borderId="22" xfId="0" applyNumberFormat="1" applyFont="1" applyFill="1" applyBorder="1" applyAlignment="1">
      <alignment horizontal="center" vertical="center" wrapText="1"/>
    </xf>
    <xf numFmtId="180" fontId="27" fillId="0" borderId="22" xfId="0" applyNumberFormat="1" applyFont="1" applyFill="1" applyBorder="1" applyAlignment="1">
      <alignment horizontal="center" vertical="center" wrapText="1"/>
    </xf>
    <xf numFmtId="180" fontId="27" fillId="0" borderId="2" xfId="0" applyNumberFormat="1" applyFont="1" applyFill="1" applyBorder="1" applyAlignment="1">
      <alignment horizontal="center" vertical="center" wrapText="1"/>
    </xf>
    <xf numFmtId="0" fontId="27" fillId="0" borderId="18" xfId="0" applyNumberFormat="1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180" fontId="27" fillId="0" borderId="18" xfId="0" applyNumberFormat="1" applyFont="1" applyFill="1" applyBorder="1" applyAlignment="1">
      <alignment horizontal="center" vertical="center" wrapText="1"/>
    </xf>
    <xf numFmtId="184" fontId="27" fillId="0" borderId="18" xfId="0" applyNumberFormat="1" applyFont="1" applyFill="1" applyBorder="1" applyAlignment="1">
      <alignment horizontal="center" vertical="center" wrapText="1"/>
    </xf>
    <xf numFmtId="0" fontId="27" fillId="5" borderId="18" xfId="0" applyFont="1" applyFill="1" applyBorder="1" applyAlignment="1">
      <alignment horizontal="center" vertical="center" wrapText="1"/>
    </xf>
    <xf numFmtId="180" fontId="27" fillId="5" borderId="18" xfId="0" applyNumberFormat="1" applyFont="1" applyFill="1" applyBorder="1" applyAlignment="1">
      <alignment horizontal="center" vertical="center" wrapText="1"/>
    </xf>
    <xf numFmtId="49" fontId="27" fillId="5" borderId="23" xfId="0" applyNumberFormat="1" applyFont="1" applyFill="1" applyBorder="1" applyAlignment="1">
      <alignment horizontal="center" vertical="center"/>
    </xf>
    <xf numFmtId="0" fontId="27" fillId="5" borderId="18" xfId="0" applyFont="1" applyFill="1" applyBorder="1" applyAlignment="1">
      <alignment horizontal="center" vertical="center" wrapText="1"/>
    </xf>
    <xf numFmtId="180" fontId="27" fillId="5" borderId="18" xfId="0" applyNumberFormat="1" applyFont="1" applyFill="1" applyBorder="1" applyAlignment="1">
      <alignment horizontal="center" vertical="center" wrapText="1"/>
    </xf>
    <xf numFmtId="184" fontId="27" fillId="5" borderId="18" xfId="0" applyNumberFormat="1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179" fontId="11" fillId="0" borderId="0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183" fontId="11" fillId="0" borderId="0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183" fontId="11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79" fontId="33" fillId="0" borderId="2" xfId="0" applyNumberFormat="1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 wrapText="1"/>
    </xf>
    <xf numFmtId="183" fontId="33" fillId="0" borderId="2" xfId="1" applyNumberFormat="1" applyFont="1" applyFill="1" applyBorder="1" applyAlignment="1">
      <alignment horizontal="center" vertical="center" wrapText="1"/>
    </xf>
    <xf numFmtId="43" fontId="34" fillId="0" borderId="2" xfId="1" applyFont="1" applyFill="1" applyBorder="1" applyAlignment="1">
      <alignment horizontal="center" vertical="center" wrapText="1"/>
    </xf>
    <xf numFmtId="0" fontId="34" fillId="0" borderId="3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/>
    </xf>
    <xf numFmtId="0" fontId="30" fillId="0" borderId="3" xfId="0" applyFont="1" applyFill="1" applyBorder="1" applyAlignment="1">
      <alignment horizontal="center" vertical="center" wrapText="1"/>
    </xf>
    <xf numFmtId="43" fontId="24" fillId="0" borderId="2" xfId="1" applyFont="1" applyFill="1" applyBorder="1" applyAlignment="1">
      <alignment horizontal="center" vertical="center" wrapText="1"/>
    </xf>
    <xf numFmtId="43" fontId="24" fillId="0" borderId="2" xfId="0" applyNumberFormat="1" applyFont="1" applyFill="1" applyBorder="1" applyAlignment="1">
      <alignment horizontal="center" vertical="center" wrapText="1"/>
    </xf>
    <xf numFmtId="0" fontId="30" fillId="0" borderId="3" xfId="53" applyFont="1" applyFill="1" applyBorder="1" applyAlignment="1">
      <alignment horizontal="center" vertical="center" wrapText="1"/>
    </xf>
    <xf numFmtId="179" fontId="27" fillId="0" borderId="2" xfId="53" applyNumberFormat="1" applyFont="1" applyFill="1" applyBorder="1" applyAlignment="1">
      <alignment horizontal="center" vertical="center" wrapText="1"/>
    </xf>
    <xf numFmtId="183" fontId="27" fillId="0" borderId="2" xfId="53" applyNumberFormat="1" applyFont="1" applyFill="1" applyBorder="1" applyAlignment="1">
      <alignment horizontal="center" vertical="center" wrapText="1"/>
    </xf>
    <xf numFmtId="0" fontId="30" fillId="0" borderId="11" xfId="0" applyFont="1" applyFill="1" applyBorder="1" applyAlignment="1">
      <alignment horizontal="center" vertical="center"/>
    </xf>
    <xf numFmtId="0" fontId="30" fillId="0" borderId="12" xfId="0" applyFont="1" applyFill="1" applyBorder="1" applyAlignment="1">
      <alignment horizontal="center" vertical="center"/>
    </xf>
    <xf numFmtId="43" fontId="24" fillId="0" borderId="2" xfId="1" applyFont="1" applyFill="1" applyBorder="1" applyAlignment="1">
      <alignment horizontal="center" vertical="center"/>
    </xf>
    <xf numFmtId="0" fontId="30" fillId="0" borderId="14" xfId="0" applyFont="1" applyFill="1" applyBorder="1" applyAlignment="1">
      <alignment horizontal="center" vertical="center"/>
    </xf>
    <xf numFmtId="0" fontId="30" fillId="0" borderId="3" xfId="53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4" fontId="27" fillId="0" borderId="2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24" fillId="0" borderId="2" xfId="53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wrapText="1"/>
    </xf>
    <xf numFmtId="179" fontId="27" fillId="0" borderId="1" xfId="0" applyNumberFormat="1" applyFont="1" applyFill="1" applyBorder="1" applyAlignment="1">
      <alignment horizontal="center" vertical="center" wrapText="1" shrinkToFit="1"/>
    </xf>
    <xf numFmtId="0" fontId="27" fillId="0" borderId="1" xfId="0" applyFont="1" applyFill="1" applyBorder="1" applyAlignment="1">
      <alignment horizontal="center" vertical="center" wrapText="1" shrinkToFit="1"/>
    </xf>
    <xf numFmtId="183" fontId="24" fillId="0" borderId="1" xfId="0" applyNumberFormat="1" applyFont="1" applyFill="1" applyBorder="1" applyAlignment="1">
      <alignment horizontal="center" vertical="center" wrapText="1" shrinkToFit="1"/>
    </xf>
    <xf numFmtId="0" fontId="24" fillId="0" borderId="1" xfId="0" applyFont="1" applyFill="1" applyBorder="1" applyAlignment="1">
      <alignment horizontal="center" vertical="center" wrapText="1" shrinkToFit="1"/>
    </xf>
    <xf numFmtId="0" fontId="24" fillId="0" borderId="2" xfId="0" applyFont="1" applyFill="1" applyBorder="1" applyAlignment="1">
      <alignment horizontal="center" vertical="center" wrapText="1" shrinkToFit="1"/>
    </xf>
    <xf numFmtId="183" fontId="24" fillId="0" borderId="2" xfId="1" applyNumberFormat="1" applyFont="1" applyFill="1" applyBorder="1" applyAlignment="1">
      <alignment horizontal="center" vertical="center" wrapText="1" shrinkToFit="1"/>
    </xf>
    <xf numFmtId="43" fontId="25" fillId="0" borderId="2" xfId="1" applyFont="1" applyFill="1" applyBorder="1" applyAlignment="1">
      <alignment horizontal="center" vertical="center" wrapText="1" shrinkToFit="1"/>
    </xf>
    <xf numFmtId="0" fontId="12" fillId="0" borderId="12" xfId="0" applyFont="1" applyFill="1" applyBorder="1" applyAlignment="1">
      <alignment horizontal="center" vertical="center" wrapText="1" shrinkToFit="1"/>
    </xf>
    <xf numFmtId="0" fontId="12" fillId="0" borderId="1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 readingOrder="1"/>
    </xf>
    <xf numFmtId="0" fontId="30" fillId="0" borderId="3" xfId="0" applyFont="1" applyFill="1" applyBorder="1" applyAlignment="1">
      <alignment horizontal="center" vertical="center" wrapText="1" readingOrder="1"/>
    </xf>
    <xf numFmtId="0" fontId="30" fillId="0" borderId="11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14" xfId="0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center" vertical="center"/>
    </xf>
    <xf numFmtId="179" fontId="25" fillId="0" borderId="2" xfId="0" applyNumberFormat="1" applyFont="1" applyFill="1" applyBorder="1" applyAlignment="1">
      <alignment horizontal="center" vertical="center" wrapText="1"/>
    </xf>
    <xf numFmtId="43" fontId="25" fillId="0" borderId="2" xfId="0" applyNumberFormat="1" applyFont="1" applyFill="1" applyBorder="1" applyAlignment="1">
      <alignment horizontal="center" vertical="center" wrapText="1"/>
    </xf>
    <xf numFmtId="179" fontId="27" fillId="0" borderId="11" xfId="0" applyNumberFormat="1" applyFont="1" applyFill="1" applyBorder="1" applyAlignment="1">
      <alignment horizontal="center" vertical="center" wrapText="1"/>
    </xf>
    <xf numFmtId="179" fontId="27" fillId="0" borderId="12" xfId="0" applyNumberFormat="1" applyFont="1" applyFill="1" applyBorder="1" applyAlignment="1">
      <alignment horizontal="center" vertical="center" wrapText="1"/>
    </xf>
    <xf numFmtId="179" fontId="27" fillId="0" borderId="14" xfId="0" applyNumberFormat="1" applyFont="1" applyFill="1" applyBorder="1" applyAlignment="1">
      <alignment horizontal="center" vertical="center" wrapText="1"/>
    </xf>
    <xf numFmtId="179" fontId="25" fillId="0" borderId="1" xfId="0" applyNumberFormat="1" applyFont="1" applyFill="1" applyBorder="1" applyAlignment="1">
      <alignment horizontal="center" vertical="center" wrapText="1"/>
    </xf>
    <xf numFmtId="179" fontId="25" fillId="0" borderId="6" xfId="0" applyNumberFormat="1" applyFont="1" applyFill="1" applyBorder="1" applyAlignment="1">
      <alignment horizontal="center" vertical="center" wrapText="1"/>
    </xf>
    <xf numFmtId="179" fontId="25" fillId="0" borderId="7" xfId="0" applyNumberFormat="1" applyFont="1" applyFill="1" applyBorder="1" applyAlignment="1">
      <alignment horizontal="center" vertical="center" wrapText="1"/>
    </xf>
    <xf numFmtId="179" fontId="30" fillId="0" borderId="1" xfId="0" applyNumberFormat="1" applyFont="1" applyFill="1" applyBorder="1" applyAlignment="1">
      <alignment horizontal="center" vertical="center"/>
    </xf>
    <xf numFmtId="179" fontId="30" fillId="0" borderId="6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183" fontId="24" fillId="0" borderId="2" xfId="1" applyNumberFormat="1" applyFont="1" applyFill="1" applyBorder="1" applyAlignment="1">
      <alignment horizontal="center" vertical="center" wrapText="1" readingOrder="1"/>
    </xf>
    <xf numFmtId="179" fontId="27" fillId="0" borderId="6" xfId="0" applyNumberFormat="1" applyFont="1" applyFill="1" applyBorder="1" applyAlignment="1">
      <alignment horizontal="center" vertical="center" wrapText="1" readingOrder="1"/>
    </xf>
    <xf numFmtId="0" fontId="24" fillId="0" borderId="6" xfId="0" applyFont="1" applyFill="1" applyBorder="1" applyAlignment="1">
      <alignment horizontal="center" vertical="center" wrapText="1"/>
    </xf>
    <xf numFmtId="179" fontId="27" fillId="0" borderId="7" xfId="0" applyNumberFormat="1" applyFont="1" applyFill="1" applyBorder="1" applyAlignment="1">
      <alignment horizontal="center" vertical="center" wrapText="1" readingOrder="1"/>
    </xf>
    <xf numFmtId="0" fontId="27" fillId="0" borderId="6" xfId="0" applyFont="1" applyFill="1" applyBorder="1" applyAlignment="1">
      <alignment horizontal="center" vertical="center" wrapText="1" readingOrder="1"/>
    </xf>
    <xf numFmtId="0" fontId="27" fillId="0" borderId="7" xfId="0" applyFont="1" applyFill="1" applyBorder="1" applyAlignment="1">
      <alignment horizontal="center" vertical="center" wrapText="1" readingOrder="1"/>
    </xf>
    <xf numFmtId="0" fontId="24" fillId="0" borderId="1" xfId="0" applyFont="1" applyFill="1" applyBorder="1" applyAlignment="1">
      <alignment horizontal="center" vertical="center" wrapText="1" readingOrder="1"/>
    </xf>
    <xf numFmtId="0" fontId="24" fillId="0" borderId="6" xfId="0" applyFont="1" applyFill="1" applyBorder="1" applyAlignment="1">
      <alignment horizontal="center" vertical="center" wrapText="1" readingOrder="1"/>
    </xf>
    <xf numFmtId="0" fontId="24" fillId="0" borderId="7" xfId="0" applyFont="1" applyFill="1" applyBorder="1" applyAlignment="1">
      <alignment horizontal="center" vertical="center" wrapText="1" readingOrder="1"/>
    </xf>
    <xf numFmtId="0" fontId="28" fillId="0" borderId="2" xfId="0" applyFont="1" applyFill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183" fontId="24" fillId="0" borderId="1" xfId="0" applyNumberFormat="1" applyFont="1" applyFill="1" applyBorder="1" applyAlignment="1">
      <alignment horizontal="center" vertical="center" wrapText="1"/>
    </xf>
    <xf numFmtId="183" fontId="24" fillId="0" borderId="7" xfId="0" applyNumberFormat="1" applyFont="1" applyFill="1" applyBorder="1" applyAlignment="1">
      <alignment horizontal="center" vertical="center" wrapText="1"/>
    </xf>
    <xf numFmtId="0" fontId="29" fillId="0" borderId="11" xfId="0" applyFont="1" applyFill="1" applyBorder="1" applyAlignment="1">
      <alignment horizontal="center" vertical="center"/>
    </xf>
    <xf numFmtId="0" fontId="29" fillId="0" borderId="14" xfId="0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83" fontId="9" fillId="0" borderId="1" xfId="0" applyNumberFormat="1" applyFont="1" applyFill="1" applyBorder="1" applyAlignment="1">
      <alignment horizontal="center" vertical="center"/>
    </xf>
    <xf numFmtId="179" fontId="9" fillId="0" borderId="6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183" fontId="9" fillId="0" borderId="6" xfId="0" applyNumberFormat="1" applyFont="1" applyFill="1" applyBorder="1" applyAlignment="1">
      <alignment horizontal="center" vertical="center"/>
    </xf>
    <xf numFmtId="0" fontId="29" fillId="0" borderId="12" xfId="0" applyFont="1" applyFill="1" applyBorder="1" applyAlignment="1">
      <alignment horizontal="center" vertical="center"/>
    </xf>
    <xf numFmtId="179" fontId="9" fillId="0" borderId="7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183" fontId="9" fillId="0" borderId="7" xfId="0" applyNumberFormat="1" applyFont="1" applyFill="1" applyBorder="1" applyAlignment="1">
      <alignment horizontal="center" vertical="center"/>
    </xf>
    <xf numFmtId="180" fontId="25" fillId="0" borderId="2" xfId="0" applyNumberFormat="1" applyFont="1" applyFill="1" applyBorder="1" applyAlignment="1">
      <alignment horizontal="center" vertical="center"/>
    </xf>
    <xf numFmtId="0" fontId="30" fillId="0" borderId="11" xfId="0" applyFont="1" applyFill="1" applyBorder="1" applyAlignment="1">
      <alignment horizontal="center" vertical="center" wrapText="1" readingOrder="1"/>
    </xf>
    <xf numFmtId="0" fontId="28" fillId="0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3" fontId="29" fillId="0" borderId="3" xfId="0" applyNumberFormat="1" applyFont="1" applyFill="1" applyBorder="1" applyAlignment="1">
      <alignment horizontal="center" vertical="center"/>
    </xf>
    <xf numFmtId="43" fontId="25" fillId="0" borderId="2" xfId="0" applyNumberFormat="1" applyFont="1" applyFill="1" applyBorder="1" applyAlignment="1">
      <alignment horizontal="center" vertical="center"/>
    </xf>
    <xf numFmtId="180" fontId="12" fillId="0" borderId="2" xfId="0" applyNumberFormat="1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/>
    </xf>
    <xf numFmtId="0" fontId="30" fillId="0" borderId="6" xfId="0" applyFont="1" applyFill="1" applyBorder="1" applyAlignment="1">
      <alignment horizontal="center" vertical="center"/>
    </xf>
    <xf numFmtId="0" fontId="30" fillId="0" borderId="7" xfId="0" applyFont="1" applyFill="1" applyBorder="1" applyAlignment="1">
      <alignment horizontal="center" vertical="center"/>
    </xf>
    <xf numFmtId="183" fontId="28" fillId="0" borderId="2" xfId="0" applyNumberFormat="1" applyFont="1" applyFill="1" applyBorder="1" applyAlignment="1">
      <alignment horizontal="center" vertical="center" wrapText="1" readingOrder="1"/>
    </xf>
    <xf numFmtId="0" fontId="29" fillId="0" borderId="1" xfId="0" applyFont="1" applyFill="1" applyBorder="1" applyAlignment="1">
      <alignment horizontal="center" vertical="center"/>
    </xf>
    <xf numFmtId="183" fontId="25" fillId="0" borderId="6" xfId="0" applyNumberFormat="1" applyFont="1" applyFill="1" applyBorder="1" applyAlignment="1">
      <alignment horizontal="center" vertical="center" wrapText="1"/>
    </xf>
    <xf numFmtId="183" fontId="25" fillId="0" borderId="7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29" fillId="0" borderId="6" xfId="0" applyFont="1" applyFill="1" applyBorder="1" applyAlignment="1"/>
    <xf numFmtId="0" fontId="11" fillId="0" borderId="6" xfId="0" applyFont="1" applyFill="1" applyBorder="1" applyAlignment="1">
      <alignment horizontal="center" vertical="center"/>
    </xf>
    <xf numFmtId="183" fontId="11" fillId="0" borderId="2" xfId="0" applyNumberFormat="1" applyFont="1" applyFill="1" applyBorder="1" applyAlignment="1">
      <alignment horizontal="center" vertical="center"/>
    </xf>
    <xf numFmtId="0" fontId="29" fillId="0" borderId="7" xfId="0" applyFont="1" applyFill="1" applyBorder="1" applyAlignment="1"/>
    <xf numFmtId="0" fontId="11" fillId="0" borderId="7" xfId="0" applyFont="1" applyFill="1" applyBorder="1" applyAlignment="1">
      <alignment horizontal="center" vertical="center"/>
    </xf>
    <xf numFmtId="179" fontId="24" fillId="0" borderId="1" xfId="0" applyNumberFormat="1" applyFont="1" applyFill="1" applyBorder="1" applyAlignment="1">
      <alignment horizontal="center" vertical="center"/>
    </xf>
    <xf numFmtId="179" fontId="24" fillId="0" borderId="1" xfId="0" applyNumberFormat="1" applyFont="1" applyFill="1" applyBorder="1" applyAlignment="1">
      <alignment horizontal="center" vertical="center" wrapText="1"/>
    </xf>
    <xf numFmtId="179" fontId="12" fillId="0" borderId="1" xfId="0" applyNumberFormat="1" applyFont="1" applyFill="1" applyBorder="1" applyAlignment="1">
      <alignment horizontal="center" vertical="center"/>
    </xf>
    <xf numFmtId="179" fontId="24" fillId="0" borderId="6" xfId="0" applyNumberFormat="1" applyFont="1" applyFill="1" applyBorder="1" applyAlignment="1">
      <alignment horizontal="center" vertical="center"/>
    </xf>
    <xf numFmtId="179" fontId="24" fillId="0" borderId="6" xfId="0" applyNumberFormat="1" applyFont="1" applyFill="1" applyBorder="1" applyAlignment="1">
      <alignment horizontal="center" vertical="center" wrapText="1"/>
    </xf>
    <xf numFmtId="183" fontId="24" fillId="0" borderId="6" xfId="0" applyNumberFormat="1" applyFont="1" applyFill="1" applyBorder="1" applyAlignment="1">
      <alignment horizontal="center" vertical="center"/>
    </xf>
    <xf numFmtId="179" fontId="24" fillId="0" borderId="7" xfId="0" applyNumberFormat="1" applyFont="1" applyFill="1" applyBorder="1" applyAlignment="1">
      <alignment horizontal="center" vertical="center"/>
    </xf>
    <xf numFmtId="179" fontId="24" fillId="0" borderId="7" xfId="0" applyNumberFormat="1" applyFont="1" applyFill="1" applyBorder="1" applyAlignment="1">
      <alignment horizontal="center" vertical="center" wrapText="1"/>
    </xf>
    <xf numFmtId="183" fontId="24" fillId="0" borderId="7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179" fontId="15" fillId="0" borderId="6" xfId="0" applyNumberFormat="1" applyFont="1" applyFill="1" applyBorder="1" applyAlignment="1">
      <alignment horizontal="center" vertical="center"/>
    </xf>
    <xf numFmtId="179" fontId="15" fillId="0" borderId="7" xfId="0" applyNumberFormat="1" applyFont="1" applyFill="1" applyBorder="1" applyAlignment="1">
      <alignment horizontal="center" vertical="center"/>
    </xf>
    <xf numFmtId="179" fontId="12" fillId="0" borderId="6" xfId="0" applyNumberFormat="1" applyFont="1" applyFill="1" applyBorder="1" applyAlignment="1">
      <alignment horizontal="center" vertical="center"/>
    </xf>
    <xf numFmtId="179" fontId="12" fillId="0" borderId="7" xfId="0" applyNumberFormat="1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center" vertical="center"/>
    </xf>
    <xf numFmtId="0" fontId="29" fillId="0" borderId="7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 wrapText="1"/>
    </xf>
    <xf numFmtId="180" fontId="25" fillId="0" borderId="0" xfId="0" applyNumberFormat="1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center"/>
    </xf>
    <xf numFmtId="0" fontId="29" fillId="0" borderId="7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 vertical="center"/>
    </xf>
    <xf numFmtId="0" fontId="25" fillId="0" borderId="6" xfId="0" applyFont="1" applyFill="1" applyBorder="1" applyAlignment="1"/>
    <xf numFmtId="0" fontId="25" fillId="0" borderId="7" xfId="0" applyFont="1" applyFill="1" applyBorder="1" applyAlignment="1"/>
    <xf numFmtId="0" fontId="30" fillId="0" borderId="5" xfId="0" applyFont="1" applyFill="1" applyBorder="1" applyAlignment="1">
      <alignment horizontal="center" vertical="center" wrapText="1" readingOrder="1"/>
    </xf>
    <xf numFmtId="184" fontId="27" fillId="0" borderId="18" xfId="0" applyNumberFormat="1" applyFont="1" applyFill="1" applyBorder="1" applyAlignment="1">
      <alignment horizontal="center" vertical="center" wrapText="1"/>
    </xf>
    <xf numFmtId="0" fontId="27" fillId="0" borderId="22" xfId="0" applyNumberFormat="1" applyFont="1" applyFill="1" applyBorder="1" applyAlignment="1">
      <alignment horizontal="center" vertical="center" wrapText="1"/>
    </xf>
    <xf numFmtId="0" fontId="30" fillId="0" borderId="22" xfId="0" applyFont="1" applyFill="1" applyBorder="1" applyAlignment="1">
      <alignment horizontal="center" vertical="center" wrapText="1"/>
    </xf>
    <xf numFmtId="0" fontId="27" fillId="0" borderId="2" xfId="0" applyNumberFormat="1" applyFont="1" applyFill="1" applyBorder="1" applyAlignment="1">
      <alignment horizontal="center" vertical="center" wrapText="1"/>
    </xf>
    <xf numFmtId="0" fontId="30" fillId="0" borderId="18" xfId="0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 wrapText="1"/>
    </xf>
    <xf numFmtId="180" fontId="27" fillId="5" borderId="22" xfId="0" applyNumberFormat="1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/>
    </xf>
    <xf numFmtId="0" fontId="27" fillId="5" borderId="22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180" fontId="27" fillId="5" borderId="2" xfId="0" applyNumberFormat="1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 wrapText="1"/>
    </xf>
    <xf numFmtId="184" fontId="27" fillId="5" borderId="2" xfId="0" applyNumberFormat="1" applyFont="1" applyFill="1" applyBorder="1" applyAlignment="1">
      <alignment horizontal="center" vertical="center" wrapText="1"/>
    </xf>
    <xf numFmtId="180" fontId="27" fillId="5" borderId="2" xfId="0" applyNumberFormat="1" applyFont="1" applyFill="1" applyBorder="1" applyAlignment="1">
      <alignment horizontal="center" vertical="center" wrapText="1"/>
    </xf>
    <xf numFmtId="49" fontId="27" fillId="5" borderId="2" xfId="0" applyNumberFormat="1" applyFont="1" applyFill="1" applyBorder="1" applyAlignment="1">
      <alignment horizontal="center" vertical="center"/>
    </xf>
    <xf numFmtId="43" fontId="10" fillId="0" borderId="1" xfId="1" applyFont="1" applyFill="1" applyBorder="1" applyAlignment="1" quotePrefix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2 2" xfId="51"/>
    <cellStyle name="常规 2 3" xfId="52"/>
    <cellStyle name="常规 3" xfId="53"/>
    <cellStyle name="常规 4" xfId="54"/>
    <cellStyle name="千位分隔 2" xfId="55"/>
    <cellStyle name="千位分隔 3" xfId="56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S1319"/>
  <sheetViews>
    <sheetView zoomScale="70" zoomScaleNormal="70" workbookViewId="0">
      <pane ySplit="1" topLeftCell="A1290" activePane="bottomLeft" state="frozen"/>
      <selection/>
      <selection pane="bottomLeft" activeCell="G1286" sqref="G1286:G1289"/>
    </sheetView>
  </sheetViews>
  <sheetFormatPr defaultColWidth="8.59090909090909" defaultRowHeight="14"/>
  <cols>
    <col min="1" max="1" width="11.4272727272727" style="648" customWidth="1"/>
    <col min="2" max="2" width="39.8727272727273" style="649" customWidth="1"/>
    <col min="3" max="3" width="9.60909090909091" style="649" customWidth="1"/>
    <col min="4" max="4" width="11.0272727272727" style="650" customWidth="1"/>
    <col min="5" max="6" width="32.8818181818182" style="649" customWidth="1"/>
    <col min="7" max="7" width="15.7090909090909" style="651" customWidth="1"/>
    <col min="8" max="9" width="9.35454545454546" style="652" customWidth="1"/>
    <col min="10" max="10" width="9.35454545454546" style="651" customWidth="1"/>
    <col min="11" max="11" width="9.35454545454546" style="652" customWidth="1"/>
    <col min="12" max="12" width="16.3545454545455" style="653" customWidth="1"/>
    <col min="13" max="13" width="13.3818181818182" style="651" customWidth="1"/>
    <col min="14" max="14" width="9.54545454545454" style="492"/>
    <col min="15" max="16384" width="8.59090909090909" style="492"/>
  </cols>
  <sheetData>
    <row r="1" s="644" customFormat="1" ht="28" spans="1:13">
      <c r="A1" s="654" t="s">
        <v>0</v>
      </c>
      <c r="B1" s="655" t="s">
        <v>1</v>
      </c>
      <c r="C1" s="655" t="s">
        <v>2</v>
      </c>
      <c r="D1" s="656" t="s">
        <v>3</v>
      </c>
      <c r="E1" s="655" t="s">
        <v>4</v>
      </c>
      <c r="F1" s="655" t="s">
        <v>5</v>
      </c>
      <c r="G1" s="655" t="s">
        <v>6</v>
      </c>
      <c r="H1" s="656" t="s">
        <v>7</v>
      </c>
      <c r="I1" s="656" t="s">
        <v>3</v>
      </c>
      <c r="J1" s="657" t="s">
        <v>8</v>
      </c>
      <c r="K1" s="656" t="s">
        <v>9</v>
      </c>
      <c r="L1" s="658" t="s">
        <v>10</v>
      </c>
      <c r="M1" s="655" t="s">
        <v>11</v>
      </c>
    </row>
    <row r="2" s="490" customFormat="1" spans="1:13">
      <c r="A2" s="499">
        <v>46030</v>
      </c>
      <c r="B2" s="509" t="s">
        <v>12</v>
      </c>
      <c r="C2" s="509" t="s">
        <v>13</v>
      </c>
      <c r="D2" s="520">
        <v>8</v>
      </c>
      <c r="E2" s="509" t="s">
        <v>14</v>
      </c>
      <c r="F2" s="509" t="s">
        <v>15</v>
      </c>
      <c r="G2" s="500" t="s">
        <v>16</v>
      </c>
      <c r="H2" s="503">
        <v>1.06575342465753</v>
      </c>
      <c r="I2" s="503">
        <v>6.72</v>
      </c>
      <c r="J2" s="659" t="s">
        <v>17</v>
      </c>
      <c r="K2" s="503">
        <v>1.8</v>
      </c>
      <c r="L2" s="660" t="s">
        <v>18</v>
      </c>
      <c r="M2" s="509" t="s">
        <v>19</v>
      </c>
    </row>
    <row r="3" s="490" customFormat="1" spans="1:13">
      <c r="A3" s="499"/>
      <c r="B3" s="509"/>
      <c r="C3" s="509"/>
      <c r="D3" s="520"/>
      <c r="E3" s="509"/>
      <c r="F3" s="509"/>
      <c r="G3" s="500" t="s">
        <v>20</v>
      </c>
      <c r="H3" s="503">
        <v>1.22465753424658</v>
      </c>
      <c r="I3" s="503">
        <v>0.48</v>
      </c>
      <c r="J3" s="659" t="s">
        <v>17</v>
      </c>
      <c r="K3" s="503">
        <v>1.82</v>
      </c>
      <c r="L3" s="660"/>
      <c r="M3" s="509"/>
    </row>
    <row r="4" s="490" customFormat="1" spans="1:13">
      <c r="A4" s="499"/>
      <c r="B4" s="509"/>
      <c r="C4" s="509"/>
      <c r="D4" s="520"/>
      <c r="E4" s="509"/>
      <c r="F4" s="509"/>
      <c r="G4" s="500" t="s">
        <v>21</v>
      </c>
      <c r="H4" s="503">
        <v>1.39178082191781</v>
      </c>
      <c r="I4" s="503">
        <v>0.4</v>
      </c>
      <c r="J4" s="659" t="s">
        <v>22</v>
      </c>
      <c r="K4" s="503">
        <v>1.9</v>
      </c>
      <c r="L4" s="660"/>
      <c r="M4" s="509"/>
    </row>
    <row r="5" s="490" customFormat="1" spans="1:13">
      <c r="A5" s="499"/>
      <c r="B5" s="509"/>
      <c r="C5" s="509"/>
      <c r="D5" s="520"/>
      <c r="E5" s="509"/>
      <c r="F5" s="509"/>
      <c r="G5" s="500" t="s">
        <v>23</v>
      </c>
      <c r="H5" s="503">
        <v>2.6027397260274</v>
      </c>
      <c r="I5" s="503">
        <v>0.4</v>
      </c>
      <c r="J5" s="661" t="s">
        <v>24</v>
      </c>
      <c r="K5" s="503" t="s">
        <v>24</v>
      </c>
      <c r="L5" s="660"/>
      <c r="M5" s="509"/>
    </row>
    <row r="6" s="490" customFormat="1" spans="1:13">
      <c r="A6" s="499">
        <v>46030</v>
      </c>
      <c r="B6" s="509" t="s">
        <v>25</v>
      </c>
      <c r="C6" s="509" t="s">
        <v>13</v>
      </c>
      <c r="D6" s="520">
        <v>5</v>
      </c>
      <c r="E6" s="509" t="s">
        <v>14</v>
      </c>
      <c r="F6" s="509" t="s">
        <v>15</v>
      </c>
      <c r="G6" s="500" t="s">
        <v>26</v>
      </c>
      <c r="H6" s="503">
        <v>0.797260273972603</v>
      </c>
      <c r="I6" s="503">
        <v>4.45</v>
      </c>
      <c r="J6" s="659" t="s">
        <v>17</v>
      </c>
      <c r="K6" s="503">
        <v>1.83</v>
      </c>
      <c r="L6" s="660" t="s">
        <v>27</v>
      </c>
      <c r="M6" s="509" t="s">
        <v>28</v>
      </c>
    </row>
    <row r="7" s="490" customFormat="1" spans="1:13">
      <c r="A7" s="499"/>
      <c r="B7" s="509"/>
      <c r="C7" s="509"/>
      <c r="D7" s="520"/>
      <c r="E7" s="509"/>
      <c r="F7" s="509"/>
      <c r="G7" s="500" t="s">
        <v>21</v>
      </c>
      <c r="H7" s="503">
        <v>0.797260273972603</v>
      </c>
      <c r="I7" s="503">
        <v>0.05</v>
      </c>
      <c r="J7" s="659" t="s">
        <v>17</v>
      </c>
      <c r="K7" s="503">
        <v>1.83</v>
      </c>
      <c r="L7" s="660"/>
      <c r="M7" s="509"/>
    </row>
    <row r="8" s="490" customFormat="1" spans="1:13">
      <c r="A8" s="499"/>
      <c r="B8" s="509"/>
      <c r="C8" s="509"/>
      <c r="D8" s="520"/>
      <c r="E8" s="509"/>
      <c r="F8" s="509"/>
      <c r="G8" s="659" t="s">
        <v>29</v>
      </c>
      <c r="H8" s="503">
        <v>1.04931506849315</v>
      </c>
      <c r="I8" s="503">
        <v>0.25</v>
      </c>
      <c r="J8" s="661" t="s">
        <v>24</v>
      </c>
      <c r="K8" s="503" t="s">
        <v>24</v>
      </c>
      <c r="L8" s="660"/>
      <c r="M8" s="509"/>
    </row>
    <row r="9" s="490" customFormat="1" spans="1:13">
      <c r="A9" s="499"/>
      <c r="B9" s="509"/>
      <c r="C9" s="509"/>
      <c r="D9" s="520"/>
      <c r="E9" s="509"/>
      <c r="F9" s="509"/>
      <c r="G9" s="659" t="s">
        <v>30</v>
      </c>
      <c r="H9" s="503">
        <v>1.04931506849315</v>
      </c>
      <c r="I9" s="503">
        <v>0.25</v>
      </c>
      <c r="J9" s="661" t="s">
        <v>24</v>
      </c>
      <c r="K9" s="503" t="s">
        <v>24</v>
      </c>
      <c r="L9" s="660"/>
      <c r="M9" s="509"/>
    </row>
    <row r="10" s="490" customFormat="1" ht="13.05" customHeight="1" spans="1:13">
      <c r="A10" s="499">
        <v>46030</v>
      </c>
      <c r="B10" s="509" t="s">
        <v>31</v>
      </c>
      <c r="C10" s="509" t="s">
        <v>32</v>
      </c>
      <c r="D10" s="520">
        <v>9.3</v>
      </c>
      <c r="E10" s="509" t="s">
        <v>33</v>
      </c>
      <c r="F10" s="509" t="s">
        <v>34</v>
      </c>
      <c r="G10" s="564" t="s">
        <v>26</v>
      </c>
      <c r="H10" s="503">
        <v>1</v>
      </c>
      <c r="I10" s="503">
        <v>9</v>
      </c>
      <c r="J10" s="659" t="s">
        <v>17</v>
      </c>
      <c r="K10" s="503">
        <v>1.89</v>
      </c>
      <c r="L10" s="660" t="s">
        <v>35</v>
      </c>
      <c r="M10" s="509" t="s">
        <v>36</v>
      </c>
    </row>
    <row r="11" s="490" customFormat="1" ht="13.05" customHeight="1" spans="1:13">
      <c r="A11" s="499"/>
      <c r="B11" s="509"/>
      <c r="C11" s="509"/>
      <c r="D11" s="520"/>
      <c r="E11" s="509"/>
      <c r="F11" s="509"/>
      <c r="G11" s="564" t="s">
        <v>21</v>
      </c>
      <c r="H11" s="503">
        <v>1</v>
      </c>
      <c r="I11" s="503">
        <v>0.3</v>
      </c>
      <c r="J11" s="659" t="s">
        <v>22</v>
      </c>
      <c r="K11" s="503">
        <v>2.18</v>
      </c>
      <c r="L11" s="660"/>
      <c r="M11" s="509"/>
    </row>
    <row r="12" s="490" customFormat="1" ht="13.05" customHeight="1" spans="1:13">
      <c r="A12" s="499">
        <v>46031</v>
      </c>
      <c r="B12" s="509" t="s">
        <v>37</v>
      </c>
      <c r="C12" s="509" t="s">
        <v>13</v>
      </c>
      <c r="D12" s="520">
        <v>10</v>
      </c>
      <c r="E12" s="509" t="s">
        <v>38</v>
      </c>
      <c r="F12" s="509" t="s">
        <v>39</v>
      </c>
      <c r="G12" s="564" t="s">
        <v>40</v>
      </c>
      <c r="H12" s="503">
        <v>1.07123287671233</v>
      </c>
      <c r="I12" s="503">
        <v>7.2</v>
      </c>
      <c r="J12" s="659" t="s">
        <v>17</v>
      </c>
      <c r="K12" s="503">
        <v>1.98</v>
      </c>
      <c r="L12" s="660" t="s">
        <v>41</v>
      </c>
      <c r="M12" s="509"/>
    </row>
    <row r="13" s="490" customFormat="1" spans="1:13">
      <c r="A13" s="499"/>
      <c r="B13" s="509"/>
      <c r="C13" s="509"/>
      <c r="D13" s="520"/>
      <c r="E13" s="509"/>
      <c r="F13" s="509"/>
      <c r="G13" s="564" t="s">
        <v>42</v>
      </c>
      <c r="H13" s="503">
        <v>1.24657534246575</v>
      </c>
      <c r="I13" s="503">
        <v>1.5</v>
      </c>
      <c r="J13" s="659" t="s">
        <v>17</v>
      </c>
      <c r="K13" s="503">
        <v>2.05</v>
      </c>
      <c r="L13" s="660"/>
      <c r="M13" s="509"/>
    </row>
    <row r="14" s="490" customFormat="1" ht="13.05" customHeight="1" spans="1:13">
      <c r="A14" s="499"/>
      <c r="B14" s="509"/>
      <c r="C14" s="509"/>
      <c r="D14" s="520"/>
      <c r="E14" s="509"/>
      <c r="F14" s="509"/>
      <c r="G14" s="564" t="s">
        <v>21</v>
      </c>
      <c r="H14" s="503">
        <v>1.32602739726027</v>
      </c>
      <c r="I14" s="503">
        <v>0.4</v>
      </c>
      <c r="J14" s="659" t="s">
        <v>22</v>
      </c>
      <c r="K14" s="503">
        <v>2.3</v>
      </c>
      <c r="L14" s="660"/>
      <c r="M14" s="509"/>
    </row>
    <row r="15" s="490" customFormat="1" ht="13.05" customHeight="1" spans="1:13">
      <c r="A15" s="499"/>
      <c r="B15" s="509"/>
      <c r="C15" s="509"/>
      <c r="D15" s="520"/>
      <c r="E15" s="509"/>
      <c r="F15" s="509"/>
      <c r="G15" s="500" t="s">
        <v>43</v>
      </c>
      <c r="H15" s="503">
        <v>1.41369863013699</v>
      </c>
      <c r="I15" s="503">
        <v>0.4</v>
      </c>
      <c r="J15" s="659" t="s">
        <v>44</v>
      </c>
      <c r="K15" s="503">
        <v>4.5</v>
      </c>
      <c r="L15" s="660"/>
      <c r="M15" s="509"/>
    </row>
    <row r="16" s="490" customFormat="1" ht="13.05" customHeight="1" spans="1:13">
      <c r="A16" s="499"/>
      <c r="B16" s="509"/>
      <c r="C16" s="509"/>
      <c r="D16" s="520"/>
      <c r="E16" s="509"/>
      <c r="F16" s="509"/>
      <c r="G16" s="564" t="s">
        <v>23</v>
      </c>
      <c r="H16" s="503">
        <v>1.74794520547945</v>
      </c>
      <c r="I16" s="503">
        <v>0.5</v>
      </c>
      <c r="J16" s="661" t="s">
        <v>24</v>
      </c>
      <c r="K16" s="503" t="s">
        <v>24</v>
      </c>
      <c r="L16" s="660"/>
      <c r="M16" s="509"/>
    </row>
    <row r="17" s="490" customFormat="1" ht="28" spans="1:13">
      <c r="A17" s="519">
        <v>46034</v>
      </c>
      <c r="B17" s="509" t="s">
        <v>45</v>
      </c>
      <c r="C17" s="509" t="s">
        <v>13</v>
      </c>
      <c r="D17" s="520">
        <v>2.07</v>
      </c>
      <c r="E17" s="509" t="s">
        <v>14</v>
      </c>
      <c r="F17" s="509" t="s">
        <v>46</v>
      </c>
      <c r="G17" s="500" t="s">
        <v>47</v>
      </c>
      <c r="H17" s="503">
        <v>1.04657534246575</v>
      </c>
      <c r="I17" s="503">
        <v>2.07</v>
      </c>
      <c r="J17" s="509" t="s">
        <v>17</v>
      </c>
      <c r="K17" s="520">
        <v>2.55</v>
      </c>
      <c r="L17" s="575" t="s">
        <v>48</v>
      </c>
      <c r="M17" s="509"/>
    </row>
    <row r="18" s="490" customFormat="1" ht="28" spans="1:13">
      <c r="A18" s="519">
        <v>46034</v>
      </c>
      <c r="B18" s="509" t="s">
        <v>49</v>
      </c>
      <c r="C18" s="509" t="s">
        <v>13</v>
      </c>
      <c r="D18" s="520">
        <v>3.6</v>
      </c>
      <c r="E18" s="509" t="s">
        <v>14</v>
      </c>
      <c r="F18" s="509" t="s">
        <v>15</v>
      </c>
      <c r="G18" s="564" t="s">
        <v>47</v>
      </c>
      <c r="H18" s="503">
        <v>1</v>
      </c>
      <c r="I18" s="503">
        <v>3.6</v>
      </c>
      <c r="J18" s="659" t="s">
        <v>17</v>
      </c>
      <c r="K18" s="511">
        <v>2.55</v>
      </c>
      <c r="L18" s="660" t="s">
        <v>48</v>
      </c>
      <c r="M18" s="509"/>
    </row>
    <row r="19" s="490" customFormat="1" spans="1:13">
      <c r="A19" s="519">
        <v>46035</v>
      </c>
      <c r="B19" s="509" t="s">
        <v>50</v>
      </c>
      <c r="C19" s="509" t="s">
        <v>32</v>
      </c>
      <c r="D19" s="520">
        <v>10</v>
      </c>
      <c r="E19" s="509" t="s">
        <v>51</v>
      </c>
      <c r="F19" s="509" t="s">
        <v>52</v>
      </c>
      <c r="G19" s="500" t="s">
        <v>26</v>
      </c>
      <c r="H19" s="503">
        <v>2</v>
      </c>
      <c r="I19" s="521">
        <v>8.7</v>
      </c>
      <c r="J19" s="661" t="s">
        <v>17</v>
      </c>
      <c r="K19" s="521">
        <v>1.95</v>
      </c>
      <c r="L19" s="660" t="s">
        <v>35</v>
      </c>
      <c r="M19" s="509" t="s">
        <v>53</v>
      </c>
    </row>
    <row r="20" s="490" customFormat="1" spans="1:13">
      <c r="A20" s="519"/>
      <c r="B20" s="509"/>
      <c r="C20" s="509"/>
      <c r="D20" s="520"/>
      <c r="E20" s="509"/>
      <c r="F20" s="509"/>
      <c r="G20" s="500" t="s">
        <v>21</v>
      </c>
      <c r="H20" s="503">
        <v>2</v>
      </c>
      <c r="I20" s="521">
        <v>0.4</v>
      </c>
      <c r="J20" s="659" t="s">
        <v>22</v>
      </c>
      <c r="K20" s="521">
        <v>2.2</v>
      </c>
      <c r="L20" s="660"/>
      <c r="M20" s="509"/>
    </row>
    <row r="21" s="490" customFormat="1" spans="1:13">
      <c r="A21" s="519"/>
      <c r="B21" s="509"/>
      <c r="C21" s="509"/>
      <c r="D21" s="520"/>
      <c r="E21" s="509"/>
      <c r="F21" s="509"/>
      <c r="G21" s="500" t="s">
        <v>54</v>
      </c>
      <c r="H21" s="503">
        <v>2</v>
      </c>
      <c r="I21" s="521">
        <v>0.4</v>
      </c>
      <c r="J21" s="659" t="s">
        <v>44</v>
      </c>
      <c r="K21" s="521">
        <v>3.2</v>
      </c>
      <c r="L21" s="660"/>
      <c r="M21" s="509"/>
    </row>
    <row r="22" s="490" customFormat="1" spans="1:13">
      <c r="A22" s="519"/>
      <c r="B22" s="509"/>
      <c r="C22" s="509"/>
      <c r="D22" s="520"/>
      <c r="E22" s="509"/>
      <c r="F22" s="509"/>
      <c r="G22" s="500" t="s">
        <v>23</v>
      </c>
      <c r="H22" s="503">
        <v>2</v>
      </c>
      <c r="I22" s="521">
        <v>0.5</v>
      </c>
      <c r="J22" s="662" t="s">
        <v>24</v>
      </c>
      <c r="K22" s="501" t="s">
        <v>24</v>
      </c>
      <c r="L22" s="660"/>
      <c r="M22" s="509"/>
    </row>
    <row r="23" s="490" customFormat="1" spans="1:13">
      <c r="A23" s="506">
        <v>46036</v>
      </c>
      <c r="B23" s="509" t="s">
        <v>55</v>
      </c>
      <c r="C23" s="509" t="s">
        <v>32</v>
      </c>
      <c r="D23" s="520">
        <v>10</v>
      </c>
      <c r="E23" s="509" t="s">
        <v>38</v>
      </c>
      <c r="F23" s="509" t="s">
        <v>56</v>
      </c>
      <c r="G23" s="564" t="s">
        <v>40</v>
      </c>
      <c r="H23" s="503">
        <v>1.07945205479452</v>
      </c>
      <c r="I23" s="521">
        <v>7.2</v>
      </c>
      <c r="J23" s="659" t="s">
        <v>17</v>
      </c>
      <c r="K23" s="503">
        <v>2.04</v>
      </c>
      <c r="L23" s="663" t="s">
        <v>41</v>
      </c>
      <c r="M23" s="543"/>
    </row>
    <row r="24" s="490" customFormat="1" spans="1:13">
      <c r="A24" s="512"/>
      <c r="B24" s="509"/>
      <c r="C24" s="509"/>
      <c r="D24" s="520"/>
      <c r="E24" s="509"/>
      <c r="F24" s="509"/>
      <c r="G24" s="564" t="s">
        <v>42</v>
      </c>
      <c r="H24" s="503">
        <v>1.24383561643836</v>
      </c>
      <c r="I24" s="503">
        <v>1.5</v>
      </c>
      <c r="J24" s="659" t="s">
        <v>17</v>
      </c>
      <c r="K24" s="503">
        <v>2.05</v>
      </c>
      <c r="L24" s="663"/>
      <c r="M24" s="543"/>
    </row>
    <row r="25" s="490" customFormat="1" spans="1:13">
      <c r="A25" s="512"/>
      <c r="B25" s="509"/>
      <c r="C25" s="509"/>
      <c r="D25" s="520"/>
      <c r="E25" s="509"/>
      <c r="F25" s="509"/>
      <c r="G25" s="564" t="s">
        <v>21</v>
      </c>
      <c r="H25" s="503">
        <v>1.32602739726027</v>
      </c>
      <c r="I25" s="503">
        <v>0.4</v>
      </c>
      <c r="J25" s="659" t="s">
        <v>22</v>
      </c>
      <c r="K25" s="503">
        <v>2.3</v>
      </c>
      <c r="L25" s="663"/>
      <c r="M25" s="543"/>
    </row>
    <row r="26" s="490" customFormat="1" spans="1:13">
      <c r="A26" s="512"/>
      <c r="B26" s="509"/>
      <c r="C26" s="509"/>
      <c r="D26" s="520"/>
      <c r="E26" s="509"/>
      <c r="F26" s="509"/>
      <c r="G26" s="500" t="s">
        <v>43</v>
      </c>
      <c r="H26" s="503">
        <v>1.40547945205479</v>
      </c>
      <c r="I26" s="503">
        <v>0.4</v>
      </c>
      <c r="J26" s="659" t="s">
        <v>44</v>
      </c>
      <c r="K26" s="503">
        <v>4.5</v>
      </c>
      <c r="L26" s="663"/>
      <c r="M26" s="543"/>
    </row>
    <row r="27" s="490" customFormat="1" spans="1:13">
      <c r="A27" s="516"/>
      <c r="B27" s="509"/>
      <c r="C27" s="509"/>
      <c r="D27" s="520"/>
      <c r="E27" s="509"/>
      <c r="F27" s="509"/>
      <c r="G27" s="564" t="s">
        <v>23</v>
      </c>
      <c r="H27" s="503">
        <v>1.74520547945205</v>
      </c>
      <c r="I27" s="503">
        <v>0.5</v>
      </c>
      <c r="J27" s="662" t="s">
        <v>24</v>
      </c>
      <c r="K27" s="501" t="s">
        <v>24</v>
      </c>
      <c r="L27" s="663"/>
      <c r="M27" s="543"/>
    </row>
    <row r="28" s="490" customFormat="1" spans="1:13">
      <c r="A28" s="664">
        <v>46037</v>
      </c>
      <c r="B28" s="543" t="s">
        <v>57</v>
      </c>
      <c r="C28" s="543" t="s">
        <v>32</v>
      </c>
      <c r="D28" s="665">
        <v>10</v>
      </c>
      <c r="E28" s="543" t="s">
        <v>58</v>
      </c>
      <c r="F28" s="543" t="s">
        <v>59</v>
      </c>
      <c r="G28" s="500" t="s">
        <v>26</v>
      </c>
      <c r="H28" s="521">
        <v>1.08</v>
      </c>
      <c r="I28" s="521">
        <v>8.24</v>
      </c>
      <c r="J28" s="661" t="s">
        <v>17</v>
      </c>
      <c r="K28" s="521">
        <v>1.8</v>
      </c>
      <c r="L28" s="666" t="s">
        <v>60</v>
      </c>
      <c r="M28" s="558" t="s">
        <v>61</v>
      </c>
    </row>
    <row r="29" s="490" customFormat="1" spans="1:13">
      <c r="A29" s="664"/>
      <c r="B29" s="543"/>
      <c r="C29" s="543"/>
      <c r="D29" s="665"/>
      <c r="E29" s="543"/>
      <c r="F29" s="543"/>
      <c r="G29" s="500" t="s">
        <v>21</v>
      </c>
      <c r="H29" s="521">
        <v>1.08</v>
      </c>
      <c r="I29" s="521">
        <v>0.52</v>
      </c>
      <c r="J29" s="659" t="s">
        <v>22</v>
      </c>
      <c r="K29" s="521">
        <v>1.85</v>
      </c>
      <c r="L29" s="667"/>
      <c r="M29" s="558"/>
    </row>
    <row r="30" s="490" customFormat="1" spans="1:13">
      <c r="A30" s="664"/>
      <c r="B30" s="543"/>
      <c r="C30" s="543"/>
      <c r="D30" s="665"/>
      <c r="E30" s="543"/>
      <c r="F30" s="543"/>
      <c r="G30" s="500" t="s">
        <v>43</v>
      </c>
      <c r="H30" s="521">
        <v>1.08</v>
      </c>
      <c r="I30" s="521">
        <v>0.4</v>
      </c>
      <c r="J30" s="659" t="s">
        <v>44</v>
      </c>
      <c r="K30" s="521">
        <v>2.8</v>
      </c>
      <c r="L30" s="667"/>
      <c r="M30" s="558"/>
    </row>
    <row r="31" s="490" customFormat="1" spans="1:13">
      <c r="A31" s="664"/>
      <c r="B31" s="543"/>
      <c r="C31" s="543"/>
      <c r="D31" s="665"/>
      <c r="E31" s="543"/>
      <c r="F31" s="543"/>
      <c r="G31" s="500" t="s">
        <v>23</v>
      </c>
      <c r="H31" s="521">
        <v>2.01</v>
      </c>
      <c r="I31" s="521">
        <v>0.84</v>
      </c>
      <c r="J31" s="668" t="s">
        <v>24</v>
      </c>
      <c r="K31" s="521" t="s">
        <v>24</v>
      </c>
      <c r="L31" s="669"/>
      <c r="M31" s="558"/>
    </row>
    <row r="32" s="490" customFormat="1" spans="1:13">
      <c r="A32" s="664">
        <v>46037</v>
      </c>
      <c r="B32" s="543" t="s">
        <v>62</v>
      </c>
      <c r="C32" s="543" t="s">
        <v>13</v>
      </c>
      <c r="D32" s="665">
        <v>10</v>
      </c>
      <c r="E32" s="543" t="s">
        <v>33</v>
      </c>
      <c r="F32" s="543" t="s">
        <v>63</v>
      </c>
      <c r="G32" s="500" t="s">
        <v>26</v>
      </c>
      <c r="H32" s="521">
        <v>1.08</v>
      </c>
      <c r="I32" s="521">
        <v>9</v>
      </c>
      <c r="J32" s="661" t="s">
        <v>17</v>
      </c>
      <c r="K32" s="521">
        <v>1.9</v>
      </c>
      <c r="L32" s="670" t="s">
        <v>35</v>
      </c>
      <c r="M32" s="558" t="s">
        <v>36</v>
      </c>
    </row>
    <row r="33" s="490" customFormat="1" spans="1:19">
      <c r="A33" s="664"/>
      <c r="B33" s="543"/>
      <c r="C33" s="543"/>
      <c r="D33" s="665"/>
      <c r="E33" s="543"/>
      <c r="F33" s="543"/>
      <c r="G33" s="500" t="s">
        <v>21</v>
      </c>
      <c r="H33" s="521">
        <v>1.08</v>
      </c>
      <c r="I33" s="521">
        <v>0.3</v>
      </c>
      <c r="J33" s="659" t="s">
        <v>22</v>
      </c>
      <c r="K33" s="521">
        <v>2.2</v>
      </c>
      <c r="L33" s="670"/>
      <c r="M33" s="558"/>
    </row>
    <row r="34" s="490" customFormat="1" spans="1:19">
      <c r="A34" s="664"/>
      <c r="B34" s="543"/>
      <c r="C34" s="543"/>
      <c r="D34" s="665"/>
      <c r="E34" s="543"/>
      <c r="F34" s="543"/>
      <c r="G34" s="500" t="s">
        <v>54</v>
      </c>
      <c r="H34" s="521">
        <v>1.08</v>
      </c>
      <c r="I34" s="521">
        <v>0.2</v>
      </c>
      <c r="J34" s="659" t="s">
        <v>64</v>
      </c>
      <c r="K34" s="521">
        <v>3.1</v>
      </c>
      <c r="L34" s="670"/>
      <c r="M34" s="558"/>
    </row>
    <row r="35" s="490" customFormat="1" spans="1:19">
      <c r="A35" s="664"/>
      <c r="B35" s="543"/>
      <c r="C35" s="543"/>
      <c r="D35" s="665"/>
      <c r="E35" s="543"/>
      <c r="F35" s="543"/>
      <c r="G35" s="500" t="s">
        <v>23</v>
      </c>
      <c r="H35" s="521">
        <v>2</v>
      </c>
      <c r="I35" s="521">
        <v>0.5</v>
      </c>
      <c r="J35" s="668" t="s">
        <v>24</v>
      </c>
      <c r="K35" s="521" t="s">
        <v>24</v>
      </c>
      <c r="L35" s="670"/>
      <c r="M35" s="558"/>
    </row>
    <row r="36" s="490" customFormat="1" spans="1:19">
      <c r="A36" s="506">
        <v>46037</v>
      </c>
      <c r="B36" s="507" t="s">
        <v>65</v>
      </c>
      <c r="C36" s="507" t="s">
        <v>32</v>
      </c>
      <c r="D36" s="508">
        <v>8</v>
      </c>
      <c r="E36" s="507" t="s">
        <v>66</v>
      </c>
      <c r="F36" s="507" t="s">
        <v>39</v>
      </c>
      <c r="G36" s="500" t="s">
        <v>26</v>
      </c>
      <c r="H36" s="503">
        <v>1.99</v>
      </c>
      <c r="I36" s="503">
        <v>6.72</v>
      </c>
      <c r="J36" s="659" t="s">
        <v>17</v>
      </c>
      <c r="K36" s="530">
        <v>2.5</v>
      </c>
      <c r="L36" s="671" t="s">
        <v>67</v>
      </c>
      <c r="M36" s="564"/>
    </row>
    <row r="37" s="490" customFormat="1" spans="1:19">
      <c r="A37" s="512"/>
      <c r="B37" s="513"/>
      <c r="C37" s="513"/>
      <c r="D37" s="514"/>
      <c r="E37" s="513"/>
      <c r="F37" s="513"/>
      <c r="G37" s="500" t="s">
        <v>21</v>
      </c>
      <c r="H37" s="503">
        <v>1.99</v>
      </c>
      <c r="I37" s="503">
        <v>0.32</v>
      </c>
      <c r="J37" s="659" t="s">
        <v>68</v>
      </c>
      <c r="K37" s="530">
        <v>2.8</v>
      </c>
      <c r="L37" s="672"/>
      <c r="M37" s="564"/>
    </row>
    <row r="38" s="490" customFormat="1" spans="1:19">
      <c r="A38" s="512"/>
      <c r="B38" s="513"/>
      <c r="C38" s="513"/>
      <c r="D38" s="514"/>
      <c r="E38" s="513"/>
      <c r="F38" s="513"/>
      <c r="G38" s="500" t="s">
        <v>43</v>
      </c>
      <c r="H38" s="503">
        <v>1.99</v>
      </c>
      <c r="I38" s="503">
        <v>0.36</v>
      </c>
      <c r="J38" s="659" t="s">
        <v>44</v>
      </c>
      <c r="K38" s="530">
        <v>4</v>
      </c>
      <c r="L38" s="672"/>
      <c r="M38" s="564"/>
    </row>
    <row r="39" s="490" customFormat="1" spans="1:19">
      <c r="A39" s="516"/>
      <c r="B39" s="517"/>
      <c r="C39" s="517"/>
      <c r="D39" s="518"/>
      <c r="E39" s="517"/>
      <c r="F39" s="517"/>
      <c r="G39" s="500" t="s">
        <v>23</v>
      </c>
      <c r="H39" s="503">
        <v>1.99</v>
      </c>
      <c r="I39" s="503">
        <v>0.6</v>
      </c>
      <c r="J39" s="673" t="s">
        <v>24</v>
      </c>
      <c r="K39" s="530" t="s">
        <v>24</v>
      </c>
      <c r="L39" s="674"/>
      <c r="M39" s="564"/>
    </row>
    <row r="40" s="490" customFormat="1" spans="1:19">
      <c r="A40" s="506">
        <v>46037</v>
      </c>
      <c r="B40" s="507" t="s">
        <v>69</v>
      </c>
      <c r="C40" s="507" t="s">
        <v>13</v>
      </c>
      <c r="D40" s="508">
        <v>2.5</v>
      </c>
      <c r="E40" s="507" t="s">
        <v>14</v>
      </c>
      <c r="F40" s="507" t="s">
        <v>15</v>
      </c>
      <c r="G40" s="500" t="s">
        <v>26</v>
      </c>
      <c r="H40" s="503">
        <v>1.84</v>
      </c>
      <c r="I40" s="503">
        <v>2.1</v>
      </c>
      <c r="J40" s="659" t="s">
        <v>17</v>
      </c>
      <c r="K40" s="530">
        <v>2.4</v>
      </c>
      <c r="L40" s="671" t="s">
        <v>70</v>
      </c>
      <c r="M40" s="564"/>
    </row>
    <row r="41" s="490" customFormat="1" spans="1:19">
      <c r="A41" s="512"/>
      <c r="B41" s="513"/>
      <c r="C41" s="513"/>
      <c r="D41" s="514"/>
      <c r="E41" s="513"/>
      <c r="F41" s="513"/>
      <c r="G41" s="500" t="s">
        <v>21</v>
      </c>
      <c r="H41" s="503">
        <v>1.92</v>
      </c>
      <c r="I41" s="503">
        <v>0.1</v>
      </c>
      <c r="J41" s="659" t="s">
        <v>68</v>
      </c>
      <c r="K41" s="530">
        <v>3</v>
      </c>
      <c r="L41" s="672"/>
      <c r="M41" s="564"/>
    </row>
    <row r="42" s="490" customFormat="1" spans="1:19">
      <c r="A42" s="516"/>
      <c r="B42" s="517"/>
      <c r="C42" s="517"/>
      <c r="D42" s="518"/>
      <c r="E42" s="517"/>
      <c r="F42" s="517"/>
      <c r="G42" s="500" t="s">
        <v>23</v>
      </c>
      <c r="H42" s="503">
        <v>2.67</v>
      </c>
      <c r="I42" s="503">
        <v>0.3</v>
      </c>
      <c r="J42" s="673" t="s">
        <v>24</v>
      </c>
      <c r="K42" s="530" t="s">
        <v>24</v>
      </c>
      <c r="L42" s="674"/>
      <c r="M42" s="564"/>
    </row>
    <row r="43" s="490" customFormat="1" spans="1:19">
      <c r="A43" s="664">
        <v>46038</v>
      </c>
      <c r="B43" s="543" t="s">
        <v>71</v>
      </c>
      <c r="C43" s="543" t="s">
        <v>13</v>
      </c>
      <c r="D43" s="665">
        <v>10</v>
      </c>
      <c r="E43" s="543" t="s">
        <v>72</v>
      </c>
      <c r="F43" s="543" t="s">
        <v>63</v>
      </c>
      <c r="G43" s="509" t="s">
        <v>73</v>
      </c>
      <c r="H43" s="521">
        <f>362/365</f>
        <v>0.991780821917808</v>
      </c>
      <c r="I43" s="521">
        <v>9</v>
      </c>
      <c r="J43" s="661" t="s">
        <v>17</v>
      </c>
      <c r="K43" s="521">
        <v>1.85</v>
      </c>
      <c r="L43" s="670" t="s">
        <v>74</v>
      </c>
      <c r="M43" s="558"/>
    </row>
    <row r="44" s="492" customFormat="1" spans="1:19">
      <c r="A44" s="664"/>
      <c r="B44" s="543"/>
      <c r="C44" s="543"/>
      <c r="D44" s="665"/>
      <c r="E44" s="543"/>
      <c r="F44" s="543"/>
      <c r="G44" s="509" t="s">
        <v>75</v>
      </c>
      <c r="H44" s="521">
        <f>452/365</f>
        <v>1.23835616438356</v>
      </c>
      <c r="I44" s="521">
        <v>0.3</v>
      </c>
      <c r="J44" s="659" t="s">
        <v>22</v>
      </c>
      <c r="K44" s="521">
        <v>1.9</v>
      </c>
      <c r="L44" s="670"/>
      <c r="M44" s="558"/>
      <c r="N44" s="490"/>
      <c r="O44" s="490"/>
      <c r="P44" s="490"/>
      <c r="Q44" s="490"/>
      <c r="R44" s="490"/>
      <c r="S44" s="490"/>
    </row>
    <row r="45" s="492" customFormat="1" spans="1:19">
      <c r="A45" s="664"/>
      <c r="B45" s="543"/>
      <c r="C45" s="543"/>
      <c r="D45" s="665"/>
      <c r="E45" s="543"/>
      <c r="F45" s="543"/>
      <c r="G45" s="500" t="s">
        <v>23</v>
      </c>
      <c r="H45" s="521">
        <f>640/365</f>
        <v>1.75342465753425</v>
      </c>
      <c r="I45" s="521">
        <v>0.7</v>
      </c>
      <c r="J45" s="668" t="s">
        <v>24</v>
      </c>
      <c r="K45" s="521" t="s">
        <v>24</v>
      </c>
      <c r="L45" s="670"/>
      <c r="M45" s="558"/>
      <c r="N45" s="490"/>
      <c r="O45" s="490"/>
      <c r="P45" s="490"/>
      <c r="Q45" s="490"/>
      <c r="R45" s="490"/>
      <c r="S45" s="490"/>
    </row>
    <row r="46" s="492" customFormat="1" spans="1:19">
      <c r="A46" s="664">
        <v>46038</v>
      </c>
      <c r="B46" s="543" t="s">
        <v>76</v>
      </c>
      <c r="C46" s="543" t="s">
        <v>13</v>
      </c>
      <c r="D46" s="665">
        <v>10</v>
      </c>
      <c r="E46" s="543" t="s">
        <v>33</v>
      </c>
      <c r="F46" s="543" t="s">
        <v>77</v>
      </c>
      <c r="G46" s="500" t="s">
        <v>26</v>
      </c>
      <c r="H46" s="521">
        <v>1.08</v>
      </c>
      <c r="I46" s="521">
        <v>8.24</v>
      </c>
      <c r="J46" s="661" t="s">
        <v>17</v>
      </c>
      <c r="K46" s="521">
        <v>1.81</v>
      </c>
      <c r="L46" s="666" t="s">
        <v>60</v>
      </c>
      <c r="M46" s="675" t="s">
        <v>78</v>
      </c>
      <c r="N46" s="490"/>
      <c r="O46" s="490"/>
      <c r="P46" s="490"/>
      <c r="Q46" s="490"/>
      <c r="R46" s="490"/>
      <c r="S46" s="490"/>
    </row>
    <row r="47" s="492" customFormat="1" spans="1:19">
      <c r="A47" s="664"/>
      <c r="B47" s="543"/>
      <c r="C47" s="543"/>
      <c r="D47" s="665"/>
      <c r="E47" s="543"/>
      <c r="F47" s="543"/>
      <c r="G47" s="500" t="s">
        <v>21</v>
      </c>
      <c r="H47" s="521">
        <v>1.08</v>
      </c>
      <c r="I47" s="521">
        <v>0.52</v>
      </c>
      <c r="J47" s="659" t="s">
        <v>22</v>
      </c>
      <c r="K47" s="521">
        <v>1.85</v>
      </c>
      <c r="L47" s="667"/>
      <c r="M47" s="675"/>
      <c r="N47" s="490"/>
      <c r="O47" s="490"/>
      <c r="P47" s="490"/>
      <c r="Q47" s="490"/>
      <c r="R47" s="490"/>
      <c r="S47" s="490"/>
    </row>
    <row r="48" s="492" customFormat="1" spans="1:19">
      <c r="A48" s="664"/>
      <c r="B48" s="543"/>
      <c r="C48" s="543"/>
      <c r="D48" s="665"/>
      <c r="E48" s="543"/>
      <c r="F48" s="543"/>
      <c r="G48" s="500" t="s">
        <v>43</v>
      </c>
      <c r="H48" s="521">
        <v>1.08</v>
      </c>
      <c r="I48" s="521">
        <v>0.4</v>
      </c>
      <c r="J48" s="659" t="s">
        <v>44</v>
      </c>
      <c r="K48" s="521">
        <v>2.8</v>
      </c>
      <c r="L48" s="667"/>
      <c r="M48" s="675"/>
      <c r="N48" s="490"/>
      <c r="O48" s="490"/>
      <c r="P48" s="490"/>
      <c r="Q48" s="490"/>
      <c r="R48" s="490"/>
      <c r="S48" s="490"/>
    </row>
    <row r="49" s="492" customFormat="1" spans="1:19">
      <c r="A49" s="664"/>
      <c r="B49" s="543"/>
      <c r="C49" s="543"/>
      <c r="D49" s="665"/>
      <c r="E49" s="543"/>
      <c r="F49" s="543"/>
      <c r="G49" s="500" t="s">
        <v>23</v>
      </c>
      <c r="H49" s="521">
        <v>2.01</v>
      </c>
      <c r="I49" s="521">
        <v>0.84</v>
      </c>
      <c r="J49" s="668" t="s">
        <v>24</v>
      </c>
      <c r="K49" s="521" t="s">
        <v>24</v>
      </c>
      <c r="L49" s="669"/>
      <c r="M49" s="675"/>
      <c r="N49" s="490"/>
      <c r="O49" s="490"/>
      <c r="P49" s="490"/>
      <c r="Q49" s="490"/>
      <c r="R49" s="490"/>
      <c r="S49" s="490"/>
    </row>
    <row r="50" s="492" customFormat="1" spans="1:19">
      <c r="A50" s="499">
        <v>46038</v>
      </c>
      <c r="B50" s="509" t="s">
        <v>79</v>
      </c>
      <c r="C50" s="509" t="s">
        <v>13</v>
      </c>
      <c r="D50" s="520">
        <v>6</v>
      </c>
      <c r="E50" s="509" t="s">
        <v>14</v>
      </c>
      <c r="F50" s="509" t="s">
        <v>15</v>
      </c>
      <c r="G50" s="500" t="s">
        <v>16</v>
      </c>
      <c r="H50" s="503">
        <v>1.08</v>
      </c>
      <c r="I50" s="503">
        <v>5.04</v>
      </c>
      <c r="J50" s="659" t="s">
        <v>17</v>
      </c>
      <c r="K50" s="503">
        <v>1.8</v>
      </c>
      <c r="L50" s="676" t="s">
        <v>18</v>
      </c>
      <c r="M50" s="500" t="s">
        <v>80</v>
      </c>
    </row>
    <row r="51" s="492" customFormat="1" spans="1:19">
      <c r="A51" s="499"/>
      <c r="B51" s="509"/>
      <c r="C51" s="509"/>
      <c r="D51" s="520"/>
      <c r="E51" s="509"/>
      <c r="F51" s="509"/>
      <c r="G51" s="500" t="s">
        <v>20</v>
      </c>
      <c r="H51" s="503">
        <v>1.24</v>
      </c>
      <c r="I51" s="503">
        <v>0.36</v>
      </c>
      <c r="J51" s="659" t="s">
        <v>17</v>
      </c>
      <c r="K51" s="503">
        <v>1.82</v>
      </c>
      <c r="L51" s="676"/>
      <c r="M51" s="500"/>
    </row>
    <row r="52" s="492" customFormat="1" spans="1:19">
      <c r="A52" s="499"/>
      <c r="B52" s="509"/>
      <c r="C52" s="509"/>
      <c r="D52" s="520"/>
      <c r="E52" s="509"/>
      <c r="F52" s="509"/>
      <c r="G52" s="500" t="s">
        <v>21</v>
      </c>
      <c r="H52" s="503">
        <v>1.41</v>
      </c>
      <c r="I52" s="503">
        <v>0.3</v>
      </c>
      <c r="J52" s="659" t="s">
        <v>22</v>
      </c>
      <c r="K52" s="503">
        <v>1.9</v>
      </c>
      <c r="L52" s="676"/>
      <c r="M52" s="500"/>
    </row>
    <row r="53" s="492" customFormat="1" spans="1:19">
      <c r="A53" s="499"/>
      <c r="B53" s="509"/>
      <c r="C53" s="509"/>
      <c r="D53" s="520"/>
      <c r="E53" s="509"/>
      <c r="F53" s="509"/>
      <c r="G53" s="500" t="s">
        <v>23</v>
      </c>
      <c r="H53" s="503">
        <v>2.62</v>
      </c>
      <c r="I53" s="503">
        <v>0.3</v>
      </c>
      <c r="J53" s="661" t="s">
        <v>24</v>
      </c>
      <c r="K53" s="503" t="s">
        <v>24</v>
      </c>
      <c r="L53" s="676"/>
      <c r="M53" s="500"/>
    </row>
    <row r="54" s="490" customFormat="1" ht="28" spans="1:19">
      <c r="A54" s="677">
        <v>46042</v>
      </c>
      <c r="B54" s="678" t="s">
        <v>81</v>
      </c>
      <c r="C54" s="678" t="s">
        <v>13</v>
      </c>
      <c r="D54" s="679">
        <v>2.08</v>
      </c>
      <c r="E54" s="680" t="s">
        <v>82</v>
      </c>
      <c r="F54" s="680" t="s">
        <v>83</v>
      </c>
      <c r="G54" s="681" t="s">
        <v>47</v>
      </c>
      <c r="H54" s="682">
        <v>1.02</v>
      </c>
      <c r="I54" s="682">
        <v>2.08</v>
      </c>
      <c r="J54" s="683" t="s">
        <v>17</v>
      </c>
      <c r="K54" s="682">
        <v>2.6</v>
      </c>
      <c r="L54" s="684" t="s">
        <v>48</v>
      </c>
      <c r="M54" s="681"/>
    </row>
    <row r="55" s="490" customFormat="1" spans="1:19">
      <c r="A55" s="506">
        <v>46042</v>
      </c>
      <c r="B55" s="507" t="s">
        <v>84</v>
      </c>
      <c r="C55" s="507" t="s">
        <v>32</v>
      </c>
      <c r="D55" s="508">
        <v>10</v>
      </c>
      <c r="E55" s="507" t="s">
        <v>85</v>
      </c>
      <c r="F55" s="507" t="s">
        <v>14</v>
      </c>
      <c r="G55" s="500" t="s">
        <v>40</v>
      </c>
      <c r="H55" s="503">
        <v>1</v>
      </c>
      <c r="I55" s="503">
        <v>3</v>
      </c>
      <c r="J55" s="659" t="s">
        <v>17</v>
      </c>
      <c r="K55" s="503">
        <v>1.84</v>
      </c>
      <c r="L55" s="685" t="s">
        <v>86</v>
      </c>
      <c r="M55" s="500" t="s">
        <v>87</v>
      </c>
      <c r="N55" s="686"/>
      <c r="O55" s="686"/>
      <c r="P55" s="686"/>
      <c r="Q55" s="686"/>
      <c r="R55" s="686"/>
      <c r="S55" s="686"/>
    </row>
    <row r="56" s="490" customFormat="1" spans="1:19">
      <c r="A56" s="512"/>
      <c r="B56" s="513"/>
      <c r="C56" s="513"/>
      <c r="D56" s="514"/>
      <c r="E56" s="513"/>
      <c r="F56" s="513"/>
      <c r="G56" s="500" t="s">
        <v>42</v>
      </c>
      <c r="H56" s="503">
        <v>1</v>
      </c>
      <c r="I56" s="503">
        <v>5.8</v>
      </c>
      <c r="J56" s="659" t="s">
        <v>17</v>
      </c>
      <c r="K56" s="503">
        <v>1.85</v>
      </c>
      <c r="L56" s="687"/>
      <c r="M56" s="500"/>
      <c r="N56" s="686"/>
      <c r="O56" s="686"/>
      <c r="P56" s="686"/>
      <c r="Q56" s="686"/>
      <c r="R56" s="686"/>
      <c r="S56" s="686"/>
    </row>
    <row r="57" s="490" customFormat="1" spans="1:19">
      <c r="A57" s="512"/>
      <c r="B57" s="513"/>
      <c r="C57" s="513"/>
      <c r="D57" s="514"/>
      <c r="E57" s="513"/>
      <c r="F57" s="513"/>
      <c r="G57" s="500" t="s">
        <v>21</v>
      </c>
      <c r="H57" s="503">
        <v>1</v>
      </c>
      <c r="I57" s="503">
        <v>0.6</v>
      </c>
      <c r="J57" s="659" t="s">
        <v>22</v>
      </c>
      <c r="K57" s="503">
        <v>2.03</v>
      </c>
      <c r="L57" s="687"/>
      <c r="M57" s="500"/>
      <c r="N57" s="686"/>
      <c r="O57" s="686"/>
      <c r="P57" s="686"/>
      <c r="Q57" s="686"/>
      <c r="R57" s="686"/>
      <c r="S57" s="686"/>
    </row>
    <row r="58" s="490" customFormat="1" spans="1:19">
      <c r="A58" s="516"/>
      <c r="B58" s="517"/>
      <c r="C58" s="517"/>
      <c r="D58" s="518"/>
      <c r="E58" s="517"/>
      <c r="F58" s="517"/>
      <c r="G58" s="500" t="s">
        <v>23</v>
      </c>
      <c r="H58" s="503">
        <v>2.75</v>
      </c>
      <c r="I58" s="503">
        <v>0.6</v>
      </c>
      <c r="J58" s="661" t="s">
        <v>24</v>
      </c>
      <c r="K58" s="503" t="s">
        <v>24</v>
      </c>
      <c r="L58" s="688"/>
      <c r="M58" s="500"/>
      <c r="N58" s="686"/>
      <c r="O58" s="686"/>
      <c r="P58" s="686"/>
      <c r="Q58" s="686"/>
      <c r="R58" s="686"/>
      <c r="S58" s="686"/>
    </row>
    <row r="59" s="492" customFormat="1" spans="1:19">
      <c r="A59" s="540">
        <v>46044</v>
      </c>
      <c r="B59" s="515" t="s">
        <v>88</v>
      </c>
      <c r="C59" s="515" t="s">
        <v>32</v>
      </c>
      <c r="D59" s="541">
        <v>10</v>
      </c>
      <c r="E59" s="515" t="s">
        <v>58</v>
      </c>
      <c r="F59" s="515" t="s">
        <v>59</v>
      </c>
      <c r="G59" s="515" t="s">
        <v>73</v>
      </c>
      <c r="H59" s="541">
        <v>1.08</v>
      </c>
      <c r="I59" s="541">
        <v>8.6</v>
      </c>
      <c r="J59" s="515" t="s">
        <v>17</v>
      </c>
      <c r="K59" s="541">
        <v>1.8</v>
      </c>
      <c r="L59" s="666" t="s">
        <v>60</v>
      </c>
      <c r="M59" s="515" t="s">
        <v>89</v>
      </c>
    </row>
    <row r="60" s="492" customFormat="1" spans="1:19">
      <c r="A60" s="540"/>
      <c r="B60" s="515"/>
      <c r="C60" s="515"/>
      <c r="D60" s="541"/>
      <c r="E60" s="515"/>
      <c r="F60" s="515"/>
      <c r="G60" s="515" t="s">
        <v>75</v>
      </c>
      <c r="H60" s="541">
        <v>1.08</v>
      </c>
      <c r="I60" s="541">
        <v>0.6</v>
      </c>
      <c r="J60" s="515" t="s">
        <v>22</v>
      </c>
      <c r="K60" s="541">
        <v>1.85</v>
      </c>
      <c r="L60" s="667"/>
      <c r="M60" s="515"/>
    </row>
    <row r="61" s="492" customFormat="1" spans="1:19">
      <c r="A61" s="540"/>
      <c r="B61" s="515"/>
      <c r="C61" s="515"/>
      <c r="D61" s="541"/>
      <c r="E61" s="515"/>
      <c r="F61" s="515"/>
      <c r="G61" s="515" t="s">
        <v>90</v>
      </c>
      <c r="H61" s="541">
        <v>1.08</v>
      </c>
      <c r="I61" s="541">
        <v>0.3</v>
      </c>
      <c r="J61" s="515" t="s">
        <v>64</v>
      </c>
      <c r="K61" s="541">
        <v>2.8</v>
      </c>
      <c r="L61" s="667"/>
      <c r="M61" s="515"/>
    </row>
    <row r="62" s="492" customFormat="1" spans="1:19">
      <c r="A62" s="540"/>
      <c r="B62" s="515"/>
      <c r="C62" s="515"/>
      <c r="D62" s="541"/>
      <c r="E62" s="515"/>
      <c r="F62" s="515"/>
      <c r="G62" s="515" t="s">
        <v>91</v>
      </c>
      <c r="H62" s="541">
        <v>2</v>
      </c>
      <c r="I62" s="541">
        <v>0.5</v>
      </c>
      <c r="J62" s="515" t="s">
        <v>24</v>
      </c>
      <c r="K62" s="541" t="s">
        <v>24</v>
      </c>
      <c r="L62" s="669"/>
      <c r="M62" s="515"/>
    </row>
    <row r="63" s="492" customFormat="1" spans="1:19">
      <c r="A63" s="540">
        <v>46049</v>
      </c>
      <c r="B63" s="515" t="s">
        <v>92</v>
      </c>
      <c r="C63" s="515" t="s">
        <v>13</v>
      </c>
      <c r="D63" s="541">
        <v>10</v>
      </c>
      <c r="E63" s="515" t="s">
        <v>33</v>
      </c>
      <c r="F63" s="515" t="s">
        <v>15</v>
      </c>
      <c r="G63" s="515" t="s">
        <v>73</v>
      </c>
      <c r="H63" s="541">
        <v>1</v>
      </c>
      <c r="I63" s="541">
        <v>8.35</v>
      </c>
      <c r="J63" s="689" t="s">
        <v>17</v>
      </c>
      <c r="K63" s="541">
        <v>1.9</v>
      </c>
      <c r="L63" s="690" t="s">
        <v>27</v>
      </c>
      <c r="M63" s="515" t="s">
        <v>28</v>
      </c>
    </row>
    <row r="64" s="492" customFormat="1" spans="1:19">
      <c r="A64" s="540"/>
      <c r="B64" s="515"/>
      <c r="C64" s="515"/>
      <c r="D64" s="541"/>
      <c r="E64" s="515"/>
      <c r="F64" s="515"/>
      <c r="G64" s="515" t="s">
        <v>75</v>
      </c>
      <c r="H64" s="541">
        <v>1</v>
      </c>
      <c r="I64" s="541">
        <v>0.7</v>
      </c>
      <c r="J64" s="689" t="s">
        <v>22</v>
      </c>
      <c r="K64" s="541">
        <v>1.9</v>
      </c>
      <c r="L64" s="690"/>
      <c r="M64" s="515"/>
    </row>
    <row r="65" s="492" customFormat="1" spans="1:13">
      <c r="A65" s="540"/>
      <c r="B65" s="515"/>
      <c r="C65" s="515"/>
      <c r="D65" s="541"/>
      <c r="E65" s="515"/>
      <c r="F65" s="515"/>
      <c r="G65" s="515" t="s">
        <v>91</v>
      </c>
      <c r="H65" s="541">
        <v>1.75</v>
      </c>
      <c r="I65" s="541">
        <v>0.95</v>
      </c>
      <c r="J65" s="515" t="s">
        <v>24</v>
      </c>
      <c r="K65" s="541" t="s">
        <v>24</v>
      </c>
      <c r="L65" s="690"/>
      <c r="M65" s="515"/>
    </row>
    <row r="66" s="492" customFormat="1" spans="1:13">
      <c r="A66" s="540">
        <v>46049</v>
      </c>
      <c r="B66" s="515" t="s">
        <v>93</v>
      </c>
      <c r="C66" s="515" t="s">
        <v>32</v>
      </c>
      <c r="D66" s="541">
        <v>8</v>
      </c>
      <c r="E66" s="515" t="s">
        <v>14</v>
      </c>
      <c r="F66" s="515" t="s">
        <v>94</v>
      </c>
      <c r="G66" s="515" t="s">
        <v>73</v>
      </c>
      <c r="H66" s="541">
        <v>1.83</v>
      </c>
      <c r="I66" s="541">
        <v>7.04</v>
      </c>
      <c r="J66" s="689" t="s">
        <v>17</v>
      </c>
      <c r="K66" s="541">
        <v>1.93</v>
      </c>
      <c r="L66" s="690" t="s">
        <v>86</v>
      </c>
      <c r="M66" s="515" t="s">
        <v>95</v>
      </c>
    </row>
    <row r="67" s="492" customFormat="1" spans="1:13">
      <c r="A67" s="540"/>
      <c r="B67" s="515"/>
      <c r="C67" s="515"/>
      <c r="D67" s="541"/>
      <c r="E67" s="515"/>
      <c r="F67" s="515"/>
      <c r="G67" s="515" t="s">
        <v>75</v>
      </c>
      <c r="H67" s="541">
        <v>1.92</v>
      </c>
      <c r="I67" s="541">
        <v>0.32</v>
      </c>
      <c r="J67" s="689" t="s">
        <v>22</v>
      </c>
      <c r="K67" s="541">
        <v>2.1</v>
      </c>
      <c r="L67" s="690"/>
      <c r="M67" s="515"/>
    </row>
    <row r="68" s="492" customFormat="1" spans="1:13">
      <c r="A68" s="540"/>
      <c r="B68" s="515"/>
      <c r="C68" s="515"/>
      <c r="D68" s="541"/>
      <c r="E68" s="515"/>
      <c r="F68" s="515"/>
      <c r="G68" s="515" t="s">
        <v>90</v>
      </c>
      <c r="H68" s="541">
        <v>1.99</v>
      </c>
      <c r="I68" s="541">
        <v>0.24</v>
      </c>
      <c r="J68" s="689" t="s">
        <v>96</v>
      </c>
      <c r="K68" s="541">
        <v>4</v>
      </c>
      <c r="L68" s="690"/>
      <c r="M68" s="515"/>
    </row>
    <row r="69" s="492" customFormat="1" spans="1:13">
      <c r="A69" s="540"/>
      <c r="B69" s="515"/>
      <c r="C69" s="515"/>
      <c r="D69" s="541"/>
      <c r="E69" s="515"/>
      <c r="F69" s="515"/>
      <c r="G69" s="515" t="s">
        <v>91</v>
      </c>
      <c r="H69" s="541">
        <v>1.99</v>
      </c>
      <c r="I69" s="541">
        <v>0.4</v>
      </c>
      <c r="J69" s="515" t="s">
        <v>24</v>
      </c>
      <c r="K69" s="541" t="s">
        <v>24</v>
      </c>
      <c r="L69" s="690"/>
      <c r="M69" s="515"/>
    </row>
    <row r="70" s="492" customFormat="1" spans="1:13">
      <c r="A70" s="540">
        <v>46050</v>
      </c>
      <c r="B70" s="515" t="s">
        <v>97</v>
      </c>
      <c r="C70" s="515" t="s">
        <v>13</v>
      </c>
      <c r="D70" s="541">
        <v>10</v>
      </c>
      <c r="E70" s="515" t="s">
        <v>33</v>
      </c>
      <c r="F70" s="515" t="s">
        <v>59</v>
      </c>
      <c r="G70" s="515" t="s">
        <v>73</v>
      </c>
      <c r="H70" s="541">
        <v>1.5</v>
      </c>
      <c r="I70" s="541">
        <v>8.3</v>
      </c>
      <c r="J70" s="689" t="s">
        <v>17</v>
      </c>
      <c r="K70" s="541">
        <v>2.1</v>
      </c>
      <c r="L70" s="690" t="s">
        <v>35</v>
      </c>
      <c r="M70" s="515" t="s">
        <v>98</v>
      </c>
    </row>
    <row r="71" s="492" customFormat="1" spans="1:13">
      <c r="A71" s="540"/>
      <c r="B71" s="515"/>
      <c r="C71" s="515"/>
      <c r="D71" s="541"/>
      <c r="E71" s="515"/>
      <c r="F71" s="515"/>
      <c r="G71" s="515" t="s">
        <v>75</v>
      </c>
      <c r="H71" s="541">
        <v>1.5</v>
      </c>
      <c r="I71" s="541">
        <v>0.5</v>
      </c>
      <c r="J71" s="689" t="s">
        <v>22</v>
      </c>
      <c r="K71" s="541">
        <v>2.2</v>
      </c>
      <c r="L71" s="690"/>
      <c r="M71" s="515"/>
    </row>
    <row r="72" s="492" customFormat="1" spans="1:13">
      <c r="A72" s="540"/>
      <c r="B72" s="515"/>
      <c r="C72" s="515"/>
      <c r="D72" s="541"/>
      <c r="E72" s="515"/>
      <c r="F72" s="515"/>
      <c r="G72" s="515" t="s">
        <v>99</v>
      </c>
      <c r="H72" s="541">
        <v>1.99</v>
      </c>
      <c r="I72" s="541">
        <v>0.7</v>
      </c>
      <c r="J72" s="689" t="s">
        <v>100</v>
      </c>
      <c r="K72" s="541">
        <v>3.2</v>
      </c>
      <c r="L72" s="690"/>
      <c r="M72" s="515"/>
    </row>
    <row r="73" s="492" customFormat="1" spans="1:13">
      <c r="A73" s="540"/>
      <c r="B73" s="515"/>
      <c r="C73" s="515"/>
      <c r="D73" s="541"/>
      <c r="E73" s="515"/>
      <c r="F73" s="515"/>
      <c r="G73" s="515" t="s">
        <v>91</v>
      </c>
      <c r="H73" s="541">
        <v>1.99</v>
      </c>
      <c r="I73" s="541">
        <v>0.5</v>
      </c>
      <c r="J73" s="515" t="s">
        <v>24</v>
      </c>
      <c r="K73" s="541" t="s">
        <v>24</v>
      </c>
      <c r="L73" s="690"/>
      <c r="M73" s="515"/>
    </row>
    <row r="74" s="492" customFormat="1" spans="1:13">
      <c r="A74" s="540">
        <v>46050</v>
      </c>
      <c r="B74" s="515" t="s">
        <v>101</v>
      </c>
      <c r="C74" s="515" t="s">
        <v>13</v>
      </c>
      <c r="D74" s="541">
        <v>10</v>
      </c>
      <c r="E74" s="515" t="s">
        <v>66</v>
      </c>
      <c r="F74" s="515" t="s">
        <v>77</v>
      </c>
      <c r="G74" s="515" t="s">
        <v>73</v>
      </c>
      <c r="H74" s="541">
        <v>1.09</v>
      </c>
      <c r="I74" s="541">
        <v>8.24</v>
      </c>
      <c r="J74" s="515" t="s">
        <v>17</v>
      </c>
      <c r="K74" s="541">
        <v>1.83</v>
      </c>
      <c r="L74" s="666" t="s">
        <v>60</v>
      </c>
      <c r="M74" s="515" t="s">
        <v>61</v>
      </c>
    </row>
    <row r="75" s="492" customFormat="1" spans="1:13">
      <c r="A75" s="540"/>
      <c r="B75" s="515"/>
      <c r="C75" s="515"/>
      <c r="D75" s="541"/>
      <c r="E75" s="515"/>
      <c r="F75" s="515"/>
      <c r="G75" s="515" t="s">
        <v>75</v>
      </c>
      <c r="H75" s="541">
        <v>1.09</v>
      </c>
      <c r="I75" s="541">
        <v>0.52</v>
      </c>
      <c r="J75" s="515" t="s">
        <v>22</v>
      </c>
      <c r="K75" s="541">
        <v>1.85</v>
      </c>
      <c r="L75" s="667"/>
      <c r="M75" s="515"/>
    </row>
    <row r="76" s="492" customFormat="1" spans="1:13">
      <c r="A76" s="540"/>
      <c r="B76" s="515"/>
      <c r="C76" s="515"/>
      <c r="D76" s="541"/>
      <c r="E76" s="515"/>
      <c r="F76" s="515"/>
      <c r="G76" s="515" t="s">
        <v>90</v>
      </c>
      <c r="H76" s="541">
        <v>1.09</v>
      </c>
      <c r="I76" s="541">
        <v>0.4</v>
      </c>
      <c r="J76" s="515" t="s">
        <v>44</v>
      </c>
      <c r="K76" s="541">
        <v>2.8</v>
      </c>
      <c r="L76" s="667"/>
      <c r="M76" s="515"/>
    </row>
    <row r="77" s="492" customFormat="1" spans="1:13">
      <c r="A77" s="540"/>
      <c r="B77" s="515"/>
      <c r="C77" s="515"/>
      <c r="D77" s="541"/>
      <c r="E77" s="515"/>
      <c r="F77" s="515"/>
      <c r="G77" s="515" t="s">
        <v>91</v>
      </c>
      <c r="H77" s="541">
        <v>2.01</v>
      </c>
      <c r="I77" s="541">
        <v>0.84</v>
      </c>
      <c r="J77" s="515" t="s">
        <v>24</v>
      </c>
      <c r="K77" s="541" t="s">
        <v>24</v>
      </c>
      <c r="L77" s="669"/>
      <c r="M77" s="515"/>
    </row>
    <row r="78" s="492" customFormat="1" spans="1:13">
      <c r="A78" s="540">
        <v>46051</v>
      </c>
      <c r="B78" s="515" t="s">
        <v>102</v>
      </c>
      <c r="C78" s="515" t="s">
        <v>13</v>
      </c>
      <c r="D78" s="541">
        <v>5</v>
      </c>
      <c r="E78" s="515" t="s">
        <v>103</v>
      </c>
      <c r="F78" s="515" t="s">
        <v>15</v>
      </c>
      <c r="G78" s="515" t="s">
        <v>73</v>
      </c>
      <c r="H78" s="541">
        <v>1.83</v>
      </c>
      <c r="I78" s="541">
        <v>4.2</v>
      </c>
      <c r="J78" s="515" t="s">
        <v>17</v>
      </c>
      <c r="K78" s="541">
        <v>1.9</v>
      </c>
      <c r="L78" s="690" t="s">
        <v>18</v>
      </c>
      <c r="M78" s="515" t="s">
        <v>104</v>
      </c>
    </row>
    <row r="79" s="492" customFormat="1" spans="1:13">
      <c r="A79" s="540"/>
      <c r="B79" s="515"/>
      <c r="C79" s="515"/>
      <c r="D79" s="541"/>
      <c r="E79" s="515"/>
      <c r="F79" s="515"/>
      <c r="G79" s="515" t="s">
        <v>75</v>
      </c>
      <c r="H79" s="541">
        <v>1.92</v>
      </c>
      <c r="I79" s="541">
        <v>0.25</v>
      </c>
      <c r="J79" s="515" t="s">
        <v>22</v>
      </c>
      <c r="K79" s="541">
        <v>2</v>
      </c>
      <c r="L79" s="690"/>
      <c r="M79" s="515"/>
    </row>
    <row r="80" s="492" customFormat="1" spans="1:13">
      <c r="A80" s="540"/>
      <c r="B80" s="515"/>
      <c r="C80" s="515"/>
      <c r="D80" s="541"/>
      <c r="E80" s="515"/>
      <c r="F80" s="515"/>
      <c r="G80" s="515" t="s">
        <v>90</v>
      </c>
      <c r="H80" s="541">
        <v>2.01</v>
      </c>
      <c r="I80" s="541">
        <v>0.15</v>
      </c>
      <c r="J80" s="515" t="s">
        <v>44</v>
      </c>
      <c r="K80" s="541">
        <v>2.1</v>
      </c>
      <c r="L80" s="690"/>
      <c r="M80" s="515"/>
    </row>
    <row r="81" s="492" customFormat="1" spans="1:13">
      <c r="A81" s="540"/>
      <c r="B81" s="515"/>
      <c r="C81" s="515"/>
      <c r="D81" s="541"/>
      <c r="E81" s="515"/>
      <c r="F81" s="515"/>
      <c r="G81" s="515" t="s">
        <v>105</v>
      </c>
      <c r="H81" s="541">
        <v>2.58</v>
      </c>
      <c r="I81" s="541">
        <v>0.15</v>
      </c>
      <c r="J81" s="515" t="s">
        <v>24</v>
      </c>
      <c r="K81" s="541" t="s">
        <v>24</v>
      </c>
      <c r="L81" s="690"/>
      <c r="M81" s="515"/>
    </row>
    <row r="82" s="492" customFormat="1" spans="1:13">
      <c r="A82" s="540"/>
      <c r="B82" s="515"/>
      <c r="C82" s="515"/>
      <c r="D82" s="541"/>
      <c r="E82" s="515"/>
      <c r="F82" s="515"/>
      <c r="G82" s="515" t="s">
        <v>106</v>
      </c>
      <c r="H82" s="541">
        <v>2.58</v>
      </c>
      <c r="I82" s="541">
        <v>0.25</v>
      </c>
      <c r="J82" s="515" t="s">
        <v>24</v>
      </c>
      <c r="K82" s="541" t="s">
        <v>24</v>
      </c>
      <c r="L82" s="690"/>
      <c r="M82" s="515"/>
    </row>
    <row r="83" s="492" customFormat="1" spans="1:13">
      <c r="A83" s="519">
        <v>46051</v>
      </c>
      <c r="B83" s="509" t="s">
        <v>107</v>
      </c>
      <c r="C83" s="509" t="s">
        <v>13</v>
      </c>
      <c r="D83" s="520">
        <v>10</v>
      </c>
      <c r="E83" s="509" t="s">
        <v>72</v>
      </c>
      <c r="F83" s="509" t="s">
        <v>15</v>
      </c>
      <c r="G83" s="515" t="s">
        <v>73</v>
      </c>
      <c r="H83" s="541">
        <v>0.98</v>
      </c>
      <c r="I83" s="541">
        <v>8.7</v>
      </c>
      <c r="J83" s="515" t="s">
        <v>17</v>
      </c>
      <c r="K83" s="542">
        <v>1.9</v>
      </c>
      <c r="L83" s="660" t="s">
        <v>27</v>
      </c>
      <c r="M83" s="509" t="s">
        <v>89</v>
      </c>
    </row>
    <row r="84" s="492" customFormat="1" spans="1:13">
      <c r="A84" s="519"/>
      <c r="B84" s="509"/>
      <c r="C84" s="509"/>
      <c r="D84" s="520"/>
      <c r="E84" s="509"/>
      <c r="F84" s="509"/>
      <c r="G84" s="515" t="s">
        <v>75</v>
      </c>
      <c r="H84" s="542">
        <v>0.98</v>
      </c>
      <c r="I84" s="542">
        <v>0.5</v>
      </c>
      <c r="J84" s="515" t="s">
        <v>22</v>
      </c>
      <c r="K84" s="542">
        <v>1.93</v>
      </c>
      <c r="L84" s="660"/>
      <c r="M84" s="509"/>
    </row>
    <row r="85" s="492" customFormat="1" spans="1:13">
      <c r="A85" s="519"/>
      <c r="B85" s="509"/>
      <c r="C85" s="509"/>
      <c r="D85" s="520"/>
      <c r="E85" s="509"/>
      <c r="F85" s="509"/>
      <c r="G85" s="515" t="s">
        <v>91</v>
      </c>
      <c r="H85" s="542">
        <v>1.81</v>
      </c>
      <c r="I85" s="542">
        <v>0.8</v>
      </c>
      <c r="J85" s="515" t="s">
        <v>24</v>
      </c>
      <c r="K85" s="542" t="s">
        <v>24</v>
      </c>
      <c r="L85" s="660"/>
      <c r="M85" s="509"/>
    </row>
    <row r="86" s="492" customFormat="1" spans="1:13">
      <c r="A86" s="519">
        <v>46052</v>
      </c>
      <c r="B86" s="509" t="s">
        <v>108</v>
      </c>
      <c r="C86" s="509" t="s">
        <v>13</v>
      </c>
      <c r="D86" s="520">
        <v>10</v>
      </c>
      <c r="E86" s="509" t="s">
        <v>109</v>
      </c>
      <c r="F86" s="509" t="s">
        <v>59</v>
      </c>
      <c r="G86" s="515" t="s">
        <v>73</v>
      </c>
      <c r="H86" s="542">
        <v>1.49</v>
      </c>
      <c r="I86" s="542">
        <v>8.3</v>
      </c>
      <c r="J86" s="515" t="s">
        <v>17</v>
      </c>
      <c r="K86" s="542">
        <v>2.04</v>
      </c>
      <c r="L86" s="660" t="s">
        <v>35</v>
      </c>
      <c r="M86" s="509" t="s">
        <v>98</v>
      </c>
    </row>
    <row r="87" s="492" customFormat="1" spans="1:13">
      <c r="A87" s="519"/>
      <c r="B87" s="509"/>
      <c r="C87" s="509"/>
      <c r="D87" s="520"/>
      <c r="E87" s="509"/>
      <c r="F87" s="509"/>
      <c r="G87" s="515" t="s">
        <v>75</v>
      </c>
      <c r="H87" s="542">
        <v>1.49</v>
      </c>
      <c r="I87" s="542">
        <v>0.5</v>
      </c>
      <c r="J87" s="515" t="s">
        <v>22</v>
      </c>
      <c r="K87" s="542">
        <v>2.17</v>
      </c>
      <c r="L87" s="660"/>
      <c r="M87" s="509"/>
    </row>
    <row r="88" s="492" customFormat="1" spans="1:13">
      <c r="A88" s="519"/>
      <c r="B88" s="509"/>
      <c r="C88" s="509"/>
      <c r="D88" s="520"/>
      <c r="E88" s="509"/>
      <c r="F88" s="509"/>
      <c r="G88" s="515" t="s">
        <v>99</v>
      </c>
      <c r="H88" s="542">
        <v>1.98</v>
      </c>
      <c r="I88" s="542">
        <v>0.7</v>
      </c>
      <c r="J88" s="515" t="s">
        <v>100</v>
      </c>
      <c r="K88" s="542">
        <v>3.2</v>
      </c>
      <c r="L88" s="660"/>
      <c r="M88" s="509"/>
    </row>
    <row r="89" s="492" customFormat="1" spans="1:13">
      <c r="A89" s="519"/>
      <c r="B89" s="509"/>
      <c r="C89" s="509"/>
      <c r="D89" s="520"/>
      <c r="E89" s="509"/>
      <c r="F89" s="509"/>
      <c r="G89" s="515" t="s">
        <v>91</v>
      </c>
      <c r="H89" s="542">
        <v>1.98</v>
      </c>
      <c r="I89" s="542">
        <v>0.5</v>
      </c>
      <c r="J89" s="515" t="s">
        <v>24</v>
      </c>
      <c r="K89" s="542" t="s">
        <v>24</v>
      </c>
      <c r="L89" s="660"/>
      <c r="M89" s="509"/>
    </row>
    <row r="90" s="492" customFormat="1" spans="1:13">
      <c r="A90" s="540">
        <v>46052</v>
      </c>
      <c r="B90" s="515" t="s">
        <v>110</v>
      </c>
      <c r="C90" s="515" t="s">
        <v>13</v>
      </c>
      <c r="D90" s="541">
        <v>2</v>
      </c>
      <c r="E90" s="515" t="s">
        <v>14</v>
      </c>
      <c r="F90" s="515" t="s">
        <v>111</v>
      </c>
      <c r="G90" s="515" t="s">
        <v>73</v>
      </c>
      <c r="H90" s="541">
        <v>0.55</v>
      </c>
      <c r="I90" s="541">
        <v>1.8</v>
      </c>
      <c r="J90" s="689" t="s">
        <v>17</v>
      </c>
      <c r="K90" s="541">
        <v>1.8</v>
      </c>
      <c r="L90" s="690" t="s">
        <v>112</v>
      </c>
      <c r="M90" s="515"/>
    </row>
    <row r="91" s="492" customFormat="1" spans="1:13">
      <c r="A91" s="540"/>
      <c r="B91" s="515"/>
      <c r="C91" s="515"/>
      <c r="D91" s="541"/>
      <c r="E91" s="515"/>
      <c r="F91" s="515"/>
      <c r="G91" s="515" t="s">
        <v>75</v>
      </c>
      <c r="H91" s="541">
        <v>0.55</v>
      </c>
      <c r="I91" s="541">
        <v>0.1</v>
      </c>
      <c r="J91" s="689" t="s">
        <v>22</v>
      </c>
      <c r="K91" s="541">
        <v>1.93</v>
      </c>
      <c r="L91" s="690"/>
      <c r="M91" s="515"/>
    </row>
    <row r="92" s="492" customFormat="1" spans="1:13">
      <c r="A92" s="540"/>
      <c r="B92" s="515"/>
      <c r="C92" s="515"/>
      <c r="D92" s="541"/>
      <c r="E92" s="515"/>
      <c r="F92" s="515"/>
      <c r="G92" s="545" t="s">
        <v>113</v>
      </c>
      <c r="H92" s="541">
        <v>3.02</v>
      </c>
      <c r="I92" s="541">
        <v>0.04</v>
      </c>
      <c r="J92" s="689" t="s">
        <v>24</v>
      </c>
      <c r="K92" s="541" t="s">
        <v>24</v>
      </c>
      <c r="L92" s="690"/>
      <c r="M92" s="515"/>
    </row>
    <row r="93" s="492" customFormat="1" spans="1:13">
      <c r="A93" s="540"/>
      <c r="B93" s="515"/>
      <c r="C93" s="515"/>
      <c r="D93" s="541"/>
      <c r="E93" s="515"/>
      <c r="F93" s="515"/>
      <c r="G93" s="545" t="s">
        <v>114</v>
      </c>
      <c r="H93" s="541">
        <v>3.02</v>
      </c>
      <c r="I93" s="541">
        <v>0.06</v>
      </c>
      <c r="J93" s="515" t="s">
        <v>24</v>
      </c>
      <c r="K93" s="541" t="s">
        <v>24</v>
      </c>
      <c r="L93" s="690"/>
      <c r="M93" s="515"/>
    </row>
    <row r="94" s="492" customFormat="1" spans="1:13">
      <c r="A94" s="519">
        <v>46056</v>
      </c>
      <c r="B94" s="509" t="s">
        <v>115</v>
      </c>
      <c r="C94" s="509" t="s">
        <v>13</v>
      </c>
      <c r="D94" s="520">
        <v>10</v>
      </c>
      <c r="E94" s="509" t="s">
        <v>33</v>
      </c>
      <c r="F94" s="509" t="s">
        <v>116</v>
      </c>
      <c r="G94" s="515" t="s">
        <v>73</v>
      </c>
      <c r="H94" s="542">
        <v>1.08</v>
      </c>
      <c r="I94" s="542">
        <v>8.3</v>
      </c>
      <c r="J94" s="515" t="s">
        <v>17</v>
      </c>
      <c r="K94" s="542">
        <v>1.97</v>
      </c>
      <c r="L94" s="660" t="s">
        <v>35</v>
      </c>
      <c r="M94" s="509" t="s">
        <v>98</v>
      </c>
    </row>
    <row r="95" s="492" customFormat="1" spans="1:13">
      <c r="A95" s="519"/>
      <c r="B95" s="509"/>
      <c r="C95" s="509"/>
      <c r="D95" s="520"/>
      <c r="E95" s="509"/>
      <c r="F95" s="509"/>
      <c r="G95" s="515" t="s">
        <v>75</v>
      </c>
      <c r="H95" s="542">
        <v>1.08</v>
      </c>
      <c r="I95" s="542">
        <v>0.5</v>
      </c>
      <c r="J95" s="515" t="s">
        <v>22</v>
      </c>
      <c r="K95" s="542">
        <v>2.15</v>
      </c>
      <c r="L95" s="660"/>
      <c r="M95" s="509"/>
    </row>
    <row r="96" s="492" customFormat="1" spans="1:13">
      <c r="A96" s="519"/>
      <c r="B96" s="509"/>
      <c r="C96" s="509"/>
      <c r="D96" s="520"/>
      <c r="E96" s="509"/>
      <c r="F96" s="509"/>
      <c r="G96" s="515" t="s">
        <v>99</v>
      </c>
      <c r="H96" s="542">
        <v>1.75</v>
      </c>
      <c r="I96" s="542">
        <v>0.7</v>
      </c>
      <c r="J96" s="515" t="s">
        <v>100</v>
      </c>
      <c r="K96" s="542">
        <v>3.1</v>
      </c>
      <c r="L96" s="660"/>
      <c r="M96" s="509"/>
    </row>
    <row r="97" s="492" customFormat="1" spans="1:13">
      <c r="A97" s="519"/>
      <c r="B97" s="509"/>
      <c r="C97" s="509"/>
      <c r="D97" s="520"/>
      <c r="E97" s="509"/>
      <c r="F97" s="509"/>
      <c r="G97" s="515" t="s">
        <v>91</v>
      </c>
      <c r="H97" s="542">
        <v>1.75</v>
      </c>
      <c r="I97" s="542">
        <v>0.5</v>
      </c>
      <c r="J97" s="515" t="s">
        <v>24</v>
      </c>
      <c r="K97" s="542" t="s">
        <v>24</v>
      </c>
      <c r="L97" s="660"/>
      <c r="M97" s="509"/>
    </row>
    <row r="98" s="492" customFormat="1" spans="1:13">
      <c r="A98" s="519">
        <v>46056</v>
      </c>
      <c r="B98" s="509" t="s">
        <v>117</v>
      </c>
      <c r="C98" s="509" t="s">
        <v>13</v>
      </c>
      <c r="D98" s="520">
        <v>6</v>
      </c>
      <c r="E98" s="509" t="s">
        <v>14</v>
      </c>
      <c r="F98" s="509" t="s">
        <v>15</v>
      </c>
      <c r="G98" s="500" t="s">
        <v>40</v>
      </c>
      <c r="H98" s="542">
        <v>1.07</v>
      </c>
      <c r="I98" s="542">
        <v>5.04</v>
      </c>
      <c r="J98" s="515" t="s">
        <v>17</v>
      </c>
      <c r="K98" s="542">
        <v>1.84</v>
      </c>
      <c r="L98" s="660" t="s">
        <v>18</v>
      </c>
      <c r="M98" s="509" t="s">
        <v>19</v>
      </c>
    </row>
    <row r="99" s="492" customFormat="1" spans="1:13">
      <c r="A99" s="519"/>
      <c r="B99" s="509"/>
      <c r="C99" s="509"/>
      <c r="D99" s="520"/>
      <c r="E99" s="509"/>
      <c r="F99" s="509"/>
      <c r="G99" s="500" t="s">
        <v>42</v>
      </c>
      <c r="H99" s="542">
        <v>1.24</v>
      </c>
      <c r="I99" s="542">
        <v>0.36</v>
      </c>
      <c r="J99" s="515" t="s">
        <v>17</v>
      </c>
      <c r="K99" s="542">
        <v>1.84</v>
      </c>
      <c r="L99" s="660"/>
      <c r="M99" s="509"/>
    </row>
    <row r="100" s="492" customFormat="1" spans="1:13">
      <c r="A100" s="519"/>
      <c r="B100" s="509"/>
      <c r="C100" s="509"/>
      <c r="D100" s="520"/>
      <c r="E100" s="509"/>
      <c r="F100" s="509"/>
      <c r="G100" s="500" t="s">
        <v>21</v>
      </c>
      <c r="H100" s="542">
        <v>1.4</v>
      </c>
      <c r="I100" s="542">
        <v>0.3</v>
      </c>
      <c r="J100" s="515" t="s">
        <v>22</v>
      </c>
      <c r="K100" s="542">
        <v>1.9</v>
      </c>
      <c r="L100" s="660"/>
      <c r="M100" s="509"/>
    </row>
    <row r="101" s="492" customFormat="1" spans="1:13">
      <c r="A101" s="519"/>
      <c r="B101" s="509"/>
      <c r="C101" s="509"/>
      <c r="D101" s="520"/>
      <c r="E101" s="509"/>
      <c r="F101" s="509"/>
      <c r="G101" s="500" t="s">
        <v>23</v>
      </c>
      <c r="H101" s="542">
        <v>2.61</v>
      </c>
      <c r="I101" s="542">
        <v>0.3</v>
      </c>
      <c r="J101" s="515" t="s">
        <v>24</v>
      </c>
      <c r="K101" s="541" t="s">
        <v>24</v>
      </c>
      <c r="L101" s="660"/>
      <c r="M101" s="509"/>
    </row>
    <row r="102" s="492" customFormat="1" spans="1:13">
      <c r="A102" s="519">
        <v>46059</v>
      </c>
      <c r="B102" s="509" t="s">
        <v>118</v>
      </c>
      <c r="C102" s="509" t="s">
        <v>13</v>
      </c>
      <c r="D102" s="520">
        <v>4</v>
      </c>
      <c r="E102" s="509" t="s">
        <v>72</v>
      </c>
      <c r="F102" s="509" t="s">
        <v>119</v>
      </c>
      <c r="G102" s="500" t="s">
        <v>16</v>
      </c>
      <c r="H102" s="542">
        <v>0.94</v>
      </c>
      <c r="I102" s="542">
        <v>1.2</v>
      </c>
      <c r="J102" s="515" t="s">
        <v>17</v>
      </c>
      <c r="K102" s="542">
        <v>2.6</v>
      </c>
      <c r="L102" s="660" t="s">
        <v>48</v>
      </c>
      <c r="M102" s="509"/>
    </row>
    <row r="103" s="492" customFormat="1" spans="1:13">
      <c r="A103" s="519"/>
      <c r="B103" s="509"/>
      <c r="C103" s="509"/>
      <c r="D103" s="520"/>
      <c r="E103" s="509"/>
      <c r="F103" s="509"/>
      <c r="G103" s="500" t="s">
        <v>20</v>
      </c>
      <c r="H103" s="542">
        <v>1.94</v>
      </c>
      <c r="I103" s="542">
        <v>1.6</v>
      </c>
      <c r="J103" s="515" t="s">
        <v>17</v>
      </c>
      <c r="K103" s="542">
        <v>2.8</v>
      </c>
      <c r="L103" s="660"/>
      <c r="M103" s="509"/>
    </row>
    <row r="104" s="492" customFormat="1" spans="1:13">
      <c r="A104" s="519"/>
      <c r="B104" s="509"/>
      <c r="C104" s="509"/>
      <c r="D104" s="520"/>
      <c r="E104" s="509"/>
      <c r="F104" s="509"/>
      <c r="G104" s="500" t="s">
        <v>120</v>
      </c>
      <c r="H104" s="542">
        <v>2.94</v>
      </c>
      <c r="I104" s="542">
        <v>1.14</v>
      </c>
      <c r="J104" s="515" t="s">
        <v>17</v>
      </c>
      <c r="K104" s="542">
        <v>3.6</v>
      </c>
      <c r="L104" s="660"/>
      <c r="M104" s="509"/>
    </row>
    <row r="105" s="492" customFormat="1" spans="1:13">
      <c r="A105" s="519"/>
      <c r="B105" s="509"/>
      <c r="C105" s="509"/>
      <c r="D105" s="520"/>
      <c r="E105" s="509"/>
      <c r="F105" s="509"/>
      <c r="G105" s="500" t="s">
        <v>23</v>
      </c>
      <c r="H105" s="542">
        <v>2.94</v>
      </c>
      <c r="I105" s="542">
        <v>0.06</v>
      </c>
      <c r="J105" s="515" t="s">
        <v>24</v>
      </c>
      <c r="K105" s="542" t="s">
        <v>24</v>
      </c>
      <c r="L105" s="660"/>
      <c r="M105" s="509"/>
    </row>
    <row r="106" s="492" customFormat="1" spans="1:13">
      <c r="A106" s="519">
        <v>46059</v>
      </c>
      <c r="B106" s="509" t="s">
        <v>121</v>
      </c>
      <c r="C106" s="509" t="s">
        <v>32</v>
      </c>
      <c r="D106" s="520">
        <v>10</v>
      </c>
      <c r="E106" s="509" t="s">
        <v>51</v>
      </c>
      <c r="F106" s="509" t="s">
        <v>52</v>
      </c>
      <c r="G106" s="509" t="s">
        <v>73</v>
      </c>
      <c r="H106" s="542">
        <v>0.99</v>
      </c>
      <c r="I106" s="542">
        <v>9</v>
      </c>
      <c r="J106" s="515" t="s">
        <v>17</v>
      </c>
      <c r="K106" s="542">
        <v>1.85</v>
      </c>
      <c r="L106" s="660" t="s">
        <v>35</v>
      </c>
      <c r="M106" s="509" t="s">
        <v>53</v>
      </c>
    </row>
    <row r="107" s="492" customFormat="1" spans="1:13">
      <c r="A107" s="519"/>
      <c r="B107" s="509"/>
      <c r="C107" s="509"/>
      <c r="D107" s="520"/>
      <c r="E107" s="509"/>
      <c r="F107" s="509"/>
      <c r="G107" s="509" t="s">
        <v>75</v>
      </c>
      <c r="H107" s="542">
        <v>0.99</v>
      </c>
      <c r="I107" s="542">
        <v>0.3</v>
      </c>
      <c r="J107" s="515" t="s">
        <v>22</v>
      </c>
      <c r="K107" s="542">
        <v>2.1</v>
      </c>
      <c r="L107" s="660"/>
      <c r="M107" s="509"/>
    </row>
    <row r="108" s="492" customFormat="1" spans="1:13">
      <c r="A108" s="519"/>
      <c r="B108" s="509"/>
      <c r="C108" s="509"/>
      <c r="D108" s="520"/>
      <c r="E108" s="509"/>
      <c r="F108" s="509"/>
      <c r="G108" s="509" t="s">
        <v>99</v>
      </c>
      <c r="H108" s="542">
        <v>0.99</v>
      </c>
      <c r="I108" s="542">
        <v>0.2</v>
      </c>
      <c r="J108" s="515" t="s">
        <v>96</v>
      </c>
      <c r="K108" s="542">
        <v>3.1</v>
      </c>
      <c r="L108" s="660"/>
      <c r="M108" s="509"/>
    </row>
    <row r="109" s="492" customFormat="1" spans="1:13">
      <c r="A109" s="519"/>
      <c r="B109" s="509"/>
      <c r="C109" s="509"/>
      <c r="D109" s="520"/>
      <c r="E109" s="509"/>
      <c r="F109" s="509"/>
      <c r="G109" s="509" t="s">
        <v>91</v>
      </c>
      <c r="H109" s="542">
        <v>2.83</v>
      </c>
      <c r="I109" s="542">
        <v>0.5</v>
      </c>
      <c r="J109" s="515" t="s">
        <v>24</v>
      </c>
      <c r="K109" s="542" t="s">
        <v>24</v>
      </c>
      <c r="L109" s="660"/>
      <c r="M109" s="509"/>
    </row>
    <row r="110" s="492" customFormat="1" spans="1:13">
      <c r="A110" s="519">
        <v>46059</v>
      </c>
      <c r="B110" s="509" t="s">
        <v>122</v>
      </c>
      <c r="C110" s="509" t="s">
        <v>32</v>
      </c>
      <c r="D110" s="520">
        <v>3</v>
      </c>
      <c r="E110" s="509" t="s">
        <v>66</v>
      </c>
      <c r="F110" s="509" t="s">
        <v>39</v>
      </c>
      <c r="G110" s="509" t="s">
        <v>73</v>
      </c>
      <c r="H110" s="542">
        <v>1.49</v>
      </c>
      <c r="I110" s="542">
        <v>2.5</v>
      </c>
      <c r="J110" s="515" t="s">
        <v>17</v>
      </c>
      <c r="K110" s="542">
        <v>2.7</v>
      </c>
      <c r="L110" s="660" t="s">
        <v>123</v>
      </c>
      <c r="M110" s="509"/>
    </row>
    <row r="111" s="492" customFormat="1" spans="1:13">
      <c r="A111" s="519"/>
      <c r="B111" s="509"/>
      <c r="C111" s="509"/>
      <c r="D111" s="520"/>
      <c r="E111" s="509"/>
      <c r="F111" s="509"/>
      <c r="G111" s="509" t="s">
        <v>75</v>
      </c>
      <c r="H111" s="542">
        <v>1.49</v>
      </c>
      <c r="I111" s="542">
        <v>0.2</v>
      </c>
      <c r="J111" s="515" t="s">
        <v>22</v>
      </c>
      <c r="K111" s="542">
        <v>3</v>
      </c>
      <c r="L111" s="660"/>
      <c r="M111" s="509"/>
    </row>
    <row r="112" s="492" customFormat="1" spans="1:13">
      <c r="A112" s="519"/>
      <c r="B112" s="509"/>
      <c r="C112" s="509"/>
      <c r="D112" s="520"/>
      <c r="E112" s="509"/>
      <c r="F112" s="509"/>
      <c r="G112" s="509" t="s">
        <v>90</v>
      </c>
      <c r="H112" s="542">
        <v>1.49</v>
      </c>
      <c r="I112" s="542">
        <v>0.15</v>
      </c>
      <c r="J112" s="515" t="s">
        <v>44</v>
      </c>
      <c r="K112" s="542">
        <v>3.5</v>
      </c>
      <c r="L112" s="660"/>
      <c r="M112" s="509"/>
    </row>
    <row r="113" s="492" customFormat="1" spans="1:13">
      <c r="A113" s="519"/>
      <c r="B113" s="509"/>
      <c r="C113" s="509"/>
      <c r="D113" s="520"/>
      <c r="E113" s="509"/>
      <c r="F113" s="509"/>
      <c r="G113" s="509" t="s">
        <v>91</v>
      </c>
      <c r="H113" s="542">
        <v>1.49</v>
      </c>
      <c r="I113" s="542">
        <v>0.15</v>
      </c>
      <c r="J113" s="515" t="s">
        <v>24</v>
      </c>
      <c r="K113" s="542" t="s">
        <v>24</v>
      </c>
      <c r="L113" s="660"/>
      <c r="M113" s="509"/>
    </row>
    <row r="114" s="490" customFormat="1" spans="1:13">
      <c r="A114" s="519">
        <v>46059</v>
      </c>
      <c r="B114" s="509" t="s">
        <v>124</v>
      </c>
      <c r="C114" s="509" t="s">
        <v>32</v>
      </c>
      <c r="D114" s="520">
        <v>6</v>
      </c>
      <c r="E114" s="509" t="s">
        <v>14</v>
      </c>
      <c r="F114" s="509" t="s">
        <v>94</v>
      </c>
      <c r="G114" s="509" t="s">
        <v>73</v>
      </c>
      <c r="H114" s="542">
        <v>1.83</v>
      </c>
      <c r="I114" s="542">
        <v>5.28</v>
      </c>
      <c r="J114" s="515" t="s">
        <v>17</v>
      </c>
      <c r="K114" s="542">
        <v>1.93</v>
      </c>
      <c r="L114" s="660" t="s">
        <v>86</v>
      </c>
      <c r="M114" s="509" t="s">
        <v>95</v>
      </c>
    </row>
    <row r="115" s="490" customFormat="1" spans="1:13">
      <c r="A115" s="519"/>
      <c r="B115" s="509"/>
      <c r="C115" s="509"/>
      <c r="D115" s="520"/>
      <c r="E115" s="509"/>
      <c r="F115" s="509"/>
      <c r="G115" s="509" t="s">
        <v>75</v>
      </c>
      <c r="H115" s="542">
        <v>1.91</v>
      </c>
      <c r="I115" s="542">
        <v>0.24</v>
      </c>
      <c r="J115" s="515" t="s">
        <v>22</v>
      </c>
      <c r="K115" s="542">
        <v>2.1</v>
      </c>
      <c r="L115" s="660"/>
      <c r="M115" s="509"/>
    </row>
    <row r="116" s="490" customFormat="1" spans="1:13">
      <c r="A116" s="519"/>
      <c r="B116" s="509"/>
      <c r="C116" s="509"/>
      <c r="D116" s="520"/>
      <c r="E116" s="509"/>
      <c r="F116" s="509"/>
      <c r="G116" s="509" t="s">
        <v>90</v>
      </c>
      <c r="H116" s="542">
        <v>1.99</v>
      </c>
      <c r="I116" s="542">
        <v>0.18</v>
      </c>
      <c r="J116" s="515" t="s">
        <v>96</v>
      </c>
      <c r="K116" s="542">
        <v>4</v>
      </c>
      <c r="L116" s="660"/>
      <c r="M116" s="509"/>
    </row>
    <row r="117" s="490" customFormat="1" spans="1:13">
      <c r="A117" s="519"/>
      <c r="B117" s="509"/>
      <c r="C117" s="509"/>
      <c r="D117" s="520"/>
      <c r="E117" s="509"/>
      <c r="F117" s="509"/>
      <c r="G117" s="509" t="s">
        <v>91</v>
      </c>
      <c r="H117" s="542">
        <v>1.99</v>
      </c>
      <c r="I117" s="542">
        <v>0.3</v>
      </c>
      <c r="J117" s="515" t="s">
        <v>24</v>
      </c>
      <c r="K117" s="542" t="s">
        <v>24</v>
      </c>
      <c r="L117" s="660"/>
      <c r="M117" s="509"/>
    </row>
    <row r="118" s="490" customFormat="1" spans="1:13">
      <c r="A118" s="519">
        <v>46063</v>
      </c>
      <c r="B118" s="509" t="s">
        <v>125</v>
      </c>
      <c r="C118" s="509" t="s">
        <v>32</v>
      </c>
      <c r="D118" s="520">
        <v>20</v>
      </c>
      <c r="E118" s="509" t="s">
        <v>85</v>
      </c>
      <c r="F118" s="509" t="s">
        <v>14</v>
      </c>
      <c r="G118" s="500" t="s">
        <v>40</v>
      </c>
      <c r="H118" s="542">
        <v>0.98</v>
      </c>
      <c r="I118" s="542">
        <v>6</v>
      </c>
      <c r="J118" s="515" t="s">
        <v>17</v>
      </c>
      <c r="K118" s="542">
        <v>1.84</v>
      </c>
      <c r="L118" s="660" t="s">
        <v>86</v>
      </c>
      <c r="M118" s="509" t="s">
        <v>95</v>
      </c>
    </row>
    <row r="119" s="490" customFormat="1" spans="1:13">
      <c r="A119" s="519"/>
      <c r="B119" s="509"/>
      <c r="C119" s="509"/>
      <c r="D119" s="520"/>
      <c r="E119" s="509"/>
      <c r="F119" s="509"/>
      <c r="G119" s="500" t="s">
        <v>42</v>
      </c>
      <c r="H119" s="542">
        <v>0.98</v>
      </c>
      <c r="I119" s="542">
        <v>11.6</v>
      </c>
      <c r="J119" s="515" t="s">
        <v>17</v>
      </c>
      <c r="K119" s="542">
        <v>1.85</v>
      </c>
      <c r="L119" s="660"/>
      <c r="M119" s="509"/>
    </row>
    <row r="120" s="490" customFormat="1" spans="1:13">
      <c r="A120" s="519"/>
      <c r="B120" s="509"/>
      <c r="C120" s="509"/>
      <c r="D120" s="520"/>
      <c r="E120" s="509"/>
      <c r="F120" s="509"/>
      <c r="G120" s="500" t="s">
        <v>21</v>
      </c>
      <c r="H120" s="542">
        <v>0.98</v>
      </c>
      <c r="I120" s="542">
        <v>1.2</v>
      </c>
      <c r="J120" s="515" t="s">
        <v>22</v>
      </c>
      <c r="K120" s="542">
        <v>1.95</v>
      </c>
      <c r="L120" s="660"/>
      <c r="M120" s="509"/>
    </row>
    <row r="121" s="490" customFormat="1" spans="1:13">
      <c r="A121" s="519"/>
      <c r="B121" s="509"/>
      <c r="C121" s="509"/>
      <c r="D121" s="520"/>
      <c r="E121" s="509"/>
      <c r="F121" s="509"/>
      <c r="G121" s="509" t="s">
        <v>91</v>
      </c>
      <c r="H121" s="542">
        <v>2.75</v>
      </c>
      <c r="I121" s="542">
        <v>1.2</v>
      </c>
      <c r="J121" s="515" t="s">
        <v>24</v>
      </c>
      <c r="K121" s="541" t="s">
        <v>24</v>
      </c>
      <c r="L121" s="660"/>
      <c r="M121" s="509"/>
    </row>
    <row r="122" s="490" customFormat="1" spans="1:13">
      <c r="A122" s="506">
        <v>46063</v>
      </c>
      <c r="B122" s="507" t="s">
        <v>126</v>
      </c>
      <c r="C122" s="507" t="s">
        <v>13</v>
      </c>
      <c r="D122" s="508">
        <v>10</v>
      </c>
      <c r="E122" s="507" t="s">
        <v>38</v>
      </c>
      <c r="F122" s="507" t="s">
        <v>39</v>
      </c>
      <c r="G122" s="564" t="s">
        <v>40</v>
      </c>
      <c r="H122" s="542">
        <v>1.07</v>
      </c>
      <c r="I122" s="542">
        <v>7.2</v>
      </c>
      <c r="J122" s="515" t="s">
        <v>17</v>
      </c>
      <c r="K122" s="542">
        <v>2.04</v>
      </c>
      <c r="L122" s="691" t="s">
        <v>41</v>
      </c>
      <c r="M122" s="509"/>
    </row>
    <row r="123" s="490" customFormat="1" spans="1:13">
      <c r="A123" s="512"/>
      <c r="B123" s="513"/>
      <c r="C123" s="513"/>
      <c r="D123" s="514"/>
      <c r="E123" s="513"/>
      <c r="F123" s="513"/>
      <c r="G123" s="564" t="s">
        <v>42</v>
      </c>
      <c r="H123" s="542">
        <v>1.24</v>
      </c>
      <c r="I123" s="542">
        <v>1.5</v>
      </c>
      <c r="J123" s="515" t="s">
        <v>17</v>
      </c>
      <c r="K123" s="542">
        <v>2.05</v>
      </c>
      <c r="L123" s="692"/>
      <c r="M123" s="509"/>
    </row>
    <row r="124" s="490" customFormat="1" spans="1:13">
      <c r="A124" s="512"/>
      <c r="B124" s="513"/>
      <c r="C124" s="513"/>
      <c r="D124" s="514"/>
      <c r="E124" s="513"/>
      <c r="F124" s="513"/>
      <c r="G124" s="564" t="s">
        <v>21</v>
      </c>
      <c r="H124" s="542">
        <v>1.28</v>
      </c>
      <c r="I124" s="542">
        <v>0.4</v>
      </c>
      <c r="J124" s="515" t="s">
        <v>22</v>
      </c>
      <c r="K124" s="542">
        <v>2.25</v>
      </c>
      <c r="L124" s="692"/>
      <c r="M124" s="509"/>
    </row>
    <row r="125" s="490" customFormat="1" spans="1:13">
      <c r="A125" s="512"/>
      <c r="B125" s="513"/>
      <c r="C125" s="513"/>
      <c r="D125" s="514"/>
      <c r="E125" s="513"/>
      <c r="F125" s="513"/>
      <c r="G125" s="500" t="s">
        <v>43</v>
      </c>
      <c r="H125" s="542">
        <v>1.37</v>
      </c>
      <c r="I125" s="542">
        <v>0.4</v>
      </c>
      <c r="J125" s="515" t="s">
        <v>44</v>
      </c>
      <c r="K125" s="542">
        <v>4.5</v>
      </c>
      <c r="L125" s="692"/>
      <c r="M125" s="509"/>
    </row>
    <row r="126" s="490" customFormat="1" spans="1:13">
      <c r="A126" s="516"/>
      <c r="B126" s="517"/>
      <c r="C126" s="517"/>
      <c r="D126" s="518"/>
      <c r="E126" s="517"/>
      <c r="F126" s="517"/>
      <c r="G126" s="509" t="s">
        <v>91</v>
      </c>
      <c r="H126" s="542">
        <v>1.75</v>
      </c>
      <c r="I126" s="542">
        <v>0.5</v>
      </c>
      <c r="J126" s="515" t="s">
        <v>24</v>
      </c>
      <c r="K126" s="542" t="s">
        <v>24</v>
      </c>
      <c r="L126" s="693"/>
      <c r="M126" s="509"/>
    </row>
    <row r="127" s="492" customFormat="1" spans="1:13">
      <c r="A127" s="506">
        <v>46063</v>
      </c>
      <c r="B127" s="507" t="s">
        <v>127</v>
      </c>
      <c r="C127" s="507" t="s">
        <v>32</v>
      </c>
      <c r="D127" s="508">
        <v>10</v>
      </c>
      <c r="E127" s="507" t="s">
        <v>72</v>
      </c>
      <c r="F127" s="507" t="s">
        <v>59</v>
      </c>
      <c r="G127" s="509" t="s">
        <v>128</v>
      </c>
      <c r="H127" s="542">
        <v>1</v>
      </c>
      <c r="I127" s="542">
        <v>8.9</v>
      </c>
      <c r="J127" s="515" t="s">
        <v>17</v>
      </c>
      <c r="K127" s="542">
        <v>1.8</v>
      </c>
      <c r="L127" s="691" t="s">
        <v>129</v>
      </c>
      <c r="M127" s="509" t="s">
        <v>130</v>
      </c>
    </row>
    <row r="128" s="492" customFormat="1" spans="1:13">
      <c r="A128" s="512"/>
      <c r="B128" s="513"/>
      <c r="C128" s="513"/>
      <c r="D128" s="514"/>
      <c r="E128" s="513"/>
      <c r="F128" s="513"/>
      <c r="G128" s="509" t="s">
        <v>131</v>
      </c>
      <c r="H128" s="542">
        <v>1.16</v>
      </c>
      <c r="I128" s="542">
        <v>0.5</v>
      </c>
      <c r="J128" s="515" t="s">
        <v>22</v>
      </c>
      <c r="K128" s="542">
        <v>1.9</v>
      </c>
      <c r="L128" s="692"/>
      <c r="M128" s="509"/>
    </row>
    <row r="129" s="492" customFormat="1" spans="1:13">
      <c r="A129" s="516"/>
      <c r="B129" s="517"/>
      <c r="C129" s="517"/>
      <c r="D129" s="518"/>
      <c r="E129" s="517"/>
      <c r="F129" s="517"/>
      <c r="G129" s="509" t="s">
        <v>91</v>
      </c>
      <c r="H129" s="542">
        <v>1.75</v>
      </c>
      <c r="I129" s="542">
        <v>0.6</v>
      </c>
      <c r="J129" s="515" t="s">
        <v>24</v>
      </c>
      <c r="K129" s="542" t="s">
        <v>24</v>
      </c>
      <c r="L129" s="693"/>
      <c r="M129" s="509"/>
    </row>
    <row r="130" s="490" customFormat="1" spans="1:13">
      <c r="A130" s="519">
        <v>46064</v>
      </c>
      <c r="B130" s="509" t="s">
        <v>132</v>
      </c>
      <c r="C130" s="509" t="s">
        <v>13</v>
      </c>
      <c r="D130" s="508">
        <v>3</v>
      </c>
      <c r="E130" s="509" t="s">
        <v>33</v>
      </c>
      <c r="F130" s="509" t="s">
        <v>77</v>
      </c>
      <c r="G130" s="515" t="s">
        <v>73</v>
      </c>
      <c r="H130" s="511">
        <v>1.04</v>
      </c>
      <c r="I130" s="542">
        <v>2.56</v>
      </c>
      <c r="J130" s="515" t="s">
        <v>17</v>
      </c>
      <c r="K130" s="542">
        <v>1.93</v>
      </c>
      <c r="L130" s="660" t="s">
        <v>27</v>
      </c>
      <c r="M130" s="509" t="s">
        <v>28</v>
      </c>
    </row>
    <row r="131" s="490" customFormat="1" spans="1:13">
      <c r="A131" s="519"/>
      <c r="B131" s="509"/>
      <c r="C131" s="509"/>
      <c r="D131" s="514"/>
      <c r="E131" s="509"/>
      <c r="F131" s="509"/>
      <c r="G131" s="515" t="s">
        <v>75</v>
      </c>
      <c r="H131" s="511">
        <v>1.04</v>
      </c>
      <c r="I131" s="542">
        <v>0.14</v>
      </c>
      <c r="J131" s="515" t="s">
        <v>22</v>
      </c>
      <c r="K131" s="542">
        <v>2.05</v>
      </c>
      <c r="L131" s="660"/>
      <c r="M131" s="509"/>
    </row>
    <row r="132" s="490" customFormat="1" spans="1:13">
      <c r="A132" s="519"/>
      <c r="B132" s="509"/>
      <c r="C132" s="509"/>
      <c r="D132" s="518"/>
      <c r="E132" s="509"/>
      <c r="F132" s="509"/>
      <c r="G132" s="515" t="s">
        <v>91</v>
      </c>
      <c r="H132" s="511">
        <v>1.53</v>
      </c>
      <c r="I132" s="542">
        <v>0.3</v>
      </c>
      <c r="J132" s="515" t="s">
        <v>24</v>
      </c>
      <c r="K132" s="542" t="s">
        <v>24</v>
      </c>
      <c r="L132" s="660"/>
      <c r="M132" s="509"/>
    </row>
    <row r="133" s="490" customFormat="1" spans="1:13">
      <c r="A133" s="519">
        <v>46064</v>
      </c>
      <c r="B133" s="509" t="s">
        <v>133</v>
      </c>
      <c r="C133" s="509" t="s">
        <v>32</v>
      </c>
      <c r="D133" s="508">
        <v>10</v>
      </c>
      <c r="E133" s="509" t="s">
        <v>109</v>
      </c>
      <c r="F133" s="509" t="s">
        <v>111</v>
      </c>
      <c r="G133" s="564" t="s">
        <v>47</v>
      </c>
      <c r="H133" s="542">
        <v>1.5</v>
      </c>
      <c r="I133" s="542">
        <v>9</v>
      </c>
      <c r="J133" s="515" t="s">
        <v>17</v>
      </c>
      <c r="K133" s="542">
        <v>2.1</v>
      </c>
      <c r="L133" s="660" t="s">
        <v>35</v>
      </c>
      <c r="M133" s="509" t="s">
        <v>134</v>
      </c>
    </row>
    <row r="134" s="490" customFormat="1" spans="1:13">
      <c r="A134" s="519"/>
      <c r="B134" s="509"/>
      <c r="C134" s="509"/>
      <c r="D134" s="514"/>
      <c r="E134" s="509"/>
      <c r="F134" s="509"/>
      <c r="G134" s="564" t="s">
        <v>54</v>
      </c>
      <c r="H134" s="542">
        <v>2</v>
      </c>
      <c r="I134" s="542">
        <v>0.5</v>
      </c>
      <c r="J134" s="515" t="s">
        <v>96</v>
      </c>
      <c r="K134" s="542">
        <v>3.2</v>
      </c>
      <c r="L134" s="660"/>
      <c r="M134" s="509"/>
    </row>
    <row r="135" s="490" customFormat="1" spans="1:13">
      <c r="A135" s="519"/>
      <c r="B135" s="509"/>
      <c r="C135" s="509"/>
      <c r="D135" s="518"/>
      <c r="E135" s="509"/>
      <c r="F135" s="509"/>
      <c r="G135" s="564" t="s">
        <v>23</v>
      </c>
      <c r="H135" s="542">
        <v>2</v>
      </c>
      <c r="I135" s="542">
        <v>0.5</v>
      </c>
      <c r="J135" s="515" t="s">
        <v>24</v>
      </c>
      <c r="K135" s="542" t="s">
        <v>24</v>
      </c>
      <c r="L135" s="660"/>
      <c r="M135" s="509"/>
    </row>
    <row r="136" s="492" customFormat="1" spans="1:13">
      <c r="A136" s="519">
        <v>46064</v>
      </c>
      <c r="B136" s="509" t="s">
        <v>135</v>
      </c>
      <c r="C136" s="509" t="s">
        <v>32</v>
      </c>
      <c r="D136" s="520">
        <v>10</v>
      </c>
      <c r="E136" s="509" t="s">
        <v>38</v>
      </c>
      <c r="F136" s="509" t="s">
        <v>39</v>
      </c>
      <c r="G136" s="500" t="s">
        <v>40</v>
      </c>
      <c r="H136" s="542">
        <v>1.07</v>
      </c>
      <c r="I136" s="542">
        <v>7.2</v>
      </c>
      <c r="J136" s="515" t="s">
        <v>17</v>
      </c>
      <c r="K136" s="542">
        <v>2.04</v>
      </c>
      <c r="L136" s="691" t="s">
        <v>41</v>
      </c>
      <c r="M136" s="509"/>
    </row>
    <row r="137" s="492" customFormat="1" spans="1:13">
      <c r="A137" s="519"/>
      <c r="B137" s="509"/>
      <c r="C137" s="509"/>
      <c r="D137" s="520"/>
      <c r="E137" s="509"/>
      <c r="F137" s="509"/>
      <c r="G137" s="500" t="s">
        <v>42</v>
      </c>
      <c r="H137" s="542">
        <v>1.24</v>
      </c>
      <c r="I137" s="542">
        <v>1.6</v>
      </c>
      <c r="J137" s="515" t="s">
        <v>17</v>
      </c>
      <c r="K137" s="542">
        <v>2.05</v>
      </c>
      <c r="L137" s="692"/>
      <c r="M137" s="509"/>
    </row>
    <row r="138" s="492" customFormat="1" spans="1:13">
      <c r="A138" s="519"/>
      <c r="B138" s="509"/>
      <c r="C138" s="509"/>
      <c r="D138" s="520"/>
      <c r="E138" s="509"/>
      <c r="F138" s="509"/>
      <c r="G138" s="500" t="s">
        <v>21</v>
      </c>
      <c r="H138" s="542">
        <v>1.28</v>
      </c>
      <c r="I138" s="542">
        <v>0.35</v>
      </c>
      <c r="J138" s="515" t="s">
        <v>22</v>
      </c>
      <c r="K138" s="542">
        <v>2.25</v>
      </c>
      <c r="L138" s="692"/>
      <c r="M138" s="509"/>
    </row>
    <row r="139" s="492" customFormat="1" spans="1:13">
      <c r="A139" s="519"/>
      <c r="B139" s="509"/>
      <c r="C139" s="509"/>
      <c r="D139" s="520"/>
      <c r="E139" s="509"/>
      <c r="F139" s="509"/>
      <c r="G139" s="509" t="s">
        <v>90</v>
      </c>
      <c r="H139" s="542">
        <v>1.37</v>
      </c>
      <c r="I139" s="542">
        <v>0.35</v>
      </c>
      <c r="J139" s="515" t="s">
        <v>136</v>
      </c>
      <c r="K139" s="542">
        <v>4.5</v>
      </c>
      <c r="L139" s="692"/>
      <c r="M139" s="509"/>
    </row>
    <row r="140" s="492" customFormat="1" spans="1:13">
      <c r="A140" s="519"/>
      <c r="B140" s="509"/>
      <c r="C140" s="509"/>
      <c r="D140" s="520"/>
      <c r="E140" s="509"/>
      <c r="F140" s="509"/>
      <c r="G140" s="527" t="s">
        <v>91</v>
      </c>
      <c r="H140" s="542">
        <v>1.75</v>
      </c>
      <c r="I140" s="542">
        <v>0.5</v>
      </c>
      <c r="J140" s="515" t="s">
        <v>24</v>
      </c>
      <c r="K140" s="542" t="s">
        <v>24</v>
      </c>
      <c r="L140" s="693"/>
      <c r="M140" s="509"/>
    </row>
    <row r="141" s="492" customFormat="1" spans="1:13">
      <c r="A141" s="519">
        <v>46064</v>
      </c>
      <c r="B141" s="507" t="s">
        <v>137</v>
      </c>
      <c r="C141" s="507" t="s">
        <v>13</v>
      </c>
      <c r="D141" s="520">
        <v>10</v>
      </c>
      <c r="E141" s="509" t="s">
        <v>14</v>
      </c>
      <c r="F141" s="509" t="s">
        <v>15</v>
      </c>
      <c r="G141" s="500" t="s">
        <v>40</v>
      </c>
      <c r="H141" s="542">
        <v>1.09</v>
      </c>
      <c r="I141" s="542">
        <v>8.4</v>
      </c>
      <c r="J141" s="515" t="s">
        <v>17</v>
      </c>
      <c r="K141" s="542">
        <v>1.83</v>
      </c>
      <c r="L141" s="692" t="s">
        <v>18</v>
      </c>
      <c r="M141" s="509" t="s">
        <v>19</v>
      </c>
    </row>
    <row r="142" s="492" customFormat="1" spans="1:13">
      <c r="A142" s="519"/>
      <c r="B142" s="513"/>
      <c r="C142" s="513"/>
      <c r="D142" s="520"/>
      <c r="E142" s="509"/>
      <c r="F142" s="509"/>
      <c r="G142" s="500" t="s">
        <v>42</v>
      </c>
      <c r="H142" s="542">
        <v>1.34</v>
      </c>
      <c r="I142" s="542">
        <v>0.6</v>
      </c>
      <c r="J142" s="515" t="s">
        <v>17</v>
      </c>
      <c r="K142" s="542">
        <v>1.83</v>
      </c>
      <c r="L142" s="692"/>
      <c r="M142" s="509"/>
    </row>
    <row r="143" s="492" customFormat="1" spans="1:13">
      <c r="A143" s="519"/>
      <c r="B143" s="513"/>
      <c r="C143" s="513"/>
      <c r="D143" s="520"/>
      <c r="E143" s="509"/>
      <c r="F143" s="509"/>
      <c r="G143" s="500" t="s">
        <v>21</v>
      </c>
      <c r="H143" s="542">
        <v>1.51</v>
      </c>
      <c r="I143" s="542">
        <v>0.5</v>
      </c>
      <c r="J143" s="515" t="s">
        <v>22</v>
      </c>
      <c r="K143" s="542">
        <v>1.9</v>
      </c>
      <c r="L143" s="692"/>
      <c r="M143" s="509"/>
    </row>
    <row r="144" s="492" customFormat="1" spans="1:13">
      <c r="A144" s="519"/>
      <c r="B144" s="517"/>
      <c r="C144" s="517"/>
      <c r="D144" s="520"/>
      <c r="E144" s="509"/>
      <c r="F144" s="509"/>
      <c r="G144" s="509" t="s">
        <v>91</v>
      </c>
      <c r="H144" s="542">
        <v>2.68</v>
      </c>
      <c r="I144" s="542">
        <v>0.5</v>
      </c>
      <c r="J144" s="515" t="s">
        <v>24</v>
      </c>
      <c r="K144" s="542" t="s">
        <v>24</v>
      </c>
      <c r="L144" s="693"/>
      <c r="M144" s="509"/>
    </row>
    <row r="145" s="492" customFormat="1" spans="1:13">
      <c r="A145" s="519">
        <v>46065</v>
      </c>
      <c r="B145" s="509" t="s">
        <v>138</v>
      </c>
      <c r="C145" s="509" t="s">
        <v>13</v>
      </c>
      <c r="D145" s="520">
        <v>4.75</v>
      </c>
      <c r="E145" s="509" t="s">
        <v>33</v>
      </c>
      <c r="F145" s="509" t="s">
        <v>111</v>
      </c>
      <c r="G145" s="509" t="s">
        <v>73</v>
      </c>
      <c r="H145" s="542">
        <v>0.61</v>
      </c>
      <c r="I145" s="542">
        <v>4.47</v>
      </c>
      <c r="J145" s="515" t="s">
        <v>17</v>
      </c>
      <c r="K145" s="542">
        <v>1.8</v>
      </c>
      <c r="L145" s="660" t="s">
        <v>112</v>
      </c>
      <c r="M145" s="509"/>
    </row>
    <row r="146" s="492" customFormat="1" spans="1:13">
      <c r="A146" s="519"/>
      <c r="B146" s="509"/>
      <c r="C146" s="509"/>
      <c r="D146" s="520"/>
      <c r="E146" s="509"/>
      <c r="F146" s="509"/>
      <c r="G146" s="509" t="s">
        <v>75</v>
      </c>
      <c r="H146" s="542">
        <v>0.61</v>
      </c>
      <c r="I146" s="542">
        <v>0.28</v>
      </c>
      <c r="J146" s="515" t="s">
        <v>22</v>
      </c>
      <c r="K146" s="542">
        <v>1.93</v>
      </c>
      <c r="L146" s="660"/>
      <c r="M146" s="509"/>
    </row>
    <row r="147" s="492" customFormat="1" spans="1:13">
      <c r="A147" s="506">
        <v>46065</v>
      </c>
      <c r="B147" s="507" t="s">
        <v>139</v>
      </c>
      <c r="C147" s="507" t="s">
        <v>13</v>
      </c>
      <c r="D147" s="520">
        <v>4</v>
      </c>
      <c r="E147" s="509" t="s">
        <v>14</v>
      </c>
      <c r="F147" s="509" t="s">
        <v>15</v>
      </c>
      <c r="G147" s="509" t="s">
        <v>73</v>
      </c>
      <c r="H147" s="542">
        <v>0.79</v>
      </c>
      <c r="I147" s="542">
        <v>3.56</v>
      </c>
      <c r="J147" s="515" t="s">
        <v>17</v>
      </c>
      <c r="K147" s="542">
        <v>1.93</v>
      </c>
      <c r="L147" s="694" t="s">
        <v>27</v>
      </c>
      <c r="M147" s="527" t="s">
        <v>28</v>
      </c>
    </row>
    <row r="148" s="492" customFormat="1" spans="1:13">
      <c r="A148" s="512"/>
      <c r="B148" s="513"/>
      <c r="C148" s="513"/>
      <c r="D148" s="520"/>
      <c r="E148" s="509"/>
      <c r="F148" s="509"/>
      <c r="G148" s="509" t="s">
        <v>75</v>
      </c>
      <c r="H148" s="542">
        <v>0.79</v>
      </c>
      <c r="I148" s="542">
        <v>0.04</v>
      </c>
      <c r="J148" s="515" t="s">
        <v>17</v>
      </c>
      <c r="K148" s="542">
        <v>1.95</v>
      </c>
      <c r="L148" s="694"/>
      <c r="M148" s="527"/>
    </row>
    <row r="149" s="492" customFormat="1" spans="1:13">
      <c r="A149" s="512"/>
      <c r="B149" s="513"/>
      <c r="C149" s="513"/>
      <c r="D149" s="520"/>
      <c r="E149" s="509"/>
      <c r="F149" s="509"/>
      <c r="G149" s="509" t="s">
        <v>140</v>
      </c>
      <c r="H149" s="542">
        <v>1.04</v>
      </c>
      <c r="I149" s="542">
        <v>0.2</v>
      </c>
      <c r="J149" s="515" t="s">
        <v>24</v>
      </c>
      <c r="K149" s="542" t="s">
        <v>24</v>
      </c>
      <c r="L149" s="694"/>
      <c r="M149" s="527"/>
    </row>
    <row r="150" s="492" customFormat="1" spans="1:13">
      <c r="A150" s="516"/>
      <c r="B150" s="517"/>
      <c r="C150" s="517"/>
      <c r="D150" s="520"/>
      <c r="E150" s="509"/>
      <c r="F150" s="509"/>
      <c r="G150" s="565" t="s">
        <v>141</v>
      </c>
      <c r="H150" s="542">
        <v>1.04</v>
      </c>
      <c r="I150" s="542">
        <v>0.2</v>
      </c>
      <c r="J150" s="515" t="s">
        <v>24</v>
      </c>
      <c r="K150" s="542" t="s">
        <v>24</v>
      </c>
      <c r="L150" s="694"/>
      <c r="M150" s="527"/>
    </row>
    <row r="151" s="492" customFormat="1" ht="28" spans="1:13">
      <c r="A151" s="695">
        <v>46065</v>
      </c>
      <c r="B151" s="509" t="s">
        <v>142</v>
      </c>
      <c r="C151" s="509" t="s">
        <v>13</v>
      </c>
      <c r="D151" s="520">
        <v>3.17</v>
      </c>
      <c r="E151" s="509" t="s">
        <v>143</v>
      </c>
      <c r="F151" s="509" t="s">
        <v>46</v>
      </c>
      <c r="G151" s="565" t="s">
        <v>144</v>
      </c>
      <c r="H151" s="542">
        <v>1</v>
      </c>
      <c r="I151" s="542">
        <v>3.17</v>
      </c>
      <c r="J151" s="696" t="s">
        <v>17</v>
      </c>
      <c r="K151" s="542">
        <v>2.7</v>
      </c>
      <c r="L151" s="694" t="s">
        <v>48</v>
      </c>
      <c r="M151" s="527"/>
    </row>
    <row r="152" s="492" customFormat="1" spans="1:13">
      <c r="A152" s="506">
        <v>46065</v>
      </c>
      <c r="B152" s="507" t="s">
        <v>145</v>
      </c>
      <c r="C152" s="507" t="s">
        <v>32</v>
      </c>
      <c r="D152" s="520">
        <v>10</v>
      </c>
      <c r="E152" s="509" t="s">
        <v>58</v>
      </c>
      <c r="F152" s="509" t="s">
        <v>59</v>
      </c>
      <c r="G152" s="509" t="s">
        <v>73</v>
      </c>
      <c r="H152" s="542">
        <v>1.04</v>
      </c>
      <c r="I152" s="542">
        <v>8.24</v>
      </c>
      <c r="J152" s="515" t="s">
        <v>17</v>
      </c>
      <c r="K152" s="542">
        <v>1.8</v>
      </c>
      <c r="L152" s="666" t="s">
        <v>60</v>
      </c>
      <c r="M152" s="527" t="s">
        <v>61</v>
      </c>
    </row>
    <row r="153" s="492" customFormat="1" spans="1:13">
      <c r="A153" s="512"/>
      <c r="B153" s="513"/>
      <c r="C153" s="513"/>
      <c r="D153" s="520"/>
      <c r="E153" s="509"/>
      <c r="F153" s="509"/>
      <c r="G153" s="509" t="s">
        <v>75</v>
      </c>
      <c r="H153" s="542">
        <v>1.04</v>
      </c>
      <c r="I153" s="542">
        <v>0.52</v>
      </c>
      <c r="J153" s="515" t="s">
        <v>22</v>
      </c>
      <c r="K153" s="542">
        <v>1.85</v>
      </c>
      <c r="L153" s="667"/>
      <c r="M153" s="527"/>
    </row>
    <row r="154" s="492" customFormat="1" spans="1:13">
      <c r="A154" s="512"/>
      <c r="B154" s="513"/>
      <c r="C154" s="513"/>
      <c r="D154" s="520"/>
      <c r="E154" s="509"/>
      <c r="F154" s="509"/>
      <c r="G154" s="509" t="s">
        <v>90</v>
      </c>
      <c r="H154" s="542">
        <v>1.04</v>
      </c>
      <c r="I154" s="542">
        <v>0.4</v>
      </c>
      <c r="J154" s="659" t="s">
        <v>44</v>
      </c>
      <c r="K154" s="542">
        <v>2.8</v>
      </c>
      <c r="L154" s="667"/>
      <c r="M154" s="527"/>
    </row>
    <row r="155" s="492" customFormat="1" spans="1:13">
      <c r="A155" s="516"/>
      <c r="B155" s="517"/>
      <c r="C155" s="517"/>
      <c r="D155" s="520"/>
      <c r="E155" s="509"/>
      <c r="F155" s="509"/>
      <c r="G155" s="509" t="s">
        <v>91</v>
      </c>
      <c r="H155" s="542">
        <v>1.97</v>
      </c>
      <c r="I155" s="542">
        <v>0.84</v>
      </c>
      <c r="J155" s="515" t="s">
        <v>24</v>
      </c>
      <c r="K155" s="542" t="s">
        <v>24</v>
      </c>
      <c r="L155" s="669"/>
      <c r="M155" s="527"/>
    </row>
    <row r="156" s="492" customFormat="1" spans="1:13">
      <c r="A156" s="697">
        <v>46065</v>
      </c>
      <c r="B156" s="507" t="s">
        <v>146</v>
      </c>
      <c r="C156" s="507" t="s">
        <v>32</v>
      </c>
      <c r="D156" s="520">
        <v>10</v>
      </c>
      <c r="E156" s="509" t="s">
        <v>58</v>
      </c>
      <c r="F156" s="509" t="s">
        <v>59</v>
      </c>
      <c r="G156" s="509" t="s">
        <v>73</v>
      </c>
      <c r="H156" s="542">
        <v>1.04</v>
      </c>
      <c r="I156" s="542">
        <v>8.6</v>
      </c>
      <c r="J156" s="515" t="s">
        <v>17</v>
      </c>
      <c r="K156" s="542">
        <v>1.8</v>
      </c>
      <c r="L156" s="666" t="s">
        <v>60</v>
      </c>
      <c r="M156" s="527" t="s">
        <v>89</v>
      </c>
    </row>
    <row r="157" s="492" customFormat="1" spans="1:13">
      <c r="A157" s="698"/>
      <c r="B157" s="513"/>
      <c r="C157" s="513"/>
      <c r="D157" s="520"/>
      <c r="E157" s="509"/>
      <c r="F157" s="509"/>
      <c r="G157" s="509" t="s">
        <v>75</v>
      </c>
      <c r="H157" s="542">
        <v>1.04</v>
      </c>
      <c r="I157" s="542">
        <v>0.6</v>
      </c>
      <c r="J157" s="515" t="s">
        <v>22</v>
      </c>
      <c r="K157" s="542">
        <v>1.85</v>
      </c>
      <c r="L157" s="667"/>
      <c r="M157" s="527"/>
    </row>
    <row r="158" s="492" customFormat="1" spans="1:13">
      <c r="A158" s="698"/>
      <c r="B158" s="513"/>
      <c r="C158" s="513"/>
      <c r="D158" s="520"/>
      <c r="E158" s="509"/>
      <c r="F158" s="509"/>
      <c r="G158" s="509" t="s">
        <v>90</v>
      </c>
      <c r="H158" s="542">
        <v>1.04</v>
      </c>
      <c r="I158" s="542">
        <v>0.3</v>
      </c>
      <c r="J158" s="515" t="s">
        <v>64</v>
      </c>
      <c r="K158" s="542">
        <v>2.8</v>
      </c>
      <c r="L158" s="667"/>
      <c r="M158" s="527"/>
    </row>
    <row r="159" s="492" customFormat="1" spans="1:13">
      <c r="A159" s="699"/>
      <c r="B159" s="517"/>
      <c r="C159" s="517"/>
      <c r="D159" s="520"/>
      <c r="E159" s="509"/>
      <c r="F159" s="509"/>
      <c r="G159" s="509" t="s">
        <v>91</v>
      </c>
      <c r="H159" s="542">
        <v>1.97</v>
      </c>
      <c r="I159" s="542">
        <v>0.5</v>
      </c>
      <c r="J159" s="515" t="s">
        <v>24</v>
      </c>
      <c r="K159" s="542" t="s">
        <v>24</v>
      </c>
      <c r="L159" s="669"/>
      <c r="M159" s="527"/>
    </row>
    <row r="160" s="492" customFormat="1" spans="1:13">
      <c r="A160" s="695">
        <v>46066</v>
      </c>
      <c r="B160" s="509" t="s">
        <v>147</v>
      </c>
      <c r="C160" s="509" t="s">
        <v>13</v>
      </c>
      <c r="D160" s="520">
        <v>5.2</v>
      </c>
      <c r="E160" s="509" t="s">
        <v>14</v>
      </c>
      <c r="F160" s="509" t="s">
        <v>46</v>
      </c>
      <c r="G160" s="565" t="s">
        <v>144</v>
      </c>
      <c r="H160" s="542">
        <v>1</v>
      </c>
      <c r="I160" s="542">
        <v>5.122</v>
      </c>
      <c r="J160" s="696" t="s">
        <v>17</v>
      </c>
      <c r="K160" s="542">
        <v>2.7</v>
      </c>
      <c r="L160" s="666" t="s">
        <v>48</v>
      </c>
      <c r="M160" s="527"/>
    </row>
    <row r="161" s="492" customFormat="1" spans="1:13">
      <c r="A161" s="695"/>
      <c r="B161" s="509"/>
      <c r="C161" s="509"/>
      <c r="D161" s="520"/>
      <c r="E161" s="509"/>
      <c r="F161" s="509"/>
      <c r="G161" s="565" t="s">
        <v>148</v>
      </c>
      <c r="H161" s="542">
        <v>3</v>
      </c>
      <c r="I161" s="542">
        <v>0.078</v>
      </c>
      <c r="J161" s="515" t="s">
        <v>24</v>
      </c>
      <c r="K161" s="542" t="s">
        <v>24</v>
      </c>
      <c r="L161" s="669"/>
      <c r="M161" s="527"/>
    </row>
    <row r="162" s="492" customFormat="1" spans="1:13">
      <c r="A162" s="506">
        <v>46080</v>
      </c>
      <c r="B162" s="507" t="s">
        <v>149</v>
      </c>
      <c r="C162" s="507" t="s">
        <v>13</v>
      </c>
      <c r="D162" s="520">
        <v>10</v>
      </c>
      <c r="E162" s="509" t="s">
        <v>66</v>
      </c>
      <c r="F162" s="509" t="s">
        <v>77</v>
      </c>
      <c r="G162" s="509" t="s">
        <v>73</v>
      </c>
      <c r="H162" s="542">
        <v>1.08</v>
      </c>
      <c r="I162" s="542">
        <v>8.24</v>
      </c>
      <c r="J162" s="515" t="s">
        <v>17</v>
      </c>
      <c r="K162" s="542">
        <v>1.85</v>
      </c>
      <c r="L162" s="666" t="s">
        <v>60</v>
      </c>
      <c r="M162" s="527" t="s">
        <v>61</v>
      </c>
    </row>
    <row r="163" s="492" customFormat="1" spans="1:13">
      <c r="A163" s="512"/>
      <c r="B163" s="513"/>
      <c r="C163" s="513"/>
      <c r="D163" s="520"/>
      <c r="E163" s="509"/>
      <c r="F163" s="509"/>
      <c r="G163" s="509" t="s">
        <v>75</v>
      </c>
      <c r="H163" s="542">
        <v>1.08</v>
      </c>
      <c r="I163" s="542">
        <v>0.52</v>
      </c>
      <c r="J163" s="515" t="s">
        <v>22</v>
      </c>
      <c r="K163" s="542">
        <v>1.86</v>
      </c>
      <c r="L163" s="667"/>
      <c r="M163" s="527"/>
    </row>
    <row r="164" s="492" customFormat="1" spans="1:13">
      <c r="A164" s="512"/>
      <c r="B164" s="513"/>
      <c r="C164" s="513"/>
      <c r="D164" s="520"/>
      <c r="E164" s="509"/>
      <c r="F164" s="509"/>
      <c r="G164" s="509" t="s">
        <v>90</v>
      </c>
      <c r="H164" s="542">
        <v>1.08</v>
      </c>
      <c r="I164" s="542">
        <v>0.4</v>
      </c>
      <c r="J164" s="659" t="s">
        <v>44</v>
      </c>
      <c r="K164" s="542">
        <v>2.8</v>
      </c>
      <c r="L164" s="667"/>
      <c r="M164" s="527"/>
    </row>
    <row r="165" s="492" customFormat="1" spans="1:13">
      <c r="A165" s="516"/>
      <c r="B165" s="517"/>
      <c r="C165" s="517"/>
      <c r="D165" s="520"/>
      <c r="E165" s="509"/>
      <c r="F165" s="509"/>
      <c r="G165" s="509" t="s">
        <v>91</v>
      </c>
      <c r="H165" s="542">
        <v>2</v>
      </c>
      <c r="I165" s="542">
        <v>0.84</v>
      </c>
      <c r="J165" s="515" t="s">
        <v>24</v>
      </c>
      <c r="K165" s="542" t="s">
        <v>24</v>
      </c>
      <c r="L165" s="669"/>
      <c r="M165" s="527"/>
    </row>
    <row r="166" s="492" customFormat="1" spans="1:13">
      <c r="A166" s="695">
        <v>46084</v>
      </c>
      <c r="B166" s="509" t="s">
        <v>150</v>
      </c>
      <c r="C166" s="509" t="s">
        <v>13</v>
      </c>
      <c r="D166" s="520">
        <v>10</v>
      </c>
      <c r="E166" s="509" t="s">
        <v>33</v>
      </c>
      <c r="F166" s="509" t="s">
        <v>111</v>
      </c>
      <c r="G166" s="509" t="s">
        <v>73</v>
      </c>
      <c r="H166" s="542">
        <v>1</v>
      </c>
      <c r="I166" s="542">
        <v>9</v>
      </c>
      <c r="J166" s="515" t="s">
        <v>17</v>
      </c>
      <c r="K166" s="542">
        <v>1.8</v>
      </c>
      <c r="L166" s="666" t="s">
        <v>35</v>
      </c>
      <c r="M166" s="527" t="s">
        <v>36</v>
      </c>
    </row>
    <row r="167" s="492" customFormat="1" spans="1:13">
      <c r="A167" s="695"/>
      <c r="B167" s="509"/>
      <c r="C167" s="509"/>
      <c r="D167" s="520"/>
      <c r="E167" s="509"/>
      <c r="F167" s="509"/>
      <c r="G167" s="509" t="s">
        <v>75</v>
      </c>
      <c r="H167" s="542">
        <v>1</v>
      </c>
      <c r="I167" s="542">
        <v>0.3</v>
      </c>
      <c r="J167" s="515" t="s">
        <v>22</v>
      </c>
      <c r="K167" s="542">
        <v>2</v>
      </c>
      <c r="L167" s="667"/>
      <c r="M167" s="527"/>
    </row>
    <row r="168" s="492" customFormat="1" spans="1:13">
      <c r="A168" s="695"/>
      <c r="B168" s="509"/>
      <c r="C168" s="509"/>
      <c r="D168" s="520"/>
      <c r="E168" s="509"/>
      <c r="F168" s="509"/>
      <c r="G168" s="500" t="s">
        <v>54</v>
      </c>
      <c r="H168" s="542">
        <v>1.08</v>
      </c>
      <c r="I168" s="542">
        <v>0.2</v>
      </c>
      <c r="J168" s="515" t="s">
        <v>64</v>
      </c>
      <c r="K168" s="542">
        <v>3.4</v>
      </c>
      <c r="L168" s="667"/>
      <c r="M168" s="527"/>
    </row>
    <row r="169" s="492" customFormat="1" spans="1:13">
      <c r="A169" s="695"/>
      <c r="B169" s="509"/>
      <c r="C169" s="509"/>
      <c r="D169" s="520"/>
      <c r="E169" s="509"/>
      <c r="F169" s="509"/>
      <c r="G169" s="527" t="s">
        <v>91</v>
      </c>
      <c r="H169" s="542">
        <v>2</v>
      </c>
      <c r="I169" s="542">
        <v>0.5</v>
      </c>
      <c r="J169" s="515" t="s">
        <v>24</v>
      </c>
      <c r="K169" s="542" t="s">
        <v>24</v>
      </c>
      <c r="L169" s="669"/>
      <c r="M169" s="527"/>
    </row>
    <row r="170" s="492" customFormat="1" spans="1:13">
      <c r="A170" s="519">
        <v>46084</v>
      </c>
      <c r="B170" s="509" t="s">
        <v>151</v>
      </c>
      <c r="C170" s="509" t="s">
        <v>32</v>
      </c>
      <c r="D170" s="520">
        <v>2.5</v>
      </c>
      <c r="E170" s="509" t="s">
        <v>14</v>
      </c>
      <c r="F170" s="509" t="s">
        <v>94</v>
      </c>
      <c r="G170" s="509" t="s">
        <v>73</v>
      </c>
      <c r="H170" s="542">
        <v>1.89</v>
      </c>
      <c r="I170" s="542">
        <v>2.1</v>
      </c>
      <c r="J170" s="515" t="s">
        <v>17</v>
      </c>
      <c r="K170" s="542">
        <v>2.45</v>
      </c>
      <c r="L170" s="660" t="s">
        <v>70</v>
      </c>
      <c r="M170" s="509"/>
    </row>
    <row r="171" s="492" customFormat="1" spans="1:13">
      <c r="A171" s="519"/>
      <c r="B171" s="509"/>
      <c r="C171" s="509"/>
      <c r="D171" s="520"/>
      <c r="E171" s="509"/>
      <c r="F171" s="509"/>
      <c r="G171" s="509" t="s">
        <v>75</v>
      </c>
      <c r="H171" s="542">
        <v>1.97</v>
      </c>
      <c r="I171" s="542">
        <v>0.1</v>
      </c>
      <c r="J171" s="515" t="s">
        <v>22</v>
      </c>
      <c r="K171" s="542">
        <v>3</v>
      </c>
      <c r="L171" s="660"/>
      <c r="M171" s="509"/>
    </row>
    <row r="172" s="492" customFormat="1" spans="1:13">
      <c r="A172" s="519"/>
      <c r="B172" s="509"/>
      <c r="C172" s="509"/>
      <c r="D172" s="520"/>
      <c r="E172" s="509"/>
      <c r="F172" s="509"/>
      <c r="G172" s="527" t="s">
        <v>91</v>
      </c>
      <c r="H172" s="542">
        <v>2.72</v>
      </c>
      <c r="I172" s="542">
        <v>0.3</v>
      </c>
      <c r="J172" s="515" t="s">
        <v>24</v>
      </c>
      <c r="K172" s="542" t="s">
        <v>24</v>
      </c>
      <c r="L172" s="660"/>
      <c r="M172" s="509"/>
    </row>
    <row r="173" s="492" customFormat="1" spans="1:13">
      <c r="A173" s="506">
        <v>46085</v>
      </c>
      <c r="B173" s="507" t="s">
        <v>152</v>
      </c>
      <c r="C173" s="507" t="s">
        <v>13</v>
      </c>
      <c r="D173" s="508">
        <v>10</v>
      </c>
      <c r="E173" s="507" t="s">
        <v>14</v>
      </c>
      <c r="F173" s="507" t="s">
        <v>15</v>
      </c>
      <c r="G173" s="659" t="s">
        <v>153</v>
      </c>
      <c r="H173" s="542">
        <v>1.07</v>
      </c>
      <c r="I173" s="542">
        <v>8.4</v>
      </c>
      <c r="J173" s="515" t="s">
        <v>17</v>
      </c>
      <c r="K173" s="542">
        <v>1.83</v>
      </c>
      <c r="L173" s="666" t="s">
        <v>18</v>
      </c>
      <c r="M173" s="527" t="s">
        <v>19</v>
      </c>
    </row>
    <row r="174" s="492" customFormat="1" spans="1:13">
      <c r="A174" s="512"/>
      <c r="B174" s="513"/>
      <c r="C174" s="513"/>
      <c r="D174" s="514"/>
      <c r="E174" s="513"/>
      <c r="F174" s="513"/>
      <c r="G174" s="509" t="s">
        <v>154</v>
      </c>
      <c r="H174" s="542">
        <v>1.24</v>
      </c>
      <c r="I174" s="542">
        <v>0.6</v>
      </c>
      <c r="J174" s="515" t="s">
        <v>17</v>
      </c>
      <c r="K174" s="542">
        <v>1.85</v>
      </c>
      <c r="L174" s="667"/>
      <c r="M174" s="527"/>
    </row>
    <row r="175" s="492" customFormat="1" spans="1:13">
      <c r="A175" s="512"/>
      <c r="B175" s="513"/>
      <c r="C175" s="513"/>
      <c r="D175" s="514"/>
      <c r="E175" s="513"/>
      <c r="F175" s="513"/>
      <c r="G175" s="509" t="s">
        <v>75</v>
      </c>
      <c r="H175" s="542">
        <v>1.41</v>
      </c>
      <c r="I175" s="542">
        <v>0.5</v>
      </c>
      <c r="J175" s="515" t="s">
        <v>22</v>
      </c>
      <c r="K175" s="542">
        <v>1.9</v>
      </c>
      <c r="L175" s="667"/>
      <c r="M175" s="527"/>
    </row>
    <row r="176" s="492" customFormat="1" spans="1:13">
      <c r="A176" s="516"/>
      <c r="B176" s="517"/>
      <c r="C176" s="517"/>
      <c r="D176" s="518"/>
      <c r="E176" s="517"/>
      <c r="F176" s="517"/>
      <c r="G176" s="527" t="s">
        <v>91</v>
      </c>
      <c r="H176" s="542">
        <v>2.66</v>
      </c>
      <c r="I176" s="542">
        <v>0.5</v>
      </c>
      <c r="J176" s="515" t="s">
        <v>24</v>
      </c>
      <c r="K176" s="542" t="s">
        <v>24</v>
      </c>
      <c r="L176" s="669"/>
      <c r="M176" s="527"/>
    </row>
    <row r="177" s="492" customFormat="1" spans="1:13">
      <c r="A177" s="519">
        <v>46085</v>
      </c>
      <c r="B177" s="509" t="s">
        <v>155</v>
      </c>
      <c r="C177" s="509" t="s">
        <v>13</v>
      </c>
      <c r="D177" s="520">
        <v>10</v>
      </c>
      <c r="E177" s="509" t="s">
        <v>33</v>
      </c>
      <c r="F177" s="509" t="s">
        <v>52</v>
      </c>
      <c r="G177" s="509" t="s">
        <v>73</v>
      </c>
      <c r="H177" s="542">
        <v>1</v>
      </c>
      <c r="I177" s="542">
        <v>9</v>
      </c>
      <c r="J177" s="515" t="s">
        <v>17</v>
      </c>
      <c r="K177" s="542">
        <v>1.8</v>
      </c>
      <c r="L177" s="660" t="s">
        <v>35</v>
      </c>
      <c r="M177" s="509" t="s">
        <v>36</v>
      </c>
    </row>
    <row r="178" s="492" customFormat="1" spans="1:13">
      <c r="A178" s="519"/>
      <c r="B178" s="509"/>
      <c r="C178" s="509"/>
      <c r="D178" s="520"/>
      <c r="E178" s="509"/>
      <c r="F178" s="509"/>
      <c r="G178" s="509" t="s">
        <v>75</v>
      </c>
      <c r="H178" s="542">
        <v>1</v>
      </c>
      <c r="I178" s="542">
        <v>0.3</v>
      </c>
      <c r="J178" s="515" t="s">
        <v>22</v>
      </c>
      <c r="K178" s="542">
        <v>2</v>
      </c>
      <c r="L178" s="660"/>
      <c r="M178" s="509"/>
    </row>
    <row r="179" s="492" customFormat="1" spans="1:13">
      <c r="A179" s="519"/>
      <c r="B179" s="509"/>
      <c r="C179" s="509"/>
      <c r="D179" s="520"/>
      <c r="E179" s="509"/>
      <c r="F179" s="509"/>
      <c r="G179" s="500" t="s">
        <v>54</v>
      </c>
      <c r="H179" s="542">
        <v>1.08</v>
      </c>
      <c r="I179" s="542">
        <v>0.2</v>
      </c>
      <c r="J179" s="515" t="s">
        <v>64</v>
      </c>
      <c r="K179" s="542">
        <v>3.1</v>
      </c>
      <c r="L179" s="660"/>
      <c r="M179" s="509"/>
    </row>
    <row r="180" s="492" customFormat="1" spans="1:13">
      <c r="A180" s="519"/>
      <c r="B180" s="509"/>
      <c r="C180" s="509"/>
      <c r="D180" s="520"/>
      <c r="E180" s="509"/>
      <c r="F180" s="509"/>
      <c r="G180" s="527" t="s">
        <v>91</v>
      </c>
      <c r="H180" s="542">
        <v>2</v>
      </c>
      <c r="I180" s="542">
        <v>0.5</v>
      </c>
      <c r="J180" s="515" t="s">
        <v>24</v>
      </c>
      <c r="K180" s="542" t="s">
        <v>24</v>
      </c>
      <c r="L180" s="660"/>
      <c r="M180" s="509"/>
    </row>
    <row r="181" s="492" customFormat="1" spans="1:13">
      <c r="A181" s="519">
        <v>46086</v>
      </c>
      <c r="B181" s="507" t="s">
        <v>156</v>
      </c>
      <c r="C181" s="507" t="s">
        <v>13</v>
      </c>
      <c r="D181" s="520">
        <v>5.7</v>
      </c>
      <c r="E181" s="509" t="s">
        <v>33</v>
      </c>
      <c r="F181" s="509" t="s">
        <v>111</v>
      </c>
      <c r="G181" s="509" t="s">
        <v>73</v>
      </c>
      <c r="H181" s="542">
        <v>0.61</v>
      </c>
      <c r="I181" s="542">
        <v>5.37</v>
      </c>
      <c r="J181" s="515" t="s">
        <v>17</v>
      </c>
      <c r="K181" s="542">
        <v>1.75</v>
      </c>
      <c r="L181" s="694" t="s">
        <v>112</v>
      </c>
      <c r="M181" s="527"/>
    </row>
    <row r="182" s="492" customFormat="1" spans="1:13">
      <c r="A182" s="519"/>
      <c r="B182" s="517"/>
      <c r="C182" s="517"/>
      <c r="D182" s="520"/>
      <c r="E182" s="509"/>
      <c r="F182" s="509"/>
      <c r="G182" s="500" t="s">
        <v>21</v>
      </c>
      <c r="H182" s="542">
        <v>0.61</v>
      </c>
      <c r="I182" s="542">
        <v>0.33</v>
      </c>
      <c r="J182" s="515" t="s">
        <v>22</v>
      </c>
      <c r="K182" s="542">
        <v>1.95</v>
      </c>
      <c r="L182" s="694"/>
      <c r="M182" s="527"/>
    </row>
    <row r="183" s="492" customFormat="1" spans="1:13">
      <c r="A183" s="519">
        <v>46086</v>
      </c>
      <c r="B183" s="509" t="s">
        <v>157</v>
      </c>
      <c r="C183" s="509" t="s">
        <v>13</v>
      </c>
      <c r="D183" s="520">
        <v>5</v>
      </c>
      <c r="E183" s="509" t="s">
        <v>103</v>
      </c>
      <c r="F183" s="509" t="s">
        <v>15</v>
      </c>
      <c r="G183" s="545" t="s">
        <v>158</v>
      </c>
      <c r="H183" s="542">
        <v>1.82</v>
      </c>
      <c r="I183" s="542">
        <v>4.2</v>
      </c>
      <c r="J183" s="659" t="s">
        <v>17</v>
      </c>
      <c r="K183" s="542">
        <v>1.89</v>
      </c>
      <c r="L183" s="694" t="s">
        <v>18</v>
      </c>
      <c r="M183" s="527" t="s">
        <v>104</v>
      </c>
    </row>
    <row r="184" s="492" customFormat="1" spans="1:13">
      <c r="A184" s="519"/>
      <c r="B184" s="509"/>
      <c r="C184" s="509"/>
      <c r="D184" s="520"/>
      <c r="E184" s="509"/>
      <c r="F184" s="509"/>
      <c r="G184" s="545" t="s">
        <v>159</v>
      </c>
      <c r="H184" s="542">
        <v>1.91</v>
      </c>
      <c r="I184" s="542">
        <v>0.25</v>
      </c>
      <c r="J184" s="659" t="s">
        <v>22</v>
      </c>
      <c r="K184" s="542">
        <v>1.95</v>
      </c>
      <c r="L184" s="694"/>
      <c r="M184" s="527"/>
    </row>
    <row r="185" s="492" customFormat="1" spans="1:13">
      <c r="A185" s="519"/>
      <c r="B185" s="509"/>
      <c r="C185" s="509"/>
      <c r="D185" s="520"/>
      <c r="E185" s="509"/>
      <c r="F185" s="509"/>
      <c r="G185" s="545" t="s">
        <v>160</v>
      </c>
      <c r="H185" s="542">
        <v>1.99</v>
      </c>
      <c r="I185" s="542">
        <v>0.15</v>
      </c>
      <c r="J185" s="659" t="s">
        <v>44</v>
      </c>
      <c r="K185" s="542">
        <v>2.1</v>
      </c>
      <c r="L185" s="694"/>
      <c r="M185" s="527"/>
    </row>
    <row r="186" s="492" customFormat="1" spans="1:13">
      <c r="A186" s="519"/>
      <c r="B186" s="509"/>
      <c r="C186" s="509"/>
      <c r="D186" s="520"/>
      <c r="E186" s="509"/>
      <c r="F186" s="509"/>
      <c r="G186" s="545" t="s">
        <v>161</v>
      </c>
      <c r="H186" s="542">
        <v>2.58</v>
      </c>
      <c r="I186" s="542">
        <v>0.15</v>
      </c>
      <c r="J186" s="545" t="s">
        <v>24</v>
      </c>
      <c r="K186" s="542" t="s">
        <v>24</v>
      </c>
      <c r="L186" s="694"/>
      <c r="M186" s="527"/>
    </row>
    <row r="187" s="492" customFormat="1" spans="1:13">
      <c r="A187" s="519"/>
      <c r="B187" s="509"/>
      <c r="C187" s="509"/>
      <c r="D187" s="520"/>
      <c r="E187" s="509"/>
      <c r="F187" s="509"/>
      <c r="G187" s="545" t="s">
        <v>162</v>
      </c>
      <c r="H187" s="542">
        <v>2.58</v>
      </c>
      <c r="I187" s="542">
        <v>0.25</v>
      </c>
      <c r="J187" s="545" t="s">
        <v>24</v>
      </c>
      <c r="K187" s="542" t="s">
        <v>24</v>
      </c>
      <c r="L187" s="694"/>
      <c r="M187" s="527"/>
    </row>
    <row r="188" s="492" customFormat="1" spans="1:13">
      <c r="A188" s="519">
        <v>46086</v>
      </c>
      <c r="B188" s="509" t="s">
        <v>163</v>
      </c>
      <c r="C188" s="509" t="s">
        <v>13</v>
      </c>
      <c r="D188" s="520">
        <v>8</v>
      </c>
      <c r="E188" s="509" t="s">
        <v>14</v>
      </c>
      <c r="F188" s="509" t="s">
        <v>15</v>
      </c>
      <c r="G188" s="545" t="s">
        <v>158</v>
      </c>
      <c r="H188" s="546">
        <v>1.06</v>
      </c>
      <c r="I188" s="546">
        <v>6.96</v>
      </c>
      <c r="J188" s="545" t="s">
        <v>17</v>
      </c>
      <c r="K188" s="542">
        <v>1.8</v>
      </c>
      <c r="L188" s="694" t="s">
        <v>27</v>
      </c>
      <c r="M188" s="527" t="s">
        <v>89</v>
      </c>
    </row>
    <row r="189" s="492" customFormat="1" spans="1:13">
      <c r="A189" s="519"/>
      <c r="B189" s="509"/>
      <c r="C189" s="509"/>
      <c r="D189" s="520"/>
      <c r="E189" s="509"/>
      <c r="F189" s="509"/>
      <c r="G189" s="545" t="s">
        <v>159</v>
      </c>
      <c r="H189" s="546">
        <v>1.06</v>
      </c>
      <c r="I189" s="546">
        <v>0.4</v>
      </c>
      <c r="J189" s="545" t="s">
        <v>22</v>
      </c>
      <c r="K189" s="511">
        <v>1.9</v>
      </c>
      <c r="L189" s="694"/>
      <c r="M189" s="527"/>
    </row>
    <row r="190" s="492" customFormat="1" spans="1:13">
      <c r="A190" s="519"/>
      <c r="B190" s="509"/>
      <c r="C190" s="509"/>
      <c r="D190" s="520"/>
      <c r="E190" s="509"/>
      <c r="F190" s="509"/>
      <c r="G190" s="545" t="s">
        <v>148</v>
      </c>
      <c r="H190" s="546">
        <v>1.91</v>
      </c>
      <c r="I190" s="546">
        <v>0.64</v>
      </c>
      <c r="J190" s="545" t="s">
        <v>24</v>
      </c>
      <c r="K190" s="511" t="s">
        <v>24</v>
      </c>
      <c r="L190" s="694"/>
      <c r="M190" s="527"/>
    </row>
    <row r="191" s="492" customFormat="1" spans="1:13">
      <c r="A191" s="519">
        <v>46091</v>
      </c>
      <c r="B191" s="509" t="s">
        <v>164</v>
      </c>
      <c r="C191" s="509" t="s">
        <v>13</v>
      </c>
      <c r="D191" s="520">
        <v>6</v>
      </c>
      <c r="E191" s="509" t="s">
        <v>14</v>
      </c>
      <c r="F191" s="509" t="s">
        <v>165</v>
      </c>
      <c r="G191" s="545" t="s">
        <v>166</v>
      </c>
      <c r="H191" s="546">
        <v>0.94</v>
      </c>
      <c r="I191" s="546">
        <v>1.8</v>
      </c>
      <c r="J191" s="515" t="s">
        <v>17</v>
      </c>
      <c r="K191" s="511">
        <v>2.6</v>
      </c>
      <c r="L191" s="694" t="s">
        <v>48</v>
      </c>
      <c r="M191" s="527"/>
    </row>
    <row r="192" s="492" customFormat="1" spans="1:13">
      <c r="A192" s="519"/>
      <c r="B192" s="509"/>
      <c r="C192" s="509"/>
      <c r="D192" s="520"/>
      <c r="E192" s="509"/>
      <c r="F192" s="509"/>
      <c r="G192" s="545" t="s">
        <v>167</v>
      </c>
      <c r="H192" s="546">
        <v>1.93</v>
      </c>
      <c r="I192" s="546">
        <v>2.4</v>
      </c>
      <c r="J192" s="515" t="s">
        <v>17</v>
      </c>
      <c r="K192" s="511">
        <v>2.8</v>
      </c>
      <c r="L192" s="694"/>
      <c r="M192" s="527"/>
    </row>
    <row r="193" s="492" customFormat="1" spans="1:13">
      <c r="A193" s="519"/>
      <c r="B193" s="509"/>
      <c r="C193" s="509"/>
      <c r="D193" s="520"/>
      <c r="E193" s="509"/>
      <c r="F193" s="509"/>
      <c r="G193" s="545" t="s">
        <v>168</v>
      </c>
      <c r="H193" s="546">
        <v>2.95</v>
      </c>
      <c r="I193" s="546">
        <v>1.71</v>
      </c>
      <c r="J193" s="515" t="s">
        <v>17</v>
      </c>
      <c r="K193" s="542">
        <v>3.6</v>
      </c>
      <c r="L193" s="694"/>
      <c r="M193" s="527"/>
    </row>
    <row r="194" s="492" customFormat="1" spans="1:13">
      <c r="A194" s="519"/>
      <c r="B194" s="509"/>
      <c r="C194" s="509"/>
      <c r="D194" s="520"/>
      <c r="E194" s="509"/>
      <c r="F194" s="509"/>
      <c r="G194" s="545" t="s">
        <v>148</v>
      </c>
      <c r="H194" s="546">
        <v>3.25</v>
      </c>
      <c r="I194" s="546">
        <v>0.09</v>
      </c>
      <c r="J194" s="545" t="s">
        <v>24</v>
      </c>
      <c r="K194" s="546" t="s">
        <v>24</v>
      </c>
      <c r="L194" s="694"/>
      <c r="M194" s="527"/>
    </row>
    <row r="195" s="492" customFormat="1" spans="1:13">
      <c r="A195" s="519">
        <v>46093</v>
      </c>
      <c r="B195" s="509" t="s">
        <v>169</v>
      </c>
      <c r="C195" s="509" t="s">
        <v>13</v>
      </c>
      <c r="D195" s="520">
        <v>7</v>
      </c>
      <c r="E195" s="509" t="s">
        <v>14</v>
      </c>
      <c r="F195" s="509" t="s">
        <v>15</v>
      </c>
      <c r="G195" s="545" t="s">
        <v>158</v>
      </c>
      <c r="H195" s="546">
        <v>1.04</v>
      </c>
      <c r="I195" s="546">
        <v>6.09</v>
      </c>
      <c r="J195" s="545" t="s">
        <v>17</v>
      </c>
      <c r="K195" s="542">
        <v>1.8</v>
      </c>
      <c r="L195" s="694" t="s">
        <v>27</v>
      </c>
      <c r="M195" s="591" t="s">
        <v>170</v>
      </c>
    </row>
    <row r="196" s="492" customFormat="1" spans="1:13">
      <c r="A196" s="519"/>
      <c r="B196" s="509"/>
      <c r="C196" s="509"/>
      <c r="D196" s="520"/>
      <c r="E196" s="509"/>
      <c r="F196" s="509"/>
      <c r="G196" s="545" t="s">
        <v>159</v>
      </c>
      <c r="H196" s="546">
        <v>1.04</v>
      </c>
      <c r="I196" s="546">
        <v>0.35</v>
      </c>
      <c r="J196" s="545" t="s">
        <v>22</v>
      </c>
      <c r="K196" s="542">
        <v>1.83</v>
      </c>
      <c r="L196" s="694"/>
      <c r="M196" s="527"/>
    </row>
    <row r="197" s="492" customFormat="1" spans="1:13">
      <c r="A197" s="519"/>
      <c r="B197" s="509"/>
      <c r="C197" s="509"/>
      <c r="D197" s="520"/>
      <c r="E197" s="509"/>
      <c r="F197" s="509"/>
      <c r="G197" s="545" t="s">
        <v>148</v>
      </c>
      <c r="H197" s="546">
        <v>1.89</v>
      </c>
      <c r="I197" s="546">
        <v>0.56</v>
      </c>
      <c r="J197" s="545" t="s">
        <v>24</v>
      </c>
      <c r="K197" s="546" t="s">
        <v>24</v>
      </c>
      <c r="L197" s="694"/>
      <c r="M197" s="527"/>
    </row>
    <row r="198" s="492" customFormat="1" spans="1:13">
      <c r="A198" s="700">
        <v>46094</v>
      </c>
      <c r="B198" s="507" t="s">
        <v>171</v>
      </c>
      <c r="C198" s="507" t="s">
        <v>13</v>
      </c>
      <c r="D198" s="508">
        <v>2</v>
      </c>
      <c r="E198" s="507" t="s">
        <v>14</v>
      </c>
      <c r="F198" s="507" t="s">
        <v>111</v>
      </c>
      <c r="G198" s="545" t="s">
        <v>158</v>
      </c>
      <c r="H198" s="546">
        <v>0.65</v>
      </c>
      <c r="I198" s="546">
        <v>1.8</v>
      </c>
      <c r="J198" s="515" t="s">
        <v>17</v>
      </c>
      <c r="K198" s="542">
        <v>1.72</v>
      </c>
      <c r="L198" s="666" t="s">
        <v>112</v>
      </c>
      <c r="M198" s="527"/>
    </row>
    <row r="199" s="492" customFormat="1" spans="1:13">
      <c r="A199" s="701"/>
      <c r="B199" s="513"/>
      <c r="C199" s="513"/>
      <c r="D199" s="514"/>
      <c r="E199" s="513"/>
      <c r="F199" s="513"/>
      <c r="G199" s="545" t="s">
        <v>159</v>
      </c>
      <c r="H199" s="546">
        <v>0.65</v>
      </c>
      <c r="I199" s="546">
        <v>0.1</v>
      </c>
      <c r="J199" s="545" t="s">
        <v>22</v>
      </c>
      <c r="K199" s="546">
        <v>1.86</v>
      </c>
      <c r="L199" s="667"/>
      <c r="M199" s="527"/>
    </row>
    <row r="200" s="492" customFormat="1" spans="1:13">
      <c r="A200" s="701"/>
      <c r="B200" s="513"/>
      <c r="C200" s="513"/>
      <c r="D200" s="514"/>
      <c r="E200" s="513"/>
      <c r="F200" s="513"/>
      <c r="G200" s="545" t="s">
        <v>113</v>
      </c>
      <c r="H200" s="546">
        <v>3.05</v>
      </c>
      <c r="I200" s="546">
        <v>0.04</v>
      </c>
      <c r="J200" s="545" t="s">
        <v>24</v>
      </c>
      <c r="K200" s="546" t="s">
        <v>24</v>
      </c>
      <c r="L200" s="667"/>
      <c r="M200" s="527"/>
    </row>
    <row r="201" s="492" customFormat="1" spans="1:13">
      <c r="A201" s="702"/>
      <c r="B201" s="517"/>
      <c r="C201" s="517"/>
      <c r="D201" s="518"/>
      <c r="E201" s="517"/>
      <c r="F201" s="517"/>
      <c r="G201" s="545" t="s">
        <v>114</v>
      </c>
      <c r="H201" s="546">
        <v>3.05</v>
      </c>
      <c r="I201" s="546">
        <v>0.06</v>
      </c>
      <c r="J201" s="515" t="s">
        <v>24</v>
      </c>
      <c r="K201" s="511" t="s">
        <v>24</v>
      </c>
      <c r="L201" s="669"/>
      <c r="M201" s="527"/>
    </row>
    <row r="202" s="492" customFormat="1" spans="1:13">
      <c r="A202" s="664">
        <v>46094</v>
      </c>
      <c r="B202" s="543" t="s">
        <v>172</v>
      </c>
      <c r="C202" s="543" t="s">
        <v>32</v>
      </c>
      <c r="D202" s="665">
        <v>3</v>
      </c>
      <c r="E202" s="543" t="s">
        <v>72</v>
      </c>
      <c r="F202" s="543" t="s">
        <v>77</v>
      </c>
      <c r="G202" s="545" t="s">
        <v>158</v>
      </c>
      <c r="H202" s="546">
        <v>1.04</v>
      </c>
      <c r="I202" s="546">
        <v>2.64</v>
      </c>
      <c r="J202" s="515" t="s">
        <v>17</v>
      </c>
      <c r="K202" s="511">
        <v>1.83</v>
      </c>
      <c r="L202" s="670" t="s">
        <v>27</v>
      </c>
      <c r="M202" s="558" t="s">
        <v>89</v>
      </c>
    </row>
    <row r="203" s="492" customFormat="1" spans="1:13">
      <c r="A203" s="664"/>
      <c r="B203" s="543"/>
      <c r="C203" s="543"/>
      <c r="D203" s="665"/>
      <c r="E203" s="543"/>
      <c r="F203" s="543"/>
      <c r="G203" s="545" t="s">
        <v>159</v>
      </c>
      <c r="H203" s="546">
        <v>1.04</v>
      </c>
      <c r="I203" s="546">
        <v>0.15</v>
      </c>
      <c r="J203" s="515" t="s">
        <v>22</v>
      </c>
      <c r="K203" s="511">
        <v>1.85</v>
      </c>
      <c r="L203" s="670"/>
      <c r="M203" s="558"/>
    </row>
    <row r="204" s="492" customFormat="1" spans="1:13">
      <c r="A204" s="664"/>
      <c r="B204" s="543"/>
      <c r="C204" s="543"/>
      <c r="D204" s="665"/>
      <c r="E204" s="543"/>
      <c r="F204" s="543"/>
      <c r="G204" s="545" t="s">
        <v>148</v>
      </c>
      <c r="H204" s="546">
        <v>1.12</v>
      </c>
      <c r="I204" s="546">
        <v>0.21</v>
      </c>
      <c r="J204" s="515" t="s">
        <v>24</v>
      </c>
      <c r="K204" s="511" t="s">
        <v>24</v>
      </c>
      <c r="L204" s="670"/>
      <c r="M204" s="558"/>
    </row>
    <row r="205" s="492" customFormat="1" spans="1:13">
      <c r="A205" s="664">
        <v>46098</v>
      </c>
      <c r="B205" s="543" t="s">
        <v>173</v>
      </c>
      <c r="C205" s="543" t="s">
        <v>13</v>
      </c>
      <c r="D205" s="665">
        <v>5</v>
      </c>
      <c r="E205" s="543" t="s">
        <v>33</v>
      </c>
      <c r="F205" s="543" t="s">
        <v>174</v>
      </c>
      <c r="G205" s="545" t="s">
        <v>158</v>
      </c>
      <c r="H205" s="546">
        <v>1.08</v>
      </c>
      <c r="I205" s="546">
        <v>4.15</v>
      </c>
      <c r="J205" s="515" t="s">
        <v>17</v>
      </c>
      <c r="K205" s="511">
        <v>1.8</v>
      </c>
      <c r="L205" s="670" t="s">
        <v>35</v>
      </c>
      <c r="M205" s="558" t="s">
        <v>98</v>
      </c>
    </row>
    <row r="206" s="492" customFormat="1" spans="1:13">
      <c r="A206" s="664"/>
      <c r="B206" s="543"/>
      <c r="C206" s="543"/>
      <c r="D206" s="665"/>
      <c r="E206" s="543"/>
      <c r="F206" s="543"/>
      <c r="G206" s="545" t="s">
        <v>159</v>
      </c>
      <c r="H206" s="546">
        <v>1.08</v>
      </c>
      <c r="I206" s="546">
        <v>0.25</v>
      </c>
      <c r="J206" s="515" t="s">
        <v>22</v>
      </c>
      <c r="K206" s="511">
        <v>1.95</v>
      </c>
      <c r="L206" s="670"/>
      <c r="M206" s="558"/>
    </row>
    <row r="207" s="492" customFormat="1" spans="1:13">
      <c r="A207" s="664"/>
      <c r="B207" s="543"/>
      <c r="C207" s="543"/>
      <c r="D207" s="665"/>
      <c r="E207" s="543"/>
      <c r="F207" s="543"/>
      <c r="G207" s="545" t="s">
        <v>175</v>
      </c>
      <c r="H207" s="546">
        <v>1.75</v>
      </c>
      <c r="I207" s="546">
        <v>0.35</v>
      </c>
      <c r="J207" s="515" t="s">
        <v>100</v>
      </c>
      <c r="K207" s="511">
        <v>3.1</v>
      </c>
      <c r="L207" s="670"/>
      <c r="M207" s="558"/>
    </row>
    <row r="208" s="492" customFormat="1" spans="1:13">
      <c r="A208" s="664"/>
      <c r="B208" s="543"/>
      <c r="C208" s="543"/>
      <c r="D208" s="665"/>
      <c r="E208" s="543"/>
      <c r="F208" s="543"/>
      <c r="G208" s="545" t="s">
        <v>148</v>
      </c>
      <c r="H208" s="546">
        <v>1.75</v>
      </c>
      <c r="I208" s="546">
        <v>0.25</v>
      </c>
      <c r="J208" s="515" t="s">
        <v>24</v>
      </c>
      <c r="K208" s="511" t="s">
        <v>24</v>
      </c>
      <c r="L208" s="670"/>
      <c r="M208" s="558"/>
    </row>
    <row r="209" s="492" customFormat="1" spans="1:13">
      <c r="A209" s="664">
        <v>46099</v>
      </c>
      <c r="B209" s="543" t="s">
        <v>176</v>
      </c>
      <c r="C209" s="543" t="s">
        <v>13</v>
      </c>
      <c r="D209" s="665">
        <v>12</v>
      </c>
      <c r="E209" s="543" t="s">
        <v>177</v>
      </c>
      <c r="F209" s="543" t="s">
        <v>77</v>
      </c>
      <c r="G209" s="545" t="s">
        <v>158</v>
      </c>
      <c r="H209" s="546">
        <v>1.02</v>
      </c>
      <c r="I209" s="546">
        <v>9.77</v>
      </c>
      <c r="J209" s="515" t="s">
        <v>17</v>
      </c>
      <c r="K209" s="511">
        <v>1.79</v>
      </c>
      <c r="L209" s="694" t="s">
        <v>27</v>
      </c>
      <c r="M209" s="527" t="s">
        <v>178</v>
      </c>
    </row>
    <row r="210" s="492" customFormat="1" spans="1:13">
      <c r="A210" s="664"/>
      <c r="B210" s="543"/>
      <c r="C210" s="543"/>
      <c r="D210" s="665"/>
      <c r="E210" s="543"/>
      <c r="F210" s="543"/>
      <c r="G210" s="545" t="s">
        <v>159</v>
      </c>
      <c r="H210" s="546">
        <v>1.02</v>
      </c>
      <c r="I210" s="546">
        <v>0.68</v>
      </c>
      <c r="J210" s="515" t="s">
        <v>22</v>
      </c>
      <c r="K210" s="511">
        <v>1.8</v>
      </c>
      <c r="L210" s="694"/>
      <c r="M210" s="527"/>
    </row>
    <row r="211" s="492" customFormat="1" spans="1:13">
      <c r="A211" s="664"/>
      <c r="B211" s="543"/>
      <c r="C211" s="543"/>
      <c r="D211" s="665"/>
      <c r="E211" s="543"/>
      <c r="F211" s="543"/>
      <c r="G211" s="545" t="s">
        <v>148</v>
      </c>
      <c r="H211" s="546">
        <v>3.02</v>
      </c>
      <c r="I211" s="546">
        <v>1.55</v>
      </c>
      <c r="J211" s="515" t="s">
        <v>24</v>
      </c>
      <c r="K211" s="511" t="s">
        <v>24</v>
      </c>
      <c r="L211" s="694"/>
      <c r="M211" s="527"/>
    </row>
    <row r="212" s="492" customFormat="1" spans="1:13">
      <c r="A212" s="664">
        <v>46099</v>
      </c>
      <c r="B212" s="543" t="s">
        <v>179</v>
      </c>
      <c r="C212" s="543" t="s">
        <v>13</v>
      </c>
      <c r="D212" s="665">
        <v>10</v>
      </c>
      <c r="E212" s="543" t="s">
        <v>14</v>
      </c>
      <c r="F212" s="543" t="s">
        <v>15</v>
      </c>
      <c r="G212" s="545" t="s">
        <v>180</v>
      </c>
      <c r="H212" s="546">
        <v>1.08</v>
      </c>
      <c r="I212" s="546">
        <v>8.4</v>
      </c>
      <c r="J212" s="515" t="s">
        <v>17</v>
      </c>
      <c r="K212" s="511">
        <v>1.74</v>
      </c>
      <c r="L212" s="694" t="s">
        <v>18</v>
      </c>
      <c r="M212" s="527" t="s">
        <v>19</v>
      </c>
    </row>
    <row r="213" s="492" customFormat="1" spans="1:13">
      <c r="A213" s="664"/>
      <c r="B213" s="543"/>
      <c r="C213" s="543"/>
      <c r="D213" s="665"/>
      <c r="E213" s="543"/>
      <c r="F213" s="543"/>
      <c r="G213" s="545" t="s">
        <v>167</v>
      </c>
      <c r="H213" s="546">
        <v>1.33</v>
      </c>
      <c r="I213" s="546">
        <v>0.6</v>
      </c>
      <c r="J213" s="515" t="s">
        <v>17</v>
      </c>
      <c r="K213" s="511">
        <v>1.79</v>
      </c>
      <c r="L213" s="694"/>
      <c r="M213" s="527"/>
    </row>
    <row r="214" s="492" customFormat="1" spans="1:13">
      <c r="A214" s="664"/>
      <c r="B214" s="543"/>
      <c r="C214" s="543"/>
      <c r="D214" s="665"/>
      <c r="E214" s="543"/>
      <c r="F214" s="543"/>
      <c r="G214" s="545" t="s">
        <v>159</v>
      </c>
      <c r="H214" s="546">
        <v>1.5</v>
      </c>
      <c r="I214" s="546">
        <v>0.5</v>
      </c>
      <c r="J214" s="515" t="s">
        <v>22</v>
      </c>
      <c r="K214" s="511">
        <v>1.9</v>
      </c>
      <c r="L214" s="694"/>
      <c r="M214" s="527"/>
    </row>
    <row r="215" s="492" customFormat="1" spans="1:13">
      <c r="A215" s="664"/>
      <c r="B215" s="543"/>
      <c r="C215" s="543"/>
      <c r="D215" s="665"/>
      <c r="E215" s="543"/>
      <c r="F215" s="543"/>
      <c r="G215" s="545" t="s">
        <v>148</v>
      </c>
      <c r="H215" s="546">
        <v>2.7</v>
      </c>
      <c r="I215" s="546">
        <v>0.5</v>
      </c>
      <c r="J215" s="515" t="s">
        <v>24</v>
      </c>
      <c r="K215" s="511" t="s">
        <v>24</v>
      </c>
      <c r="L215" s="694"/>
      <c r="M215" s="527"/>
    </row>
    <row r="216" s="492" customFormat="1" spans="1:13">
      <c r="A216" s="664">
        <v>46100</v>
      </c>
      <c r="B216" s="543" t="s">
        <v>181</v>
      </c>
      <c r="C216" s="543" t="s">
        <v>32</v>
      </c>
      <c r="D216" s="665">
        <v>5</v>
      </c>
      <c r="E216" s="543" t="s">
        <v>66</v>
      </c>
      <c r="F216" s="543" t="s">
        <v>15</v>
      </c>
      <c r="G216" s="659" t="s">
        <v>182</v>
      </c>
      <c r="H216" s="546">
        <v>1</v>
      </c>
      <c r="I216" s="546">
        <v>4.4</v>
      </c>
      <c r="J216" s="515" t="s">
        <v>17</v>
      </c>
      <c r="K216" s="511">
        <v>1.73</v>
      </c>
      <c r="L216" s="694" t="s">
        <v>86</v>
      </c>
      <c r="M216" s="527" t="s">
        <v>95</v>
      </c>
    </row>
    <row r="217" s="492" customFormat="1" spans="1:13">
      <c r="A217" s="664"/>
      <c r="B217" s="543"/>
      <c r="C217" s="543"/>
      <c r="D217" s="665"/>
      <c r="E217" s="543"/>
      <c r="F217" s="543"/>
      <c r="G217" s="545" t="s">
        <v>183</v>
      </c>
      <c r="H217" s="546">
        <v>1</v>
      </c>
      <c r="I217" s="546">
        <v>0.3</v>
      </c>
      <c r="J217" s="515" t="s">
        <v>22</v>
      </c>
      <c r="K217" s="511">
        <v>1.95</v>
      </c>
      <c r="L217" s="694"/>
      <c r="M217" s="527"/>
    </row>
    <row r="218" s="492" customFormat="1" spans="1:13">
      <c r="A218" s="664"/>
      <c r="B218" s="543"/>
      <c r="C218" s="543"/>
      <c r="D218" s="665"/>
      <c r="E218" s="543"/>
      <c r="F218" s="543"/>
      <c r="G218" s="545" t="s">
        <v>148</v>
      </c>
      <c r="H218" s="546">
        <v>3</v>
      </c>
      <c r="I218" s="546">
        <v>0.3</v>
      </c>
      <c r="J218" s="515" t="s">
        <v>24</v>
      </c>
      <c r="K218" s="511" t="s">
        <v>24</v>
      </c>
      <c r="L218" s="694"/>
      <c r="M218" s="527"/>
    </row>
    <row r="219" s="492" customFormat="1" spans="1:13">
      <c r="A219" s="540">
        <v>46100</v>
      </c>
      <c r="B219" s="515" t="s">
        <v>184</v>
      </c>
      <c r="C219" s="515" t="s">
        <v>13</v>
      </c>
      <c r="D219" s="541">
        <v>10</v>
      </c>
      <c r="E219" s="515" t="s">
        <v>72</v>
      </c>
      <c r="F219" s="515" t="s">
        <v>15</v>
      </c>
      <c r="G219" s="515" t="s">
        <v>73</v>
      </c>
      <c r="H219" s="525">
        <v>1.01</v>
      </c>
      <c r="I219" s="525">
        <v>8.35</v>
      </c>
      <c r="J219" s="515" t="s">
        <v>17</v>
      </c>
      <c r="K219" s="541">
        <v>1.82</v>
      </c>
      <c r="L219" s="690" t="s">
        <v>27</v>
      </c>
      <c r="M219" s="527" t="s">
        <v>89</v>
      </c>
    </row>
    <row r="220" s="492" customFormat="1" spans="1:13">
      <c r="A220" s="540"/>
      <c r="B220" s="515"/>
      <c r="C220" s="515"/>
      <c r="D220" s="541"/>
      <c r="E220" s="515"/>
      <c r="F220" s="515"/>
      <c r="G220" s="515" t="s">
        <v>75</v>
      </c>
      <c r="H220" s="525">
        <v>1.01</v>
      </c>
      <c r="I220" s="525">
        <v>0.7</v>
      </c>
      <c r="J220" s="515" t="s">
        <v>22</v>
      </c>
      <c r="K220" s="541">
        <v>1.83</v>
      </c>
      <c r="L220" s="690"/>
      <c r="M220" s="527"/>
    </row>
    <row r="221" s="492" customFormat="1" spans="1:13">
      <c r="A221" s="540"/>
      <c r="B221" s="515"/>
      <c r="C221" s="515"/>
      <c r="D221" s="541"/>
      <c r="E221" s="515"/>
      <c r="F221" s="515"/>
      <c r="G221" s="515" t="s">
        <v>91</v>
      </c>
      <c r="H221" s="525">
        <v>1.76</v>
      </c>
      <c r="I221" s="525">
        <v>0.95</v>
      </c>
      <c r="J221" s="515" t="s">
        <v>24</v>
      </c>
      <c r="K221" s="541" t="s">
        <v>24</v>
      </c>
      <c r="L221" s="690"/>
      <c r="M221" s="527"/>
    </row>
    <row r="222" s="492" customFormat="1" spans="1:13">
      <c r="A222" s="540">
        <v>46101</v>
      </c>
      <c r="B222" s="515" t="s">
        <v>185</v>
      </c>
      <c r="C222" s="515" t="s">
        <v>13</v>
      </c>
      <c r="D222" s="541">
        <v>10</v>
      </c>
      <c r="E222" s="515" t="s">
        <v>109</v>
      </c>
      <c r="F222" s="515" t="s">
        <v>77</v>
      </c>
      <c r="G222" s="689" t="s">
        <v>186</v>
      </c>
      <c r="H222" s="525">
        <v>1.08</v>
      </c>
      <c r="I222" s="525">
        <v>8.3</v>
      </c>
      <c r="J222" s="515" t="s">
        <v>17</v>
      </c>
      <c r="K222" s="541">
        <v>1.78</v>
      </c>
      <c r="L222" s="690" t="s">
        <v>35</v>
      </c>
      <c r="M222" s="515" t="s">
        <v>98</v>
      </c>
    </row>
    <row r="223" s="492" customFormat="1" spans="1:13">
      <c r="A223" s="540"/>
      <c r="B223" s="515"/>
      <c r="C223" s="515"/>
      <c r="D223" s="541"/>
      <c r="E223" s="515"/>
      <c r="F223" s="515"/>
      <c r="G223" s="515" t="s">
        <v>75</v>
      </c>
      <c r="H223" s="525">
        <v>1.08</v>
      </c>
      <c r="I223" s="525">
        <v>0.5</v>
      </c>
      <c r="J223" s="515" t="s">
        <v>22</v>
      </c>
      <c r="K223" s="541">
        <v>1.95</v>
      </c>
      <c r="L223" s="690"/>
      <c r="M223" s="515"/>
    </row>
    <row r="224" s="492" customFormat="1" spans="1:13">
      <c r="A224" s="540"/>
      <c r="B224" s="515"/>
      <c r="C224" s="515"/>
      <c r="D224" s="541"/>
      <c r="E224" s="515"/>
      <c r="F224" s="515"/>
      <c r="G224" s="515" t="s">
        <v>90</v>
      </c>
      <c r="H224" s="525">
        <v>1.75</v>
      </c>
      <c r="I224" s="525">
        <v>0.7</v>
      </c>
      <c r="J224" s="515" t="s">
        <v>100</v>
      </c>
      <c r="K224" s="541">
        <v>3.1</v>
      </c>
      <c r="L224" s="690"/>
      <c r="M224" s="515"/>
    </row>
    <row r="225" s="492" customFormat="1" spans="1:13">
      <c r="A225" s="540"/>
      <c r="B225" s="515"/>
      <c r="C225" s="515"/>
      <c r="D225" s="541"/>
      <c r="E225" s="515"/>
      <c r="F225" s="515"/>
      <c r="G225" s="515" t="s">
        <v>91</v>
      </c>
      <c r="H225" s="525">
        <v>1.75</v>
      </c>
      <c r="I225" s="525">
        <v>0.5</v>
      </c>
      <c r="J225" s="515" t="s">
        <v>24</v>
      </c>
      <c r="K225" s="541" t="s">
        <v>24</v>
      </c>
      <c r="L225" s="690"/>
      <c r="M225" s="515"/>
    </row>
    <row r="226" s="492" customFormat="1" spans="1:13">
      <c r="A226" s="664">
        <v>46105</v>
      </c>
      <c r="B226" s="543" t="s">
        <v>187</v>
      </c>
      <c r="C226" s="543" t="s">
        <v>13</v>
      </c>
      <c r="D226" s="665">
        <v>10</v>
      </c>
      <c r="E226" s="543" t="s">
        <v>33</v>
      </c>
      <c r="F226" s="543" t="s">
        <v>165</v>
      </c>
      <c r="G226" s="545" t="s">
        <v>158</v>
      </c>
      <c r="H226" s="546">
        <v>0.67</v>
      </c>
      <c r="I226" s="546">
        <v>9</v>
      </c>
      <c r="J226" s="515" t="s">
        <v>17</v>
      </c>
      <c r="K226" s="511">
        <v>1.79</v>
      </c>
      <c r="L226" s="670" t="s">
        <v>74</v>
      </c>
      <c r="M226" s="558"/>
    </row>
    <row r="227" s="492" customFormat="1" spans="1:13">
      <c r="A227" s="664"/>
      <c r="B227" s="543"/>
      <c r="C227" s="543"/>
      <c r="D227" s="665"/>
      <c r="E227" s="543"/>
      <c r="F227" s="543"/>
      <c r="G227" s="545" t="s">
        <v>159</v>
      </c>
      <c r="H227" s="546">
        <v>0.92</v>
      </c>
      <c r="I227" s="546">
        <v>0.3</v>
      </c>
      <c r="J227" s="515" t="s">
        <v>22</v>
      </c>
      <c r="K227" s="511">
        <v>1.9</v>
      </c>
      <c r="L227" s="670"/>
      <c r="M227" s="558"/>
    </row>
    <row r="228" s="492" customFormat="1" spans="1:13">
      <c r="A228" s="664"/>
      <c r="B228" s="543"/>
      <c r="C228" s="543"/>
      <c r="D228" s="665"/>
      <c r="E228" s="543"/>
      <c r="F228" s="543"/>
      <c r="G228" s="545" t="s">
        <v>148</v>
      </c>
      <c r="H228" s="546">
        <v>1.42</v>
      </c>
      <c r="I228" s="546">
        <v>0.7</v>
      </c>
      <c r="J228" s="515" t="s">
        <v>24</v>
      </c>
      <c r="K228" s="511" t="s">
        <v>24</v>
      </c>
      <c r="L228" s="670"/>
      <c r="M228" s="558"/>
    </row>
    <row r="229" s="492" customFormat="1" spans="1:13">
      <c r="A229" s="540">
        <v>46106</v>
      </c>
      <c r="B229" s="515" t="s">
        <v>188</v>
      </c>
      <c r="C229" s="515" t="s">
        <v>13</v>
      </c>
      <c r="D229" s="541">
        <v>10</v>
      </c>
      <c r="E229" s="515" t="s">
        <v>14</v>
      </c>
      <c r="F229" s="515" t="s">
        <v>15</v>
      </c>
      <c r="G229" s="515" t="s">
        <v>73</v>
      </c>
      <c r="H229" s="525">
        <v>1.06</v>
      </c>
      <c r="I229" s="525">
        <v>8.4</v>
      </c>
      <c r="J229" s="515" t="s">
        <v>17</v>
      </c>
      <c r="K229" s="541">
        <v>1.71</v>
      </c>
      <c r="L229" s="690" t="s">
        <v>18</v>
      </c>
      <c r="M229" s="515" t="s">
        <v>19</v>
      </c>
    </row>
    <row r="230" s="492" customFormat="1" spans="1:13">
      <c r="A230" s="540"/>
      <c r="B230" s="515"/>
      <c r="C230" s="515"/>
      <c r="D230" s="541"/>
      <c r="E230" s="515"/>
      <c r="F230" s="515"/>
      <c r="G230" s="515" t="s">
        <v>75</v>
      </c>
      <c r="H230" s="525">
        <v>1.31</v>
      </c>
      <c r="I230" s="525">
        <v>0.6</v>
      </c>
      <c r="J230" s="515" t="s">
        <v>17</v>
      </c>
      <c r="K230" s="541">
        <v>1.79</v>
      </c>
      <c r="L230" s="690"/>
      <c r="M230" s="515"/>
    </row>
    <row r="231" s="492" customFormat="1" spans="1:13">
      <c r="A231" s="540"/>
      <c r="B231" s="515"/>
      <c r="C231" s="515"/>
      <c r="D231" s="541"/>
      <c r="E231" s="515"/>
      <c r="F231" s="515"/>
      <c r="G231" s="515" t="s">
        <v>90</v>
      </c>
      <c r="H231" s="525">
        <v>1.48</v>
      </c>
      <c r="I231" s="525">
        <v>0.5</v>
      </c>
      <c r="J231" s="515" t="s">
        <v>22</v>
      </c>
      <c r="K231" s="541">
        <v>1.9</v>
      </c>
      <c r="L231" s="690"/>
      <c r="M231" s="515"/>
    </row>
    <row r="232" s="492" customFormat="1" spans="1:13">
      <c r="A232" s="540"/>
      <c r="B232" s="515"/>
      <c r="C232" s="515"/>
      <c r="D232" s="541"/>
      <c r="E232" s="515"/>
      <c r="F232" s="515"/>
      <c r="G232" s="515" t="s">
        <v>91</v>
      </c>
      <c r="H232" s="525">
        <v>2.68</v>
      </c>
      <c r="I232" s="525">
        <v>0.5</v>
      </c>
      <c r="J232" s="515" t="s">
        <v>24</v>
      </c>
      <c r="K232" s="541" t="s">
        <v>24</v>
      </c>
      <c r="L232" s="690"/>
      <c r="M232" s="515"/>
    </row>
    <row r="233" s="492" customFormat="1" spans="1:13">
      <c r="A233" s="540">
        <v>46107</v>
      </c>
      <c r="B233" s="515" t="s">
        <v>189</v>
      </c>
      <c r="C233" s="515" t="s">
        <v>13</v>
      </c>
      <c r="D233" s="541">
        <v>3</v>
      </c>
      <c r="E233" s="515" t="s">
        <v>33</v>
      </c>
      <c r="F233" s="515" t="s">
        <v>77</v>
      </c>
      <c r="G233" s="515" t="s">
        <v>73</v>
      </c>
      <c r="H233" s="525">
        <v>1.04</v>
      </c>
      <c r="I233" s="525">
        <v>2.64</v>
      </c>
      <c r="J233" s="515" t="s">
        <v>17</v>
      </c>
      <c r="K233" s="541">
        <v>1.78</v>
      </c>
      <c r="L233" s="690" t="s">
        <v>27</v>
      </c>
      <c r="M233" s="515" t="s">
        <v>28</v>
      </c>
    </row>
    <row r="234" s="492" customFormat="1" spans="1:13">
      <c r="A234" s="540"/>
      <c r="B234" s="515"/>
      <c r="C234" s="515"/>
      <c r="D234" s="541"/>
      <c r="E234" s="515"/>
      <c r="F234" s="515"/>
      <c r="G234" s="515" t="s">
        <v>75</v>
      </c>
      <c r="H234" s="525">
        <v>1.04</v>
      </c>
      <c r="I234" s="525">
        <v>0.06</v>
      </c>
      <c r="J234" s="515" t="s">
        <v>17</v>
      </c>
      <c r="K234" s="541">
        <v>1.78</v>
      </c>
      <c r="L234" s="690"/>
      <c r="M234" s="515"/>
    </row>
    <row r="235" s="492" customFormat="1" spans="1:13">
      <c r="A235" s="540"/>
      <c r="B235" s="515"/>
      <c r="C235" s="515"/>
      <c r="D235" s="541"/>
      <c r="E235" s="515"/>
      <c r="F235" s="515"/>
      <c r="G235" s="515" t="s">
        <v>91</v>
      </c>
      <c r="H235" s="525">
        <v>1.36</v>
      </c>
      <c r="I235" s="525">
        <v>0.3</v>
      </c>
      <c r="J235" s="515" t="s">
        <v>24</v>
      </c>
      <c r="K235" s="541" t="s">
        <v>24</v>
      </c>
      <c r="L235" s="690"/>
      <c r="M235" s="515"/>
    </row>
    <row r="236" s="492" customFormat="1" spans="1:13">
      <c r="A236" s="522">
        <v>46107</v>
      </c>
      <c r="B236" s="506" t="s">
        <v>190</v>
      </c>
      <c r="C236" s="522" t="s">
        <v>13</v>
      </c>
      <c r="D236" s="523">
        <v>10</v>
      </c>
      <c r="E236" s="522" t="s">
        <v>72</v>
      </c>
      <c r="F236" s="522" t="s">
        <v>52</v>
      </c>
      <c r="G236" s="515" t="s">
        <v>191</v>
      </c>
      <c r="H236" s="541">
        <v>0.61</v>
      </c>
      <c r="I236" s="541">
        <v>9</v>
      </c>
      <c r="J236" s="689" t="s">
        <v>17</v>
      </c>
      <c r="K236" s="546">
        <v>1.65</v>
      </c>
      <c r="L236" s="703" t="s">
        <v>74</v>
      </c>
      <c r="M236" s="522"/>
    </row>
    <row r="237" s="492" customFormat="1" spans="1:13">
      <c r="A237" s="528"/>
      <c r="B237" s="512"/>
      <c r="C237" s="528"/>
      <c r="D237" s="529"/>
      <c r="E237" s="528"/>
      <c r="F237" s="528"/>
      <c r="G237" s="515" t="s">
        <v>192</v>
      </c>
      <c r="H237" s="541">
        <v>0.89</v>
      </c>
      <c r="I237" s="541">
        <v>0.3</v>
      </c>
      <c r="J237" s="689" t="s">
        <v>22</v>
      </c>
      <c r="K237" s="546">
        <v>1.9</v>
      </c>
      <c r="L237" s="704"/>
      <c r="M237" s="528"/>
    </row>
    <row r="238" s="492" customFormat="1" spans="1:13">
      <c r="A238" s="528"/>
      <c r="B238" s="512"/>
      <c r="C238" s="528"/>
      <c r="D238" s="529"/>
      <c r="E238" s="528"/>
      <c r="F238" s="528"/>
      <c r="G238" s="515" t="s">
        <v>91</v>
      </c>
      <c r="H238" s="541">
        <v>1.36</v>
      </c>
      <c r="I238" s="541">
        <v>0.7</v>
      </c>
      <c r="J238" s="689" t="s">
        <v>24</v>
      </c>
      <c r="K238" s="546" t="s">
        <v>24</v>
      </c>
      <c r="L238" s="704"/>
      <c r="M238" s="528"/>
    </row>
    <row r="239" s="492" customFormat="1" spans="1:13">
      <c r="A239" s="571">
        <v>46122</v>
      </c>
      <c r="B239" s="507" t="s">
        <v>193</v>
      </c>
      <c r="C239" s="507" t="s">
        <v>13</v>
      </c>
      <c r="D239" s="585">
        <v>9</v>
      </c>
      <c r="E239" s="705" t="s">
        <v>194</v>
      </c>
      <c r="F239" s="705" t="s">
        <v>195</v>
      </c>
      <c r="G239" s="515" t="s">
        <v>73</v>
      </c>
      <c r="H239" s="706">
        <v>1</v>
      </c>
      <c r="I239" s="706">
        <v>8.1</v>
      </c>
      <c r="J239" s="510" t="s">
        <v>17</v>
      </c>
      <c r="K239" s="585">
        <v>1.68</v>
      </c>
      <c r="L239" s="694" t="s">
        <v>35</v>
      </c>
      <c r="M239" s="545" t="s">
        <v>196</v>
      </c>
    </row>
    <row r="240" s="492" customFormat="1" spans="1:13">
      <c r="A240" s="707"/>
      <c r="B240" s="513"/>
      <c r="C240" s="513"/>
      <c r="D240" s="585"/>
      <c r="E240" s="708"/>
      <c r="F240" s="708"/>
      <c r="G240" s="515" t="s">
        <v>75</v>
      </c>
      <c r="H240" s="706">
        <v>1</v>
      </c>
      <c r="I240" s="706">
        <v>0.27</v>
      </c>
      <c r="J240" s="510" t="s">
        <v>22</v>
      </c>
      <c r="K240" s="585">
        <v>1.85</v>
      </c>
      <c r="L240" s="694"/>
      <c r="M240" s="545"/>
    </row>
    <row r="241" s="492" customFormat="1" spans="1:13">
      <c r="A241" s="707"/>
      <c r="B241" s="513"/>
      <c r="C241" s="513"/>
      <c r="D241" s="585"/>
      <c r="E241" s="708"/>
      <c r="F241" s="708"/>
      <c r="G241" s="515" t="s">
        <v>99</v>
      </c>
      <c r="H241" s="706">
        <v>1.08</v>
      </c>
      <c r="I241" s="706">
        <v>0.18</v>
      </c>
      <c r="J241" s="510" t="s">
        <v>64</v>
      </c>
      <c r="K241" s="585">
        <v>3.1</v>
      </c>
      <c r="L241" s="694"/>
      <c r="M241" s="545"/>
    </row>
    <row r="242" s="492" customFormat="1" spans="1:13">
      <c r="A242" s="709"/>
      <c r="B242" s="517"/>
      <c r="C242" s="517"/>
      <c r="D242" s="585"/>
      <c r="E242" s="623"/>
      <c r="F242" s="623"/>
      <c r="G242" s="515" t="s">
        <v>91</v>
      </c>
      <c r="H242" s="706">
        <v>2</v>
      </c>
      <c r="I242" s="706">
        <v>0.45</v>
      </c>
      <c r="J242" s="510" t="s">
        <v>24</v>
      </c>
      <c r="K242" s="541" t="s">
        <v>24</v>
      </c>
      <c r="L242" s="694"/>
      <c r="M242" s="545"/>
    </row>
    <row r="243" s="492" customFormat="1" spans="1:13">
      <c r="A243" s="540">
        <v>46108</v>
      </c>
      <c r="B243" s="515" t="s">
        <v>197</v>
      </c>
      <c r="C243" s="515" t="s">
        <v>32</v>
      </c>
      <c r="D243" s="541">
        <v>10</v>
      </c>
      <c r="E243" s="515" t="s">
        <v>66</v>
      </c>
      <c r="F243" s="515" t="s">
        <v>59</v>
      </c>
      <c r="G243" s="515" t="s">
        <v>128</v>
      </c>
      <c r="H243" s="525">
        <v>1</v>
      </c>
      <c r="I243" s="525">
        <v>8.9</v>
      </c>
      <c r="J243" s="515" t="s">
        <v>17</v>
      </c>
      <c r="K243" s="541">
        <v>1.65</v>
      </c>
      <c r="L243" s="690" t="s">
        <v>129</v>
      </c>
      <c r="M243" s="515" t="s">
        <v>130</v>
      </c>
    </row>
    <row r="244" s="492" customFormat="1" spans="1:13">
      <c r="A244" s="540"/>
      <c r="B244" s="515"/>
      <c r="C244" s="515"/>
      <c r="D244" s="541"/>
      <c r="E244" s="515"/>
      <c r="F244" s="515"/>
      <c r="G244" s="515" t="s">
        <v>131</v>
      </c>
      <c r="H244" s="525">
        <v>1.17</v>
      </c>
      <c r="I244" s="525">
        <v>0.5</v>
      </c>
      <c r="J244" s="515" t="s">
        <v>22</v>
      </c>
      <c r="K244" s="541">
        <v>1.8</v>
      </c>
      <c r="L244" s="690"/>
      <c r="M244" s="515"/>
    </row>
    <row r="245" s="492" customFormat="1" spans="1:13">
      <c r="A245" s="540"/>
      <c r="B245" s="515"/>
      <c r="C245" s="515"/>
      <c r="D245" s="541"/>
      <c r="E245" s="515"/>
      <c r="F245" s="515"/>
      <c r="G245" s="515" t="s">
        <v>91</v>
      </c>
      <c r="H245" s="525">
        <v>1.75</v>
      </c>
      <c r="I245" s="525">
        <v>0.6</v>
      </c>
      <c r="J245" s="515" t="s">
        <v>24</v>
      </c>
      <c r="K245" s="541" t="s">
        <v>24</v>
      </c>
      <c r="L245" s="690"/>
      <c r="M245" s="515"/>
    </row>
    <row r="246" s="492" customFormat="1" spans="1:13">
      <c r="A246" s="540">
        <v>46108</v>
      </c>
      <c r="B246" s="515" t="s">
        <v>198</v>
      </c>
      <c r="C246" s="515" t="s">
        <v>13</v>
      </c>
      <c r="D246" s="541">
        <v>6</v>
      </c>
      <c r="E246" s="561" t="s">
        <v>14</v>
      </c>
      <c r="F246" s="561" t="s">
        <v>165</v>
      </c>
      <c r="G246" s="515" t="s">
        <v>199</v>
      </c>
      <c r="H246" s="525">
        <v>0.97</v>
      </c>
      <c r="I246" s="525">
        <v>1.8</v>
      </c>
      <c r="J246" s="515" t="s">
        <v>17</v>
      </c>
      <c r="K246" s="541">
        <v>2.6</v>
      </c>
      <c r="L246" s="690" t="s">
        <v>48</v>
      </c>
      <c r="M246" s="515"/>
    </row>
    <row r="247" s="492" customFormat="1" spans="1:13">
      <c r="A247" s="540"/>
      <c r="B247" s="515"/>
      <c r="C247" s="515"/>
      <c r="D247" s="541"/>
      <c r="E247" s="710"/>
      <c r="F247" s="710"/>
      <c r="G247" s="515" t="s">
        <v>154</v>
      </c>
      <c r="H247" s="525">
        <v>1.97</v>
      </c>
      <c r="I247" s="525">
        <v>2.4</v>
      </c>
      <c r="J247" s="515" t="s">
        <v>17</v>
      </c>
      <c r="K247" s="541">
        <v>2.8</v>
      </c>
      <c r="L247" s="690"/>
      <c r="M247" s="515"/>
    </row>
    <row r="248" s="492" customFormat="1" spans="1:13">
      <c r="A248" s="540"/>
      <c r="B248" s="515"/>
      <c r="C248" s="515"/>
      <c r="D248" s="541"/>
      <c r="E248" s="710"/>
      <c r="F248" s="710"/>
      <c r="G248" s="515" t="s">
        <v>200</v>
      </c>
      <c r="H248" s="525">
        <v>2.97</v>
      </c>
      <c r="I248" s="525">
        <v>1.71</v>
      </c>
      <c r="J248" s="515" t="s">
        <v>17</v>
      </c>
      <c r="K248" s="541">
        <v>3.6</v>
      </c>
      <c r="L248" s="690"/>
      <c r="M248" s="515"/>
    </row>
    <row r="249" s="492" customFormat="1" spans="1:13">
      <c r="A249" s="540"/>
      <c r="B249" s="515"/>
      <c r="C249" s="515"/>
      <c r="D249" s="541"/>
      <c r="E249" s="711"/>
      <c r="F249" s="711"/>
      <c r="G249" s="515" t="s">
        <v>91</v>
      </c>
      <c r="H249" s="525">
        <v>3.25</v>
      </c>
      <c r="I249" s="525">
        <v>0.09</v>
      </c>
      <c r="J249" s="515" t="s">
        <v>24</v>
      </c>
      <c r="K249" s="541" t="s">
        <v>24</v>
      </c>
      <c r="L249" s="690"/>
      <c r="M249" s="515"/>
    </row>
    <row r="250" s="492" customFormat="1" spans="1:13">
      <c r="A250" s="540">
        <v>46108</v>
      </c>
      <c r="B250" s="515" t="s">
        <v>201</v>
      </c>
      <c r="C250" s="515" t="s">
        <v>13</v>
      </c>
      <c r="D250" s="541">
        <v>3</v>
      </c>
      <c r="E250" s="561" t="s">
        <v>33</v>
      </c>
      <c r="F250" s="561" t="s">
        <v>15</v>
      </c>
      <c r="G250" s="515" t="s">
        <v>73</v>
      </c>
      <c r="H250" s="525">
        <v>1</v>
      </c>
      <c r="I250" s="525">
        <v>2.58</v>
      </c>
      <c r="J250" s="515" t="s">
        <v>17</v>
      </c>
      <c r="K250" s="541">
        <v>1.8</v>
      </c>
      <c r="L250" s="690" t="s">
        <v>35</v>
      </c>
      <c r="M250" s="515" t="s">
        <v>202</v>
      </c>
    </row>
    <row r="251" s="492" customFormat="1" spans="1:13">
      <c r="A251" s="540"/>
      <c r="B251" s="515"/>
      <c r="C251" s="515"/>
      <c r="D251" s="541"/>
      <c r="E251" s="710"/>
      <c r="F251" s="710"/>
      <c r="G251" s="515" t="s">
        <v>75</v>
      </c>
      <c r="H251" s="525">
        <v>1</v>
      </c>
      <c r="I251" s="525">
        <v>0.12</v>
      </c>
      <c r="J251" s="515" t="s">
        <v>22</v>
      </c>
      <c r="K251" s="541">
        <v>2</v>
      </c>
      <c r="L251" s="690"/>
      <c r="M251" s="515"/>
    </row>
    <row r="252" s="492" customFormat="1" spans="1:13">
      <c r="A252" s="540"/>
      <c r="B252" s="515"/>
      <c r="C252" s="515"/>
      <c r="D252" s="541"/>
      <c r="E252" s="710"/>
      <c r="F252" s="710"/>
      <c r="G252" s="515" t="s">
        <v>90</v>
      </c>
      <c r="H252" s="525">
        <v>1</v>
      </c>
      <c r="I252" s="525">
        <v>0.15</v>
      </c>
      <c r="J252" s="515" t="s">
        <v>64</v>
      </c>
      <c r="K252" s="541">
        <v>3.1</v>
      </c>
      <c r="L252" s="690"/>
      <c r="M252" s="515"/>
    </row>
    <row r="253" s="492" customFormat="1" spans="1:13">
      <c r="A253" s="540"/>
      <c r="B253" s="515"/>
      <c r="C253" s="515"/>
      <c r="D253" s="541"/>
      <c r="E253" s="711"/>
      <c r="F253" s="711"/>
      <c r="G253" s="515" t="s">
        <v>91</v>
      </c>
      <c r="H253" s="525">
        <v>1.58</v>
      </c>
      <c r="I253" s="525">
        <v>0.15</v>
      </c>
      <c r="J253" s="515" t="s">
        <v>24</v>
      </c>
      <c r="K253" s="541" t="s">
        <v>24</v>
      </c>
      <c r="L253" s="690"/>
      <c r="M253" s="515"/>
    </row>
    <row r="254" s="492" customFormat="1" spans="1:13">
      <c r="A254" s="540">
        <v>46108</v>
      </c>
      <c r="B254" s="515" t="s">
        <v>203</v>
      </c>
      <c r="C254" s="515" t="s">
        <v>32</v>
      </c>
      <c r="D254" s="541">
        <v>10</v>
      </c>
      <c r="E254" s="561" t="s">
        <v>51</v>
      </c>
      <c r="F254" s="561" t="s">
        <v>52</v>
      </c>
      <c r="G254" s="515" t="s">
        <v>73</v>
      </c>
      <c r="H254" s="541">
        <v>2</v>
      </c>
      <c r="I254" s="525">
        <v>8.7</v>
      </c>
      <c r="J254" s="515" t="s">
        <v>17</v>
      </c>
      <c r="K254" s="541">
        <v>1.83</v>
      </c>
      <c r="L254" s="690" t="s">
        <v>35</v>
      </c>
      <c r="M254" s="515" t="s">
        <v>53</v>
      </c>
    </row>
    <row r="255" s="492" customFormat="1" spans="1:13">
      <c r="A255" s="540"/>
      <c r="B255" s="515"/>
      <c r="C255" s="515"/>
      <c r="D255" s="541"/>
      <c r="E255" s="710"/>
      <c r="F255" s="710"/>
      <c r="G255" s="515" t="s">
        <v>75</v>
      </c>
      <c r="H255" s="541">
        <v>2</v>
      </c>
      <c r="I255" s="525">
        <v>0.4</v>
      </c>
      <c r="J255" s="515" t="s">
        <v>22</v>
      </c>
      <c r="K255" s="541">
        <v>1.9</v>
      </c>
      <c r="L255" s="690"/>
      <c r="M255" s="515"/>
    </row>
    <row r="256" s="492" customFormat="1" spans="1:13">
      <c r="A256" s="540"/>
      <c r="B256" s="515"/>
      <c r="C256" s="515"/>
      <c r="D256" s="541"/>
      <c r="E256" s="710"/>
      <c r="F256" s="710"/>
      <c r="G256" s="515" t="s">
        <v>99</v>
      </c>
      <c r="H256" s="541">
        <v>2</v>
      </c>
      <c r="I256" s="525">
        <v>0.4</v>
      </c>
      <c r="J256" s="515" t="s">
        <v>44</v>
      </c>
      <c r="K256" s="541">
        <v>3.2</v>
      </c>
      <c r="L256" s="690"/>
      <c r="M256" s="515"/>
    </row>
    <row r="257" s="492" customFormat="1" spans="1:13">
      <c r="A257" s="540"/>
      <c r="B257" s="515"/>
      <c r="C257" s="515"/>
      <c r="D257" s="541"/>
      <c r="E257" s="711"/>
      <c r="F257" s="711"/>
      <c r="G257" s="515" t="s">
        <v>91</v>
      </c>
      <c r="H257" s="541">
        <v>2</v>
      </c>
      <c r="I257" s="525">
        <v>0.5</v>
      </c>
      <c r="J257" s="515" t="s">
        <v>24</v>
      </c>
      <c r="K257" s="541" t="s">
        <v>24</v>
      </c>
      <c r="L257" s="690"/>
      <c r="M257" s="515"/>
    </row>
    <row r="258" s="492" customFormat="1" spans="1:13">
      <c r="A258" s="540">
        <v>46108</v>
      </c>
      <c r="B258" s="515" t="s">
        <v>204</v>
      </c>
      <c r="C258" s="515" t="s">
        <v>32</v>
      </c>
      <c r="D258" s="541">
        <v>10</v>
      </c>
      <c r="E258" s="515" t="s">
        <v>66</v>
      </c>
      <c r="F258" s="515" t="s">
        <v>94</v>
      </c>
      <c r="G258" s="515" t="s">
        <v>73</v>
      </c>
      <c r="H258" s="525">
        <v>0.89</v>
      </c>
      <c r="I258" s="525">
        <v>9</v>
      </c>
      <c r="J258" s="515" t="s">
        <v>17</v>
      </c>
      <c r="K258" s="541">
        <v>1.64</v>
      </c>
      <c r="L258" s="690" t="s">
        <v>74</v>
      </c>
      <c r="M258" s="515"/>
    </row>
    <row r="259" s="492" customFormat="1" spans="1:13">
      <c r="A259" s="540"/>
      <c r="B259" s="515"/>
      <c r="C259" s="515"/>
      <c r="D259" s="541"/>
      <c r="E259" s="515"/>
      <c r="F259" s="515"/>
      <c r="G259" s="515" t="s">
        <v>75</v>
      </c>
      <c r="H259" s="525">
        <v>1.13</v>
      </c>
      <c r="I259" s="525">
        <v>0.3</v>
      </c>
      <c r="J259" s="515" t="s">
        <v>22</v>
      </c>
      <c r="K259" s="541">
        <v>1.9</v>
      </c>
      <c r="L259" s="690"/>
      <c r="M259" s="515"/>
    </row>
    <row r="260" s="492" customFormat="1" spans="1:13">
      <c r="A260" s="540"/>
      <c r="B260" s="515"/>
      <c r="C260" s="515"/>
      <c r="D260" s="541"/>
      <c r="E260" s="515"/>
      <c r="F260" s="515"/>
      <c r="G260" s="515" t="s">
        <v>91</v>
      </c>
      <c r="H260" s="525">
        <v>1.62</v>
      </c>
      <c r="I260" s="525">
        <v>0.7</v>
      </c>
      <c r="J260" s="515" t="s">
        <v>24</v>
      </c>
      <c r="K260" s="541" t="s">
        <v>24</v>
      </c>
      <c r="L260" s="690"/>
      <c r="M260" s="515"/>
    </row>
    <row r="261" s="492" customFormat="1" spans="1:13">
      <c r="A261" s="540">
        <v>46112</v>
      </c>
      <c r="B261" s="515" t="s">
        <v>205</v>
      </c>
      <c r="C261" s="515" t="s">
        <v>13</v>
      </c>
      <c r="D261" s="541">
        <v>10</v>
      </c>
      <c r="E261" s="561" t="s">
        <v>51</v>
      </c>
      <c r="F261" s="561" t="s">
        <v>206</v>
      </c>
      <c r="G261" s="515" t="s">
        <v>73</v>
      </c>
      <c r="H261" s="541">
        <v>1</v>
      </c>
      <c r="I261" s="525">
        <v>9</v>
      </c>
      <c r="J261" s="515" t="s">
        <v>17</v>
      </c>
      <c r="K261" s="541">
        <v>1.68</v>
      </c>
      <c r="L261" s="690" t="s">
        <v>35</v>
      </c>
      <c r="M261" s="515" t="s">
        <v>53</v>
      </c>
    </row>
    <row r="262" s="492" customFormat="1" spans="1:13">
      <c r="A262" s="540"/>
      <c r="B262" s="515"/>
      <c r="C262" s="515"/>
      <c r="D262" s="541"/>
      <c r="E262" s="710"/>
      <c r="F262" s="710"/>
      <c r="G262" s="515" t="s">
        <v>75</v>
      </c>
      <c r="H262" s="541">
        <v>1</v>
      </c>
      <c r="I262" s="525">
        <v>0.3</v>
      </c>
      <c r="J262" s="515" t="s">
        <v>22</v>
      </c>
      <c r="K262" s="541">
        <v>2</v>
      </c>
      <c r="L262" s="690"/>
      <c r="M262" s="515"/>
    </row>
    <row r="263" s="492" customFormat="1" spans="1:13">
      <c r="A263" s="540"/>
      <c r="B263" s="515"/>
      <c r="C263" s="515"/>
      <c r="D263" s="541"/>
      <c r="E263" s="710"/>
      <c r="F263" s="710"/>
      <c r="G263" s="515" t="s">
        <v>99</v>
      </c>
      <c r="H263" s="541">
        <v>1</v>
      </c>
      <c r="I263" s="525">
        <v>0.2</v>
      </c>
      <c r="J263" s="515" t="s">
        <v>96</v>
      </c>
      <c r="K263" s="541">
        <v>3.1</v>
      </c>
      <c r="L263" s="690"/>
      <c r="M263" s="515"/>
    </row>
    <row r="264" s="492" customFormat="1" spans="1:13">
      <c r="A264" s="540"/>
      <c r="B264" s="515"/>
      <c r="C264" s="515"/>
      <c r="D264" s="541"/>
      <c r="E264" s="711"/>
      <c r="F264" s="711"/>
      <c r="G264" s="515" t="s">
        <v>91</v>
      </c>
      <c r="H264" s="541">
        <v>2.92</v>
      </c>
      <c r="I264" s="525">
        <v>0.5</v>
      </c>
      <c r="J264" s="515" t="s">
        <v>24</v>
      </c>
      <c r="K264" s="541" t="s">
        <v>24</v>
      </c>
      <c r="L264" s="690"/>
      <c r="M264" s="515"/>
    </row>
    <row r="265" s="492" customFormat="1" spans="1:13">
      <c r="A265" s="540">
        <v>46112</v>
      </c>
      <c r="B265" s="515" t="s">
        <v>207</v>
      </c>
      <c r="C265" s="515" t="s">
        <v>13</v>
      </c>
      <c r="D265" s="541">
        <v>10</v>
      </c>
      <c r="E265" s="561" t="s">
        <v>208</v>
      </c>
      <c r="F265" s="561" t="s">
        <v>63</v>
      </c>
      <c r="G265" s="515" t="s">
        <v>73</v>
      </c>
      <c r="H265" s="541">
        <v>1</v>
      </c>
      <c r="I265" s="525">
        <v>9</v>
      </c>
      <c r="J265" s="515" t="s">
        <v>17</v>
      </c>
      <c r="K265" s="541">
        <v>1.7</v>
      </c>
      <c r="L265" s="690" t="s">
        <v>35</v>
      </c>
      <c r="M265" s="515" t="s">
        <v>36</v>
      </c>
    </row>
    <row r="266" s="492" customFormat="1" spans="1:13">
      <c r="A266" s="540"/>
      <c r="B266" s="515"/>
      <c r="C266" s="515"/>
      <c r="D266" s="541"/>
      <c r="E266" s="710"/>
      <c r="F266" s="710"/>
      <c r="G266" s="515" t="s">
        <v>75</v>
      </c>
      <c r="H266" s="541">
        <v>1</v>
      </c>
      <c r="I266" s="525">
        <v>0.3</v>
      </c>
      <c r="J266" s="515" t="s">
        <v>22</v>
      </c>
      <c r="K266" s="541">
        <v>1.85</v>
      </c>
      <c r="L266" s="690"/>
      <c r="M266" s="515"/>
    </row>
    <row r="267" s="492" customFormat="1" spans="1:13">
      <c r="A267" s="540"/>
      <c r="B267" s="515"/>
      <c r="C267" s="515"/>
      <c r="D267" s="541"/>
      <c r="E267" s="710"/>
      <c r="F267" s="710"/>
      <c r="G267" s="515" t="s">
        <v>99</v>
      </c>
      <c r="H267" s="541">
        <v>1.08</v>
      </c>
      <c r="I267" s="525">
        <v>0.2</v>
      </c>
      <c r="J267" s="515" t="s">
        <v>64</v>
      </c>
      <c r="K267" s="541">
        <v>3.1</v>
      </c>
      <c r="L267" s="690"/>
      <c r="M267" s="515"/>
    </row>
    <row r="268" s="492" customFormat="1" spans="1:13">
      <c r="A268" s="540"/>
      <c r="B268" s="515"/>
      <c r="C268" s="515"/>
      <c r="D268" s="541"/>
      <c r="E268" s="711"/>
      <c r="F268" s="711"/>
      <c r="G268" s="515" t="s">
        <v>91</v>
      </c>
      <c r="H268" s="541">
        <v>2</v>
      </c>
      <c r="I268" s="525">
        <v>0.5</v>
      </c>
      <c r="J268" s="515" t="s">
        <v>24</v>
      </c>
      <c r="K268" s="541" t="s">
        <v>24</v>
      </c>
      <c r="L268" s="690"/>
      <c r="M268" s="515"/>
    </row>
    <row r="269" s="492" customFormat="1" spans="1:13">
      <c r="A269" s="540">
        <v>46112</v>
      </c>
      <c r="B269" s="515" t="s">
        <v>209</v>
      </c>
      <c r="C269" s="515" t="s">
        <v>13</v>
      </c>
      <c r="D269" s="541">
        <v>10</v>
      </c>
      <c r="E269" s="515" t="s">
        <v>208</v>
      </c>
      <c r="F269" s="515" t="s">
        <v>63</v>
      </c>
      <c r="G269" s="515" t="s">
        <v>73</v>
      </c>
      <c r="H269" s="525">
        <v>1</v>
      </c>
      <c r="I269" s="525">
        <v>9</v>
      </c>
      <c r="J269" s="515" t="s">
        <v>17</v>
      </c>
      <c r="K269" s="541">
        <v>1.7</v>
      </c>
      <c r="L269" s="690" t="s">
        <v>35</v>
      </c>
      <c r="M269" s="515" t="s">
        <v>36</v>
      </c>
    </row>
    <row r="270" s="492" customFormat="1" spans="1:13">
      <c r="A270" s="540"/>
      <c r="B270" s="515"/>
      <c r="C270" s="515"/>
      <c r="D270" s="541"/>
      <c r="E270" s="515"/>
      <c r="F270" s="515"/>
      <c r="G270" s="515" t="s">
        <v>75</v>
      </c>
      <c r="H270" s="525">
        <v>1</v>
      </c>
      <c r="I270" s="525">
        <v>0.3</v>
      </c>
      <c r="J270" s="515" t="s">
        <v>22</v>
      </c>
      <c r="K270" s="541">
        <v>1.85</v>
      </c>
      <c r="L270" s="690"/>
      <c r="M270" s="515"/>
    </row>
    <row r="271" s="492" customFormat="1" spans="1:13">
      <c r="A271" s="540"/>
      <c r="B271" s="515"/>
      <c r="C271" s="515"/>
      <c r="D271" s="541"/>
      <c r="E271" s="515"/>
      <c r="F271" s="515"/>
      <c r="G271" s="515" t="s">
        <v>99</v>
      </c>
      <c r="H271" s="525">
        <v>1.08</v>
      </c>
      <c r="I271" s="525">
        <v>0.2</v>
      </c>
      <c r="J271" s="515" t="s">
        <v>64</v>
      </c>
      <c r="K271" s="541">
        <v>3.1</v>
      </c>
      <c r="L271" s="690"/>
      <c r="M271" s="515"/>
    </row>
    <row r="272" s="492" customFormat="1" spans="1:13">
      <c r="A272" s="540"/>
      <c r="B272" s="515"/>
      <c r="C272" s="515"/>
      <c r="D272" s="541"/>
      <c r="E272" s="515"/>
      <c r="F272" s="515"/>
      <c r="G272" s="515" t="s">
        <v>91</v>
      </c>
      <c r="H272" s="525">
        <v>2</v>
      </c>
      <c r="I272" s="525">
        <v>0.5</v>
      </c>
      <c r="J272" s="515" t="s">
        <v>24</v>
      </c>
      <c r="K272" s="541" t="s">
        <v>24</v>
      </c>
      <c r="L272" s="690"/>
      <c r="M272" s="515"/>
    </row>
    <row r="273" s="492" customFormat="1" spans="1:13">
      <c r="A273" s="540">
        <v>46112</v>
      </c>
      <c r="B273" s="515" t="s">
        <v>210</v>
      </c>
      <c r="C273" s="515" t="s">
        <v>32</v>
      </c>
      <c r="D273" s="541">
        <v>10</v>
      </c>
      <c r="E273" s="561" t="s">
        <v>51</v>
      </c>
      <c r="F273" s="561" t="s">
        <v>34</v>
      </c>
      <c r="G273" s="515" t="s">
        <v>73</v>
      </c>
      <c r="H273" s="541">
        <v>1</v>
      </c>
      <c r="I273" s="525">
        <v>9</v>
      </c>
      <c r="J273" s="515" t="s">
        <v>17</v>
      </c>
      <c r="K273" s="541">
        <v>1.68</v>
      </c>
      <c r="L273" s="690" t="s">
        <v>35</v>
      </c>
      <c r="M273" s="515" t="s">
        <v>53</v>
      </c>
    </row>
    <row r="274" s="492" customFormat="1" spans="1:13">
      <c r="A274" s="540"/>
      <c r="B274" s="515"/>
      <c r="C274" s="515"/>
      <c r="D274" s="541"/>
      <c r="E274" s="710"/>
      <c r="F274" s="710"/>
      <c r="G274" s="515" t="s">
        <v>75</v>
      </c>
      <c r="H274" s="541">
        <v>1</v>
      </c>
      <c r="I274" s="525">
        <v>0.3</v>
      </c>
      <c r="J274" s="515" t="s">
        <v>22</v>
      </c>
      <c r="K274" s="541">
        <v>1.85</v>
      </c>
      <c r="L274" s="690"/>
      <c r="M274" s="515"/>
    </row>
    <row r="275" s="492" customFormat="1" spans="1:13">
      <c r="A275" s="540"/>
      <c r="B275" s="515"/>
      <c r="C275" s="515"/>
      <c r="D275" s="541"/>
      <c r="E275" s="710"/>
      <c r="F275" s="710"/>
      <c r="G275" s="515" t="s">
        <v>99</v>
      </c>
      <c r="H275" s="541">
        <v>1</v>
      </c>
      <c r="I275" s="525">
        <v>0.2</v>
      </c>
      <c r="J275" s="515" t="s">
        <v>96</v>
      </c>
      <c r="K275" s="541">
        <v>3.1</v>
      </c>
      <c r="L275" s="690"/>
      <c r="M275" s="515"/>
    </row>
    <row r="276" s="492" customFormat="1" spans="1:13">
      <c r="A276" s="540"/>
      <c r="B276" s="515"/>
      <c r="C276" s="515"/>
      <c r="D276" s="541"/>
      <c r="E276" s="711"/>
      <c r="F276" s="711"/>
      <c r="G276" s="515" t="s">
        <v>91</v>
      </c>
      <c r="H276" s="541">
        <v>3</v>
      </c>
      <c r="I276" s="525">
        <v>0.5</v>
      </c>
      <c r="J276" s="515" t="s">
        <v>24</v>
      </c>
      <c r="K276" s="541" t="s">
        <v>24</v>
      </c>
      <c r="L276" s="690"/>
      <c r="M276" s="515"/>
    </row>
    <row r="277" s="492" customFormat="1" spans="1:13">
      <c r="A277" s="540">
        <v>46112</v>
      </c>
      <c r="B277" s="515" t="s">
        <v>211</v>
      </c>
      <c r="C277" s="515" t="s">
        <v>32</v>
      </c>
      <c r="D277" s="541">
        <v>8</v>
      </c>
      <c r="E277" s="561" t="s">
        <v>66</v>
      </c>
      <c r="F277" s="561" t="s">
        <v>39</v>
      </c>
      <c r="G277" s="515" t="s">
        <v>73</v>
      </c>
      <c r="H277" s="541">
        <v>1.25</v>
      </c>
      <c r="I277" s="525">
        <v>6.76</v>
      </c>
      <c r="J277" s="515" t="s">
        <v>17</v>
      </c>
      <c r="K277" s="541">
        <v>2.5</v>
      </c>
      <c r="L277" s="690" t="s">
        <v>67</v>
      </c>
      <c r="M277" s="515"/>
    </row>
    <row r="278" s="492" customFormat="1" spans="1:13">
      <c r="A278" s="540"/>
      <c r="B278" s="515"/>
      <c r="C278" s="515"/>
      <c r="D278" s="541"/>
      <c r="E278" s="710"/>
      <c r="F278" s="710"/>
      <c r="G278" s="515" t="s">
        <v>75</v>
      </c>
      <c r="H278" s="541">
        <v>1.25</v>
      </c>
      <c r="I278" s="525">
        <v>0.4</v>
      </c>
      <c r="J278" s="515" t="s">
        <v>22</v>
      </c>
      <c r="K278" s="541">
        <v>2.8</v>
      </c>
      <c r="L278" s="690"/>
      <c r="M278" s="515"/>
    </row>
    <row r="279" s="492" customFormat="1" spans="1:13">
      <c r="A279" s="540"/>
      <c r="B279" s="515"/>
      <c r="C279" s="515"/>
      <c r="D279" s="541"/>
      <c r="E279" s="710"/>
      <c r="F279" s="710"/>
      <c r="G279" s="515" t="s">
        <v>90</v>
      </c>
      <c r="H279" s="541">
        <v>1.25</v>
      </c>
      <c r="I279" s="525">
        <v>0.32</v>
      </c>
      <c r="J279" s="515" t="s">
        <v>44</v>
      </c>
      <c r="K279" s="541">
        <v>4</v>
      </c>
      <c r="L279" s="690"/>
      <c r="M279" s="515"/>
    </row>
    <row r="280" s="492" customFormat="1" spans="1:13">
      <c r="A280" s="540"/>
      <c r="B280" s="515"/>
      <c r="C280" s="515"/>
      <c r="D280" s="541"/>
      <c r="E280" s="711"/>
      <c r="F280" s="711"/>
      <c r="G280" s="515" t="s">
        <v>91</v>
      </c>
      <c r="H280" s="541">
        <v>1.25</v>
      </c>
      <c r="I280" s="525">
        <v>0.52</v>
      </c>
      <c r="J280" s="515" t="s">
        <v>24</v>
      </c>
      <c r="K280" s="541" t="s">
        <v>24</v>
      </c>
      <c r="L280" s="690"/>
      <c r="M280" s="515"/>
    </row>
    <row r="281" s="492" customFormat="1" spans="1:13">
      <c r="A281" s="540">
        <v>46112</v>
      </c>
      <c r="B281" s="515" t="s">
        <v>212</v>
      </c>
      <c r="C281" s="515" t="s">
        <v>32</v>
      </c>
      <c r="D281" s="541">
        <v>10</v>
      </c>
      <c r="E281" s="561" t="s">
        <v>51</v>
      </c>
      <c r="F281" s="561" t="s">
        <v>34</v>
      </c>
      <c r="G281" s="515" t="s">
        <v>73</v>
      </c>
      <c r="H281" s="541">
        <v>1</v>
      </c>
      <c r="I281" s="525">
        <v>9</v>
      </c>
      <c r="J281" s="515" t="s">
        <v>17</v>
      </c>
      <c r="K281" s="541">
        <v>1.68</v>
      </c>
      <c r="L281" s="690" t="s">
        <v>35</v>
      </c>
      <c r="M281" s="515" t="s">
        <v>53</v>
      </c>
    </row>
    <row r="282" s="492" customFormat="1" spans="1:13">
      <c r="A282" s="540"/>
      <c r="B282" s="515"/>
      <c r="C282" s="515"/>
      <c r="D282" s="541"/>
      <c r="E282" s="710"/>
      <c r="F282" s="710"/>
      <c r="G282" s="515" t="s">
        <v>75</v>
      </c>
      <c r="H282" s="541">
        <v>1</v>
      </c>
      <c r="I282" s="525">
        <v>0.3</v>
      </c>
      <c r="J282" s="515" t="s">
        <v>22</v>
      </c>
      <c r="K282" s="541">
        <v>1.85</v>
      </c>
      <c r="L282" s="690"/>
      <c r="M282" s="515"/>
    </row>
    <row r="283" s="492" customFormat="1" spans="1:13">
      <c r="A283" s="540"/>
      <c r="B283" s="515"/>
      <c r="C283" s="515"/>
      <c r="D283" s="541"/>
      <c r="E283" s="710"/>
      <c r="F283" s="710"/>
      <c r="G283" s="515" t="s">
        <v>99</v>
      </c>
      <c r="H283" s="541">
        <v>1</v>
      </c>
      <c r="I283" s="525">
        <v>0.2</v>
      </c>
      <c r="J283" s="515" t="s">
        <v>96</v>
      </c>
      <c r="K283" s="541">
        <v>3.1</v>
      </c>
      <c r="L283" s="690"/>
      <c r="M283" s="515"/>
    </row>
    <row r="284" s="492" customFormat="1" spans="1:13">
      <c r="A284" s="540"/>
      <c r="B284" s="515"/>
      <c r="C284" s="515"/>
      <c r="D284" s="541"/>
      <c r="E284" s="711"/>
      <c r="F284" s="711"/>
      <c r="G284" s="515" t="s">
        <v>91</v>
      </c>
      <c r="H284" s="541">
        <v>3</v>
      </c>
      <c r="I284" s="525">
        <v>0.5</v>
      </c>
      <c r="J284" s="515" t="s">
        <v>24</v>
      </c>
      <c r="K284" s="541" t="s">
        <v>24</v>
      </c>
      <c r="L284" s="690"/>
      <c r="M284" s="515"/>
    </row>
    <row r="285" s="492" customFormat="1" spans="1:13">
      <c r="A285" s="540">
        <v>46114</v>
      </c>
      <c r="B285" s="515" t="s">
        <v>213</v>
      </c>
      <c r="C285" s="515" t="s">
        <v>13</v>
      </c>
      <c r="D285" s="585">
        <v>4</v>
      </c>
      <c r="E285" s="712" t="s">
        <v>214</v>
      </c>
      <c r="F285" s="712" t="s">
        <v>215</v>
      </c>
      <c r="G285" s="510" t="s">
        <v>16</v>
      </c>
      <c r="H285" s="585">
        <v>0.95</v>
      </c>
      <c r="I285" s="706">
        <v>1.2</v>
      </c>
      <c r="J285" s="515" t="s">
        <v>17</v>
      </c>
      <c r="K285" s="541">
        <v>2.6</v>
      </c>
      <c r="L285" s="690" t="s">
        <v>48</v>
      </c>
      <c r="M285" s="515"/>
    </row>
    <row r="286" s="492" customFormat="1" spans="1:13">
      <c r="A286" s="540"/>
      <c r="B286" s="515"/>
      <c r="C286" s="515"/>
      <c r="D286" s="585"/>
      <c r="E286" s="713"/>
      <c r="F286" s="713"/>
      <c r="G286" s="510" t="s">
        <v>20</v>
      </c>
      <c r="H286" s="585">
        <v>1.95</v>
      </c>
      <c r="I286" s="706">
        <v>1.6</v>
      </c>
      <c r="J286" s="515" t="s">
        <v>17</v>
      </c>
      <c r="K286" s="541">
        <v>2.8</v>
      </c>
      <c r="L286" s="690"/>
      <c r="M286" s="515"/>
    </row>
    <row r="287" s="492" customFormat="1" spans="1:13">
      <c r="A287" s="540"/>
      <c r="B287" s="515"/>
      <c r="C287" s="515"/>
      <c r="D287" s="585"/>
      <c r="E287" s="713"/>
      <c r="F287" s="713"/>
      <c r="G287" s="510" t="s">
        <v>120</v>
      </c>
      <c r="H287" s="585">
        <v>2.95</v>
      </c>
      <c r="I287" s="706">
        <v>1.14</v>
      </c>
      <c r="J287" s="515" t="s">
        <v>17</v>
      </c>
      <c r="K287" s="541">
        <v>3.5</v>
      </c>
      <c r="L287" s="690"/>
      <c r="M287" s="515"/>
    </row>
    <row r="288" s="492" customFormat="1" spans="1:13">
      <c r="A288" s="540"/>
      <c r="B288" s="515"/>
      <c r="C288" s="515"/>
      <c r="D288" s="585"/>
      <c r="E288" s="714"/>
      <c r="F288" s="714"/>
      <c r="G288" s="510" t="s">
        <v>23</v>
      </c>
      <c r="H288" s="585">
        <v>2.95</v>
      </c>
      <c r="I288" s="706">
        <v>0.06</v>
      </c>
      <c r="J288" s="510" t="s">
        <v>24</v>
      </c>
      <c r="K288" s="541" t="s">
        <v>24</v>
      </c>
      <c r="L288" s="690"/>
      <c r="M288" s="515"/>
    </row>
    <row r="289" s="492" customFormat="1" spans="1:13">
      <c r="A289" s="540">
        <v>46120</v>
      </c>
      <c r="B289" s="515" t="s">
        <v>216</v>
      </c>
      <c r="C289" s="515" t="s">
        <v>13</v>
      </c>
      <c r="D289" s="585">
        <v>10</v>
      </c>
      <c r="E289" s="510" t="s">
        <v>217</v>
      </c>
      <c r="F289" s="510" t="s">
        <v>218</v>
      </c>
      <c r="G289" s="510" t="s">
        <v>16</v>
      </c>
      <c r="H289" s="706">
        <v>1.06</v>
      </c>
      <c r="I289" s="706">
        <v>8.4</v>
      </c>
      <c r="J289" s="510" t="s">
        <v>17</v>
      </c>
      <c r="K289" s="541">
        <v>1.65</v>
      </c>
      <c r="L289" s="690" t="s">
        <v>18</v>
      </c>
      <c r="M289" s="515" t="s">
        <v>19</v>
      </c>
    </row>
    <row r="290" s="492" customFormat="1" spans="1:13">
      <c r="A290" s="540"/>
      <c r="B290" s="515"/>
      <c r="C290" s="515"/>
      <c r="D290" s="585"/>
      <c r="E290" s="510"/>
      <c r="F290" s="510"/>
      <c r="G290" s="510" t="s">
        <v>20</v>
      </c>
      <c r="H290" s="706">
        <v>1.23</v>
      </c>
      <c r="I290" s="706">
        <v>0.6</v>
      </c>
      <c r="J290" s="510" t="s">
        <v>17</v>
      </c>
      <c r="K290" s="541">
        <v>1.76</v>
      </c>
      <c r="L290" s="690"/>
      <c r="M290" s="515"/>
    </row>
    <row r="291" s="492" customFormat="1" spans="1:13">
      <c r="A291" s="540"/>
      <c r="B291" s="515"/>
      <c r="C291" s="515"/>
      <c r="D291" s="585"/>
      <c r="E291" s="510"/>
      <c r="F291" s="510"/>
      <c r="G291" s="510" t="s">
        <v>21</v>
      </c>
      <c r="H291" s="706">
        <v>1.4</v>
      </c>
      <c r="I291" s="706">
        <v>0.5</v>
      </c>
      <c r="J291" s="510" t="s">
        <v>22</v>
      </c>
      <c r="K291" s="541">
        <v>1.9</v>
      </c>
      <c r="L291" s="690"/>
      <c r="M291" s="515"/>
    </row>
    <row r="292" s="492" customFormat="1" spans="1:13">
      <c r="A292" s="540"/>
      <c r="B292" s="515"/>
      <c r="C292" s="515"/>
      <c r="D292" s="585"/>
      <c r="E292" s="510"/>
      <c r="F292" s="510"/>
      <c r="G292" s="510" t="s">
        <v>23</v>
      </c>
      <c r="H292" s="706">
        <v>2.65</v>
      </c>
      <c r="I292" s="706">
        <v>0.5</v>
      </c>
      <c r="J292" s="510" t="s">
        <v>24</v>
      </c>
      <c r="K292" s="541" t="s">
        <v>24</v>
      </c>
      <c r="L292" s="690"/>
      <c r="M292" s="515"/>
    </row>
    <row r="293" s="492" customFormat="1" spans="1:13">
      <c r="A293" s="519">
        <v>46121</v>
      </c>
      <c r="B293" s="509" t="s">
        <v>219</v>
      </c>
      <c r="C293" s="509" t="s">
        <v>13</v>
      </c>
      <c r="D293" s="520">
        <v>10</v>
      </c>
      <c r="E293" s="509" t="s">
        <v>38</v>
      </c>
      <c r="F293" s="509" t="s">
        <v>39</v>
      </c>
      <c r="G293" s="515" t="s">
        <v>220</v>
      </c>
      <c r="H293" s="706">
        <v>1.08</v>
      </c>
      <c r="I293" s="706">
        <v>7.2</v>
      </c>
      <c r="J293" s="510" t="s">
        <v>17</v>
      </c>
      <c r="K293" s="541">
        <v>1.85</v>
      </c>
      <c r="L293" s="694" t="s">
        <v>41</v>
      </c>
      <c r="M293" s="527"/>
    </row>
    <row r="294" s="492" customFormat="1" spans="1:13">
      <c r="A294" s="519"/>
      <c r="B294" s="509"/>
      <c r="C294" s="509"/>
      <c r="D294" s="520"/>
      <c r="E294" s="509"/>
      <c r="F294" s="509"/>
      <c r="G294" s="515" t="s">
        <v>221</v>
      </c>
      <c r="H294" s="706">
        <v>1.25</v>
      </c>
      <c r="I294" s="706">
        <v>1.5</v>
      </c>
      <c r="J294" s="510" t="s">
        <v>17</v>
      </c>
      <c r="K294" s="541">
        <v>1.9</v>
      </c>
      <c r="L294" s="694"/>
      <c r="M294" s="527"/>
    </row>
    <row r="295" s="492" customFormat="1" spans="1:13">
      <c r="A295" s="519"/>
      <c r="B295" s="509"/>
      <c r="C295" s="509"/>
      <c r="D295" s="520"/>
      <c r="E295" s="509"/>
      <c r="F295" s="509"/>
      <c r="G295" s="515" t="s">
        <v>75</v>
      </c>
      <c r="H295" s="706">
        <v>1.28</v>
      </c>
      <c r="I295" s="706">
        <v>0.4</v>
      </c>
      <c r="J295" s="510" t="s">
        <v>22</v>
      </c>
      <c r="K295" s="541">
        <v>2.1</v>
      </c>
      <c r="L295" s="694"/>
      <c r="M295" s="527"/>
    </row>
    <row r="296" s="492" customFormat="1" spans="1:13">
      <c r="A296" s="519"/>
      <c r="B296" s="509"/>
      <c r="C296" s="509"/>
      <c r="D296" s="520"/>
      <c r="E296" s="509"/>
      <c r="F296" s="509"/>
      <c r="G296" s="515" t="s">
        <v>90</v>
      </c>
      <c r="H296" s="706">
        <v>1.36</v>
      </c>
      <c r="I296" s="706">
        <v>0.4</v>
      </c>
      <c r="J296" s="510" t="s">
        <v>44</v>
      </c>
      <c r="K296" s="541">
        <v>4.5</v>
      </c>
      <c r="L296" s="694"/>
      <c r="M296" s="527"/>
    </row>
    <row r="297" s="492" customFormat="1" spans="1:13">
      <c r="A297" s="519"/>
      <c r="B297" s="509"/>
      <c r="C297" s="509"/>
      <c r="D297" s="520"/>
      <c r="E297" s="509"/>
      <c r="F297" s="509"/>
      <c r="G297" s="515" t="s">
        <v>91</v>
      </c>
      <c r="H297" s="706">
        <v>1.75</v>
      </c>
      <c r="I297" s="706">
        <v>0.5</v>
      </c>
      <c r="J297" s="510" t="s">
        <v>24</v>
      </c>
      <c r="K297" s="541" t="s">
        <v>24</v>
      </c>
      <c r="L297" s="694"/>
      <c r="M297" s="527"/>
    </row>
    <row r="298" s="492" customFormat="1" spans="1:13">
      <c r="A298" s="519">
        <v>46121</v>
      </c>
      <c r="B298" s="509" t="s">
        <v>222</v>
      </c>
      <c r="C298" s="509" t="s">
        <v>13</v>
      </c>
      <c r="D298" s="520">
        <v>4</v>
      </c>
      <c r="E298" s="509" t="s">
        <v>33</v>
      </c>
      <c r="F298" s="509" t="s">
        <v>111</v>
      </c>
      <c r="G298" s="515" t="s">
        <v>73</v>
      </c>
      <c r="H298" s="706">
        <v>1.04</v>
      </c>
      <c r="I298" s="706">
        <v>3.56</v>
      </c>
      <c r="J298" s="510" t="s">
        <v>17</v>
      </c>
      <c r="K298" s="541">
        <v>1.63</v>
      </c>
      <c r="L298" s="694" t="s">
        <v>112</v>
      </c>
      <c r="M298" s="527"/>
    </row>
    <row r="299" s="492" customFormat="1" spans="1:13">
      <c r="A299" s="519"/>
      <c r="B299" s="509"/>
      <c r="C299" s="509"/>
      <c r="D299" s="520"/>
      <c r="E299" s="509"/>
      <c r="F299" s="509"/>
      <c r="G299" s="515" t="s">
        <v>75</v>
      </c>
      <c r="H299" s="706">
        <v>1.04</v>
      </c>
      <c r="I299" s="706">
        <v>0.24</v>
      </c>
      <c r="J299" s="510" t="s">
        <v>22</v>
      </c>
      <c r="K299" s="541">
        <v>1.85</v>
      </c>
      <c r="L299" s="694"/>
      <c r="M299" s="527"/>
    </row>
    <row r="300" s="492" customFormat="1" spans="1:13">
      <c r="A300" s="519"/>
      <c r="B300" s="509"/>
      <c r="C300" s="509"/>
      <c r="D300" s="520"/>
      <c r="E300" s="509"/>
      <c r="F300" s="509"/>
      <c r="G300" s="545" t="s">
        <v>113</v>
      </c>
      <c r="H300" s="706">
        <v>3.01</v>
      </c>
      <c r="I300" s="706">
        <v>0.08</v>
      </c>
      <c r="J300" s="510" t="s">
        <v>24</v>
      </c>
      <c r="K300" s="541" t="s">
        <v>24</v>
      </c>
      <c r="L300" s="694"/>
      <c r="M300" s="527"/>
    </row>
    <row r="301" s="492" customFormat="1" spans="1:13">
      <c r="A301" s="519"/>
      <c r="B301" s="509"/>
      <c r="C301" s="509"/>
      <c r="D301" s="520"/>
      <c r="E301" s="509"/>
      <c r="F301" s="509"/>
      <c r="G301" s="545" t="s">
        <v>114</v>
      </c>
      <c r="H301" s="706">
        <v>3.01</v>
      </c>
      <c r="I301" s="706">
        <v>0.12</v>
      </c>
      <c r="J301" s="510" t="s">
        <v>24</v>
      </c>
      <c r="K301" s="541" t="s">
        <v>24</v>
      </c>
      <c r="L301" s="694"/>
      <c r="M301" s="527"/>
    </row>
    <row r="302" s="645" customFormat="1" spans="1:13">
      <c r="A302" s="695">
        <v>46121</v>
      </c>
      <c r="B302" s="509" t="s">
        <v>223</v>
      </c>
      <c r="C302" s="565" t="s">
        <v>224</v>
      </c>
      <c r="D302" s="520">
        <v>5.7</v>
      </c>
      <c r="E302" s="715" t="s">
        <v>225</v>
      </c>
      <c r="F302" s="715" t="s">
        <v>226</v>
      </c>
      <c r="G302" s="545" t="s">
        <v>158</v>
      </c>
      <c r="H302" s="546">
        <v>1</v>
      </c>
      <c r="I302" s="546">
        <v>5.37</v>
      </c>
      <c r="J302" s="545" t="s">
        <v>17</v>
      </c>
      <c r="K302" s="541">
        <v>1.6</v>
      </c>
      <c r="L302" s="716" t="s">
        <v>112</v>
      </c>
      <c r="M302" s="545"/>
    </row>
    <row r="303" s="645" customFormat="1" spans="1:13">
      <c r="A303" s="695"/>
      <c r="B303" s="509"/>
      <c r="C303" s="565"/>
      <c r="D303" s="520"/>
      <c r="E303" s="715"/>
      <c r="F303" s="715"/>
      <c r="G303" s="545" t="s">
        <v>159</v>
      </c>
      <c r="H303" s="546">
        <v>1</v>
      </c>
      <c r="I303" s="546">
        <v>0.33</v>
      </c>
      <c r="J303" s="545" t="s">
        <v>22</v>
      </c>
      <c r="K303" s="541">
        <v>1.84</v>
      </c>
      <c r="L303" s="716"/>
      <c r="M303" s="545"/>
    </row>
    <row r="304" s="645" customFormat="1" spans="1:13">
      <c r="A304" s="695">
        <v>46126</v>
      </c>
      <c r="B304" s="509" t="s">
        <v>227</v>
      </c>
      <c r="C304" s="509" t="s">
        <v>32</v>
      </c>
      <c r="D304" s="520">
        <v>5</v>
      </c>
      <c r="E304" s="509" t="s">
        <v>85</v>
      </c>
      <c r="F304" s="509" t="s">
        <v>14</v>
      </c>
      <c r="G304" s="527" t="s">
        <v>220</v>
      </c>
      <c r="H304" s="546">
        <v>1</v>
      </c>
      <c r="I304" s="546">
        <v>1.5</v>
      </c>
      <c r="J304" s="545" t="s">
        <v>17</v>
      </c>
      <c r="K304" s="541">
        <v>1.63</v>
      </c>
      <c r="L304" s="694" t="s">
        <v>86</v>
      </c>
      <c r="M304" s="527" t="s">
        <v>95</v>
      </c>
    </row>
    <row r="305" s="645" customFormat="1" spans="1:13">
      <c r="A305" s="695"/>
      <c r="B305" s="509"/>
      <c r="C305" s="509"/>
      <c r="D305" s="520"/>
      <c r="E305" s="509"/>
      <c r="F305" s="509"/>
      <c r="G305" s="545" t="s">
        <v>228</v>
      </c>
      <c r="H305" s="546">
        <v>1</v>
      </c>
      <c r="I305" s="546">
        <v>2.9</v>
      </c>
      <c r="J305" s="545" t="s">
        <v>17</v>
      </c>
      <c r="K305" s="541">
        <v>1.63</v>
      </c>
      <c r="L305" s="694"/>
      <c r="M305" s="527"/>
    </row>
    <row r="306" s="645" customFormat="1" spans="1:13">
      <c r="A306" s="695"/>
      <c r="B306" s="509"/>
      <c r="C306" s="509"/>
      <c r="D306" s="520"/>
      <c r="E306" s="509"/>
      <c r="F306" s="509"/>
      <c r="G306" s="545" t="s">
        <v>159</v>
      </c>
      <c r="H306" s="546">
        <v>1</v>
      </c>
      <c r="I306" s="546">
        <v>0.3</v>
      </c>
      <c r="J306" s="545" t="s">
        <v>22</v>
      </c>
      <c r="K306" s="541">
        <v>1.89</v>
      </c>
      <c r="L306" s="694"/>
      <c r="M306" s="527"/>
    </row>
    <row r="307" s="645" customFormat="1" spans="1:13">
      <c r="A307" s="695"/>
      <c r="B307" s="509"/>
      <c r="C307" s="509"/>
      <c r="D307" s="520"/>
      <c r="E307" s="509"/>
      <c r="F307" s="509"/>
      <c r="G307" s="545" t="s">
        <v>148</v>
      </c>
      <c r="H307" s="546">
        <v>2.7507</v>
      </c>
      <c r="I307" s="546">
        <v>0.3</v>
      </c>
      <c r="J307" s="545" t="s">
        <v>24</v>
      </c>
      <c r="K307" s="541" t="s">
        <v>24</v>
      </c>
      <c r="L307" s="694"/>
      <c r="M307" s="527"/>
    </row>
    <row r="308" s="645" customFormat="1" spans="1:13">
      <c r="A308" s="695">
        <v>46126</v>
      </c>
      <c r="B308" s="509" t="s">
        <v>229</v>
      </c>
      <c r="C308" s="509" t="s">
        <v>32</v>
      </c>
      <c r="D308" s="520">
        <v>8</v>
      </c>
      <c r="E308" s="509" t="s">
        <v>230</v>
      </c>
      <c r="F308" s="509" t="s">
        <v>39</v>
      </c>
      <c r="G308" s="545" t="s">
        <v>158</v>
      </c>
      <c r="H308" s="546">
        <v>1.2493</v>
      </c>
      <c r="I308" s="546">
        <v>6.768</v>
      </c>
      <c r="J308" s="545" t="s">
        <v>17</v>
      </c>
      <c r="K308" s="546">
        <v>2.5</v>
      </c>
      <c r="L308" s="694" t="s">
        <v>67</v>
      </c>
      <c r="M308" s="527"/>
    </row>
    <row r="309" s="645" customFormat="1" spans="1:13">
      <c r="A309" s="695"/>
      <c r="B309" s="509"/>
      <c r="C309" s="509"/>
      <c r="D309" s="520"/>
      <c r="E309" s="509"/>
      <c r="F309" s="509"/>
      <c r="G309" s="545" t="s">
        <v>159</v>
      </c>
      <c r="H309" s="546">
        <v>1.2493</v>
      </c>
      <c r="I309" s="546">
        <v>0.36</v>
      </c>
      <c r="J309" s="545" t="s">
        <v>22</v>
      </c>
      <c r="K309" s="546">
        <v>2.8</v>
      </c>
      <c r="L309" s="694"/>
      <c r="M309" s="527"/>
    </row>
    <row r="310" s="645" customFormat="1" spans="1:13">
      <c r="A310" s="695"/>
      <c r="B310" s="509"/>
      <c r="C310" s="509"/>
      <c r="D310" s="520"/>
      <c r="E310" s="509"/>
      <c r="F310" s="509"/>
      <c r="G310" s="545" t="s">
        <v>160</v>
      </c>
      <c r="H310" s="546">
        <v>1.2493</v>
      </c>
      <c r="I310" s="546">
        <v>0.36</v>
      </c>
      <c r="J310" s="545" t="s">
        <v>44</v>
      </c>
      <c r="K310" s="546">
        <v>4</v>
      </c>
      <c r="L310" s="694"/>
      <c r="M310" s="527"/>
    </row>
    <row r="311" s="645" customFormat="1" spans="1:13">
      <c r="A311" s="695"/>
      <c r="B311" s="509"/>
      <c r="C311" s="509"/>
      <c r="D311" s="520"/>
      <c r="E311" s="509"/>
      <c r="F311" s="509"/>
      <c r="G311" s="545" t="s">
        <v>148</v>
      </c>
      <c r="H311" s="546">
        <v>1.2493</v>
      </c>
      <c r="I311" s="546">
        <v>0.512</v>
      </c>
      <c r="J311" s="545" t="s">
        <v>24</v>
      </c>
      <c r="K311" s="546" t="s">
        <v>24</v>
      </c>
      <c r="L311" s="694"/>
      <c r="M311" s="527"/>
    </row>
    <row r="312" s="645" customFormat="1" spans="1:13">
      <c r="A312" s="695">
        <v>46126</v>
      </c>
      <c r="B312" s="509" t="s">
        <v>231</v>
      </c>
      <c r="C312" s="509" t="s">
        <v>13</v>
      </c>
      <c r="D312" s="520">
        <v>10</v>
      </c>
      <c r="E312" s="509" t="s">
        <v>14</v>
      </c>
      <c r="F312" s="509" t="s">
        <v>15</v>
      </c>
      <c r="G312" s="545" t="s">
        <v>158</v>
      </c>
      <c r="H312" s="546">
        <v>1.0329</v>
      </c>
      <c r="I312" s="546">
        <v>8.7</v>
      </c>
      <c r="J312" s="545" t="s">
        <v>17</v>
      </c>
      <c r="K312" s="546">
        <v>1.68</v>
      </c>
      <c r="L312" s="694" t="s">
        <v>27</v>
      </c>
      <c r="M312" s="527" t="s">
        <v>89</v>
      </c>
    </row>
    <row r="313" s="645" customFormat="1" spans="1:13">
      <c r="A313" s="695"/>
      <c r="B313" s="509"/>
      <c r="C313" s="509"/>
      <c r="D313" s="520"/>
      <c r="E313" s="509"/>
      <c r="F313" s="509"/>
      <c r="G313" s="545" t="s">
        <v>159</v>
      </c>
      <c r="H313" s="546">
        <v>1.0329</v>
      </c>
      <c r="I313" s="546">
        <v>0.5</v>
      </c>
      <c r="J313" s="545" t="s">
        <v>22</v>
      </c>
      <c r="K313" s="546">
        <v>1.75</v>
      </c>
      <c r="L313" s="694"/>
      <c r="M313" s="527"/>
    </row>
    <row r="314" s="645" customFormat="1" spans="1:13">
      <c r="A314" s="695"/>
      <c r="B314" s="509"/>
      <c r="C314" s="509"/>
      <c r="D314" s="520"/>
      <c r="E314" s="509"/>
      <c r="F314" s="509"/>
      <c r="G314" s="545" t="s">
        <v>148</v>
      </c>
      <c r="H314" s="546">
        <v>1.8767</v>
      </c>
      <c r="I314" s="546">
        <v>0.8</v>
      </c>
      <c r="J314" s="545" t="s">
        <v>24</v>
      </c>
      <c r="K314" s="546" t="s">
        <v>24</v>
      </c>
      <c r="L314" s="694"/>
      <c r="M314" s="527"/>
    </row>
    <row r="315" s="645" customFormat="1" spans="1:13">
      <c r="A315" s="695">
        <v>46126</v>
      </c>
      <c r="B315" s="509" t="s">
        <v>232</v>
      </c>
      <c r="C315" s="509" t="s">
        <v>13</v>
      </c>
      <c r="D315" s="520">
        <v>4</v>
      </c>
      <c r="E315" s="509" t="s">
        <v>72</v>
      </c>
      <c r="F315" s="509" t="s">
        <v>46</v>
      </c>
      <c r="G315" s="545" t="s">
        <v>158</v>
      </c>
      <c r="H315" s="546">
        <v>1.3507</v>
      </c>
      <c r="I315" s="546">
        <v>3.4</v>
      </c>
      <c r="J315" s="545" t="s">
        <v>17</v>
      </c>
      <c r="K315" s="546">
        <v>2.2</v>
      </c>
      <c r="L315" s="717" t="s">
        <v>233</v>
      </c>
      <c r="M315" s="564"/>
    </row>
    <row r="316" s="645" customFormat="1" spans="1:13">
      <c r="A316" s="695"/>
      <c r="B316" s="509"/>
      <c r="C316" s="509"/>
      <c r="D316" s="520"/>
      <c r="E316" s="509"/>
      <c r="F316" s="509"/>
      <c r="G316" s="545" t="s">
        <v>159</v>
      </c>
      <c r="H316" s="546">
        <v>1.6082</v>
      </c>
      <c r="I316" s="546">
        <v>0.24</v>
      </c>
      <c r="J316" s="545" t="s">
        <v>22</v>
      </c>
      <c r="K316" s="546">
        <v>2.7</v>
      </c>
      <c r="L316" s="717"/>
      <c r="M316" s="564"/>
    </row>
    <row r="317" s="645" customFormat="1" spans="1:13">
      <c r="A317" s="695"/>
      <c r="B317" s="509"/>
      <c r="C317" s="509"/>
      <c r="D317" s="520"/>
      <c r="E317" s="509"/>
      <c r="F317" s="509"/>
      <c r="G317" s="545" t="s">
        <v>148</v>
      </c>
      <c r="H317" s="546">
        <v>2.6055</v>
      </c>
      <c r="I317" s="546">
        <v>0.36</v>
      </c>
      <c r="J317" s="545" t="s">
        <v>24</v>
      </c>
      <c r="K317" s="546" t="s">
        <v>24</v>
      </c>
      <c r="L317" s="717"/>
      <c r="M317" s="564"/>
    </row>
    <row r="318" s="645" customFormat="1" spans="1:13">
      <c r="A318" s="522">
        <v>46126</v>
      </c>
      <c r="B318" s="522" t="s">
        <v>234</v>
      </c>
      <c r="C318" s="522" t="s">
        <v>13</v>
      </c>
      <c r="D318" s="523">
        <v>5</v>
      </c>
      <c r="E318" s="522" t="s">
        <v>103</v>
      </c>
      <c r="F318" s="522" t="s">
        <v>15</v>
      </c>
      <c r="G318" s="545" t="s">
        <v>158</v>
      </c>
      <c r="H318" s="546">
        <v>1.83</v>
      </c>
      <c r="I318" s="546">
        <v>4.2</v>
      </c>
      <c r="J318" s="545" t="s">
        <v>17</v>
      </c>
      <c r="K318" s="546">
        <v>1.76</v>
      </c>
      <c r="L318" s="671" t="s">
        <v>18</v>
      </c>
      <c r="M318" s="564"/>
    </row>
    <row r="319" s="645" customFormat="1" spans="1:13">
      <c r="A319" s="528"/>
      <c r="B319" s="528"/>
      <c r="C319" s="528"/>
      <c r="D319" s="529"/>
      <c r="E319" s="528"/>
      <c r="F319" s="528"/>
      <c r="G319" s="545" t="s">
        <v>159</v>
      </c>
      <c r="H319" s="546">
        <v>1.92</v>
      </c>
      <c r="I319" s="546">
        <v>0.25</v>
      </c>
      <c r="J319" s="545" t="s">
        <v>22</v>
      </c>
      <c r="K319" s="546">
        <v>1.9</v>
      </c>
      <c r="L319" s="672"/>
      <c r="M319" s="564"/>
    </row>
    <row r="320" s="645" customFormat="1" spans="1:13">
      <c r="A320" s="528"/>
      <c r="B320" s="528"/>
      <c r="C320" s="528"/>
      <c r="D320" s="529"/>
      <c r="E320" s="528"/>
      <c r="F320" s="528"/>
      <c r="G320" s="545" t="s">
        <v>160</v>
      </c>
      <c r="H320" s="546">
        <v>2</v>
      </c>
      <c r="I320" s="546">
        <v>0.15</v>
      </c>
      <c r="J320" s="545" t="s">
        <v>44</v>
      </c>
      <c r="K320" s="546">
        <v>2</v>
      </c>
      <c r="L320" s="672"/>
      <c r="M320" s="564"/>
    </row>
    <row r="321" s="645" customFormat="1" spans="1:13">
      <c r="A321" s="528"/>
      <c r="B321" s="528"/>
      <c r="C321" s="528"/>
      <c r="D321" s="529"/>
      <c r="E321" s="528"/>
      <c r="F321" s="528"/>
      <c r="G321" s="515" t="s">
        <v>105</v>
      </c>
      <c r="H321" s="546">
        <v>2.58</v>
      </c>
      <c r="I321" s="546">
        <v>0.15</v>
      </c>
      <c r="J321" s="545" t="s">
        <v>24</v>
      </c>
      <c r="K321" s="546" t="s">
        <v>24</v>
      </c>
      <c r="L321" s="672"/>
      <c r="M321" s="564"/>
    </row>
    <row r="322" s="645" customFormat="1" spans="1:13">
      <c r="A322" s="532"/>
      <c r="B322" s="532"/>
      <c r="C322" s="532"/>
      <c r="D322" s="533"/>
      <c r="E322" s="532"/>
      <c r="F322" s="532"/>
      <c r="G322" s="515" t="s">
        <v>106</v>
      </c>
      <c r="H322" s="546">
        <v>2.58</v>
      </c>
      <c r="I322" s="546">
        <v>0.25</v>
      </c>
      <c r="J322" s="545" t="s">
        <v>24</v>
      </c>
      <c r="K322" s="546" t="s">
        <v>24</v>
      </c>
      <c r="L322" s="674"/>
      <c r="M322" s="564"/>
    </row>
    <row r="323" s="645" customFormat="1" spans="1:13">
      <c r="A323" s="695">
        <v>46127</v>
      </c>
      <c r="B323" s="509" t="s">
        <v>235</v>
      </c>
      <c r="C323" s="509" t="s">
        <v>13</v>
      </c>
      <c r="D323" s="520">
        <v>10</v>
      </c>
      <c r="E323" s="509" t="s">
        <v>14</v>
      </c>
      <c r="F323" s="509" t="s">
        <v>15</v>
      </c>
      <c r="G323" s="545" t="s">
        <v>166</v>
      </c>
      <c r="H323" s="546">
        <v>1.0411</v>
      </c>
      <c r="I323" s="546">
        <v>8.4</v>
      </c>
      <c r="J323" s="545" t="s">
        <v>17</v>
      </c>
      <c r="K323" s="546">
        <v>1.62</v>
      </c>
      <c r="L323" s="694" t="s">
        <v>18</v>
      </c>
      <c r="M323" s="527" t="s">
        <v>19</v>
      </c>
    </row>
    <row r="324" s="645" customFormat="1" spans="1:13">
      <c r="A324" s="695"/>
      <c r="B324" s="509"/>
      <c r="C324" s="509"/>
      <c r="D324" s="520"/>
      <c r="E324" s="509"/>
      <c r="F324" s="509"/>
      <c r="G324" s="545" t="s">
        <v>167</v>
      </c>
      <c r="H324" s="546">
        <v>1.2082</v>
      </c>
      <c r="I324" s="546">
        <v>0.6</v>
      </c>
      <c r="J324" s="545" t="s">
        <v>17</v>
      </c>
      <c r="K324" s="546">
        <v>1.7</v>
      </c>
      <c r="L324" s="694"/>
      <c r="M324" s="527"/>
    </row>
    <row r="325" s="645" customFormat="1" spans="1:13">
      <c r="A325" s="695"/>
      <c r="B325" s="509"/>
      <c r="C325" s="509"/>
      <c r="D325" s="520"/>
      <c r="E325" s="509"/>
      <c r="F325" s="509"/>
      <c r="G325" s="545" t="s">
        <v>159</v>
      </c>
      <c r="H325" s="546">
        <v>1.3781</v>
      </c>
      <c r="I325" s="546">
        <v>0.5</v>
      </c>
      <c r="J325" s="545" t="s">
        <v>22</v>
      </c>
      <c r="K325" s="546">
        <v>1.85</v>
      </c>
      <c r="L325" s="694"/>
      <c r="M325" s="527"/>
    </row>
    <row r="326" s="645" customFormat="1" spans="1:13">
      <c r="A326" s="695"/>
      <c r="B326" s="509"/>
      <c r="C326" s="509"/>
      <c r="D326" s="520"/>
      <c r="E326" s="509"/>
      <c r="F326" s="509"/>
      <c r="G326" s="545" t="s">
        <v>148</v>
      </c>
      <c r="H326" s="546">
        <v>2.6301</v>
      </c>
      <c r="I326" s="546">
        <v>0.5</v>
      </c>
      <c r="J326" s="545" t="s">
        <v>24</v>
      </c>
      <c r="K326" s="546" t="s">
        <v>24</v>
      </c>
      <c r="L326" s="694"/>
      <c r="M326" s="527"/>
    </row>
    <row r="327" s="645" customFormat="1" spans="1:13">
      <c r="A327" s="695">
        <v>46128</v>
      </c>
      <c r="B327" s="509" t="s">
        <v>236</v>
      </c>
      <c r="C327" s="509" t="s">
        <v>32</v>
      </c>
      <c r="D327" s="520">
        <v>10</v>
      </c>
      <c r="E327" s="509" t="s">
        <v>38</v>
      </c>
      <c r="F327" s="509" t="s">
        <v>39</v>
      </c>
      <c r="G327" s="545" t="s">
        <v>237</v>
      </c>
      <c r="H327" s="546">
        <v>1.0767</v>
      </c>
      <c r="I327" s="546">
        <v>7.2</v>
      </c>
      <c r="J327" s="545" t="s">
        <v>17</v>
      </c>
      <c r="K327" s="546">
        <v>1.85</v>
      </c>
      <c r="L327" s="694" t="s">
        <v>41</v>
      </c>
      <c r="M327" s="527"/>
    </row>
    <row r="328" s="645" customFormat="1" spans="1:13">
      <c r="A328" s="695"/>
      <c r="B328" s="509"/>
      <c r="C328" s="509"/>
      <c r="D328" s="520"/>
      <c r="E328" s="509"/>
      <c r="F328" s="509"/>
      <c r="G328" s="545" t="s">
        <v>228</v>
      </c>
      <c r="H328" s="546">
        <v>1.2466</v>
      </c>
      <c r="I328" s="546">
        <v>1.6</v>
      </c>
      <c r="J328" s="545" t="s">
        <v>17</v>
      </c>
      <c r="K328" s="546">
        <v>1.85</v>
      </c>
      <c r="L328" s="694"/>
      <c r="M328" s="527"/>
    </row>
    <row r="329" s="645" customFormat="1" spans="1:13">
      <c r="A329" s="695"/>
      <c r="B329" s="509"/>
      <c r="C329" s="509"/>
      <c r="D329" s="520"/>
      <c r="E329" s="509"/>
      <c r="F329" s="509"/>
      <c r="G329" s="545" t="s">
        <v>159</v>
      </c>
      <c r="H329" s="546">
        <v>1.2849</v>
      </c>
      <c r="I329" s="546">
        <v>0.35</v>
      </c>
      <c r="J329" s="545" t="s">
        <v>22</v>
      </c>
      <c r="K329" s="546">
        <v>1.98</v>
      </c>
      <c r="L329" s="694"/>
      <c r="M329" s="527"/>
    </row>
    <row r="330" s="645" customFormat="1" spans="1:13">
      <c r="A330" s="695"/>
      <c r="B330" s="509"/>
      <c r="C330" s="509"/>
      <c r="D330" s="520"/>
      <c r="E330" s="509"/>
      <c r="F330" s="509"/>
      <c r="G330" s="545" t="s">
        <v>160</v>
      </c>
      <c r="H330" s="546">
        <v>1.3644</v>
      </c>
      <c r="I330" s="546">
        <v>0.35</v>
      </c>
      <c r="J330" s="545" t="s">
        <v>136</v>
      </c>
      <c r="K330" s="546">
        <v>4.5</v>
      </c>
      <c r="L330" s="694"/>
      <c r="M330" s="527"/>
    </row>
    <row r="331" s="645" customFormat="1" spans="1:13">
      <c r="A331" s="695"/>
      <c r="B331" s="509"/>
      <c r="C331" s="509"/>
      <c r="D331" s="520"/>
      <c r="E331" s="509"/>
      <c r="F331" s="509"/>
      <c r="G331" s="545" t="s">
        <v>148</v>
      </c>
      <c r="H331" s="546">
        <v>1.7479</v>
      </c>
      <c r="I331" s="546">
        <v>0.5</v>
      </c>
      <c r="J331" s="545" t="s">
        <v>24</v>
      </c>
      <c r="K331" s="546" t="s">
        <v>24</v>
      </c>
      <c r="L331" s="694"/>
      <c r="M331" s="527"/>
    </row>
    <row r="332" s="645" customFormat="1" spans="1:13">
      <c r="A332" s="695">
        <v>46128</v>
      </c>
      <c r="B332" s="509" t="s">
        <v>238</v>
      </c>
      <c r="C332" s="509" t="s">
        <v>32</v>
      </c>
      <c r="D332" s="520">
        <v>10</v>
      </c>
      <c r="E332" s="509" t="s">
        <v>177</v>
      </c>
      <c r="F332" s="509" t="s">
        <v>94</v>
      </c>
      <c r="G332" s="545" t="s">
        <v>158</v>
      </c>
      <c r="H332" s="546">
        <v>1.0274</v>
      </c>
      <c r="I332" s="546">
        <v>8.7</v>
      </c>
      <c r="J332" s="545" t="s">
        <v>17</v>
      </c>
      <c r="K332" s="546">
        <v>1.65</v>
      </c>
      <c r="L332" s="694" t="s">
        <v>27</v>
      </c>
      <c r="M332" s="527" t="s">
        <v>89</v>
      </c>
    </row>
    <row r="333" s="645" customFormat="1" spans="1:13">
      <c r="A333" s="695"/>
      <c r="B333" s="509"/>
      <c r="C333" s="509"/>
      <c r="D333" s="520"/>
      <c r="E333" s="509"/>
      <c r="F333" s="509"/>
      <c r="G333" s="545" t="s">
        <v>159</v>
      </c>
      <c r="H333" s="546">
        <v>1.0274</v>
      </c>
      <c r="I333" s="546">
        <v>0.5</v>
      </c>
      <c r="J333" s="545" t="s">
        <v>22</v>
      </c>
      <c r="K333" s="546">
        <v>1.7</v>
      </c>
      <c r="L333" s="694"/>
      <c r="M333" s="527"/>
    </row>
    <row r="334" s="645" customFormat="1" spans="1:13">
      <c r="A334" s="695"/>
      <c r="B334" s="509"/>
      <c r="C334" s="509"/>
      <c r="D334" s="520"/>
      <c r="E334" s="509"/>
      <c r="F334" s="509"/>
      <c r="G334" s="545" t="s">
        <v>148</v>
      </c>
      <c r="H334" s="546">
        <v>2.0301</v>
      </c>
      <c r="I334" s="546">
        <v>0.8</v>
      </c>
      <c r="J334" s="545" t="s">
        <v>24</v>
      </c>
      <c r="K334" s="546" t="s">
        <v>24</v>
      </c>
      <c r="L334" s="694"/>
      <c r="M334" s="527"/>
    </row>
    <row r="335" s="492" customFormat="1" spans="1:13">
      <c r="A335" s="583">
        <v>46129</v>
      </c>
      <c r="B335" s="509" t="s">
        <v>239</v>
      </c>
      <c r="C335" s="527" t="s">
        <v>32</v>
      </c>
      <c r="D335" s="538">
        <v>10</v>
      </c>
      <c r="E335" s="527" t="s">
        <v>14</v>
      </c>
      <c r="F335" s="527" t="s">
        <v>240</v>
      </c>
      <c r="G335" s="545" t="s">
        <v>158</v>
      </c>
      <c r="H335" s="546">
        <v>1.08</v>
      </c>
      <c r="I335" s="546">
        <v>8.24</v>
      </c>
      <c r="J335" s="545" t="s">
        <v>17</v>
      </c>
      <c r="K335" s="546">
        <v>1.64</v>
      </c>
      <c r="L335" s="666" t="s">
        <v>60</v>
      </c>
      <c r="M335" s="527" t="s">
        <v>61</v>
      </c>
    </row>
    <row r="336" s="492" customFormat="1" spans="1:13">
      <c r="A336" s="583"/>
      <c r="B336" s="509"/>
      <c r="C336" s="527"/>
      <c r="D336" s="538"/>
      <c r="E336" s="527"/>
      <c r="F336" s="527"/>
      <c r="G336" s="545" t="s">
        <v>159</v>
      </c>
      <c r="H336" s="546">
        <v>1.08</v>
      </c>
      <c r="I336" s="546">
        <v>0.52</v>
      </c>
      <c r="J336" s="545" t="s">
        <v>22</v>
      </c>
      <c r="K336" s="546">
        <v>1.69</v>
      </c>
      <c r="L336" s="667"/>
      <c r="M336" s="527"/>
    </row>
    <row r="337" s="492" customFormat="1" spans="1:13">
      <c r="A337" s="583"/>
      <c r="B337" s="509"/>
      <c r="C337" s="527"/>
      <c r="D337" s="538"/>
      <c r="E337" s="527"/>
      <c r="F337" s="527"/>
      <c r="G337" s="545" t="s">
        <v>160</v>
      </c>
      <c r="H337" s="546">
        <v>1.08</v>
      </c>
      <c r="I337" s="546">
        <v>0.4</v>
      </c>
      <c r="J337" s="545" t="s">
        <v>44</v>
      </c>
      <c r="K337" s="546">
        <v>2.8</v>
      </c>
      <c r="L337" s="667"/>
      <c r="M337" s="527"/>
    </row>
    <row r="338" s="492" customFormat="1" spans="1:13">
      <c r="A338" s="583"/>
      <c r="B338" s="509"/>
      <c r="C338" s="527"/>
      <c r="D338" s="538"/>
      <c r="E338" s="527"/>
      <c r="F338" s="527"/>
      <c r="G338" s="545" t="s">
        <v>148</v>
      </c>
      <c r="H338" s="546">
        <v>2</v>
      </c>
      <c r="I338" s="546">
        <v>0.84</v>
      </c>
      <c r="J338" s="545" t="s">
        <v>24</v>
      </c>
      <c r="K338" s="546" t="s">
        <v>24</v>
      </c>
      <c r="L338" s="669"/>
      <c r="M338" s="527"/>
    </row>
    <row r="339" s="492" customFormat="1" spans="1:13">
      <c r="A339" s="583">
        <v>46129</v>
      </c>
      <c r="B339" s="509" t="s">
        <v>241</v>
      </c>
      <c r="C339" s="527" t="s">
        <v>13</v>
      </c>
      <c r="D339" s="538">
        <v>10</v>
      </c>
      <c r="E339" s="527" t="s">
        <v>177</v>
      </c>
      <c r="F339" s="527" t="s">
        <v>59</v>
      </c>
      <c r="G339" s="545" t="s">
        <v>158</v>
      </c>
      <c r="H339" s="546">
        <v>1.02</v>
      </c>
      <c r="I339" s="546">
        <v>8.35</v>
      </c>
      <c r="J339" s="545" t="s">
        <v>17</v>
      </c>
      <c r="K339" s="546">
        <v>1.64</v>
      </c>
      <c r="L339" s="694" t="s">
        <v>27</v>
      </c>
      <c r="M339" s="527" t="s">
        <v>28</v>
      </c>
    </row>
    <row r="340" s="492" customFormat="1" spans="1:13">
      <c r="A340" s="583"/>
      <c r="B340" s="509"/>
      <c r="C340" s="527"/>
      <c r="D340" s="538"/>
      <c r="E340" s="527"/>
      <c r="F340" s="527"/>
      <c r="G340" s="545" t="s">
        <v>159</v>
      </c>
      <c r="H340" s="546">
        <v>1.02</v>
      </c>
      <c r="I340" s="546">
        <v>0.7</v>
      </c>
      <c r="J340" s="545" t="s">
        <v>22</v>
      </c>
      <c r="K340" s="546">
        <v>1.7</v>
      </c>
      <c r="L340" s="694"/>
      <c r="M340" s="527"/>
    </row>
    <row r="341" s="492" customFormat="1" spans="1:13">
      <c r="A341" s="583"/>
      <c r="B341" s="509"/>
      <c r="C341" s="527"/>
      <c r="D341" s="538"/>
      <c r="E341" s="527"/>
      <c r="F341" s="527"/>
      <c r="G341" s="545" t="s">
        <v>148</v>
      </c>
      <c r="H341" s="546">
        <v>1.79</v>
      </c>
      <c r="I341" s="546">
        <v>0.95</v>
      </c>
      <c r="J341" s="545" t="s">
        <v>24</v>
      </c>
      <c r="K341" s="546" t="s">
        <v>24</v>
      </c>
      <c r="L341" s="694"/>
      <c r="M341" s="527"/>
    </row>
    <row r="342" s="492" customFormat="1" spans="1:13">
      <c r="A342" s="583">
        <v>46133</v>
      </c>
      <c r="B342" s="509" t="s">
        <v>242</v>
      </c>
      <c r="C342" s="527" t="s">
        <v>13</v>
      </c>
      <c r="D342" s="538">
        <v>5</v>
      </c>
      <c r="E342" s="527" t="s">
        <v>72</v>
      </c>
      <c r="F342" s="527" t="s">
        <v>15</v>
      </c>
      <c r="G342" s="545" t="s">
        <v>158</v>
      </c>
      <c r="H342" s="546">
        <v>1.01</v>
      </c>
      <c r="I342" s="546">
        <v>4.35</v>
      </c>
      <c r="J342" s="545" t="s">
        <v>17</v>
      </c>
      <c r="K342" s="546">
        <v>1.62</v>
      </c>
      <c r="L342" s="694" t="s">
        <v>27</v>
      </c>
      <c r="M342" s="527" t="s">
        <v>89</v>
      </c>
    </row>
    <row r="343" s="492" customFormat="1" spans="1:13">
      <c r="A343" s="583"/>
      <c r="B343" s="509"/>
      <c r="C343" s="527"/>
      <c r="D343" s="538"/>
      <c r="E343" s="527"/>
      <c r="F343" s="527"/>
      <c r="G343" s="545" t="s">
        <v>159</v>
      </c>
      <c r="H343" s="546">
        <v>1.01</v>
      </c>
      <c r="I343" s="546">
        <v>0.25</v>
      </c>
      <c r="J343" s="545" t="s">
        <v>22</v>
      </c>
      <c r="K343" s="546">
        <v>1.7</v>
      </c>
      <c r="L343" s="694"/>
      <c r="M343" s="527"/>
    </row>
    <row r="344" s="492" customFormat="1" spans="1:13">
      <c r="A344" s="583"/>
      <c r="B344" s="509"/>
      <c r="C344" s="527"/>
      <c r="D344" s="538"/>
      <c r="E344" s="527"/>
      <c r="F344" s="527"/>
      <c r="G344" s="545" t="s">
        <v>148</v>
      </c>
      <c r="H344" s="546">
        <v>1.86</v>
      </c>
      <c r="I344" s="546">
        <v>0.4</v>
      </c>
      <c r="J344" s="545" t="s">
        <v>24</v>
      </c>
      <c r="K344" s="546" t="s">
        <v>24</v>
      </c>
      <c r="L344" s="694"/>
      <c r="M344" s="527"/>
    </row>
    <row r="345" s="492" customFormat="1" spans="1:13">
      <c r="A345" s="583">
        <v>46133</v>
      </c>
      <c r="B345" s="509" t="s">
        <v>243</v>
      </c>
      <c r="C345" s="527" t="s">
        <v>13</v>
      </c>
      <c r="D345" s="538">
        <v>10</v>
      </c>
      <c r="E345" s="527" t="s">
        <v>33</v>
      </c>
      <c r="F345" s="527" t="s">
        <v>15</v>
      </c>
      <c r="G345" s="545" t="s">
        <v>166</v>
      </c>
      <c r="H345" s="546">
        <v>1.07</v>
      </c>
      <c r="I345" s="546">
        <v>8.4</v>
      </c>
      <c r="J345" s="545" t="s">
        <v>17</v>
      </c>
      <c r="K345" s="546">
        <v>1.6</v>
      </c>
      <c r="L345" s="694" t="s">
        <v>18</v>
      </c>
      <c r="M345" s="527" t="s">
        <v>19</v>
      </c>
    </row>
    <row r="346" s="492" customFormat="1" spans="1:13">
      <c r="A346" s="583"/>
      <c r="B346" s="509"/>
      <c r="C346" s="527"/>
      <c r="D346" s="538"/>
      <c r="E346" s="527"/>
      <c r="F346" s="527"/>
      <c r="G346" s="545" t="s">
        <v>167</v>
      </c>
      <c r="H346" s="546">
        <v>1.32</v>
      </c>
      <c r="I346" s="546">
        <v>0.6</v>
      </c>
      <c r="J346" s="545" t="s">
        <v>17</v>
      </c>
      <c r="K346" s="546">
        <v>1.7</v>
      </c>
      <c r="L346" s="694"/>
      <c r="M346" s="527"/>
    </row>
    <row r="347" s="492" customFormat="1" spans="1:13">
      <c r="A347" s="583"/>
      <c r="B347" s="509"/>
      <c r="C347" s="527"/>
      <c r="D347" s="538"/>
      <c r="E347" s="527"/>
      <c r="F347" s="527"/>
      <c r="G347" s="545" t="s">
        <v>159</v>
      </c>
      <c r="H347" s="546">
        <v>1.48</v>
      </c>
      <c r="I347" s="546">
        <v>0.5</v>
      </c>
      <c r="J347" s="545" t="s">
        <v>22</v>
      </c>
      <c r="K347" s="546">
        <v>1.85</v>
      </c>
      <c r="L347" s="694"/>
      <c r="M347" s="527"/>
    </row>
    <row r="348" s="492" customFormat="1" spans="1:13">
      <c r="A348" s="583"/>
      <c r="B348" s="509"/>
      <c r="C348" s="527"/>
      <c r="D348" s="538"/>
      <c r="E348" s="527"/>
      <c r="F348" s="527"/>
      <c r="G348" s="545" t="s">
        <v>148</v>
      </c>
      <c r="H348" s="546">
        <v>2.65</v>
      </c>
      <c r="I348" s="546">
        <v>0.5</v>
      </c>
      <c r="J348" s="545" t="s">
        <v>24</v>
      </c>
      <c r="K348" s="546" t="s">
        <v>24</v>
      </c>
      <c r="L348" s="694"/>
      <c r="M348" s="527"/>
    </row>
    <row r="349" s="492" customFormat="1" spans="1:13">
      <c r="A349" s="583">
        <v>46134</v>
      </c>
      <c r="B349" s="509" t="s">
        <v>244</v>
      </c>
      <c r="C349" s="527" t="s">
        <v>13</v>
      </c>
      <c r="D349" s="538">
        <v>3</v>
      </c>
      <c r="E349" s="527" t="s">
        <v>14</v>
      </c>
      <c r="F349" s="527" t="s">
        <v>15</v>
      </c>
      <c r="G349" s="545" t="s">
        <v>158</v>
      </c>
      <c r="H349" s="546">
        <v>1.84</v>
      </c>
      <c r="I349" s="546">
        <v>2.52</v>
      </c>
      <c r="J349" s="545" t="s">
        <v>17</v>
      </c>
      <c r="K349" s="546">
        <v>2.5</v>
      </c>
      <c r="L349" s="694" t="s">
        <v>70</v>
      </c>
      <c r="M349" s="527"/>
    </row>
    <row r="350" s="492" customFormat="1" spans="1:13">
      <c r="A350" s="583"/>
      <c r="B350" s="509"/>
      <c r="C350" s="527"/>
      <c r="D350" s="538"/>
      <c r="E350" s="527"/>
      <c r="F350" s="527"/>
      <c r="G350" s="545" t="s">
        <v>159</v>
      </c>
      <c r="H350" s="546">
        <v>1.92</v>
      </c>
      <c r="I350" s="546">
        <v>0.18</v>
      </c>
      <c r="J350" s="545" t="s">
        <v>22</v>
      </c>
      <c r="K350" s="546">
        <v>3</v>
      </c>
      <c r="L350" s="694"/>
      <c r="M350" s="527"/>
    </row>
    <row r="351" s="492" customFormat="1" spans="1:13">
      <c r="A351" s="583"/>
      <c r="B351" s="509"/>
      <c r="C351" s="527"/>
      <c r="D351" s="538"/>
      <c r="E351" s="527"/>
      <c r="F351" s="527"/>
      <c r="G351" s="545" t="s">
        <v>148</v>
      </c>
      <c r="H351" s="546">
        <v>2.67</v>
      </c>
      <c r="I351" s="546">
        <v>0.3</v>
      </c>
      <c r="J351" s="545" t="s">
        <v>24</v>
      </c>
      <c r="K351" s="546" t="s">
        <v>24</v>
      </c>
      <c r="L351" s="694"/>
      <c r="M351" s="527"/>
    </row>
    <row r="352" s="492" customFormat="1" spans="1:13">
      <c r="A352" s="583">
        <v>46134</v>
      </c>
      <c r="B352" s="509" t="s">
        <v>245</v>
      </c>
      <c r="C352" s="527" t="s">
        <v>13</v>
      </c>
      <c r="D352" s="538">
        <v>10</v>
      </c>
      <c r="E352" s="527" t="s">
        <v>14</v>
      </c>
      <c r="F352" s="527" t="s">
        <v>15</v>
      </c>
      <c r="G352" s="545" t="s">
        <v>166</v>
      </c>
      <c r="H352" s="546">
        <v>1.07</v>
      </c>
      <c r="I352" s="546">
        <v>8.4</v>
      </c>
      <c r="J352" s="545" t="s">
        <v>17</v>
      </c>
      <c r="K352" s="546">
        <v>1.6</v>
      </c>
      <c r="L352" s="694" t="s">
        <v>18</v>
      </c>
      <c r="M352" s="527" t="s">
        <v>19</v>
      </c>
    </row>
    <row r="353" s="492" customFormat="1" spans="1:13">
      <c r="A353" s="583"/>
      <c r="B353" s="509"/>
      <c r="C353" s="527"/>
      <c r="D353" s="538"/>
      <c r="E353" s="527"/>
      <c r="F353" s="527"/>
      <c r="G353" s="545" t="s">
        <v>167</v>
      </c>
      <c r="H353" s="546">
        <v>1.32</v>
      </c>
      <c r="I353" s="546">
        <v>0.6</v>
      </c>
      <c r="J353" s="545" t="s">
        <v>17</v>
      </c>
      <c r="K353" s="546">
        <v>1.7</v>
      </c>
      <c r="L353" s="694"/>
      <c r="M353" s="527"/>
    </row>
    <row r="354" s="492" customFormat="1" spans="1:13">
      <c r="A354" s="583"/>
      <c r="B354" s="509"/>
      <c r="C354" s="527"/>
      <c r="D354" s="538"/>
      <c r="E354" s="527"/>
      <c r="F354" s="527"/>
      <c r="G354" s="545" t="s">
        <v>159</v>
      </c>
      <c r="H354" s="546">
        <v>1.48</v>
      </c>
      <c r="I354" s="546">
        <v>0.5</v>
      </c>
      <c r="J354" s="545" t="s">
        <v>22</v>
      </c>
      <c r="K354" s="546">
        <v>1.85</v>
      </c>
      <c r="L354" s="694"/>
      <c r="M354" s="527"/>
    </row>
    <row r="355" s="492" customFormat="1" spans="1:13">
      <c r="A355" s="583"/>
      <c r="B355" s="509"/>
      <c r="C355" s="527"/>
      <c r="D355" s="538"/>
      <c r="E355" s="527"/>
      <c r="F355" s="527"/>
      <c r="G355" s="545" t="s">
        <v>148</v>
      </c>
      <c r="H355" s="546">
        <v>2.7</v>
      </c>
      <c r="I355" s="546">
        <v>0.5</v>
      </c>
      <c r="J355" s="545" t="s">
        <v>24</v>
      </c>
      <c r="K355" s="546" t="s">
        <v>24</v>
      </c>
      <c r="L355" s="694"/>
      <c r="M355" s="527"/>
    </row>
    <row r="356" s="492" customFormat="1" spans="1:13">
      <c r="A356" s="583">
        <v>46135</v>
      </c>
      <c r="B356" s="509" t="s">
        <v>246</v>
      </c>
      <c r="C356" s="527" t="s">
        <v>13</v>
      </c>
      <c r="D356" s="538">
        <v>10</v>
      </c>
      <c r="E356" s="527" t="s">
        <v>33</v>
      </c>
      <c r="F356" s="527" t="s">
        <v>63</v>
      </c>
      <c r="G356" s="545" t="s">
        <v>158</v>
      </c>
      <c r="H356" s="546">
        <v>1.08</v>
      </c>
      <c r="I356" s="546">
        <v>8.3</v>
      </c>
      <c r="J356" s="545" t="s">
        <v>17</v>
      </c>
      <c r="K356" s="546">
        <v>1.67</v>
      </c>
      <c r="L356" s="694" t="s">
        <v>35</v>
      </c>
      <c r="M356" s="527" t="s">
        <v>98</v>
      </c>
    </row>
    <row r="357" s="492" customFormat="1" spans="1:13">
      <c r="A357" s="583"/>
      <c r="B357" s="509"/>
      <c r="C357" s="527"/>
      <c r="D357" s="538"/>
      <c r="E357" s="527"/>
      <c r="F357" s="527"/>
      <c r="G357" s="545" t="s">
        <v>159</v>
      </c>
      <c r="H357" s="546">
        <v>1.08</v>
      </c>
      <c r="I357" s="546">
        <v>0.5</v>
      </c>
      <c r="J357" s="545" t="s">
        <v>22</v>
      </c>
      <c r="K357" s="546">
        <v>1.83</v>
      </c>
      <c r="L357" s="694"/>
      <c r="M357" s="527"/>
    </row>
    <row r="358" s="492" customFormat="1" spans="1:13">
      <c r="A358" s="583"/>
      <c r="B358" s="509"/>
      <c r="C358" s="527"/>
      <c r="D358" s="538"/>
      <c r="E358" s="527"/>
      <c r="F358" s="527"/>
      <c r="G358" s="545" t="s">
        <v>175</v>
      </c>
      <c r="H358" s="546">
        <v>1.75</v>
      </c>
      <c r="I358" s="546">
        <v>0.7</v>
      </c>
      <c r="J358" s="545" t="s">
        <v>100</v>
      </c>
      <c r="K358" s="546">
        <v>3.1</v>
      </c>
      <c r="L358" s="694"/>
      <c r="M358" s="527"/>
    </row>
    <row r="359" s="492" customFormat="1" spans="1:13">
      <c r="A359" s="583"/>
      <c r="B359" s="509"/>
      <c r="C359" s="527"/>
      <c r="D359" s="538"/>
      <c r="E359" s="527"/>
      <c r="F359" s="527"/>
      <c r="G359" s="545" t="s">
        <v>148</v>
      </c>
      <c r="H359" s="546">
        <v>1.75</v>
      </c>
      <c r="I359" s="546">
        <v>0.5</v>
      </c>
      <c r="J359" s="545" t="s">
        <v>24</v>
      </c>
      <c r="K359" s="546" t="s">
        <v>24</v>
      </c>
      <c r="L359" s="694"/>
      <c r="M359" s="527"/>
    </row>
    <row r="360" s="492" customFormat="1" spans="1:13">
      <c r="A360" s="583">
        <v>46135</v>
      </c>
      <c r="B360" s="509" t="s">
        <v>247</v>
      </c>
      <c r="C360" s="527" t="s">
        <v>13</v>
      </c>
      <c r="D360" s="538">
        <v>10</v>
      </c>
      <c r="E360" s="527" t="s">
        <v>66</v>
      </c>
      <c r="F360" s="527" t="s">
        <v>77</v>
      </c>
      <c r="G360" s="545" t="s">
        <v>158</v>
      </c>
      <c r="H360" s="546">
        <v>0.78</v>
      </c>
      <c r="I360" s="546">
        <v>9</v>
      </c>
      <c r="J360" s="545" t="s">
        <v>17</v>
      </c>
      <c r="K360" s="546">
        <v>1.6</v>
      </c>
      <c r="L360" s="694" t="s">
        <v>74</v>
      </c>
      <c r="M360" s="527"/>
    </row>
    <row r="361" s="492" customFormat="1" spans="1:13">
      <c r="A361" s="583"/>
      <c r="B361" s="509"/>
      <c r="C361" s="527"/>
      <c r="D361" s="538"/>
      <c r="E361" s="527"/>
      <c r="F361" s="527"/>
      <c r="G361" s="545" t="s">
        <v>159</v>
      </c>
      <c r="H361" s="546">
        <v>1.05</v>
      </c>
      <c r="I361" s="546">
        <v>0.3</v>
      </c>
      <c r="J361" s="545" t="s">
        <v>22</v>
      </c>
      <c r="K361" s="546">
        <v>1.8</v>
      </c>
      <c r="L361" s="694"/>
      <c r="M361" s="527"/>
    </row>
    <row r="362" s="492" customFormat="1" spans="1:13">
      <c r="A362" s="583"/>
      <c r="B362" s="509"/>
      <c r="C362" s="527"/>
      <c r="D362" s="538"/>
      <c r="E362" s="527"/>
      <c r="F362" s="527"/>
      <c r="G362" s="545" t="s">
        <v>148</v>
      </c>
      <c r="H362" s="546">
        <v>1.53</v>
      </c>
      <c r="I362" s="546">
        <v>0.7</v>
      </c>
      <c r="J362" s="545" t="s">
        <v>24</v>
      </c>
      <c r="K362" s="546" t="s">
        <v>24</v>
      </c>
      <c r="L362" s="694"/>
      <c r="M362" s="527"/>
    </row>
    <row r="363" s="492" customFormat="1" spans="1:13">
      <c r="A363" s="519">
        <v>46135</v>
      </c>
      <c r="B363" s="507" t="s">
        <v>248</v>
      </c>
      <c r="C363" s="526" t="s">
        <v>13</v>
      </c>
      <c r="D363" s="538">
        <v>4</v>
      </c>
      <c r="E363" s="527" t="s">
        <v>14</v>
      </c>
      <c r="F363" s="527" t="s">
        <v>46</v>
      </c>
      <c r="G363" s="509" t="s">
        <v>128</v>
      </c>
      <c r="H363" s="542">
        <v>1</v>
      </c>
      <c r="I363" s="542">
        <v>3.94</v>
      </c>
      <c r="J363" s="515" t="s">
        <v>17</v>
      </c>
      <c r="K363" s="542">
        <v>2.67</v>
      </c>
      <c r="L363" s="694" t="s">
        <v>48</v>
      </c>
      <c r="M363" s="527"/>
    </row>
    <row r="364" s="492" customFormat="1" spans="1:13">
      <c r="A364" s="519"/>
      <c r="B364" s="517"/>
      <c r="C364" s="534"/>
      <c r="D364" s="538"/>
      <c r="E364" s="527"/>
      <c r="F364" s="527"/>
      <c r="G364" s="500" t="s">
        <v>23</v>
      </c>
      <c r="H364" s="542">
        <v>2.98</v>
      </c>
      <c r="I364" s="542">
        <v>0.06</v>
      </c>
      <c r="J364" s="515" t="s">
        <v>24</v>
      </c>
      <c r="K364" s="542" t="s">
        <v>24</v>
      </c>
      <c r="L364" s="694"/>
      <c r="M364" s="527"/>
    </row>
    <row r="365" s="492" customFormat="1" spans="1:13">
      <c r="A365" s="519">
        <v>46135</v>
      </c>
      <c r="B365" s="509" t="s">
        <v>249</v>
      </c>
      <c r="C365" s="509" t="s">
        <v>32</v>
      </c>
      <c r="D365" s="501">
        <v>8</v>
      </c>
      <c r="E365" s="509" t="s">
        <v>230</v>
      </c>
      <c r="F365" s="509" t="s">
        <v>39</v>
      </c>
      <c r="G365" s="545" t="s">
        <v>158</v>
      </c>
      <c r="H365" s="542">
        <v>1.25</v>
      </c>
      <c r="I365" s="542">
        <v>6.64</v>
      </c>
      <c r="J365" s="515" t="s">
        <v>17</v>
      </c>
      <c r="K365" s="542">
        <v>2.5</v>
      </c>
      <c r="L365" s="717" t="s">
        <v>67</v>
      </c>
      <c r="M365" s="545"/>
    </row>
    <row r="366" s="492" customFormat="1" spans="1:13">
      <c r="A366" s="519"/>
      <c r="B366" s="509"/>
      <c r="C366" s="509"/>
      <c r="D366" s="501"/>
      <c r="E366" s="509"/>
      <c r="F366" s="509"/>
      <c r="G366" s="545" t="s">
        <v>159</v>
      </c>
      <c r="H366" s="542">
        <v>1.25</v>
      </c>
      <c r="I366" s="542">
        <v>0.6</v>
      </c>
      <c r="J366" s="515" t="s">
        <v>22</v>
      </c>
      <c r="K366" s="542">
        <v>2.8</v>
      </c>
      <c r="L366" s="717"/>
      <c r="M366" s="545"/>
    </row>
    <row r="367" s="492" customFormat="1" spans="1:13">
      <c r="A367" s="519"/>
      <c r="B367" s="509"/>
      <c r="C367" s="509"/>
      <c r="D367" s="501"/>
      <c r="E367" s="509"/>
      <c r="F367" s="509"/>
      <c r="G367" s="545" t="s">
        <v>160</v>
      </c>
      <c r="H367" s="546">
        <v>1.25</v>
      </c>
      <c r="I367" s="546">
        <v>0.36</v>
      </c>
      <c r="J367" s="545" t="s">
        <v>96</v>
      </c>
      <c r="K367" s="546">
        <v>4</v>
      </c>
      <c r="L367" s="717"/>
      <c r="M367" s="545"/>
    </row>
    <row r="368" s="492" customFormat="1" spans="1:13">
      <c r="A368" s="519"/>
      <c r="B368" s="509"/>
      <c r="C368" s="509"/>
      <c r="D368" s="501"/>
      <c r="E368" s="509"/>
      <c r="F368" s="509"/>
      <c r="G368" s="545" t="s">
        <v>148</v>
      </c>
      <c r="H368" s="546">
        <v>1.25</v>
      </c>
      <c r="I368" s="546">
        <v>0.4</v>
      </c>
      <c r="J368" s="545" t="s">
        <v>24</v>
      </c>
      <c r="K368" s="546" t="s">
        <v>24</v>
      </c>
      <c r="L368" s="717"/>
      <c r="M368" s="545"/>
    </row>
    <row r="369" s="492" customFormat="1" spans="1:13">
      <c r="A369" s="519">
        <v>46136</v>
      </c>
      <c r="B369" s="509" t="s">
        <v>250</v>
      </c>
      <c r="C369" s="509" t="s">
        <v>13</v>
      </c>
      <c r="D369" s="501">
        <v>10</v>
      </c>
      <c r="E369" s="509" t="s">
        <v>14</v>
      </c>
      <c r="F369" s="509" t="s">
        <v>15</v>
      </c>
      <c r="G369" s="545" t="s">
        <v>158</v>
      </c>
      <c r="H369" s="546">
        <v>1.01</v>
      </c>
      <c r="I369" s="546">
        <v>8.35</v>
      </c>
      <c r="J369" s="545" t="s">
        <v>17</v>
      </c>
      <c r="K369" s="546">
        <v>1.64</v>
      </c>
      <c r="L369" s="717" t="s">
        <v>27</v>
      </c>
      <c r="M369" s="591" t="s">
        <v>170</v>
      </c>
    </row>
    <row r="370" s="492" customFormat="1" spans="1:13">
      <c r="A370" s="519"/>
      <c r="B370" s="509"/>
      <c r="C370" s="509"/>
      <c r="D370" s="501"/>
      <c r="E370" s="509"/>
      <c r="F370" s="509"/>
      <c r="G370" s="545" t="s">
        <v>159</v>
      </c>
      <c r="H370" s="546">
        <v>1.01</v>
      </c>
      <c r="I370" s="546">
        <v>0.7</v>
      </c>
      <c r="J370" s="545" t="s">
        <v>22</v>
      </c>
      <c r="K370" s="546">
        <v>1.7</v>
      </c>
      <c r="L370" s="717"/>
      <c r="M370" s="527"/>
    </row>
    <row r="371" s="492" customFormat="1" spans="1:13">
      <c r="A371" s="519"/>
      <c r="B371" s="509"/>
      <c r="C371" s="509"/>
      <c r="D371" s="501"/>
      <c r="E371" s="509"/>
      <c r="F371" s="509"/>
      <c r="G371" s="545" t="s">
        <v>148</v>
      </c>
      <c r="H371" s="546">
        <v>1.78</v>
      </c>
      <c r="I371" s="546">
        <v>0.95</v>
      </c>
      <c r="J371" s="545" t="s">
        <v>24</v>
      </c>
      <c r="K371" s="546" t="s">
        <v>24</v>
      </c>
      <c r="L371" s="717"/>
      <c r="M371" s="527"/>
    </row>
    <row r="372" s="492" customFormat="1" spans="1:13">
      <c r="A372" s="519">
        <v>46136</v>
      </c>
      <c r="B372" s="509" t="s">
        <v>251</v>
      </c>
      <c r="C372" s="509" t="s">
        <v>32</v>
      </c>
      <c r="D372" s="501">
        <v>5</v>
      </c>
      <c r="E372" s="509" t="s">
        <v>33</v>
      </c>
      <c r="F372" s="509" t="s">
        <v>39</v>
      </c>
      <c r="G372" s="545" t="s">
        <v>237</v>
      </c>
      <c r="H372" s="546">
        <v>1.07</v>
      </c>
      <c r="I372" s="546">
        <v>3.6</v>
      </c>
      <c r="J372" s="545" t="s">
        <v>17</v>
      </c>
      <c r="K372" s="546">
        <v>1.8</v>
      </c>
      <c r="L372" s="717" t="s">
        <v>41</v>
      </c>
      <c r="M372" s="545"/>
    </row>
    <row r="373" s="492" customFormat="1" spans="1:13">
      <c r="A373" s="519"/>
      <c r="B373" s="509"/>
      <c r="C373" s="509"/>
      <c r="D373" s="501"/>
      <c r="E373" s="509"/>
      <c r="F373" s="509"/>
      <c r="G373" s="545" t="s">
        <v>228</v>
      </c>
      <c r="H373" s="546">
        <v>1.25</v>
      </c>
      <c r="I373" s="546">
        <v>0.8</v>
      </c>
      <c r="J373" s="545" t="s">
        <v>17</v>
      </c>
      <c r="K373" s="546">
        <v>1.84</v>
      </c>
      <c r="L373" s="717"/>
      <c r="M373" s="545"/>
    </row>
    <row r="374" s="492" customFormat="1" spans="1:13">
      <c r="A374" s="519"/>
      <c r="B374" s="509"/>
      <c r="C374" s="509"/>
      <c r="D374" s="501"/>
      <c r="E374" s="509"/>
      <c r="F374" s="509"/>
      <c r="G374" s="545" t="s">
        <v>159</v>
      </c>
      <c r="H374" s="546">
        <v>1.28</v>
      </c>
      <c r="I374" s="546">
        <v>0.17</v>
      </c>
      <c r="J374" s="545" t="s">
        <v>22</v>
      </c>
      <c r="K374" s="546">
        <v>2</v>
      </c>
      <c r="L374" s="717"/>
      <c r="M374" s="545"/>
    </row>
    <row r="375" s="492" customFormat="1" spans="1:13">
      <c r="A375" s="519"/>
      <c r="B375" s="509"/>
      <c r="C375" s="509"/>
      <c r="D375" s="501"/>
      <c r="E375" s="509"/>
      <c r="F375" s="509"/>
      <c r="G375" s="545" t="s">
        <v>160</v>
      </c>
      <c r="H375" s="546">
        <v>1.37</v>
      </c>
      <c r="I375" s="546">
        <v>0.18</v>
      </c>
      <c r="J375" s="545" t="s">
        <v>136</v>
      </c>
      <c r="K375" s="546">
        <v>4.5</v>
      </c>
      <c r="L375" s="717"/>
      <c r="M375" s="545"/>
    </row>
    <row r="376" s="492" customFormat="1" spans="1:13">
      <c r="A376" s="519"/>
      <c r="B376" s="509"/>
      <c r="C376" s="509"/>
      <c r="D376" s="501"/>
      <c r="E376" s="509"/>
      <c r="F376" s="509"/>
      <c r="G376" s="545" t="s">
        <v>148</v>
      </c>
      <c r="H376" s="546">
        <v>1.74</v>
      </c>
      <c r="I376" s="546">
        <v>0.25</v>
      </c>
      <c r="J376" s="545" t="s">
        <v>24</v>
      </c>
      <c r="K376" s="546" t="s">
        <v>24</v>
      </c>
      <c r="L376" s="717"/>
      <c r="M376" s="545"/>
    </row>
    <row r="377" s="492" customFormat="1" spans="1:13">
      <c r="A377" s="519">
        <v>46140</v>
      </c>
      <c r="B377" s="509" t="s">
        <v>252</v>
      </c>
      <c r="C377" s="509" t="s">
        <v>13</v>
      </c>
      <c r="D377" s="501">
        <v>4</v>
      </c>
      <c r="E377" s="509" t="s">
        <v>14</v>
      </c>
      <c r="F377" s="509" t="s">
        <v>15</v>
      </c>
      <c r="G377" s="545" t="s">
        <v>253</v>
      </c>
      <c r="H377" s="546">
        <v>0.99</v>
      </c>
      <c r="I377" s="546">
        <v>3.32</v>
      </c>
      <c r="J377" s="545" t="s">
        <v>17</v>
      </c>
      <c r="K377" s="546">
        <v>1.7</v>
      </c>
      <c r="L377" s="717" t="s">
        <v>27</v>
      </c>
      <c r="M377" s="573" t="s">
        <v>254</v>
      </c>
    </row>
    <row r="378" s="492" customFormat="1" spans="1:13">
      <c r="A378" s="519"/>
      <c r="B378" s="509"/>
      <c r="C378" s="509"/>
      <c r="D378" s="501"/>
      <c r="E378" s="509"/>
      <c r="F378" s="509"/>
      <c r="G378" s="545" t="s">
        <v>159</v>
      </c>
      <c r="H378" s="546">
        <v>1.99</v>
      </c>
      <c r="I378" s="546">
        <v>0.2</v>
      </c>
      <c r="J378" s="545" t="s">
        <v>22</v>
      </c>
      <c r="K378" s="546">
        <v>1.71</v>
      </c>
      <c r="L378" s="717"/>
      <c r="M378" s="545"/>
    </row>
    <row r="379" s="492" customFormat="1" spans="1:13">
      <c r="A379" s="519"/>
      <c r="B379" s="509"/>
      <c r="C379" s="509"/>
      <c r="D379" s="501"/>
      <c r="E379" s="509"/>
      <c r="F379" s="509"/>
      <c r="G379" s="545" t="s">
        <v>148</v>
      </c>
      <c r="H379" s="546">
        <v>2.99</v>
      </c>
      <c r="I379" s="546">
        <v>0.28</v>
      </c>
      <c r="J379" s="545" t="s">
        <v>24</v>
      </c>
      <c r="K379" s="546" t="s">
        <v>24</v>
      </c>
      <c r="L379" s="717"/>
      <c r="M379" s="545"/>
    </row>
    <row r="380" s="492" customFormat="1" spans="1:13">
      <c r="A380" s="519"/>
      <c r="B380" s="509"/>
      <c r="C380" s="509"/>
      <c r="D380" s="501"/>
      <c r="E380" s="509"/>
      <c r="F380" s="509"/>
      <c r="G380" s="545" t="s">
        <v>148</v>
      </c>
      <c r="H380" s="546">
        <v>2.99</v>
      </c>
      <c r="I380" s="546">
        <v>0.2</v>
      </c>
      <c r="J380" s="545" t="s">
        <v>24</v>
      </c>
      <c r="K380" s="546" t="s">
        <v>24</v>
      </c>
      <c r="L380" s="717"/>
      <c r="M380" s="545"/>
    </row>
    <row r="381" s="492" customFormat="1" spans="1:13">
      <c r="A381" s="519">
        <v>46140</v>
      </c>
      <c r="B381" s="509" t="s">
        <v>255</v>
      </c>
      <c r="C381" s="509" t="s">
        <v>13</v>
      </c>
      <c r="D381" s="501">
        <v>5</v>
      </c>
      <c r="E381" s="509" t="s">
        <v>14</v>
      </c>
      <c r="F381" s="509" t="s">
        <v>77</v>
      </c>
      <c r="G381" s="545" t="s">
        <v>158</v>
      </c>
      <c r="H381" s="546">
        <v>1</v>
      </c>
      <c r="I381" s="546">
        <v>4.4</v>
      </c>
      <c r="J381" s="545" t="s">
        <v>17</v>
      </c>
      <c r="K381" s="542">
        <v>1.6</v>
      </c>
      <c r="L381" s="717" t="s">
        <v>86</v>
      </c>
      <c r="M381" s="545" t="s">
        <v>256</v>
      </c>
    </row>
    <row r="382" s="492" customFormat="1" spans="1:13">
      <c r="A382" s="519"/>
      <c r="B382" s="509"/>
      <c r="C382" s="509"/>
      <c r="D382" s="501"/>
      <c r="E382" s="509"/>
      <c r="F382" s="509"/>
      <c r="G382" s="545" t="s">
        <v>159</v>
      </c>
      <c r="H382" s="546">
        <v>1</v>
      </c>
      <c r="I382" s="546">
        <v>0.2</v>
      </c>
      <c r="J382" s="545" t="s">
        <v>22</v>
      </c>
      <c r="K382" s="542">
        <v>1.85</v>
      </c>
      <c r="L382" s="717"/>
      <c r="M382" s="545"/>
    </row>
    <row r="383" s="492" customFormat="1" spans="1:13">
      <c r="A383" s="519"/>
      <c r="B383" s="509"/>
      <c r="C383" s="509"/>
      <c r="D383" s="501"/>
      <c r="E383" s="509"/>
      <c r="F383" s="509"/>
      <c r="G383" s="545" t="s">
        <v>160</v>
      </c>
      <c r="H383" s="546">
        <v>1</v>
      </c>
      <c r="I383" s="546">
        <v>0.15</v>
      </c>
      <c r="J383" s="545" t="s">
        <v>96</v>
      </c>
      <c r="K383" s="542">
        <v>4</v>
      </c>
      <c r="L383" s="717"/>
      <c r="M383" s="545"/>
    </row>
    <row r="384" s="492" customFormat="1" spans="1:13">
      <c r="A384" s="519"/>
      <c r="B384" s="509"/>
      <c r="C384" s="509"/>
      <c r="D384" s="501"/>
      <c r="E384" s="509"/>
      <c r="F384" s="509"/>
      <c r="G384" s="545" t="s">
        <v>148</v>
      </c>
      <c r="H384" s="546">
        <v>3.99</v>
      </c>
      <c r="I384" s="546">
        <v>0.25</v>
      </c>
      <c r="J384" s="545" t="s">
        <v>24</v>
      </c>
      <c r="K384" s="542" t="s">
        <v>24</v>
      </c>
      <c r="L384" s="717"/>
      <c r="M384" s="545"/>
    </row>
    <row r="385" s="492" customFormat="1" spans="1:13">
      <c r="A385" s="519">
        <v>46140</v>
      </c>
      <c r="B385" s="509" t="s">
        <v>257</v>
      </c>
      <c r="C385" s="509" t="s">
        <v>13</v>
      </c>
      <c r="D385" s="501">
        <v>10</v>
      </c>
      <c r="E385" s="509" t="s">
        <v>14</v>
      </c>
      <c r="F385" s="509" t="s">
        <v>15</v>
      </c>
      <c r="G385" s="545" t="s">
        <v>166</v>
      </c>
      <c r="H385" s="546">
        <v>1.05</v>
      </c>
      <c r="I385" s="546">
        <v>8.4</v>
      </c>
      <c r="J385" s="545" t="s">
        <v>17</v>
      </c>
      <c r="K385" s="542">
        <v>1.6</v>
      </c>
      <c r="L385" s="717" t="s">
        <v>18</v>
      </c>
      <c r="M385" s="545" t="s">
        <v>258</v>
      </c>
    </row>
    <row r="386" s="492" customFormat="1" spans="1:13">
      <c r="A386" s="519"/>
      <c r="B386" s="509"/>
      <c r="C386" s="509"/>
      <c r="D386" s="501"/>
      <c r="E386" s="509"/>
      <c r="F386" s="509"/>
      <c r="G386" s="545" t="s">
        <v>167</v>
      </c>
      <c r="H386" s="546">
        <v>1.3</v>
      </c>
      <c r="I386" s="546">
        <v>0.6</v>
      </c>
      <c r="J386" s="545" t="s">
        <v>17</v>
      </c>
      <c r="K386" s="542">
        <v>1.7</v>
      </c>
      <c r="L386" s="717"/>
      <c r="M386" s="545"/>
    </row>
    <row r="387" s="492" customFormat="1" spans="1:13">
      <c r="A387" s="519"/>
      <c r="B387" s="509"/>
      <c r="C387" s="509"/>
      <c r="D387" s="501"/>
      <c r="E387" s="509"/>
      <c r="F387" s="509"/>
      <c r="G387" s="545" t="s">
        <v>159</v>
      </c>
      <c r="H387" s="546">
        <v>1.46</v>
      </c>
      <c r="I387" s="546">
        <v>0.5</v>
      </c>
      <c r="J387" s="545" t="s">
        <v>22</v>
      </c>
      <c r="K387" s="542">
        <v>1.81</v>
      </c>
      <c r="L387" s="717"/>
      <c r="M387" s="545"/>
    </row>
    <row r="388" s="492" customFormat="1" spans="1:13">
      <c r="A388" s="519"/>
      <c r="B388" s="509"/>
      <c r="C388" s="509"/>
      <c r="D388" s="501"/>
      <c r="E388" s="509"/>
      <c r="F388" s="509"/>
      <c r="G388" s="545" t="s">
        <v>148</v>
      </c>
      <c r="H388" s="546">
        <v>2.68</v>
      </c>
      <c r="I388" s="546">
        <v>0.5</v>
      </c>
      <c r="J388" s="545" t="s">
        <v>24</v>
      </c>
      <c r="K388" s="542" t="s">
        <v>24</v>
      </c>
      <c r="L388" s="717"/>
      <c r="M388" s="545"/>
    </row>
    <row r="389" s="492" customFormat="1" spans="1:13">
      <c r="A389" s="519">
        <v>46140</v>
      </c>
      <c r="B389" s="509" t="s">
        <v>259</v>
      </c>
      <c r="C389" s="509" t="s">
        <v>13</v>
      </c>
      <c r="D389" s="501">
        <v>5</v>
      </c>
      <c r="E389" s="509" t="s">
        <v>33</v>
      </c>
      <c r="F389" s="509" t="s">
        <v>39</v>
      </c>
      <c r="G389" s="545" t="s">
        <v>237</v>
      </c>
      <c r="H389" s="546">
        <v>1.08</v>
      </c>
      <c r="I389" s="546">
        <v>3.6</v>
      </c>
      <c r="J389" s="545" t="s">
        <v>17</v>
      </c>
      <c r="K389" s="542">
        <v>1.8</v>
      </c>
      <c r="L389" s="717" t="s">
        <v>41</v>
      </c>
      <c r="M389" s="545"/>
    </row>
    <row r="390" s="492" customFormat="1" spans="1:13">
      <c r="A390" s="519"/>
      <c r="B390" s="509"/>
      <c r="C390" s="509"/>
      <c r="D390" s="501"/>
      <c r="E390" s="509"/>
      <c r="F390" s="509"/>
      <c r="G390" s="545" t="s">
        <v>228</v>
      </c>
      <c r="H390" s="546">
        <v>1.25</v>
      </c>
      <c r="I390" s="546">
        <v>0.75</v>
      </c>
      <c r="J390" s="545" t="s">
        <v>17</v>
      </c>
      <c r="K390" s="546">
        <v>1.8</v>
      </c>
      <c r="L390" s="717"/>
      <c r="M390" s="545"/>
    </row>
    <row r="391" s="492" customFormat="1" spans="1:13">
      <c r="A391" s="519"/>
      <c r="B391" s="509"/>
      <c r="C391" s="509"/>
      <c r="D391" s="501"/>
      <c r="E391" s="509"/>
      <c r="F391" s="509"/>
      <c r="G391" s="545" t="s">
        <v>159</v>
      </c>
      <c r="H391" s="546">
        <v>1.26</v>
      </c>
      <c r="I391" s="546">
        <v>0.2</v>
      </c>
      <c r="J391" s="545" t="s">
        <v>22</v>
      </c>
      <c r="K391" s="546">
        <v>2</v>
      </c>
      <c r="L391" s="717"/>
      <c r="M391" s="545"/>
    </row>
    <row r="392" s="492" customFormat="1" spans="1:13">
      <c r="A392" s="519"/>
      <c r="B392" s="509"/>
      <c r="C392" s="509"/>
      <c r="D392" s="501"/>
      <c r="E392" s="509"/>
      <c r="F392" s="509"/>
      <c r="G392" s="545" t="s">
        <v>160</v>
      </c>
      <c r="H392" s="546">
        <v>1.35</v>
      </c>
      <c r="I392" s="546">
        <v>0.2</v>
      </c>
      <c r="J392" s="545" t="s">
        <v>44</v>
      </c>
      <c r="K392" s="546">
        <v>4.5</v>
      </c>
      <c r="L392" s="717"/>
      <c r="M392" s="545"/>
    </row>
    <row r="393" s="492" customFormat="1" spans="1:13">
      <c r="A393" s="519"/>
      <c r="B393" s="509"/>
      <c r="C393" s="509"/>
      <c r="D393" s="501"/>
      <c r="E393" s="509"/>
      <c r="F393" s="509"/>
      <c r="G393" s="545" t="s">
        <v>148</v>
      </c>
      <c r="H393" s="546">
        <v>1.73</v>
      </c>
      <c r="I393" s="546">
        <v>0.25</v>
      </c>
      <c r="J393" s="545" t="s">
        <v>24</v>
      </c>
      <c r="K393" s="546" t="s">
        <v>24</v>
      </c>
      <c r="L393" s="717"/>
      <c r="M393" s="545"/>
    </row>
    <row r="394" s="492" customFormat="1" spans="1:13">
      <c r="A394" s="519">
        <v>46140</v>
      </c>
      <c r="B394" s="509" t="s">
        <v>260</v>
      </c>
      <c r="C394" s="509" t="s">
        <v>32</v>
      </c>
      <c r="D394" s="501">
        <v>10</v>
      </c>
      <c r="E394" s="509" t="s">
        <v>66</v>
      </c>
      <c r="F394" s="509" t="s">
        <v>59</v>
      </c>
      <c r="G394" s="545" t="s">
        <v>144</v>
      </c>
      <c r="H394" s="546">
        <v>1</v>
      </c>
      <c r="I394" s="546">
        <v>8.9</v>
      </c>
      <c r="J394" s="545" t="s">
        <v>17</v>
      </c>
      <c r="K394" s="546">
        <v>1.57</v>
      </c>
      <c r="L394" s="717" t="s">
        <v>129</v>
      </c>
      <c r="M394" s="545" t="s">
        <v>261</v>
      </c>
    </row>
    <row r="395" s="492" customFormat="1" spans="1:13">
      <c r="A395" s="519"/>
      <c r="B395" s="509"/>
      <c r="C395" s="509"/>
      <c r="D395" s="501"/>
      <c r="E395" s="509"/>
      <c r="F395" s="509"/>
      <c r="G395" s="545" t="s">
        <v>144</v>
      </c>
      <c r="H395" s="546">
        <v>1.17</v>
      </c>
      <c r="I395" s="546">
        <v>0.5</v>
      </c>
      <c r="J395" s="545" t="s">
        <v>22</v>
      </c>
      <c r="K395" s="546">
        <v>1.77</v>
      </c>
      <c r="L395" s="717"/>
      <c r="M395" s="545"/>
    </row>
    <row r="396" s="492" customFormat="1" spans="1:13">
      <c r="A396" s="519"/>
      <c r="B396" s="509"/>
      <c r="C396" s="509"/>
      <c r="D396" s="501"/>
      <c r="E396" s="509"/>
      <c r="F396" s="509"/>
      <c r="G396" s="545" t="s">
        <v>148</v>
      </c>
      <c r="H396" s="546">
        <v>1.75</v>
      </c>
      <c r="I396" s="546">
        <v>0.6</v>
      </c>
      <c r="J396" s="545" t="s">
        <v>24</v>
      </c>
      <c r="K396" s="546" t="s">
        <v>24</v>
      </c>
      <c r="L396" s="717"/>
      <c r="M396" s="545"/>
    </row>
    <row r="397" s="492" customFormat="1" spans="1:13">
      <c r="A397" s="506">
        <v>46141</v>
      </c>
      <c r="B397" s="509" t="s">
        <v>262</v>
      </c>
      <c r="C397" s="507" t="s">
        <v>13</v>
      </c>
      <c r="D397" s="718">
        <v>9.3</v>
      </c>
      <c r="E397" s="507" t="s">
        <v>208</v>
      </c>
      <c r="F397" s="507" t="s">
        <v>59</v>
      </c>
      <c r="G397" s="545" t="s">
        <v>158</v>
      </c>
      <c r="H397" s="546">
        <v>1</v>
      </c>
      <c r="I397" s="546">
        <v>9</v>
      </c>
      <c r="J397" s="545" t="s">
        <v>17</v>
      </c>
      <c r="K397" s="546">
        <v>1.6</v>
      </c>
      <c r="L397" s="717" t="s">
        <v>35</v>
      </c>
      <c r="M397" s="545" t="s">
        <v>196</v>
      </c>
    </row>
    <row r="398" s="492" customFormat="1" spans="1:13">
      <c r="A398" s="516"/>
      <c r="B398" s="509"/>
      <c r="C398" s="517"/>
      <c r="D398" s="719"/>
      <c r="E398" s="517"/>
      <c r="F398" s="517"/>
      <c r="G398" s="545" t="s">
        <v>159</v>
      </c>
      <c r="H398" s="546">
        <v>1</v>
      </c>
      <c r="I398" s="546">
        <v>0.3</v>
      </c>
      <c r="J398" s="545" t="s">
        <v>22</v>
      </c>
      <c r="K398" s="546">
        <v>1.79</v>
      </c>
      <c r="L398" s="717"/>
      <c r="M398" s="545"/>
    </row>
    <row r="399" s="492" customFormat="1" spans="1:13">
      <c r="A399" s="506">
        <v>46141</v>
      </c>
      <c r="B399" s="513" t="s">
        <v>263</v>
      </c>
      <c r="C399" s="507" t="s">
        <v>13</v>
      </c>
      <c r="D399" s="718">
        <v>9.3</v>
      </c>
      <c r="E399" s="507" t="s">
        <v>208</v>
      </c>
      <c r="F399" s="507" t="s">
        <v>77</v>
      </c>
      <c r="G399" s="545" t="s">
        <v>158</v>
      </c>
      <c r="H399" s="542">
        <v>1.08</v>
      </c>
      <c r="I399" s="542">
        <v>9</v>
      </c>
      <c r="J399" s="515" t="s">
        <v>17</v>
      </c>
      <c r="K399" s="546">
        <v>1.6</v>
      </c>
      <c r="L399" s="717" t="s">
        <v>35</v>
      </c>
      <c r="M399" s="545" t="s">
        <v>196</v>
      </c>
    </row>
    <row r="400" s="492" customFormat="1" spans="1:13">
      <c r="A400" s="516"/>
      <c r="B400" s="517"/>
      <c r="C400" s="517"/>
      <c r="D400" s="719"/>
      <c r="E400" s="517"/>
      <c r="F400" s="517"/>
      <c r="G400" s="545" t="s">
        <v>159</v>
      </c>
      <c r="H400" s="546">
        <v>1.08</v>
      </c>
      <c r="I400" s="546">
        <v>0.3</v>
      </c>
      <c r="J400" s="545" t="s">
        <v>22</v>
      </c>
      <c r="K400" s="546">
        <v>1.79</v>
      </c>
      <c r="L400" s="717"/>
      <c r="M400" s="545"/>
    </row>
    <row r="401" s="492" customFormat="1" spans="1:13">
      <c r="A401" s="519">
        <v>46141</v>
      </c>
      <c r="B401" s="509" t="s">
        <v>264</v>
      </c>
      <c r="C401" s="509" t="s">
        <v>32</v>
      </c>
      <c r="D401" s="501">
        <v>10</v>
      </c>
      <c r="E401" s="509" t="s">
        <v>66</v>
      </c>
      <c r="F401" s="509" t="s">
        <v>94</v>
      </c>
      <c r="G401" s="545" t="s">
        <v>158</v>
      </c>
      <c r="H401" s="546">
        <v>0.79</v>
      </c>
      <c r="I401" s="546">
        <v>9</v>
      </c>
      <c r="J401" s="545" t="s">
        <v>17</v>
      </c>
      <c r="K401" s="542">
        <v>1.57</v>
      </c>
      <c r="L401" s="717" t="s">
        <v>74</v>
      </c>
      <c r="M401" s="545"/>
    </row>
    <row r="402" s="492" customFormat="1" spans="1:13">
      <c r="A402" s="519"/>
      <c r="B402" s="509"/>
      <c r="C402" s="509"/>
      <c r="D402" s="501"/>
      <c r="E402" s="509"/>
      <c r="F402" s="509"/>
      <c r="G402" s="545" t="s">
        <v>159</v>
      </c>
      <c r="H402" s="542">
        <v>1.03</v>
      </c>
      <c r="I402" s="542">
        <v>0.3</v>
      </c>
      <c r="J402" s="515" t="s">
        <v>22</v>
      </c>
      <c r="K402" s="542">
        <v>1.8</v>
      </c>
      <c r="L402" s="717"/>
      <c r="M402" s="545"/>
    </row>
    <row r="403" s="492" customFormat="1" spans="1:13">
      <c r="A403" s="519"/>
      <c r="B403" s="509"/>
      <c r="C403" s="509"/>
      <c r="D403" s="501"/>
      <c r="E403" s="509"/>
      <c r="F403" s="509"/>
      <c r="G403" s="545" t="s">
        <v>148</v>
      </c>
      <c r="H403" s="542">
        <v>1.53</v>
      </c>
      <c r="I403" s="542">
        <v>0.7</v>
      </c>
      <c r="J403" s="515" t="s">
        <v>24</v>
      </c>
      <c r="K403" s="542" t="s">
        <v>24</v>
      </c>
      <c r="L403" s="717"/>
      <c r="M403" s="545"/>
    </row>
    <row r="404" s="646" customFormat="1" spans="1:13">
      <c r="A404" s="506">
        <v>46141</v>
      </c>
      <c r="B404" s="507" t="s">
        <v>265</v>
      </c>
      <c r="C404" s="507" t="s">
        <v>13</v>
      </c>
      <c r="D404" s="718">
        <v>5.7</v>
      </c>
      <c r="E404" s="507" t="s">
        <v>33</v>
      </c>
      <c r="F404" s="507" t="s">
        <v>111</v>
      </c>
      <c r="G404" s="565" t="s">
        <v>266</v>
      </c>
      <c r="H404" s="542">
        <v>1.02</v>
      </c>
      <c r="I404" s="542">
        <v>5.37</v>
      </c>
      <c r="J404" s="565" t="s">
        <v>17</v>
      </c>
      <c r="K404" s="542">
        <v>1.58</v>
      </c>
      <c r="L404" s="676" t="s">
        <v>112</v>
      </c>
      <c r="M404" s="565"/>
    </row>
    <row r="405" s="646" customFormat="1" spans="1:13">
      <c r="A405" s="516"/>
      <c r="B405" s="517"/>
      <c r="C405" s="517"/>
      <c r="D405" s="719"/>
      <c r="E405" s="517"/>
      <c r="F405" s="517"/>
      <c r="G405" s="565" t="s">
        <v>159</v>
      </c>
      <c r="H405" s="542">
        <v>1.02</v>
      </c>
      <c r="I405" s="542">
        <v>0.33</v>
      </c>
      <c r="J405" s="515" t="s">
        <v>22</v>
      </c>
      <c r="K405" s="542">
        <v>1.7</v>
      </c>
      <c r="L405" s="676"/>
      <c r="M405" s="565"/>
    </row>
    <row r="406" s="492" customFormat="1" spans="1:13">
      <c r="A406" s="519">
        <v>46142</v>
      </c>
      <c r="B406" s="509" t="s">
        <v>267</v>
      </c>
      <c r="C406" s="509" t="s">
        <v>32</v>
      </c>
      <c r="D406" s="501">
        <v>3</v>
      </c>
      <c r="E406" s="509" t="s">
        <v>14</v>
      </c>
      <c r="F406" s="509" t="s">
        <v>94</v>
      </c>
      <c r="G406" s="545" t="s">
        <v>158</v>
      </c>
      <c r="H406" s="546">
        <v>1.81</v>
      </c>
      <c r="I406" s="546">
        <v>2.52</v>
      </c>
      <c r="J406" s="545" t="s">
        <v>17</v>
      </c>
      <c r="K406" s="546">
        <v>2.6</v>
      </c>
      <c r="L406" s="717" t="s">
        <v>70</v>
      </c>
      <c r="M406" s="545"/>
    </row>
    <row r="407" s="492" customFormat="1" spans="1:13">
      <c r="A407" s="519"/>
      <c r="B407" s="509"/>
      <c r="C407" s="509"/>
      <c r="D407" s="501"/>
      <c r="E407" s="509"/>
      <c r="F407" s="509"/>
      <c r="G407" s="545" t="s">
        <v>159</v>
      </c>
      <c r="H407" s="546">
        <v>1.89</v>
      </c>
      <c r="I407" s="546">
        <v>0.18</v>
      </c>
      <c r="J407" s="545" t="s">
        <v>22</v>
      </c>
      <c r="K407" s="546">
        <v>3</v>
      </c>
      <c r="L407" s="717"/>
      <c r="M407" s="545"/>
    </row>
    <row r="408" s="492" customFormat="1" spans="1:13">
      <c r="A408" s="519"/>
      <c r="B408" s="509"/>
      <c r="C408" s="509"/>
      <c r="D408" s="501"/>
      <c r="E408" s="509"/>
      <c r="F408" s="509"/>
      <c r="G408" s="545" t="s">
        <v>148</v>
      </c>
      <c r="H408" s="546">
        <v>2.65</v>
      </c>
      <c r="I408" s="546">
        <v>0.3</v>
      </c>
      <c r="J408" s="545" t="s">
        <v>24</v>
      </c>
      <c r="K408" s="546" t="s">
        <v>24</v>
      </c>
      <c r="L408" s="717"/>
      <c r="M408" s="545"/>
    </row>
    <row r="409" s="492" customFormat="1" spans="1:13">
      <c r="A409" s="519">
        <v>46142</v>
      </c>
      <c r="B409" s="509" t="s">
        <v>268</v>
      </c>
      <c r="C409" s="509" t="s">
        <v>13</v>
      </c>
      <c r="D409" s="501">
        <v>10</v>
      </c>
      <c r="E409" s="509" t="s">
        <v>109</v>
      </c>
      <c r="F409" s="509" t="s">
        <v>59</v>
      </c>
      <c r="G409" s="545" t="s">
        <v>158</v>
      </c>
      <c r="H409" s="546">
        <v>1.08</v>
      </c>
      <c r="I409" s="546">
        <v>8.3</v>
      </c>
      <c r="J409" s="545" t="s">
        <v>17</v>
      </c>
      <c r="K409" s="546">
        <v>1.7</v>
      </c>
      <c r="L409" s="717" t="s">
        <v>35</v>
      </c>
      <c r="M409" s="545" t="s">
        <v>269</v>
      </c>
    </row>
    <row r="410" s="492" customFormat="1" spans="1:13">
      <c r="A410" s="519"/>
      <c r="B410" s="509"/>
      <c r="C410" s="509"/>
      <c r="D410" s="501"/>
      <c r="E410" s="509"/>
      <c r="F410" s="509"/>
      <c r="G410" s="545" t="s">
        <v>159</v>
      </c>
      <c r="H410" s="546">
        <v>1.08</v>
      </c>
      <c r="I410" s="546">
        <v>0.5</v>
      </c>
      <c r="J410" s="545" t="s">
        <v>22</v>
      </c>
      <c r="K410" s="546">
        <v>1.85</v>
      </c>
      <c r="L410" s="717"/>
      <c r="M410" s="545"/>
    </row>
    <row r="411" s="492" customFormat="1" spans="1:13">
      <c r="A411" s="519"/>
      <c r="B411" s="509"/>
      <c r="C411" s="509"/>
      <c r="D411" s="501"/>
      <c r="E411" s="509"/>
      <c r="F411" s="509"/>
      <c r="G411" s="545" t="s">
        <v>175</v>
      </c>
      <c r="H411" s="546">
        <v>1.74</v>
      </c>
      <c r="I411" s="546">
        <v>0.7</v>
      </c>
      <c r="J411" s="545" t="s">
        <v>100</v>
      </c>
      <c r="K411" s="546">
        <v>3.1</v>
      </c>
      <c r="L411" s="717"/>
      <c r="M411" s="545"/>
    </row>
    <row r="412" s="492" customFormat="1" spans="1:13">
      <c r="A412" s="519"/>
      <c r="B412" s="509"/>
      <c r="C412" s="509"/>
      <c r="D412" s="501"/>
      <c r="E412" s="509"/>
      <c r="F412" s="509"/>
      <c r="G412" s="545" t="s">
        <v>148</v>
      </c>
      <c r="H412" s="546">
        <v>1.74</v>
      </c>
      <c r="I412" s="546">
        <v>0.5</v>
      </c>
      <c r="J412" s="545" t="s">
        <v>24</v>
      </c>
      <c r="K412" s="546" t="s">
        <v>24</v>
      </c>
      <c r="L412" s="717"/>
      <c r="M412" s="545"/>
    </row>
    <row r="413" s="492" customFormat="1" spans="1:13">
      <c r="A413" s="519">
        <v>46142</v>
      </c>
      <c r="B413" s="509" t="s">
        <v>270</v>
      </c>
      <c r="C413" s="509" t="s">
        <v>32</v>
      </c>
      <c r="D413" s="501">
        <v>8</v>
      </c>
      <c r="E413" s="509" t="s">
        <v>109</v>
      </c>
      <c r="F413" s="509" t="s">
        <v>15</v>
      </c>
      <c r="G413" s="545" t="s">
        <v>144</v>
      </c>
      <c r="H413" s="546">
        <v>1.08</v>
      </c>
      <c r="I413" s="546">
        <v>7.2</v>
      </c>
      <c r="J413" s="545" t="s">
        <v>17</v>
      </c>
      <c r="K413" s="546">
        <v>1.75</v>
      </c>
      <c r="L413" s="717" t="s">
        <v>35</v>
      </c>
      <c r="M413" s="545" t="s">
        <v>271</v>
      </c>
    </row>
    <row r="414" s="492" customFormat="1" spans="1:13">
      <c r="A414" s="519"/>
      <c r="B414" s="509"/>
      <c r="C414" s="509"/>
      <c r="D414" s="501"/>
      <c r="E414" s="509"/>
      <c r="F414" s="509"/>
      <c r="G414" s="545" t="s">
        <v>175</v>
      </c>
      <c r="H414" s="546">
        <v>1.99</v>
      </c>
      <c r="I414" s="546">
        <v>0.4</v>
      </c>
      <c r="J414" s="545" t="s">
        <v>64</v>
      </c>
      <c r="K414" s="546">
        <v>3.1</v>
      </c>
      <c r="L414" s="717"/>
      <c r="M414" s="545"/>
    </row>
    <row r="415" s="492" customFormat="1" spans="1:13">
      <c r="A415" s="519"/>
      <c r="B415" s="509"/>
      <c r="C415" s="509"/>
      <c r="D415" s="501"/>
      <c r="E415" s="509"/>
      <c r="F415" s="509"/>
      <c r="G415" s="545" t="s">
        <v>148</v>
      </c>
      <c r="H415" s="546">
        <v>1.99</v>
      </c>
      <c r="I415" s="546">
        <v>0.4</v>
      </c>
      <c r="J415" s="545" t="s">
        <v>24</v>
      </c>
      <c r="K415" s="546" t="s">
        <v>24</v>
      </c>
      <c r="L415" s="717"/>
      <c r="M415" s="545"/>
    </row>
    <row r="416" s="492" customFormat="1" spans="1:13">
      <c r="A416" s="506">
        <v>46142</v>
      </c>
      <c r="B416" s="507" t="s">
        <v>272</v>
      </c>
      <c r="C416" s="507" t="s">
        <v>13</v>
      </c>
      <c r="D416" s="718">
        <v>9.3</v>
      </c>
      <c r="E416" s="507" t="s">
        <v>208</v>
      </c>
      <c r="F416" s="507" t="s">
        <v>77</v>
      </c>
      <c r="G416" s="545" t="s">
        <v>158</v>
      </c>
      <c r="H416" s="546">
        <v>1</v>
      </c>
      <c r="I416" s="546">
        <v>9</v>
      </c>
      <c r="J416" s="545" t="s">
        <v>17</v>
      </c>
      <c r="K416" s="546">
        <v>1.6</v>
      </c>
      <c r="L416" s="717" t="s">
        <v>35</v>
      </c>
      <c r="M416" s="545" t="s">
        <v>196</v>
      </c>
    </row>
    <row r="417" s="492" customFormat="1" spans="1:13">
      <c r="A417" s="516"/>
      <c r="B417" s="517"/>
      <c r="C417" s="517"/>
      <c r="D417" s="719"/>
      <c r="E417" s="517"/>
      <c r="F417" s="517"/>
      <c r="G417" s="545" t="s">
        <v>159</v>
      </c>
      <c r="H417" s="546">
        <v>1</v>
      </c>
      <c r="I417" s="546">
        <v>0.3</v>
      </c>
      <c r="J417" s="545" t="s">
        <v>22</v>
      </c>
      <c r="K417" s="546">
        <v>1.78</v>
      </c>
      <c r="L417" s="717"/>
      <c r="M417" s="545"/>
    </row>
    <row r="418" s="492" customFormat="1" spans="1:13">
      <c r="A418" s="695">
        <v>46142</v>
      </c>
      <c r="B418" s="565" t="s">
        <v>273</v>
      </c>
      <c r="C418" s="565" t="s">
        <v>274</v>
      </c>
      <c r="D418" s="542">
        <v>10</v>
      </c>
      <c r="E418" s="565" t="s">
        <v>275</v>
      </c>
      <c r="F418" s="565" t="s">
        <v>276</v>
      </c>
      <c r="G418" s="545" t="s">
        <v>158</v>
      </c>
      <c r="H418" s="546">
        <v>1</v>
      </c>
      <c r="I418" s="546">
        <v>9</v>
      </c>
      <c r="J418" s="545" t="s">
        <v>17</v>
      </c>
      <c r="K418" s="546">
        <v>1.6</v>
      </c>
      <c r="L418" s="716" t="s">
        <v>35</v>
      </c>
      <c r="M418" s="545" t="s">
        <v>277</v>
      </c>
    </row>
    <row r="419" s="492" customFormat="1" spans="1:13">
      <c r="A419" s="695"/>
      <c r="B419" s="565"/>
      <c r="C419" s="565"/>
      <c r="D419" s="542"/>
      <c r="E419" s="565"/>
      <c r="F419" s="565"/>
      <c r="G419" s="545" t="s">
        <v>159</v>
      </c>
      <c r="H419" s="546">
        <v>1</v>
      </c>
      <c r="I419" s="546">
        <v>0.2</v>
      </c>
      <c r="J419" s="545" t="s">
        <v>22</v>
      </c>
      <c r="K419" s="546">
        <v>1.75</v>
      </c>
      <c r="L419" s="716"/>
      <c r="M419" s="545"/>
    </row>
    <row r="420" s="492" customFormat="1" spans="1:13">
      <c r="A420" s="695"/>
      <c r="B420" s="565"/>
      <c r="C420" s="565"/>
      <c r="D420" s="542"/>
      <c r="E420" s="565"/>
      <c r="F420" s="565"/>
      <c r="G420" s="545" t="s">
        <v>160</v>
      </c>
      <c r="H420" s="546">
        <v>1</v>
      </c>
      <c r="I420" s="546">
        <v>0.3</v>
      </c>
      <c r="J420" s="545" t="s">
        <v>96</v>
      </c>
      <c r="K420" s="546">
        <v>3.1</v>
      </c>
      <c r="L420" s="716"/>
      <c r="M420" s="545"/>
    </row>
    <row r="421" s="492" customFormat="1" spans="1:13">
      <c r="A421" s="695"/>
      <c r="B421" s="565"/>
      <c r="C421" s="565"/>
      <c r="D421" s="542"/>
      <c r="E421" s="565"/>
      <c r="F421" s="565"/>
      <c r="G421" s="545" t="s">
        <v>148</v>
      </c>
      <c r="H421" s="546">
        <v>2.92</v>
      </c>
      <c r="I421" s="546">
        <v>0.5</v>
      </c>
      <c r="J421" s="545" t="s">
        <v>24</v>
      </c>
      <c r="K421" s="546" t="s">
        <v>24</v>
      </c>
      <c r="L421" s="716"/>
      <c r="M421" s="545"/>
    </row>
    <row r="422" s="492" customFormat="1" spans="1:13">
      <c r="A422" s="695">
        <v>46154</v>
      </c>
      <c r="B422" s="565" t="s">
        <v>278</v>
      </c>
      <c r="C422" s="565" t="s">
        <v>224</v>
      </c>
      <c r="D422" s="542">
        <v>4</v>
      </c>
      <c r="E422" s="565" t="s">
        <v>279</v>
      </c>
      <c r="F422" s="565" t="s">
        <v>280</v>
      </c>
      <c r="G422" s="545" t="s">
        <v>158</v>
      </c>
      <c r="H422" s="546">
        <v>0.82</v>
      </c>
      <c r="I422" s="546">
        <v>3.58</v>
      </c>
      <c r="J422" s="545" t="s">
        <v>17</v>
      </c>
      <c r="K422" s="546">
        <v>1.58</v>
      </c>
      <c r="L422" s="716" t="s">
        <v>112</v>
      </c>
      <c r="M422" s="545"/>
    </row>
    <row r="423" s="492" customFormat="1" spans="1:13">
      <c r="A423" s="695"/>
      <c r="B423" s="565"/>
      <c r="C423" s="565"/>
      <c r="D423" s="542"/>
      <c r="E423" s="565"/>
      <c r="F423" s="565"/>
      <c r="G423" s="545" t="s">
        <v>159</v>
      </c>
      <c r="H423" s="546">
        <v>0.82</v>
      </c>
      <c r="I423" s="546">
        <v>0.22</v>
      </c>
      <c r="J423" s="545" t="s">
        <v>22</v>
      </c>
      <c r="K423" s="546">
        <v>1.7</v>
      </c>
      <c r="L423" s="716"/>
      <c r="M423" s="545"/>
    </row>
    <row r="424" s="492" customFormat="1" spans="1:13">
      <c r="A424" s="695"/>
      <c r="B424" s="565"/>
      <c r="C424" s="565"/>
      <c r="D424" s="542"/>
      <c r="E424" s="565"/>
      <c r="F424" s="565"/>
      <c r="G424" s="545" t="s">
        <v>113</v>
      </c>
      <c r="H424" s="546">
        <v>3.07</v>
      </c>
      <c r="I424" s="546">
        <v>0.08</v>
      </c>
      <c r="J424" s="545" t="s">
        <v>24</v>
      </c>
      <c r="K424" s="546" t="s">
        <v>24</v>
      </c>
      <c r="L424" s="716"/>
      <c r="M424" s="545"/>
    </row>
    <row r="425" s="492" customFormat="1" spans="1:13">
      <c r="A425" s="695"/>
      <c r="B425" s="565"/>
      <c r="C425" s="565"/>
      <c r="D425" s="542"/>
      <c r="E425" s="565"/>
      <c r="F425" s="565"/>
      <c r="G425" s="545" t="s">
        <v>114</v>
      </c>
      <c r="H425" s="546">
        <v>3.07</v>
      </c>
      <c r="I425" s="546">
        <v>0.12</v>
      </c>
      <c r="J425" s="545" t="s">
        <v>24</v>
      </c>
      <c r="K425" s="546" t="s">
        <v>24</v>
      </c>
      <c r="L425" s="716"/>
      <c r="M425" s="545"/>
    </row>
    <row r="426" s="492" customFormat="1" spans="1:13">
      <c r="A426" s="695">
        <v>46154</v>
      </c>
      <c r="B426" s="565" t="s">
        <v>281</v>
      </c>
      <c r="C426" s="565" t="s">
        <v>274</v>
      </c>
      <c r="D426" s="542">
        <v>10</v>
      </c>
      <c r="E426" s="565" t="s">
        <v>282</v>
      </c>
      <c r="F426" s="565" t="s">
        <v>283</v>
      </c>
      <c r="G426" s="545" t="s">
        <v>158</v>
      </c>
      <c r="H426" s="546">
        <v>1</v>
      </c>
      <c r="I426" s="546">
        <v>9</v>
      </c>
      <c r="J426" s="545" t="s">
        <v>17</v>
      </c>
      <c r="K426" s="546">
        <v>1.65</v>
      </c>
      <c r="L426" s="716" t="s">
        <v>35</v>
      </c>
      <c r="M426" s="509" t="s">
        <v>36</v>
      </c>
    </row>
    <row r="427" s="492" customFormat="1" spans="1:13">
      <c r="A427" s="695"/>
      <c r="B427" s="565"/>
      <c r="C427" s="565"/>
      <c r="D427" s="542"/>
      <c r="E427" s="565"/>
      <c r="F427" s="565"/>
      <c r="G427" s="545" t="s">
        <v>159</v>
      </c>
      <c r="H427" s="546">
        <v>1</v>
      </c>
      <c r="I427" s="546">
        <v>0.3</v>
      </c>
      <c r="J427" s="545" t="s">
        <v>22</v>
      </c>
      <c r="K427" s="546">
        <v>1.85</v>
      </c>
      <c r="L427" s="716"/>
      <c r="M427" s="509"/>
    </row>
    <row r="428" s="492" customFormat="1" spans="1:13">
      <c r="A428" s="695"/>
      <c r="B428" s="565"/>
      <c r="C428" s="565"/>
      <c r="D428" s="542"/>
      <c r="E428" s="565"/>
      <c r="F428" s="565"/>
      <c r="G428" s="545" t="s">
        <v>160</v>
      </c>
      <c r="H428" s="546">
        <v>1.08</v>
      </c>
      <c r="I428" s="546">
        <v>0.2</v>
      </c>
      <c r="J428" s="545" t="s">
        <v>64</v>
      </c>
      <c r="K428" s="546">
        <v>3.1</v>
      </c>
      <c r="L428" s="716"/>
      <c r="M428" s="509"/>
    </row>
    <row r="429" s="492" customFormat="1" spans="1:13">
      <c r="A429" s="695"/>
      <c r="B429" s="565"/>
      <c r="C429" s="565"/>
      <c r="D429" s="542"/>
      <c r="E429" s="565"/>
      <c r="F429" s="565"/>
      <c r="G429" s="545" t="s">
        <v>148</v>
      </c>
      <c r="H429" s="546">
        <v>2</v>
      </c>
      <c r="I429" s="546">
        <v>0.5</v>
      </c>
      <c r="J429" s="545" t="s">
        <v>24</v>
      </c>
      <c r="K429" s="546" t="s">
        <v>24</v>
      </c>
      <c r="L429" s="716"/>
      <c r="M429" s="509"/>
    </row>
    <row r="430" s="492" customFormat="1" spans="1:13">
      <c r="A430" s="695">
        <v>46154</v>
      </c>
      <c r="B430" s="565" t="s">
        <v>284</v>
      </c>
      <c r="C430" s="565" t="s">
        <v>274</v>
      </c>
      <c r="D430" s="542">
        <v>10</v>
      </c>
      <c r="E430" s="565" t="s">
        <v>282</v>
      </c>
      <c r="F430" s="565" t="s">
        <v>285</v>
      </c>
      <c r="G430" s="545" t="s">
        <v>158</v>
      </c>
      <c r="H430" s="546">
        <v>1</v>
      </c>
      <c r="I430" s="546">
        <v>9</v>
      </c>
      <c r="J430" s="545" t="s">
        <v>17</v>
      </c>
      <c r="K430" s="546">
        <v>1.62</v>
      </c>
      <c r="L430" s="716" t="s">
        <v>35</v>
      </c>
      <c r="M430" s="509" t="s">
        <v>36</v>
      </c>
    </row>
    <row r="431" s="492" customFormat="1" spans="1:13">
      <c r="A431" s="695"/>
      <c r="B431" s="565"/>
      <c r="C431" s="565"/>
      <c r="D431" s="542"/>
      <c r="E431" s="565"/>
      <c r="F431" s="565"/>
      <c r="G431" s="545" t="s">
        <v>159</v>
      </c>
      <c r="H431" s="546">
        <v>1</v>
      </c>
      <c r="I431" s="546">
        <v>0.2</v>
      </c>
      <c r="J431" s="545" t="s">
        <v>22</v>
      </c>
      <c r="K431" s="546">
        <v>1.85</v>
      </c>
      <c r="L431" s="716"/>
      <c r="M431" s="509"/>
    </row>
    <row r="432" s="492" customFormat="1" spans="1:13">
      <c r="A432" s="695"/>
      <c r="B432" s="565"/>
      <c r="C432" s="565"/>
      <c r="D432" s="542"/>
      <c r="E432" s="565"/>
      <c r="F432" s="565"/>
      <c r="G432" s="545" t="s">
        <v>160</v>
      </c>
      <c r="H432" s="546">
        <v>1.08</v>
      </c>
      <c r="I432" s="546">
        <v>0.3</v>
      </c>
      <c r="J432" s="545" t="s">
        <v>64</v>
      </c>
      <c r="K432" s="546">
        <v>3.1</v>
      </c>
      <c r="L432" s="716"/>
      <c r="M432" s="509"/>
    </row>
    <row r="433" s="492" customFormat="1" spans="1:13">
      <c r="A433" s="700"/>
      <c r="B433" s="566"/>
      <c r="C433" s="566"/>
      <c r="D433" s="574"/>
      <c r="E433" s="566"/>
      <c r="F433" s="566"/>
      <c r="G433" s="559" t="s">
        <v>148</v>
      </c>
      <c r="H433" s="546">
        <v>2</v>
      </c>
      <c r="I433" s="560">
        <v>0.5</v>
      </c>
      <c r="J433" s="545" t="s">
        <v>24</v>
      </c>
      <c r="K433" s="546" t="s">
        <v>24</v>
      </c>
      <c r="L433" s="720"/>
      <c r="M433" s="509"/>
    </row>
    <row r="434" s="492" customFormat="1" spans="1:13">
      <c r="A434" s="695">
        <v>46155</v>
      </c>
      <c r="B434" s="565" t="s">
        <v>286</v>
      </c>
      <c r="C434" s="565" t="s">
        <v>274</v>
      </c>
      <c r="D434" s="542">
        <v>9.3</v>
      </c>
      <c r="E434" s="565" t="s">
        <v>282</v>
      </c>
      <c r="F434" s="565" t="s">
        <v>287</v>
      </c>
      <c r="G434" s="545" t="s">
        <v>158</v>
      </c>
      <c r="H434" s="546">
        <v>1</v>
      </c>
      <c r="I434" s="546">
        <v>9</v>
      </c>
      <c r="J434" s="545" t="s">
        <v>17</v>
      </c>
      <c r="K434" s="546">
        <v>1.65</v>
      </c>
      <c r="L434" s="720" t="s">
        <v>35</v>
      </c>
      <c r="M434" s="545" t="s">
        <v>196</v>
      </c>
    </row>
    <row r="435" s="492" customFormat="1" spans="1:13">
      <c r="A435" s="695"/>
      <c r="B435" s="565"/>
      <c r="C435" s="565"/>
      <c r="D435" s="542"/>
      <c r="E435" s="565"/>
      <c r="F435" s="565"/>
      <c r="G435" s="545" t="s">
        <v>159</v>
      </c>
      <c r="H435" s="546">
        <v>1</v>
      </c>
      <c r="I435" s="546">
        <v>0.3</v>
      </c>
      <c r="J435" s="545" t="s">
        <v>22</v>
      </c>
      <c r="K435" s="546">
        <v>1.85</v>
      </c>
      <c r="L435" s="721"/>
      <c r="M435" s="545"/>
    </row>
    <row r="436" s="492" customFormat="1" spans="1:13">
      <c r="A436" s="695">
        <v>46155</v>
      </c>
      <c r="B436" s="565" t="s">
        <v>288</v>
      </c>
      <c r="C436" s="565" t="s">
        <v>274</v>
      </c>
      <c r="D436" s="542">
        <v>9.3</v>
      </c>
      <c r="E436" s="565" t="s">
        <v>282</v>
      </c>
      <c r="F436" s="565" t="s">
        <v>289</v>
      </c>
      <c r="G436" s="545" t="s">
        <v>158</v>
      </c>
      <c r="H436" s="546">
        <v>1</v>
      </c>
      <c r="I436" s="546">
        <v>9</v>
      </c>
      <c r="J436" s="545" t="s">
        <v>17</v>
      </c>
      <c r="K436" s="546">
        <v>1.65</v>
      </c>
      <c r="L436" s="716" t="s">
        <v>35</v>
      </c>
      <c r="M436" s="545" t="s">
        <v>196</v>
      </c>
    </row>
    <row r="437" s="492" customFormat="1" spans="1:13">
      <c r="A437" s="695"/>
      <c r="B437" s="565"/>
      <c r="C437" s="565"/>
      <c r="D437" s="542"/>
      <c r="E437" s="565"/>
      <c r="F437" s="565"/>
      <c r="G437" s="545" t="s">
        <v>159</v>
      </c>
      <c r="H437" s="546">
        <v>1</v>
      </c>
      <c r="I437" s="546">
        <v>0.3</v>
      </c>
      <c r="J437" s="545" t="s">
        <v>22</v>
      </c>
      <c r="K437" s="546">
        <v>1.85</v>
      </c>
      <c r="L437" s="716"/>
      <c r="M437" s="545"/>
    </row>
    <row r="438" s="492" customFormat="1" spans="1:13">
      <c r="A438" s="722">
        <v>46156</v>
      </c>
      <c r="B438" s="723" t="s">
        <v>290</v>
      </c>
      <c r="C438" s="723" t="s">
        <v>291</v>
      </c>
      <c r="D438" s="724">
        <v>8</v>
      </c>
      <c r="E438" s="723" t="s">
        <v>292</v>
      </c>
      <c r="F438" s="723" t="s">
        <v>293</v>
      </c>
      <c r="G438" s="545" t="s">
        <v>158</v>
      </c>
      <c r="H438" s="546">
        <v>2</v>
      </c>
      <c r="I438" s="546">
        <v>6.768</v>
      </c>
      <c r="J438" s="545" t="s">
        <v>17</v>
      </c>
      <c r="K438" s="546">
        <v>2.18</v>
      </c>
      <c r="L438" s="720" t="s">
        <v>67</v>
      </c>
      <c r="M438" s="559"/>
    </row>
    <row r="439" s="492" customFormat="1" spans="1:13">
      <c r="A439" s="725"/>
      <c r="B439" s="726"/>
      <c r="C439" s="726"/>
      <c r="D439" s="727"/>
      <c r="E439" s="726"/>
      <c r="F439" s="726"/>
      <c r="G439" s="545" t="s">
        <v>159</v>
      </c>
      <c r="H439" s="546">
        <v>2</v>
      </c>
      <c r="I439" s="546">
        <v>0.32</v>
      </c>
      <c r="J439" s="545" t="s">
        <v>22</v>
      </c>
      <c r="K439" s="546">
        <v>2.5</v>
      </c>
      <c r="L439" s="728"/>
      <c r="M439" s="569"/>
    </row>
    <row r="440" s="492" customFormat="1" spans="1:13">
      <c r="A440" s="725"/>
      <c r="B440" s="726"/>
      <c r="C440" s="726"/>
      <c r="D440" s="727"/>
      <c r="E440" s="726"/>
      <c r="F440" s="726"/>
      <c r="G440" s="545" t="s">
        <v>160</v>
      </c>
      <c r="H440" s="546">
        <v>2</v>
      </c>
      <c r="I440" s="546">
        <v>0.352</v>
      </c>
      <c r="J440" s="515" t="s">
        <v>44</v>
      </c>
      <c r="K440" s="546">
        <v>4</v>
      </c>
      <c r="L440" s="728"/>
      <c r="M440" s="569"/>
    </row>
    <row r="441" s="492" customFormat="1" spans="1:13">
      <c r="A441" s="729"/>
      <c r="B441" s="730"/>
      <c r="C441" s="730"/>
      <c r="D441" s="731"/>
      <c r="E441" s="730"/>
      <c r="F441" s="730"/>
      <c r="G441" s="559" t="s">
        <v>148</v>
      </c>
      <c r="H441" s="546">
        <v>2</v>
      </c>
      <c r="I441" s="546">
        <v>0.56</v>
      </c>
      <c r="J441" s="732" t="s">
        <v>24</v>
      </c>
      <c r="K441" s="546" t="s">
        <v>24</v>
      </c>
      <c r="L441" s="721"/>
      <c r="M441" s="570"/>
    </row>
    <row r="442" s="492" customFormat="1" spans="1:13">
      <c r="A442" s="695">
        <v>46156</v>
      </c>
      <c r="B442" s="565" t="s">
        <v>294</v>
      </c>
      <c r="C442" s="565" t="s">
        <v>274</v>
      </c>
      <c r="D442" s="542">
        <v>2</v>
      </c>
      <c r="E442" s="565" t="s">
        <v>295</v>
      </c>
      <c r="F442" s="565" t="s">
        <v>285</v>
      </c>
      <c r="G442" s="545" t="s">
        <v>158</v>
      </c>
      <c r="H442" s="546">
        <v>0.73</v>
      </c>
      <c r="I442" s="546">
        <v>1.8</v>
      </c>
      <c r="J442" s="545" t="s">
        <v>17</v>
      </c>
      <c r="K442" s="546">
        <v>1.54</v>
      </c>
      <c r="L442" s="716" t="s">
        <v>112</v>
      </c>
      <c r="M442" s="545"/>
    </row>
    <row r="443" s="492" customFormat="1" spans="1:13">
      <c r="A443" s="695"/>
      <c r="B443" s="565"/>
      <c r="C443" s="565"/>
      <c r="D443" s="542"/>
      <c r="E443" s="565"/>
      <c r="F443" s="565"/>
      <c r="G443" s="545" t="s">
        <v>159</v>
      </c>
      <c r="H443" s="546">
        <v>0.73</v>
      </c>
      <c r="I443" s="546">
        <v>0.1</v>
      </c>
      <c r="J443" s="545" t="s">
        <v>22</v>
      </c>
      <c r="K443" s="546">
        <v>1.7</v>
      </c>
      <c r="L443" s="716"/>
      <c r="M443" s="545"/>
    </row>
    <row r="444" s="492" customFormat="1" spans="1:13">
      <c r="A444" s="695"/>
      <c r="B444" s="565"/>
      <c r="C444" s="565"/>
      <c r="D444" s="542"/>
      <c r="E444" s="565"/>
      <c r="F444" s="565"/>
      <c r="G444" s="545" t="s">
        <v>113</v>
      </c>
      <c r="H444" s="546">
        <v>3.05</v>
      </c>
      <c r="I444" s="546">
        <v>0.04</v>
      </c>
      <c r="J444" s="545" t="s">
        <v>24</v>
      </c>
      <c r="K444" s="546" t="s">
        <v>24</v>
      </c>
      <c r="L444" s="716"/>
      <c r="M444" s="545"/>
    </row>
    <row r="445" s="492" customFormat="1" spans="1:13">
      <c r="A445" s="695"/>
      <c r="B445" s="565"/>
      <c r="C445" s="565"/>
      <c r="D445" s="542"/>
      <c r="E445" s="565"/>
      <c r="F445" s="565"/>
      <c r="G445" s="545" t="s">
        <v>114</v>
      </c>
      <c r="H445" s="546">
        <v>3.05</v>
      </c>
      <c r="I445" s="546">
        <v>0.06</v>
      </c>
      <c r="J445" s="545" t="s">
        <v>24</v>
      </c>
      <c r="K445" s="546" t="s">
        <v>24</v>
      </c>
      <c r="L445" s="716"/>
      <c r="M445" s="545"/>
    </row>
    <row r="446" s="492" customFormat="1" spans="1:13">
      <c r="A446" s="540">
        <v>46156</v>
      </c>
      <c r="B446" s="515" t="s">
        <v>296</v>
      </c>
      <c r="C446" s="515" t="s">
        <v>32</v>
      </c>
      <c r="D446" s="541">
        <v>10</v>
      </c>
      <c r="E446" s="515" t="s">
        <v>85</v>
      </c>
      <c r="F446" s="515" t="s">
        <v>14</v>
      </c>
      <c r="G446" s="515" t="s">
        <v>220</v>
      </c>
      <c r="H446" s="541">
        <v>0.99</v>
      </c>
      <c r="I446" s="541">
        <v>3</v>
      </c>
      <c r="J446" s="515" t="s">
        <v>17</v>
      </c>
      <c r="K446" s="541">
        <v>1.58</v>
      </c>
      <c r="L446" s="690" t="s">
        <v>86</v>
      </c>
      <c r="M446" s="515" t="s">
        <v>95</v>
      </c>
    </row>
    <row r="447" s="492" customFormat="1" spans="1:13">
      <c r="A447" s="540"/>
      <c r="B447" s="515"/>
      <c r="C447" s="515"/>
      <c r="D447" s="541"/>
      <c r="E447" s="515"/>
      <c r="F447" s="515"/>
      <c r="G447" s="515" t="s">
        <v>221</v>
      </c>
      <c r="H447" s="541">
        <v>0.99</v>
      </c>
      <c r="I447" s="541">
        <v>5.8</v>
      </c>
      <c r="J447" s="515" t="s">
        <v>17</v>
      </c>
      <c r="K447" s="541">
        <v>1.6</v>
      </c>
      <c r="L447" s="690"/>
      <c r="M447" s="515"/>
    </row>
    <row r="448" s="492" customFormat="1" spans="1:13">
      <c r="A448" s="540"/>
      <c r="B448" s="515"/>
      <c r="C448" s="515"/>
      <c r="D448" s="541"/>
      <c r="E448" s="515"/>
      <c r="F448" s="515"/>
      <c r="G448" s="515" t="s">
        <v>75</v>
      </c>
      <c r="H448" s="541">
        <v>0.99</v>
      </c>
      <c r="I448" s="541">
        <v>0.4</v>
      </c>
      <c r="J448" s="515" t="s">
        <v>22</v>
      </c>
      <c r="K448" s="541">
        <v>1.85</v>
      </c>
      <c r="L448" s="690"/>
      <c r="M448" s="515"/>
    </row>
    <row r="449" s="492" customFormat="1" spans="1:13">
      <c r="A449" s="540"/>
      <c r="B449" s="515"/>
      <c r="C449" s="515"/>
      <c r="D449" s="541"/>
      <c r="E449" s="515"/>
      <c r="F449" s="515"/>
      <c r="G449" s="515" t="s">
        <v>90</v>
      </c>
      <c r="H449" s="541">
        <v>0.99</v>
      </c>
      <c r="I449" s="541">
        <v>0.3</v>
      </c>
      <c r="J449" s="515" t="s">
        <v>96</v>
      </c>
      <c r="K449" s="541">
        <v>4</v>
      </c>
      <c r="L449" s="690"/>
      <c r="M449" s="515"/>
    </row>
    <row r="450" s="492" customFormat="1" spans="1:13">
      <c r="A450" s="540"/>
      <c r="B450" s="515"/>
      <c r="C450" s="515"/>
      <c r="D450" s="541"/>
      <c r="E450" s="515"/>
      <c r="F450" s="515"/>
      <c r="G450" s="515" t="s">
        <v>91</v>
      </c>
      <c r="H450" s="541">
        <v>2.76</v>
      </c>
      <c r="I450" s="541">
        <v>0.5</v>
      </c>
      <c r="J450" s="515" t="s">
        <v>24</v>
      </c>
      <c r="K450" s="541" t="s">
        <v>24</v>
      </c>
      <c r="L450" s="690"/>
      <c r="M450" s="515"/>
    </row>
    <row r="451" s="492" customFormat="1" spans="1:13">
      <c r="A451" s="540">
        <v>46156</v>
      </c>
      <c r="B451" s="515" t="s">
        <v>297</v>
      </c>
      <c r="C451" s="515" t="s">
        <v>13</v>
      </c>
      <c r="D451" s="541">
        <v>15</v>
      </c>
      <c r="E451" s="515" t="s">
        <v>208</v>
      </c>
      <c r="F451" s="515" t="s">
        <v>15</v>
      </c>
      <c r="G451" s="515" t="s">
        <v>73</v>
      </c>
      <c r="H451" s="541">
        <v>1.03</v>
      </c>
      <c r="I451" s="541">
        <v>13.05</v>
      </c>
      <c r="J451" s="515" t="s">
        <v>17</v>
      </c>
      <c r="K451" s="541">
        <v>1.6</v>
      </c>
      <c r="L451" s="690" t="s">
        <v>27</v>
      </c>
      <c r="M451" s="527" t="s">
        <v>89</v>
      </c>
    </row>
    <row r="452" s="492" customFormat="1" spans="1:13">
      <c r="A452" s="540"/>
      <c r="B452" s="515"/>
      <c r="C452" s="515"/>
      <c r="D452" s="541"/>
      <c r="E452" s="515"/>
      <c r="F452" s="515"/>
      <c r="G452" s="515" t="s">
        <v>75</v>
      </c>
      <c r="H452" s="541">
        <v>1.03</v>
      </c>
      <c r="I452" s="541">
        <v>0.75</v>
      </c>
      <c r="J452" s="515" t="s">
        <v>22</v>
      </c>
      <c r="K452" s="541">
        <v>1.7</v>
      </c>
      <c r="L452" s="690"/>
      <c r="M452" s="527"/>
    </row>
    <row r="453" s="492" customFormat="1" spans="1:13">
      <c r="A453" s="540"/>
      <c r="B453" s="515"/>
      <c r="C453" s="515"/>
      <c r="D453" s="541"/>
      <c r="E453" s="515"/>
      <c r="F453" s="515"/>
      <c r="G453" s="515" t="s">
        <v>91</v>
      </c>
      <c r="H453" s="541">
        <v>1.86</v>
      </c>
      <c r="I453" s="541">
        <v>1.2</v>
      </c>
      <c r="J453" s="515" t="s">
        <v>24</v>
      </c>
      <c r="K453" s="541" t="s">
        <v>24</v>
      </c>
      <c r="L453" s="690"/>
      <c r="M453" s="527"/>
    </row>
    <row r="454" s="492" customFormat="1" spans="1:13">
      <c r="A454" s="540">
        <v>46157</v>
      </c>
      <c r="B454" s="515" t="s">
        <v>298</v>
      </c>
      <c r="C454" s="515" t="s">
        <v>13</v>
      </c>
      <c r="D454" s="541">
        <v>6</v>
      </c>
      <c r="E454" s="515" t="s">
        <v>14</v>
      </c>
      <c r="F454" s="515" t="s">
        <v>15</v>
      </c>
      <c r="G454" s="515" t="s">
        <v>73</v>
      </c>
      <c r="H454" s="541">
        <v>1.08</v>
      </c>
      <c r="I454" s="541">
        <v>5.04</v>
      </c>
      <c r="J454" s="515" t="s">
        <v>17</v>
      </c>
      <c r="K454" s="541">
        <v>1.6</v>
      </c>
      <c r="L454" s="690" t="s">
        <v>18</v>
      </c>
      <c r="M454" s="545" t="s">
        <v>258</v>
      </c>
    </row>
    <row r="455" s="492" customFormat="1" spans="1:13">
      <c r="A455" s="540"/>
      <c r="B455" s="515"/>
      <c r="C455" s="515"/>
      <c r="D455" s="541"/>
      <c r="E455" s="515"/>
      <c r="F455" s="515"/>
      <c r="G455" s="515" t="s">
        <v>75</v>
      </c>
      <c r="H455" s="541">
        <v>1.25</v>
      </c>
      <c r="I455" s="541">
        <v>0.36</v>
      </c>
      <c r="J455" s="515" t="s">
        <v>17</v>
      </c>
      <c r="K455" s="541">
        <v>1.7</v>
      </c>
      <c r="L455" s="690"/>
      <c r="M455" s="545"/>
    </row>
    <row r="456" s="492" customFormat="1" spans="1:13">
      <c r="A456" s="571"/>
      <c r="B456" s="561"/>
      <c r="C456" s="561"/>
      <c r="D456" s="563"/>
      <c r="E456" s="561"/>
      <c r="F456" s="561"/>
      <c r="G456" s="561" t="s">
        <v>90</v>
      </c>
      <c r="H456" s="563">
        <v>1.42</v>
      </c>
      <c r="I456" s="563">
        <v>0.3</v>
      </c>
      <c r="J456" s="561" t="s">
        <v>22</v>
      </c>
      <c r="K456" s="563">
        <v>1.8</v>
      </c>
      <c r="L456" s="733"/>
      <c r="M456" s="545"/>
    </row>
    <row r="457" s="492" customFormat="1" spans="1:13">
      <c r="A457" s="540"/>
      <c r="B457" s="515"/>
      <c r="C457" s="515"/>
      <c r="D457" s="541"/>
      <c r="E457" s="515"/>
      <c r="F457" s="515"/>
      <c r="G457" s="515" t="s">
        <v>91</v>
      </c>
      <c r="H457" s="541">
        <v>2.58</v>
      </c>
      <c r="I457" s="541">
        <v>0.3</v>
      </c>
      <c r="J457" s="515" t="s">
        <v>24</v>
      </c>
      <c r="K457" s="541" t="s">
        <v>24</v>
      </c>
      <c r="L457" s="690"/>
      <c r="M457" s="545"/>
    </row>
    <row r="458" s="492" customFormat="1" spans="1:13">
      <c r="A458" s="540">
        <v>46157</v>
      </c>
      <c r="B458" s="515" t="s">
        <v>299</v>
      </c>
      <c r="C458" s="515" t="s">
        <v>32</v>
      </c>
      <c r="D458" s="541">
        <v>6</v>
      </c>
      <c r="E458" s="515" t="s">
        <v>66</v>
      </c>
      <c r="F458" s="515" t="s">
        <v>15</v>
      </c>
      <c r="G458" s="515" t="s">
        <v>73</v>
      </c>
      <c r="H458" s="541">
        <v>0.99</v>
      </c>
      <c r="I458" s="541">
        <v>5.28</v>
      </c>
      <c r="J458" s="515" t="s">
        <v>17</v>
      </c>
      <c r="K458" s="541">
        <v>1.58</v>
      </c>
      <c r="L458" s="690" t="s">
        <v>86</v>
      </c>
      <c r="M458" s="527" t="s">
        <v>95</v>
      </c>
    </row>
    <row r="459" s="492" customFormat="1" spans="1:13">
      <c r="A459" s="540"/>
      <c r="B459" s="515"/>
      <c r="C459" s="515"/>
      <c r="D459" s="541"/>
      <c r="E459" s="515"/>
      <c r="F459" s="515"/>
      <c r="G459" s="515" t="s">
        <v>75</v>
      </c>
      <c r="H459" s="541">
        <v>0.99</v>
      </c>
      <c r="I459" s="541">
        <v>0.36</v>
      </c>
      <c r="J459" s="515" t="s">
        <v>22</v>
      </c>
      <c r="K459" s="541">
        <v>1.85</v>
      </c>
      <c r="L459" s="690"/>
      <c r="M459" s="527"/>
    </row>
    <row r="460" s="492" customFormat="1" spans="1:13">
      <c r="A460" s="540"/>
      <c r="B460" s="515"/>
      <c r="C460" s="515"/>
      <c r="D460" s="541"/>
      <c r="E460" s="515"/>
      <c r="F460" s="515"/>
      <c r="G460" s="515" t="s">
        <v>91</v>
      </c>
      <c r="H460" s="541">
        <v>4</v>
      </c>
      <c r="I460" s="541">
        <v>0.36</v>
      </c>
      <c r="J460" s="515" t="s">
        <v>24</v>
      </c>
      <c r="K460" s="541" t="s">
        <v>24</v>
      </c>
      <c r="L460" s="690"/>
      <c r="M460" s="527"/>
    </row>
    <row r="461" s="492" customFormat="1" spans="1:13">
      <c r="A461" s="695">
        <v>46157</v>
      </c>
      <c r="B461" s="565" t="s">
        <v>300</v>
      </c>
      <c r="C461" s="565" t="s">
        <v>224</v>
      </c>
      <c r="D461" s="542">
        <v>10</v>
      </c>
      <c r="E461" s="565" t="s">
        <v>301</v>
      </c>
      <c r="F461" s="565" t="s">
        <v>302</v>
      </c>
      <c r="G461" s="545" t="s">
        <v>237</v>
      </c>
      <c r="H461" s="546">
        <v>1.08</v>
      </c>
      <c r="I461" s="546">
        <v>7.2</v>
      </c>
      <c r="J461" s="545" t="s">
        <v>17</v>
      </c>
      <c r="K461" s="546">
        <v>1.8</v>
      </c>
      <c r="L461" s="716" t="s">
        <v>41</v>
      </c>
      <c r="M461" s="545"/>
    </row>
    <row r="462" s="492" customFormat="1" spans="1:13">
      <c r="A462" s="695"/>
      <c r="B462" s="565"/>
      <c r="C462" s="565"/>
      <c r="D462" s="542"/>
      <c r="E462" s="565"/>
      <c r="F462" s="565"/>
      <c r="G462" s="545" t="s">
        <v>228</v>
      </c>
      <c r="H462" s="546">
        <v>1.25</v>
      </c>
      <c r="I462" s="546">
        <v>1.6</v>
      </c>
      <c r="J462" s="545" t="s">
        <v>17</v>
      </c>
      <c r="K462" s="546">
        <v>1.8</v>
      </c>
      <c r="L462" s="716"/>
      <c r="M462" s="545"/>
    </row>
    <row r="463" s="492" customFormat="1" spans="1:13">
      <c r="A463" s="695"/>
      <c r="B463" s="565"/>
      <c r="C463" s="565"/>
      <c r="D463" s="542"/>
      <c r="E463" s="565"/>
      <c r="F463" s="565"/>
      <c r="G463" s="545" t="s">
        <v>159</v>
      </c>
      <c r="H463" s="546">
        <v>1.3</v>
      </c>
      <c r="I463" s="546">
        <v>0.35</v>
      </c>
      <c r="J463" s="545" t="s">
        <v>22</v>
      </c>
      <c r="K463" s="546">
        <v>1.95</v>
      </c>
      <c r="L463" s="716"/>
      <c r="M463" s="545"/>
    </row>
    <row r="464" s="492" customFormat="1" spans="1:13">
      <c r="A464" s="695"/>
      <c r="B464" s="565"/>
      <c r="C464" s="565"/>
      <c r="D464" s="542"/>
      <c r="E464" s="565"/>
      <c r="F464" s="565"/>
      <c r="G464" s="545" t="s">
        <v>160</v>
      </c>
      <c r="H464" s="546">
        <v>1.4</v>
      </c>
      <c r="I464" s="546">
        <v>0.35</v>
      </c>
      <c r="J464" s="545" t="s">
        <v>136</v>
      </c>
      <c r="K464" s="546">
        <v>4.5</v>
      </c>
      <c r="L464" s="716"/>
      <c r="M464" s="545"/>
    </row>
    <row r="465" s="492" customFormat="1" spans="1:13">
      <c r="A465" s="695"/>
      <c r="B465" s="565"/>
      <c r="C465" s="565"/>
      <c r="D465" s="542"/>
      <c r="E465" s="565"/>
      <c r="F465" s="565"/>
      <c r="G465" s="545" t="s">
        <v>148</v>
      </c>
      <c r="H465" s="546">
        <v>1.76</v>
      </c>
      <c r="I465" s="546">
        <v>0.5</v>
      </c>
      <c r="J465" s="545" t="s">
        <v>24</v>
      </c>
      <c r="K465" s="546" t="s">
        <v>24</v>
      </c>
      <c r="L465" s="716"/>
      <c r="M465" s="545"/>
    </row>
    <row r="466" s="492" customFormat="1" spans="1:13">
      <c r="A466" s="540">
        <v>46161</v>
      </c>
      <c r="B466" s="515" t="s">
        <v>303</v>
      </c>
      <c r="C466" s="515" t="s">
        <v>13</v>
      </c>
      <c r="D466" s="541">
        <v>10</v>
      </c>
      <c r="E466" s="515" t="s">
        <v>177</v>
      </c>
      <c r="F466" s="515" t="s">
        <v>15</v>
      </c>
      <c r="G466" s="515" t="s">
        <v>73</v>
      </c>
      <c r="H466" s="541">
        <v>1.02</v>
      </c>
      <c r="I466" s="541">
        <v>8.35</v>
      </c>
      <c r="J466" s="515" t="s">
        <v>17</v>
      </c>
      <c r="K466" s="541">
        <v>1.6</v>
      </c>
      <c r="L466" s="690" t="s">
        <v>27</v>
      </c>
      <c r="M466" s="527" t="s">
        <v>28</v>
      </c>
    </row>
    <row r="467" s="492" customFormat="1" spans="1:13">
      <c r="A467" s="540"/>
      <c r="B467" s="515"/>
      <c r="C467" s="515"/>
      <c r="D467" s="541"/>
      <c r="E467" s="515"/>
      <c r="F467" s="515"/>
      <c r="G467" s="515" t="s">
        <v>75</v>
      </c>
      <c r="H467" s="541">
        <v>1.02</v>
      </c>
      <c r="I467" s="541">
        <v>0.7</v>
      </c>
      <c r="J467" s="515" t="s">
        <v>22</v>
      </c>
      <c r="K467" s="541">
        <v>1.7</v>
      </c>
      <c r="L467" s="690"/>
      <c r="M467" s="527"/>
    </row>
    <row r="468" s="492" customFormat="1" spans="1:13">
      <c r="A468" s="540"/>
      <c r="B468" s="515"/>
      <c r="C468" s="515"/>
      <c r="D468" s="541"/>
      <c r="E468" s="515"/>
      <c r="F468" s="515"/>
      <c r="G468" s="515" t="s">
        <v>91</v>
      </c>
      <c r="H468" s="541">
        <v>1.78</v>
      </c>
      <c r="I468" s="541">
        <v>0.95</v>
      </c>
      <c r="J468" s="515" t="s">
        <v>24</v>
      </c>
      <c r="K468" s="541" t="s">
        <v>24</v>
      </c>
      <c r="L468" s="690"/>
      <c r="M468" s="527"/>
    </row>
    <row r="469" s="492" customFormat="1" spans="1:13">
      <c r="A469" s="540">
        <v>46161</v>
      </c>
      <c r="B469" s="515" t="s">
        <v>304</v>
      </c>
      <c r="C469" s="515" t="s">
        <v>13</v>
      </c>
      <c r="D469" s="541">
        <v>10</v>
      </c>
      <c r="E469" s="515" t="s">
        <v>33</v>
      </c>
      <c r="F469" s="515" t="s">
        <v>15</v>
      </c>
      <c r="G469" s="515" t="s">
        <v>73</v>
      </c>
      <c r="H469" s="541">
        <v>1.07</v>
      </c>
      <c r="I469" s="541">
        <v>8.4</v>
      </c>
      <c r="J469" s="515" t="s">
        <v>17</v>
      </c>
      <c r="K469" s="541">
        <v>1.58</v>
      </c>
      <c r="L469" s="690" t="s">
        <v>18</v>
      </c>
      <c r="M469" s="545" t="s">
        <v>258</v>
      </c>
    </row>
    <row r="470" s="492" customFormat="1" spans="1:13">
      <c r="A470" s="540"/>
      <c r="B470" s="515"/>
      <c r="C470" s="515"/>
      <c r="D470" s="541"/>
      <c r="E470" s="515"/>
      <c r="F470" s="515"/>
      <c r="G470" s="515" t="s">
        <v>75</v>
      </c>
      <c r="H470" s="541">
        <v>1.24</v>
      </c>
      <c r="I470" s="541">
        <v>0.6</v>
      </c>
      <c r="J470" s="515" t="s">
        <v>17</v>
      </c>
      <c r="K470" s="541">
        <v>1.68</v>
      </c>
      <c r="L470" s="690"/>
      <c r="M470" s="545"/>
    </row>
    <row r="471" s="492" customFormat="1" spans="1:13">
      <c r="A471" s="540"/>
      <c r="B471" s="515"/>
      <c r="C471" s="515"/>
      <c r="D471" s="541"/>
      <c r="E471" s="515"/>
      <c r="F471" s="515"/>
      <c r="G471" s="515" t="s">
        <v>90</v>
      </c>
      <c r="H471" s="541">
        <v>1.41</v>
      </c>
      <c r="I471" s="541">
        <v>0.5</v>
      </c>
      <c r="J471" s="515" t="s">
        <v>22</v>
      </c>
      <c r="K471" s="541">
        <v>1.8</v>
      </c>
      <c r="L471" s="690"/>
      <c r="M471" s="545"/>
    </row>
    <row r="472" s="492" customFormat="1" spans="1:13">
      <c r="A472" s="540"/>
      <c r="B472" s="515"/>
      <c r="C472" s="515"/>
      <c r="D472" s="541"/>
      <c r="E472" s="515"/>
      <c r="F472" s="515"/>
      <c r="G472" s="515" t="s">
        <v>91</v>
      </c>
      <c r="H472" s="541">
        <v>2.58</v>
      </c>
      <c r="I472" s="541">
        <v>0.5</v>
      </c>
      <c r="J472" s="515" t="s">
        <v>24</v>
      </c>
      <c r="K472" s="541" t="s">
        <v>24</v>
      </c>
      <c r="L472" s="690"/>
      <c r="M472" s="545"/>
    </row>
    <row r="473" s="492" customFormat="1" spans="1:13">
      <c r="A473" s="540">
        <v>46162</v>
      </c>
      <c r="B473" s="515" t="s">
        <v>305</v>
      </c>
      <c r="C473" s="515" t="s">
        <v>13</v>
      </c>
      <c r="D473" s="541">
        <v>10</v>
      </c>
      <c r="E473" s="515" t="s">
        <v>177</v>
      </c>
      <c r="F473" s="515" t="s">
        <v>59</v>
      </c>
      <c r="G473" s="515" t="s">
        <v>73</v>
      </c>
      <c r="H473" s="541">
        <v>1.02</v>
      </c>
      <c r="I473" s="541">
        <v>8.35</v>
      </c>
      <c r="J473" s="515" t="s">
        <v>17</v>
      </c>
      <c r="K473" s="541">
        <v>1.6</v>
      </c>
      <c r="L473" s="690" t="s">
        <v>27</v>
      </c>
      <c r="M473" s="527" t="s">
        <v>28</v>
      </c>
    </row>
    <row r="474" s="492" customFormat="1" spans="1:13">
      <c r="A474" s="540"/>
      <c r="B474" s="515"/>
      <c r="C474" s="515"/>
      <c r="D474" s="541"/>
      <c r="E474" s="515"/>
      <c r="F474" s="515"/>
      <c r="G474" s="515" t="s">
        <v>75</v>
      </c>
      <c r="H474" s="541">
        <v>1.02</v>
      </c>
      <c r="I474" s="541">
        <v>0.7</v>
      </c>
      <c r="J474" s="515" t="s">
        <v>22</v>
      </c>
      <c r="K474" s="541">
        <v>1.7</v>
      </c>
      <c r="L474" s="690"/>
      <c r="M474" s="527"/>
    </row>
    <row r="475" s="492" customFormat="1" spans="1:13">
      <c r="A475" s="540"/>
      <c r="B475" s="515"/>
      <c r="C475" s="515"/>
      <c r="D475" s="541"/>
      <c r="E475" s="515"/>
      <c r="F475" s="515"/>
      <c r="G475" s="515" t="s">
        <v>91</v>
      </c>
      <c r="H475" s="541">
        <v>1.78</v>
      </c>
      <c r="I475" s="541">
        <v>0.95</v>
      </c>
      <c r="J475" s="515" t="s">
        <v>24</v>
      </c>
      <c r="K475" s="541" t="s">
        <v>24</v>
      </c>
      <c r="L475" s="690"/>
      <c r="M475" s="527"/>
    </row>
    <row r="476" s="492" customFormat="1" spans="1:13">
      <c r="A476" s="540">
        <v>46163</v>
      </c>
      <c r="B476" s="515" t="s">
        <v>306</v>
      </c>
      <c r="C476" s="515" t="s">
        <v>13</v>
      </c>
      <c r="D476" s="541">
        <v>10</v>
      </c>
      <c r="E476" s="515" t="s">
        <v>33</v>
      </c>
      <c r="F476" s="515" t="s">
        <v>174</v>
      </c>
      <c r="G476" s="515" t="s">
        <v>73</v>
      </c>
      <c r="H476" s="546">
        <v>1.08</v>
      </c>
      <c r="I476" s="541">
        <v>8.3</v>
      </c>
      <c r="J476" s="545" t="s">
        <v>17</v>
      </c>
      <c r="K476" s="541">
        <v>1.6</v>
      </c>
      <c r="L476" s="690" t="s">
        <v>35</v>
      </c>
      <c r="M476" s="515" t="s">
        <v>98</v>
      </c>
    </row>
    <row r="477" s="492" customFormat="1" spans="1:13">
      <c r="A477" s="540"/>
      <c r="B477" s="515"/>
      <c r="C477" s="515"/>
      <c r="D477" s="541"/>
      <c r="E477" s="515"/>
      <c r="F477" s="515"/>
      <c r="G477" s="515" t="s">
        <v>75</v>
      </c>
      <c r="H477" s="546">
        <v>1.08</v>
      </c>
      <c r="I477" s="541">
        <v>0.5</v>
      </c>
      <c r="J477" s="545" t="s">
        <v>22</v>
      </c>
      <c r="K477" s="541">
        <v>1.75</v>
      </c>
      <c r="L477" s="690"/>
      <c r="M477" s="515"/>
    </row>
    <row r="478" s="492" customFormat="1" spans="1:13">
      <c r="A478" s="540"/>
      <c r="B478" s="515"/>
      <c r="C478" s="515"/>
      <c r="D478" s="541"/>
      <c r="E478" s="515"/>
      <c r="F478" s="515"/>
      <c r="G478" s="515" t="s">
        <v>90</v>
      </c>
      <c r="H478" s="546">
        <v>1.75</v>
      </c>
      <c r="I478" s="541">
        <v>0.7</v>
      </c>
      <c r="J478" s="545" t="s">
        <v>100</v>
      </c>
      <c r="K478" s="541">
        <v>3.1</v>
      </c>
      <c r="L478" s="690"/>
      <c r="M478" s="515"/>
    </row>
    <row r="479" s="492" customFormat="1" spans="1:13">
      <c r="A479" s="540"/>
      <c r="B479" s="515"/>
      <c r="C479" s="515"/>
      <c r="D479" s="541"/>
      <c r="E479" s="515"/>
      <c r="F479" s="515"/>
      <c r="G479" s="515" t="s">
        <v>91</v>
      </c>
      <c r="H479" s="546">
        <v>1.75</v>
      </c>
      <c r="I479" s="541">
        <v>0.5</v>
      </c>
      <c r="J479" s="545" t="s">
        <v>24</v>
      </c>
      <c r="K479" s="541" t="s">
        <v>24</v>
      </c>
      <c r="L479" s="690"/>
      <c r="M479" s="515"/>
    </row>
    <row r="480" s="492" customFormat="1" spans="1:13">
      <c r="A480" s="539">
        <v>46163</v>
      </c>
      <c r="B480" s="509" t="s">
        <v>307</v>
      </c>
      <c r="C480" s="527" t="s">
        <v>32</v>
      </c>
      <c r="D480" s="538">
        <v>15</v>
      </c>
      <c r="E480" s="527" t="s">
        <v>109</v>
      </c>
      <c r="F480" s="527" t="s">
        <v>15</v>
      </c>
      <c r="G480" s="515" t="s">
        <v>73</v>
      </c>
      <c r="H480" s="541">
        <v>1.08</v>
      </c>
      <c r="I480" s="541">
        <v>12.45</v>
      </c>
      <c r="J480" s="659" t="s">
        <v>17</v>
      </c>
      <c r="K480" s="511">
        <v>1.63</v>
      </c>
      <c r="L480" s="694" t="s">
        <v>35</v>
      </c>
      <c r="M480" s="545" t="s">
        <v>269</v>
      </c>
    </row>
    <row r="481" s="492" customFormat="1" spans="1:13">
      <c r="A481" s="539"/>
      <c r="B481" s="509"/>
      <c r="C481" s="527"/>
      <c r="D481" s="538"/>
      <c r="E481" s="527"/>
      <c r="F481" s="527"/>
      <c r="G481" s="515" t="s">
        <v>75</v>
      </c>
      <c r="H481" s="541">
        <v>1.08</v>
      </c>
      <c r="I481" s="541">
        <v>0.75</v>
      </c>
      <c r="J481" s="659" t="s">
        <v>22</v>
      </c>
      <c r="K481" s="511">
        <v>1.8</v>
      </c>
      <c r="L481" s="694"/>
      <c r="M481" s="545"/>
    </row>
    <row r="482" s="492" customFormat="1" spans="1:13">
      <c r="A482" s="539"/>
      <c r="B482" s="509"/>
      <c r="C482" s="527"/>
      <c r="D482" s="538"/>
      <c r="E482" s="527"/>
      <c r="F482" s="527"/>
      <c r="G482" s="515" t="s">
        <v>99</v>
      </c>
      <c r="H482" s="541">
        <v>1.75</v>
      </c>
      <c r="I482" s="541">
        <v>1.05</v>
      </c>
      <c r="J482" s="659" t="s">
        <v>100</v>
      </c>
      <c r="K482" s="511">
        <v>3.1</v>
      </c>
      <c r="L482" s="694"/>
      <c r="M482" s="545"/>
    </row>
    <row r="483" s="492" customFormat="1" spans="1:13">
      <c r="A483" s="539"/>
      <c r="B483" s="509"/>
      <c r="C483" s="527"/>
      <c r="D483" s="538"/>
      <c r="E483" s="527"/>
      <c r="F483" s="527"/>
      <c r="G483" s="515" t="s">
        <v>91</v>
      </c>
      <c r="H483" s="541">
        <v>1.75</v>
      </c>
      <c r="I483" s="541">
        <v>0.75</v>
      </c>
      <c r="J483" s="545" t="s">
        <v>24</v>
      </c>
      <c r="K483" s="546" t="s">
        <v>24</v>
      </c>
      <c r="L483" s="694"/>
      <c r="M483" s="545"/>
    </row>
    <row r="484" s="492" customFormat="1" spans="1:13">
      <c r="A484" s="539">
        <v>46163</v>
      </c>
      <c r="B484" s="509" t="s">
        <v>308</v>
      </c>
      <c r="C484" s="527" t="s">
        <v>13</v>
      </c>
      <c r="D484" s="538">
        <v>15</v>
      </c>
      <c r="E484" s="527" t="s">
        <v>177</v>
      </c>
      <c r="F484" s="527" t="s">
        <v>77</v>
      </c>
      <c r="G484" s="515" t="s">
        <v>73</v>
      </c>
      <c r="H484" s="541">
        <v>1.01</v>
      </c>
      <c r="I484" s="541">
        <v>12.21</v>
      </c>
      <c r="J484" s="659" t="s">
        <v>17</v>
      </c>
      <c r="K484" s="546">
        <v>1.6</v>
      </c>
      <c r="L484" s="694" t="s">
        <v>27</v>
      </c>
      <c r="M484" s="527" t="s">
        <v>178</v>
      </c>
    </row>
    <row r="485" s="492" customFormat="1" spans="1:13">
      <c r="A485" s="539"/>
      <c r="B485" s="509"/>
      <c r="C485" s="527"/>
      <c r="D485" s="538"/>
      <c r="E485" s="527"/>
      <c r="F485" s="527"/>
      <c r="G485" s="515" t="s">
        <v>75</v>
      </c>
      <c r="H485" s="541">
        <v>1.01</v>
      </c>
      <c r="I485" s="541">
        <v>0.85</v>
      </c>
      <c r="J485" s="659" t="s">
        <v>22</v>
      </c>
      <c r="K485" s="546">
        <v>1.65</v>
      </c>
      <c r="L485" s="694"/>
      <c r="M485" s="527"/>
    </row>
    <row r="486" s="492" customFormat="1" spans="1:13">
      <c r="A486" s="539"/>
      <c r="B486" s="509"/>
      <c r="C486" s="527"/>
      <c r="D486" s="538"/>
      <c r="E486" s="527"/>
      <c r="F486" s="527"/>
      <c r="G486" s="515" t="s">
        <v>91</v>
      </c>
      <c r="H486" s="541">
        <v>3.02</v>
      </c>
      <c r="I486" s="541">
        <v>1.94</v>
      </c>
      <c r="J486" s="545" t="s">
        <v>24</v>
      </c>
      <c r="K486" s="546" t="s">
        <v>24</v>
      </c>
      <c r="L486" s="694"/>
      <c r="M486" s="527"/>
    </row>
    <row r="487" s="492" customFormat="1" spans="1:13">
      <c r="A487" s="539">
        <v>46163</v>
      </c>
      <c r="B487" s="509" t="s">
        <v>309</v>
      </c>
      <c r="C487" s="527" t="s">
        <v>32</v>
      </c>
      <c r="D487" s="538">
        <v>3</v>
      </c>
      <c r="E487" s="527" t="s">
        <v>33</v>
      </c>
      <c r="F487" s="527" t="s">
        <v>94</v>
      </c>
      <c r="G487" s="515" t="s">
        <v>73</v>
      </c>
      <c r="H487" s="541">
        <v>1.77</v>
      </c>
      <c r="I487" s="541">
        <v>2.52</v>
      </c>
      <c r="J487" s="659" t="s">
        <v>17</v>
      </c>
      <c r="K487" s="511">
        <v>2.5</v>
      </c>
      <c r="L487" s="694" t="s">
        <v>310</v>
      </c>
      <c r="M487" s="545"/>
    </row>
    <row r="488" s="492" customFormat="1" spans="1:13">
      <c r="A488" s="539"/>
      <c r="B488" s="509"/>
      <c r="C488" s="527"/>
      <c r="D488" s="538"/>
      <c r="E488" s="527"/>
      <c r="F488" s="527"/>
      <c r="G488" s="515" t="s">
        <v>75</v>
      </c>
      <c r="H488" s="541">
        <v>1.77</v>
      </c>
      <c r="I488" s="541">
        <v>0.21</v>
      </c>
      <c r="J488" s="659" t="s">
        <v>22</v>
      </c>
      <c r="K488" s="511">
        <v>2.5</v>
      </c>
      <c r="L488" s="694"/>
      <c r="M488" s="545"/>
    </row>
    <row r="489" s="492" customFormat="1" spans="1:13">
      <c r="A489" s="539"/>
      <c r="B489" s="509"/>
      <c r="C489" s="527"/>
      <c r="D489" s="538"/>
      <c r="E489" s="527"/>
      <c r="F489" s="527"/>
      <c r="G489" s="515" t="s">
        <v>91</v>
      </c>
      <c r="H489" s="541">
        <v>1.77</v>
      </c>
      <c r="I489" s="541">
        <v>0.27</v>
      </c>
      <c r="J489" s="545" t="s">
        <v>24</v>
      </c>
      <c r="K489" s="546" t="s">
        <v>24</v>
      </c>
      <c r="L489" s="694"/>
      <c r="M489" s="545"/>
    </row>
    <row r="490" s="492" customFormat="1" spans="1:13">
      <c r="A490" s="522">
        <v>46163</v>
      </c>
      <c r="B490" s="522" t="s">
        <v>311</v>
      </c>
      <c r="C490" s="522" t="s">
        <v>13</v>
      </c>
      <c r="D490" s="523">
        <v>5</v>
      </c>
      <c r="E490" s="522" t="s">
        <v>103</v>
      </c>
      <c r="F490" s="522" t="s">
        <v>15</v>
      </c>
      <c r="G490" s="545" t="s">
        <v>158</v>
      </c>
      <c r="H490" s="546">
        <v>1.83</v>
      </c>
      <c r="I490" s="546">
        <v>4.2</v>
      </c>
      <c r="J490" s="545" t="s">
        <v>17</v>
      </c>
      <c r="K490" s="546">
        <v>1.73</v>
      </c>
      <c r="L490" s="671" t="s">
        <v>18</v>
      </c>
      <c r="M490" s="564"/>
    </row>
    <row r="491" s="492" customFormat="1" spans="1:13">
      <c r="A491" s="528"/>
      <c r="B491" s="528"/>
      <c r="C491" s="528"/>
      <c r="D491" s="529"/>
      <c r="E491" s="528"/>
      <c r="F491" s="528"/>
      <c r="G491" s="545" t="s">
        <v>159</v>
      </c>
      <c r="H491" s="546">
        <v>1.92</v>
      </c>
      <c r="I491" s="546">
        <v>0.25</v>
      </c>
      <c r="J491" s="545" t="s">
        <v>22</v>
      </c>
      <c r="K491" s="546">
        <v>1.78</v>
      </c>
      <c r="L491" s="672"/>
      <c r="M491" s="564"/>
    </row>
    <row r="492" s="492" customFormat="1" spans="1:13">
      <c r="A492" s="528"/>
      <c r="B492" s="528"/>
      <c r="C492" s="528"/>
      <c r="D492" s="529"/>
      <c r="E492" s="528"/>
      <c r="F492" s="528"/>
      <c r="G492" s="545" t="s">
        <v>160</v>
      </c>
      <c r="H492" s="546">
        <v>2</v>
      </c>
      <c r="I492" s="546">
        <v>0.15</v>
      </c>
      <c r="J492" s="545" t="s">
        <v>44</v>
      </c>
      <c r="K492" s="546">
        <v>1.95</v>
      </c>
      <c r="L492" s="672"/>
      <c r="M492" s="564"/>
    </row>
    <row r="493" s="492" customFormat="1" spans="1:13">
      <c r="A493" s="528"/>
      <c r="B493" s="528"/>
      <c r="C493" s="528"/>
      <c r="D493" s="529"/>
      <c r="E493" s="528"/>
      <c r="F493" s="528"/>
      <c r="G493" s="515" t="s">
        <v>105</v>
      </c>
      <c r="H493" s="546">
        <v>2.58</v>
      </c>
      <c r="I493" s="546">
        <v>0.15</v>
      </c>
      <c r="J493" s="545" t="s">
        <v>24</v>
      </c>
      <c r="K493" s="546" t="s">
        <v>24</v>
      </c>
      <c r="L493" s="672"/>
      <c r="M493" s="564"/>
    </row>
    <row r="494" s="492" customFormat="1" spans="1:13">
      <c r="A494" s="532"/>
      <c r="B494" s="532"/>
      <c r="C494" s="532"/>
      <c r="D494" s="533"/>
      <c r="E494" s="532"/>
      <c r="F494" s="532"/>
      <c r="G494" s="515" t="s">
        <v>106</v>
      </c>
      <c r="H494" s="546">
        <v>2.58</v>
      </c>
      <c r="I494" s="546">
        <v>0.25</v>
      </c>
      <c r="J494" s="545" t="s">
        <v>24</v>
      </c>
      <c r="K494" s="546" t="s">
        <v>24</v>
      </c>
      <c r="L494" s="674"/>
      <c r="M494" s="564"/>
    </row>
    <row r="495" s="492" customFormat="1" spans="1:13">
      <c r="A495" s="539">
        <v>46164</v>
      </c>
      <c r="B495" s="509" t="s">
        <v>312</v>
      </c>
      <c r="C495" s="527" t="s">
        <v>13</v>
      </c>
      <c r="D495" s="538">
        <v>4</v>
      </c>
      <c r="E495" s="527" t="s">
        <v>33</v>
      </c>
      <c r="F495" s="527" t="s">
        <v>111</v>
      </c>
      <c r="G495" s="515" t="s">
        <v>73</v>
      </c>
      <c r="H495" s="541">
        <v>1.05</v>
      </c>
      <c r="I495" s="541">
        <v>3.6</v>
      </c>
      <c r="J495" s="659" t="s">
        <v>17</v>
      </c>
      <c r="K495" s="546">
        <v>1.54</v>
      </c>
      <c r="L495" s="694" t="s">
        <v>112</v>
      </c>
      <c r="M495" s="545"/>
    </row>
    <row r="496" s="492" customFormat="1" spans="1:13">
      <c r="A496" s="539"/>
      <c r="B496" s="509"/>
      <c r="C496" s="527"/>
      <c r="D496" s="538"/>
      <c r="E496" s="527"/>
      <c r="F496" s="527"/>
      <c r="G496" s="515" t="s">
        <v>75</v>
      </c>
      <c r="H496" s="541">
        <v>1.05</v>
      </c>
      <c r="I496" s="541">
        <v>0.2</v>
      </c>
      <c r="J496" s="659" t="s">
        <v>22</v>
      </c>
      <c r="K496" s="546">
        <v>1.6</v>
      </c>
      <c r="L496" s="694"/>
      <c r="M496" s="545"/>
    </row>
    <row r="497" s="492" customFormat="1" spans="1:13">
      <c r="A497" s="539"/>
      <c r="B497" s="509"/>
      <c r="C497" s="527"/>
      <c r="D497" s="538"/>
      <c r="E497" s="527"/>
      <c r="F497" s="527"/>
      <c r="G497" s="545" t="s">
        <v>113</v>
      </c>
      <c r="H497" s="541">
        <v>3.03</v>
      </c>
      <c r="I497" s="541">
        <v>0.08</v>
      </c>
      <c r="J497" s="545" t="s">
        <v>24</v>
      </c>
      <c r="K497" s="546" t="s">
        <v>24</v>
      </c>
      <c r="L497" s="694"/>
      <c r="M497" s="545"/>
    </row>
    <row r="498" s="492" customFormat="1" spans="1:13">
      <c r="A498" s="539"/>
      <c r="B498" s="509"/>
      <c r="C498" s="527"/>
      <c r="D498" s="538"/>
      <c r="E498" s="527"/>
      <c r="F498" s="527"/>
      <c r="G498" s="545" t="s">
        <v>114</v>
      </c>
      <c r="H498" s="541">
        <v>3.03</v>
      </c>
      <c r="I498" s="541">
        <v>0.12</v>
      </c>
      <c r="J498" s="545" t="s">
        <v>24</v>
      </c>
      <c r="K498" s="546" t="s">
        <v>24</v>
      </c>
      <c r="L498" s="694"/>
      <c r="M498" s="545"/>
    </row>
    <row r="499" s="492" customFormat="1" spans="1:13">
      <c r="A499" s="540">
        <v>46164</v>
      </c>
      <c r="B499" s="515" t="s">
        <v>313</v>
      </c>
      <c r="C499" s="515" t="s">
        <v>13</v>
      </c>
      <c r="D499" s="541">
        <v>10</v>
      </c>
      <c r="E499" s="515" t="s">
        <v>33</v>
      </c>
      <c r="F499" s="515" t="s">
        <v>116</v>
      </c>
      <c r="G499" s="515" t="s">
        <v>73</v>
      </c>
      <c r="H499" s="541">
        <v>1.08</v>
      </c>
      <c r="I499" s="541">
        <v>8.3</v>
      </c>
      <c r="J499" s="515" t="s">
        <v>17</v>
      </c>
      <c r="K499" s="541">
        <v>1.6</v>
      </c>
      <c r="L499" s="690" t="s">
        <v>35</v>
      </c>
      <c r="M499" s="515" t="s">
        <v>98</v>
      </c>
    </row>
    <row r="500" s="492" customFormat="1" spans="1:13">
      <c r="A500" s="540"/>
      <c r="B500" s="515"/>
      <c r="C500" s="515"/>
      <c r="D500" s="541"/>
      <c r="E500" s="515"/>
      <c r="F500" s="515"/>
      <c r="G500" s="515" t="s">
        <v>75</v>
      </c>
      <c r="H500" s="541">
        <v>1.08</v>
      </c>
      <c r="I500" s="541">
        <v>0.5</v>
      </c>
      <c r="J500" s="515" t="s">
        <v>22</v>
      </c>
      <c r="K500" s="541">
        <v>1.7</v>
      </c>
      <c r="L500" s="690"/>
      <c r="M500" s="515"/>
    </row>
    <row r="501" s="492" customFormat="1" spans="1:13">
      <c r="A501" s="540"/>
      <c r="B501" s="515"/>
      <c r="C501" s="515"/>
      <c r="D501" s="541"/>
      <c r="E501" s="515"/>
      <c r="F501" s="515"/>
      <c r="G501" s="515" t="s">
        <v>90</v>
      </c>
      <c r="H501" s="541">
        <v>1.75</v>
      </c>
      <c r="I501" s="541">
        <v>0.7</v>
      </c>
      <c r="J501" s="515" t="s">
        <v>100</v>
      </c>
      <c r="K501" s="541">
        <v>3.1</v>
      </c>
      <c r="L501" s="690"/>
      <c r="M501" s="515"/>
    </row>
    <row r="502" s="492" customFormat="1" spans="1:13">
      <c r="A502" s="540"/>
      <c r="B502" s="515"/>
      <c r="C502" s="515"/>
      <c r="D502" s="541"/>
      <c r="E502" s="515"/>
      <c r="F502" s="515"/>
      <c r="G502" s="515" t="s">
        <v>91</v>
      </c>
      <c r="H502" s="541">
        <v>1.75</v>
      </c>
      <c r="I502" s="541">
        <v>0.5</v>
      </c>
      <c r="J502" s="515" t="s">
        <v>24</v>
      </c>
      <c r="K502" s="541" t="s">
        <v>24</v>
      </c>
      <c r="L502" s="690"/>
      <c r="M502" s="515"/>
    </row>
    <row r="503" s="492" customFormat="1" spans="1:13">
      <c r="A503" s="540">
        <v>46164</v>
      </c>
      <c r="B503" s="515" t="s">
        <v>314</v>
      </c>
      <c r="C503" s="515" t="s">
        <v>13</v>
      </c>
      <c r="D503" s="541">
        <v>10</v>
      </c>
      <c r="E503" s="515" t="s">
        <v>66</v>
      </c>
      <c r="F503" s="515" t="s">
        <v>77</v>
      </c>
      <c r="G503" s="515" t="s">
        <v>73</v>
      </c>
      <c r="H503" s="541">
        <v>0.7</v>
      </c>
      <c r="I503" s="541">
        <v>9</v>
      </c>
      <c r="J503" s="515" t="s">
        <v>17</v>
      </c>
      <c r="K503" s="541">
        <v>1.56</v>
      </c>
      <c r="L503" s="690" t="s">
        <v>74</v>
      </c>
      <c r="M503" s="515"/>
    </row>
    <row r="504" s="492" customFormat="1" spans="1:13">
      <c r="A504" s="540"/>
      <c r="B504" s="515"/>
      <c r="C504" s="515"/>
      <c r="D504" s="541"/>
      <c r="E504" s="515"/>
      <c r="F504" s="515"/>
      <c r="G504" s="515" t="s">
        <v>75</v>
      </c>
      <c r="H504" s="541">
        <v>0.96</v>
      </c>
      <c r="I504" s="541">
        <v>0.3</v>
      </c>
      <c r="J504" s="515" t="s">
        <v>22</v>
      </c>
      <c r="K504" s="541">
        <v>1.8</v>
      </c>
      <c r="L504" s="690"/>
      <c r="M504" s="515"/>
    </row>
    <row r="505" s="492" customFormat="1" spans="1:13">
      <c r="A505" s="540"/>
      <c r="B505" s="515"/>
      <c r="C505" s="515"/>
      <c r="D505" s="541"/>
      <c r="E505" s="515"/>
      <c r="F505" s="515"/>
      <c r="G505" s="515" t="s">
        <v>91</v>
      </c>
      <c r="H505" s="541">
        <v>1.45</v>
      </c>
      <c r="I505" s="541">
        <v>0.7</v>
      </c>
      <c r="J505" s="515" t="s">
        <v>24</v>
      </c>
      <c r="K505" s="541" t="s">
        <v>24</v>
      </c>
      <c r="L505" s="690"/>
      <c r="M505" s="515"/>
    </row>
    <row r="506" s="492" customFormat="1" spans="1:13">
      <c r="A506" s="539">
        <v>46164</v>
      </c>
      <c r="B506" s="509" t="s">
        <v>315</v>
      </c>
      <c r="C506" s="527" t="s">
        <v>32</v>
      </c>
      <c r="D506" s="538">
        <v>10</v>
      </c>
      <c r="E506" s="527" t="s">
        <v>14</v>
      </c>
      <c r="F506" s="527" t="s">
        <v>77</v>
      </c>
      <c r="G506" s="515" t="s">
        <v>73</v>
      </c>
      <c r="H506" s="541">
        <v>1.01</v>
      </c>
      <c r="I506" s="541">
        <v>8.35</v>
      </c>
      <c r="J506" s="659" t="s">
        <v>17</v>
      </c>
      <c r="K506" s="546">
        <v>1.6</v>
      </c>
      <c r="L506" s="694" t="s">
        <v>27</v>
      </c>
      <c r="M506" s="545" t="s">
        <v>316</v>
      </c>
    </row>
    <row r="507" s="492" customFormat="1" spans="1:13">
      <c r="A507" s="539"/>
      <c r="B507" s="509"/>
      <c r="C507" s="527"/>
      <c r="D507" s="538"/>
      <c r="E507" s="527"/>
      <c r="F507" s="527"/>
      <c r="G507" s="515" t="s">
        <v>75</v>
      </c>
      <c r="H507" s="541">
        <v>1.01</v>
      </c>
      <c r="I507" s="541">
        <v>0.7</v>
      </c>
      <c r="J507" s="734" t="s">
        <v>22</v>
      </c>
      <c r="K507" s="546">
        <v>1.65</v>
      </c>
      <c r="L507" s="694"/>
      <c r="M507" s="545"/>
    </row>
    <row r="508" s="492" customFormat="1" spans="1:13">
      <c r="A508" s="539"/>
      <c r="B508" s="509"/>
      <c r="C508" s="527"/>
      <c r="D508" s="538"/>
      <c r="E508" s="527"/>
      <c r="F508" s="527"/>
      <c r="G508" s="515" t="s">
        <v>91</v>
      </c>
      <c r="H508" s="541">
        <v>1.77</v>
      </c>
      <c r="I508" s="541">
        <v>0.95</v>
      </c>
      <c r="J508" s="545" t="s">
        <v>24</v>
      </c>
      <c r="K508" s="546" t="s">
        <v>24</v>
      </c>
      <c r="L508" s="694"/>
      <c r="M508" s="545"/>
    </row>
    <row r="509" s="492" customFormat="1" spans="1:13">
      <c r="A509" s="539">
        <v>46164</v>
      </c>
      <c r="B509" s="509" t="s">
        <v>317</v>
      </c>
      <c r="C509" s="527" t="s">
        <v>32</v>
      </c>
      <c r="D509" s="538">
        <v>10</v>
      </c>
      <c r="E509" s="527" t="s">
        <v>66</v>
      </c>
      <c r="F509" s="527" t="s">
        <v>59</v>
      </c>
      <c r="G509" s="515" t="s">
        <v>128</v>
      </c>
      <c r="H509" s="541">
        <v>1.01</v>
      </c>
      <c r="I509" s="541">
        <v>8.9</v>
      </c>
      <c r="J509" s="659" t="s">
        <v>17</v>
      </c>
      <c r="K509" s="511">
        <v>1.55</v>
      </c>
      <c r="L509" s="694" t="s">
        <v>129</v>
      </c>
      <c r="M509" s="545" t="s">
        <v>261</v>
      </c>
    </row>
    <row r="510" s="492" customFormat="1" spans="1:13">
      <c r="A510" s="539"/>
      <c r="B510" s="509"/>
      <c r="C510" s="527"/>
      <c r="D510" s="538"/>
      <c r="E510" s="527"/>
      <c r="F510" s="527"/>
      <c r="G510" s="515" t="s">
        <v>131</v>
      </c>
      <c r="H510" s="541">
        <v>1.17</v>
      </c>
      <c r="I510" s="541">
        <v>0.5</v>
      </c>
      <c r="J510" s="659" t="s">
        <v>22</v>
      </c>
      <c r="K510" s="511">
        <v>1.78</v>
      </c>
      <c r="L510" s="694"/>
      <c r="M510" s="545"/>
    </row>
    <row r="511" s="492" customFormat="1" spans="1:13">
      <c r="A511" s="539"/>
      <c r="B511" s="509"/>
      <c r="C511" s="527"/>
      <c r="D511" s="538"/>
      <c r="E511" s="527"/>
      <c r="F511" s="527"/>
      <c r="G511" s="515" t="s">
        <v>91</v>
      </c>
      <c r="H511" s="541">
        <v>1.75</v>
      </c>
      <c r="I511" s="541">
        <v>0.6</v>
      </c>
      <c r="J511" s="545" t="s">
        <v>24</v>
      </c>
      <c r="K511" s="546" t="s">
        <v>24</v>
      </c>
      <c r="L511" s="694"/>
      <c r="M511" s="545"/>
    </row>
    <row r="512" s="492" customFormat="1" spans="1:13">
      <c r="A512" s="540">
        <v>46168</v>
      </c>
      <c r="B512" s="515" t="s">
        <v>318</v>
      </c>
      <c r="C512" s="515" t="s">
        <v>13</v>
      </c>
      <c r="D512" s="541">
        <v>10</v>
      </c>
      <c r="E512" s="515" t="s">
        <v>72</v>
      </c>
      <c r="F512" s="515" t="s">
        <v>52</v>
      </c>
      <c r="G512" s="515" t="s">
        <v>73</v>
      </c>
      <c r="H512" s="546">
        <v>0.6986</v>
      </c>
      <c r="I512" s="541">
        <v>9</v>
      </c>
      <c r="J512" s="545" t="s">
        <v>17</v>
      </c>
      <c r="K512" s="546">
        <v>1.55</v>
      </c>
      <c r="L512" s="690" t="s">
        <v>74</v>
      </c>
      <c r="M512" s="515"/>
    </row>
    <row r="513" s="492" customFormat="1" spans="1:13">
      <c r="A513" s="540"/>
      <c r="B513" s="515"/>
      <c r="C513" s="515"/>
      <c r="D513" s="541"/>
      <c r="E513" s="515"/>
      <c r="F513" s="515"/>
      <c r="G513" s="515" t="s">
        <v>75</v>
      </c>
      <c r="H513" s="546">
        <v>0.9452</v>
      </c>
      <c r="I513" s="541">
        <v>0.3</v>
      </c>
      <c r="J513" s="545" t="s">
        <v>22</v>
      </c>
      <c r="K513" s="546">
        <v>1.77</v>
      </c>
      <c r="L513" s="690"/>
      <c r="M513" s="515"/>
    </row>
    <row r="514" s="492" customFormat="1" spans="1:13">
      <c r="A514" s="540"/>
      <c r="B514" s="515"/>
      <c r="C514" s="515"/>
      <c r="D514" s="541"/>
      <c r="E514" s="515"/>
      <c r="F514" s="515"/>
      <c r="G514" s="515" t="s">
        <v>91</v>
      </c>
      <c r="H514" s="546">
        <v>1.4466</v>
      </c>
      <c r="I514" s="541">
        <v>0.7</v>
      </c>
      <c r="J514" s="545" t="s">
        <v>24</v>
      </c>
      <c r="K514" s="546" t="s">
        <v>24</v>
      </c>
      <c r="L514" s="690"/>
      <c r="M514" s="515"/>
    </row>
    <row r="515" s="492" customFormat="1" spans="1:13">
      <c r="A515" s="540">
        <v>46168</v>
      </c>
      <c r="B515" s="515" t="s">
        <v>319</v>
      </c>
      <c r="C515" s="515" t="s">
        <v>13</v>
      </c>
      <c r="D515" s="541">
        <v>10</v>
      </c>
      <c r="E515" s="515" t="s">
        <v>33</v>
      </c>
      <c r="F515" s="515" t="s">
        <v>15</v>
      </c>
      <c r="G515" s="515" t="s">
        <v>73</v>
      </c>
      <c r="H515" s="546">
        <v>1.0548</v>
      </c>
      <c r="I515" s="541">
        <v>8.4</v>
      </c>
      <c r="J515" s="515" t="s">
        <v>17</v>
      </c>
      <c r="K515" s="541">
        <v>1.57</v>
      </c>
      <c r="L515" s="690" t="s">
        <v>18</v>
      </c>
      <c r="M515" s="545" t="s">
        <v>258</v>
      </c>
    </row>
    <row r="516" s="492" customFormat="1" spans="1:13">
      <c r="A516" s="540"/>
      <c r="B516" s="515"/>
      <c r="C516" s="515"/>
      <c r="D516" s="541"/>
      <c r="E516" s="515"/>
      <c r="F516" s="515"/>
      <c r="G516" s="515" t="s">
        <v>75</v>
      </c>
      <c r="H516" s="546">
        <v>1.2247</v>
      </c>
      <c r="I516" s="541">
        <v>0.6</v>
      </c>
      <c r="J516" s="515" t="s">
        <v>17</v>
      </c>
      <c r="K516" s="541">
        <v>1.68</v>
      </c>
      <c r="L516" s="690"/>
      <c r="M516" s="545"/>
    </row>
    <row r="517" s="492" customFormat="1" spans="1:13">
      <c r="A517" s="540"/>
      <c r="B517" s="515"/>
      <c r="C517" s="515"/>
      <c r="D517" s="541"/>
      <c r="E517" s="515"/>
      <c r="F517" s="515"/>
      <c r="G517" s="515" t="s">
        <v>90</v>
      </c>
      <c r="H517" s="546">
        <v>1.389</v>
      </c>
      <c r="I517" s="541">
        <v>0.5</v>
      </c>
      <c r="J517" s="515" t="s">
        <v>22</v>
      </c>
      <c r="K517" s="541">
        <v>1.79</v>
      </c>
      <c r="L517" s="690"/>
      <c r="M517" s="545"/>
    </row>
    <row r="518" s="492" customFormat="1" ht="17" customHeight="1" spans="1:13">
      <c r="A518" s="540"/>
      <c r="B518" s="515"/>
      <c r="C518" s="515"/>
      <c r="D518" s="541"/>
      <c r="E518" s="515"/>
      <c r="F518" s="515"/>
      <c r="G518" s="515" t="s">
        <v>91</v>
      </c>
      <c r="H518" s="546">
        <v>2.6438</v>
      </c>
      <c r="I518" s="541">
        <v>0.5</v>
      </c>
      <c r="J518" s="515" t="s">
        <v>24</v>
      </c>
      <c r="K518" s="541" t="s">
        <v>24</v>
      </c>
      <c r="L518" s="690"/>
      <c r="M518" s="545"/>
    </row>
    <row r="519" s="492" customFormat="1" spans="1:13">
      <c r="A519" s="539">
        <v>46168</v>
      </c>
      <c r="B519" s="575" t="s">
        <v>320</v>
      </c>
      <c r="C519" s="527" t="s">
        <v>13</v>
      </c>
      <c r="D519" s="538">
        <v>3</v>
      </c>
      <c r="E519" s="527" t="s">
        <v>72</v>
      </c>
      <c r="F519" s="527" t="s">
        <v>77</v>
      </c>
      <c r="G519" s="515" t="s">
        <v>73</v>
      </c>
      <c r="H519" s="541">
        <v>1</v>
      </c>
      <c r="I519" s="541">
        <v>2.64</v>
      </c>
      <c r="J519" s="659" t="s">
        <v>17</v>
      </c>
      <c r="K519" s="511">
        <v>1.75</v>
      </c>
      <c r="L519" s="694" t="s">
        <v>27</v>
      </c>
      <c r="M519" s="621" t="s">
        <v>321</v>
      </c>
    </row>
    <row r="520" s="492" customFormat="1" spans="1:13">
      <c r="A520" s="539"/>
      <c r="B520" s="509"/>
      <c r="C520" s="527"/>
      <c r="D520" s="538"/>
      <c r="E520" s="527"/>
      <c r="F520" s="527"/>
      <c r="G520" s="515" t="s">
        <v>75</v>
      </c>
      <c r="H520" s="541">
        <v>1</v>
      </c>
      <c r="I520" s="541">
        <v>0.14</v>
      </c>
      <c r="J520" s="659" t="s">
        <v>22</v>
      </c>
      <c r="K520" s="511">
        <v>1.75</v>
      </c>
      <c r="L520" s="694"/>
      <c r="M520" s="621"/>
    </row>
    <row r="521" s="492" customFormat="1" spans="1:13">
      <c r="A521" s="539"/>
      <c r="B521" s="509"/>
      <c r="C521" s="527"/>
      <c r="D521" s="538"/>
      <c r="E521" s="527"/>
      <c r="F521" s="527"/>
      <c r="G521" s="515" t="s">
        <v>99</v>
      </c>
      <c r="H521" s="541">
        <v>1.09</v>
      </c>
      <c r="I521" s="541">
        <v>0.07</v>
      </c>
      <c r="J521" s="659" t="s">
        <v>22</v>
      </c>
      <c r="K521" s="511">
        <v>3</v>
      </c>
      <c r="L521" s="694"/>
      <c r="M521" s="621"/>
    </row>
    <row r="522" s="492" customFormat="1" spans="1:13">
      <c r="A522" s="539"/>
      <c r="B522" s="509"/>
      <c r="C522" s="527"/>
      <c r="D522" s="538"/>
      <c r="E522" s="527"/>
      <c r="F522" s="527"/>
      <c r="G522" s="515" t="s">
        <v>91</v>
      </c>
      <c r="H522" s="541">
        <v>1.09</v>
      </c>
      <c r="I522" s="541">
        <v>0.15</v>
      </c>
      <c r="J522" s="545" t="s">
        <v>24</v>
      </c>
      <c r="K522" s="546" t="s">
        <v>24</v>
      </c>
      <c r="L522" s="694"/>
      <c r="M522" s="621"/>
    </row>
    <row r="523" s="492" customFormat="1" spans="1:13">
      <c r="A523" s="539">
        <v>46168</v>
      </c>
      <c r="B523" s="509" t="s">
        <v>322</v>
      </c>
      <c r="C523" s="527" t="s">
        <v>32</v>
      </c>
      <c r="D523" s="538">
        <v>15</v>
      </c>
      <c r="E523" s="527" t="s">
        <v>109</v>
      </c>
      <c r="F523" s="527" t="s">
        <v>111</v>
      </c>
      <c r="G523" s="515" t="s">
        <v>73</v>
      </c>
      <c r="H523" s="541">
        <v>1.08</v>
      </c>
      <c r="I523" s="541">
        <v>12.45</v>
      </c>
      <c r="J523" s="659" t="s">
        <v>17</v>
      </c>
      <c r="K523" s="546">
        <v>1.65</v>
      </c>
      <c r="L523" s="694" t="s">
        <v>35</v>
      </c>
      <c r="M523" s="545" t="s">
        <v>269</v>
      </c>
    </row>
    <row r="524" s="492" customFormat="1" spans="1:13">
      <c r="A524" s="539"/>
      <c r="B524" s="509"/>
      <c r="C524" s="527"/>
      <c r="D524" s="538"/>
      <c r="E524" s="527"/>
      <c r="F524" s="527"/>
      <c r="G524" s="515" t="s">
        <v>75</v>
      </c>
      <c r="H524" s="541">
        <v>1.08</v>
      </c>
      <c r="I524" s="541">
        <v>0.75</v>
      </c>
      <c r="J524" s="659" t="s">
        <v>22</v>
      </c>
      <c r="K524" s="546">
        <v>1.8</v>
      </c>
      <c r="L524" s="694"/>
      <c r="M524" s="545"/>
    </row>
    <row r="525" s="492" customFormat="1" spans="1:13">
      <c r="A525" s="539"/>
      <c r="B525" s="509"/>
      <c r="C525" s="527"/>
      <c r="D525" s="538"/>
      <c r="E525" s="527"/>
      <c r="F525" s="527"/>
      <c r="G525" s="515" t="s">
        <v>99</v>
      </c>
      <c r="H525" s="541">
        <v>1.75</v>
      </c>
      <c r="I525" s="541">
        <v>1.05</v>
      </c>
      <c r="J525" s="659" t="s">
        <v>100</v>
      </c>
      <c r="K525" s="546">
        <v>3.1</v>
      </c>
      <c r="L525" s="694"/>
      <c r="M525" s="545"/>
    </row>
    <row r="526" s="492" customFormat="1" spans="1:13">
      <c r="A526" s="539"/>
      <c r="B526" s="509"/>
      <c r="C526" s="527"/>
      <c r="D526" s="538"/>
      <c r="E526" s="527"/>
      <c r="F526" s="527"/>
      <c r="G526" s="515" t="s">
        <v>91</v>
      </c>
      <c r="H526" s="541">
        <v>1.75</v>
      </c>
      <c r="I526" s="541">
        <v>0.75</v>
      </c>
      <c r="J526" s="545" t="s">
        <v>24</v>
      </c>
      <c r="K526" s="546" t="s">
        <v>24</v>
      </c>
      <c r="L526" s="694"/>
      <c r="M526" s="545"/>
    </row>
    <row r="527" s="492" customFormat="1" spans="1:13">
      <c r="A527" s="539">
        <v>46169</v>
      </c>
      <c r="B527" s="509" t="s">
        <v>323</v>
      </c>
      <c r="C527" s="527" t="s">
        <v>32</v>
      </c>
      <c r="D527" s="538">
        <v>15</v>
      </c>
      <c r="E527" s="527" t="s">
        <v>109</v>
      </c>
      <c r="F527" s="527" t="s">
        <v>324</v>
      </c>
      <c r="G527" s="515" t="s">
        <v>73</v>
      </c>
      <c r="H527" s="541">
        <v>1.08</v>
      </c>
      <c r="I527" s="541">
        <v>12.45</v>
      </c>
      <c r="J527" s="659" t="s">
        <v>17</v>
      </c>
      <c r="K527" s="546">
        <v>1.65</v>
      </c>
      <c r="L527" s="694" t="s">
        <v>35</v>
      </c>
      <c r="M527" s="545" t="s">
        <v>269</v>
      </c>
    </row>
    <row r="528" s="492" customFormat="1" spans="1:13">
      <c r="A528" s="539"/>
      <c r="B528" s="509"/>
      <c r="C528" s="527"/>
      <c r="D528" s="538"/>
      <c r="E528" s="527"/>
      <c r="F528" s="527"/>
      <c r="G528" s="515" t="s">
        <v>75</v>
      </c>
      <c r="H528" s="541">
        <v>1.08</v>
      </c>
      <c r="I528" s="541">
        <v>0.75</v>
      </c>
      <c r="J528" s="659" t="s">
        <v>22</v>
      </c>
      <c r="K528" s="546">
        <v>1.83</v>
      </c>
      <c r="L528" s="694"/>
      <c r="M528" s="545"/>
    </row>
    <row r="529" s="492" customFormat="1" spans="1:13">
      <c r="A529" s="539"/>
      <c r="B529" s="509"/>
      <c r="C529" s="527"/>
      <c r="D529" s="538"/>
      <c r="E529" s="527"/>
      <c r="F529" s="527"/>
      <c r="G529" s="515" t="s">
        <v>99</v>
      </c>
      <c r="H529" s="541">
        <v>1.75</v>
      </c>
      <c r="I529" s="541">
        <v>1.05</v>
      </c>
      <c r="J529" s="659" t="s">
        <v>100</v>
      </c>
      <c r="K529" s="546">
        <v>3.1</v>
      </c>
      <c r="L529" s="694"/>
      <c r="M529" s="545"/>
    </row>
    <row r="530" s="492" customFormat="1" spans="1:13">
      <c r="A530" s="539"/>
      <c r="B530" s="509"/>
      <c r="C530" s="527"/>
      <c r="D530" s="538"/>
      <c r="E530" s="527"/>
      <c r="F530" s="527"/>
      <c r="G530" s="515" t="s">
        <v>91</v>
      </c>
      <c r="H530" s="541">
        <v>1.75</v>
      </c>
      <c r="I530" s="541">
        <v>0.75</v>
      </c>
      <c r="J530" s="545" t="s">
        <v>24</v>
      </c>
      <c r="K530" s="546" t="s">
        <v>24</v>
      </c>
      <c r="L530" s="694"/>
      <c r="M530" s="545"/>
    </row>
    <row r="531" s="492" customFormat="1" spans="1:13">
      <c r="A531" s="539">
        <v>46169</v>
      </c>
      <c r="B531" s="509" t="s">
        <v>325</v>
      </c>
      <c r="C531" s="527" t="s">
        <v>32</v>
      </c>
      <c r="D531" s="538">
        <v>5</v>
      </c>
      <c r="E531" s="527" t="s">
        <v>33</v>
      </c>
      <c r="F531" s="527" t="s">
        <v>39</v>
      </c>
      <c r="G531" s="515" t="s">
        <v>220</v>
      </c>
      <c r="H531" s="541">
        <v>1.08</v>
      </c>
      <c r="I531" s="541">
        <v>3.6</v>
      </c>
      <c r="J531" s="659" t="s">
        <v>17</v>
      </c>
      <c r="K531" s="511">
        <v>1.7</v>
      </c>
      <c r="L531" s="694" t="s">
        <v>41</v>
      </c>
      <c r="M531" s="545"/>
    </row>
    <row r="532" s="492" customFormat="1" spans="1:13">
      <c r="A532" s="539"/>
      <c r="B532" s="509"/>
      <c r="C532" s="527"/>
      <c r="D532" s="538"/>
      <c r="E532" s="527"/>
      <c r="F532" s="527"/>
      <c r="G532" s="515" t="s">
        <v>221</v>
      </c>
      <c r="H532" s="541">
        <v>1.25</v>
      </c>
      <c r="I532" s="541">
        <v>0.8</v>
      </c>
      <c r="J532" s="659" t="s">
        <v>17</v>
      </c>
      <c r="K532" s="511">
        <v>1.8</v>
      </c>
      <c r="L532" s="694"/>
      <c r="M532" s="545"/>
    </row>
    <row r="533" s="492" customFormat="1" spans="1:13">
      <c r="A533" s="539"/>
      <c r="B533" s="509"/>
      <c r="C533" s="527"/>
      <c r="D533" s="538"/>
      <c r="E533" s="527"/>
      <c r="F533" s="527"/>
      <c r="G533" s="515" t="s">
        <v>75</v>
      </c>
      <c r="H533" s="541">
        <v>1.29</v>
      </c>
      <c r="I533" s="541">
        <v>0.17</v>
      </c>
      <c r="J533" s="659" t="s">
        <v>22</v>
      </c>
      <c r="K533" s="511">
        <v>1.9</v>
      </c>
      <c r="L533" s="694"/>
      <c r="M533" s="545"/>
    </row>
    <row r="534" s="492" customFormat="1" spans="1:13">
      <c r="A534" s="539"/>
      <c r="B534" s="509"/>
      <c r="C534" s="527"/>
      <c r="D534" s="538"/>
      <c r="E534" s="527"/>
      <c r="F534" s="527"/>
      <c r="G534" s="515" t="s">
        <v>90</v>
      </c>
      <c r="H534" s="541">
        <v>1.38</v>
      </c>
      <c r="I534" s="541">
        <v>0.18</v>
      </c>
      <c r="J534" s="659" t="s">
        <v>136</v>
      </c>
      <c r="K534" s="511">
        <v>4.5</v>
      </c>
      <c r="L534" s="694"/>
      <c r="M534" s="545"/>
    </row>
    <row r="535" s="492" customFormat="1" spans="1:13">
      <c r="A535" s="539"/>
      <c r="B535" s="509"/>
      <c r="C535" s="527"/>
      <c r="D535" s="538"/>
      <c r="E535" s="527"/>
      <c r="F535" s="527"/>
      <c r="G535" s="515" t="s">
        <v>91</v>
      </c>
      <c r="H535" s="541">
        <v>1.75</v>
      </c>
      <c r="I535" s="541">
        <v>0.25</v>
      </c>
      <c r="J535" s="545" t="s">
        <v>24</v>
      </c>
      <c r="K535" s="546" t="s">
        <v>24</v>
      </c>
      <c r="L535" s="694"/>
      <c r="M535" s="545"/>
    </row>
    <row r="536" s="492" customFormat="1" spans="1:13">
      <c r="A536" s="539">
        <v>46169</v>
      </c>
      <c r="B536" s="509" t="s">
        <v>326</v>
      </c>
      <c r="C536" s="527" t="s">
        <v>13</v>
      </c>
      <c r="D536" s="538">
        <v>10</v>
      </c>
      <c r="E536" s="527" t="s">
        <v>72</v>
      </c>
      <c r="F536" s="527" t="s">
        <v>165</v>
      </c>
      <c r="G536" s="515" t="s">
        <v>73</v>
      </c>
      <c r="H536" s="541">
        <v>0.72</v>
      </c>
      <c r="I536" s="541">
        <v>9</v>
      </c>
      <c r="J536" s="659" t="s">
        <v>17</v>
      </c>
      <c r="K536" s="546">
        <v>1.55</v>
      </c>
      <c r="L536" s="694" t="s">
        <v>74</v>
      </c>
      <c r="M536" s="545"/>
    </row>
    <row r="537" s="492" customFormat="1" spans="1:13">
      <c r="A537" s="539"/>
      <c r="B537" s="509"/>
      <c r="C537" s="527"/>
      <c r="D537" s="538"/>
      <c r="E537" s="527"/>
      <c r="F537" s="527"/>
      <c r="G537" s="515" t="s">
        <v>75</v>
      </c>
      <c r="H537" s="541">
        <v>0.96</v>
      </c>
      <c r="I537" s="541">
        <v>0.3</v>
      </c>
      <c r="J537" s="659" t="s">
        <v>22</v>
      </c>
      <c r="K537" s="546">
        <v>1.73</v>
      </c>
      <c r="L537" s="694"/>
      <c r="M537" s="545"/>
    </row>
    <row r="538" s="492" customFormat="1" spans="1:13">
      <c r="A538" s="539"/>
      <c r="B538" s="509"/>
      <c r="C538" s="527"/>
      <c r="D538" s="538"/>
      <c r="E538" s="527"/>
      <c r="F538" s="527"/>
      <c r="G538" s="515" t="s">
        <v>91</v>
      </c>
      <c r="H538" s="541">
        <v>1.45</v>
      </c>
      <c r="I538" s="541">
        <v>0.7</v>
      </c>
      <c r="J538" s="545" t="s">
        <v>24</v>
      </c>
      <c r="K538" s="546" t="s">
        <v>24</v>
      </c>
      <c r="L538" s="694"/>
      <c r="M538" s="545"/>
    </row>
    <row r="539" s="492" customFormat="1" spans="1:13">
      <c r="A539" s="539">
        <v>46170</v>
      </c>
      <c r="B539" s="509" t="s">
        <v>327</v>
      </c>
      <c r="C539" s="527" t="s">
        <v>13</v>
      </c>
      <c r="D539" s="538">
        <v>10</v>
      </c>
      <c r="E539" s="527" t="s">
        <v>33</v>
      </c>
      <c r="F539" s="527" t="s">
        <v>165</v>
      </c>
      <c r="G539" s="515" t="s">
        <v>73</v>
      </c>
      <c r="H539" s="541">
        <v>0.78</v>
      </c>
      <c r="I539" s="541">
        <v>9</v>
      </c>
      <c r="J539" s="659" t="s">
        <v>17</v>
      </c>
      <c r="K539" s="546">
        <v>1.55</v>
      </c>
      <c r="L539" s="694" t="s">
        <v>74</v>
      </c>
      <c r="M539" s="545"/>
    </row>
    <row r="540" s="492" customFormat="1" spans="1:13">
      <c r="A540" s="539"/>
      <c r="B540" s="509"/>
      <c r="C540" s="527"/>
      <c r="D540" s="538"/>
      <c r="E540" s="527"/>
      <c r="F540" s="527"/>
      <c r="G540" s="515" t="s">
        <v>75</v>
      </c>
      <c r="H540" s="541">
        <v>1.04</v>
      </c>
      <c r="I540" s="541">
        <v>0.3</v>
      </c>
      <c r="J540" s="659" t="s">
        <v>22</v>
      </c>
      <c r="K540" s="546">
        <v>1.77</v>
      </c>
      <c r="L540" s="694"/>
      <c r="M540" s="545"/>
    </row>
    <row r="541" s="492" customFormat="1" spans="1:13">
      <c r="A541" s="539"/>
      <c r="B541" s="509"/>
      <c r="C541" s="527"/>
      <c r="D541" s="538"/>
      <c r="E541" s="527"/>
      <c r="F541" s="527"/>
      <c r="G541" s="515" t="s">
        <v>91</v>
      </c>
      <c r="H541" s="541">
        <v>1.53</v>
      </c>
      <c r="I541" s="541">
        <v>0.7</v>
      </c>
      <c r="J541" s="545" t="s">
        <v>24</v>
      </c>
      <c r="K541" s="546" t="s">
        <v>24</v>
      </c>
      <c r="L541" s="694"/>
      <c r="M541" s="545"/>
    </row>
    <row r="542" s="492" customFormat="1" spans="1:13">
      <c r="A542" s="539">
        <v>46170</v>
      </c>
      <c r="B542" s="509" t="s">
        <v>328</v>
      </c>
      <c r="C542" s="527" t="s">
        <v>13</v>
      </c>
      <c r="D542" s="538">
        <v>10</v>
      </c>
      <c r="E542" s="527" t="s">
        <v>33</v>
      </c>
      <c r="F542" s="527" t="s">
        <v>63</v>
      </c>
      <c r="G542" s="515" t="s">
        <v>73</v>
      </c>
      <c r="H542" s="546">
        <v>1.07</v>
      </c>
      <c r="I542" s="546">
        <v>8.3</v>
      </c>
      <c r="J542" s="659" t="s">
        <v>17</v>
      </c>
      <c r="K542" s="546">
        <v>1.6</v>
      </c>
      <c r="L542" s="666" t="s">
        <v>35</v>
      </c>
      <c r="M542" s="545" t="s">
        <v>269</v>
      </c>
    </row>
    <row r="543" s="492" customFormat="1" spans="1:13">
      <c r="A543" s="539"/>
      <c r="B543" s="509"/>
      <c r="C543" s="527"/>
      <c r="D543" s="538"/>
      <c r="E543" s="527"/>
      <c r="F543" s="527"/>
      <c r="G543" s="515" t="s">
        <v>75</v>
      </c>
      <c r="H543" s="546">
        <v>1.07</v>
      </c>
      <c r="I543" s="546">
        <v>0.5</v>
      </c>
      <c r="J543" s="659" t="s">
        <v>22</v>
      </c>
      <c r="K543" s="546">
        <v>1.78</v>
      </c>
      <c r="L543" s="667"/>
      <c r="M543" s="545"/>
    </row>
    <row r="544" s="492" customFormat="1" spans="1:13">
      <c r="A544" s="539"/>
      <c r="B544" s="509"/>
      <c r="C544" s="527"/>
      <c r="D544" s="538"/>
      <c r="E544" s="527"/>
      <c r="F544" s="527"/>
      <c r="G544" s="515" t="s">
        <v>99</v>
      </c>
      <c r="H544" s="546">
        <v>1.74</v>
      </c>
      <c r="I544" s="546">
        <v>0.7</v>
      </c>
      <c r="J544" s="659" t="s">
        <v>100</v>
      </c>
      <c r="K544" s="546">
        <v>3.1</v>
      </c>
      <c r="L544" s="667"/>
      <c r="M544" s="545"/>
    </row>
    <row r="545" s="492" customFormat="1" spans="1:13">
      <c r="A545" s="539"/>
      <c r="B545" s="509"/>
      <c r="C545" s="527"/>
      <c r="D545" s="538"/>
      <c r="E545" s="527"/>
      <c r="F545" s="527"/>
      <c r="G545" s="515" t="s">
        <v>91</v>
      </c>
      <c r="H545" s="546">
        <v>1.74</v>
      </c>
      <c r="I545" s="546">
        <v>0.5</v>
      </c>
      <c r="J545" s="545" t="s">
        <v>24</v>
      </c>
      <c r="K545" s="546" t="s">
        <v>24</v>
      </c>
      <c r="L545" s="669"/>
      <c r="M545" s="545"/>
    </row>
    <row r="546" s="492" customFormat="1" spans="1:13">
      <c r="A546" s="539">
        <v>46170</v>
      </c>
      <c r="B546" s="509" t="s">
        <v>329</v>
      </c>
      <c r="C546" s="527" t="s">
        <v>13</v>
      </c>
      <c r="D546" s="538">
        <v>10</v>
      </c>
      <c r="E546" s="527" t="s">
        <v>66</v>
      </c>
      <c r="F546" s="527" t="s">
        <v>77</v>
      </c>
      <c r="G546" s="515" t="s">
        <v>73</v>
      </c>
      <c r="H546" s="546">
        <v>1.07</v>
      </c>
      <c r="I546" s="546">
        <v>8.24</v>
      </c>
      <c r="J546" s="659" t="s">
        <v>17</v>
      </c>
      <c r="K546" s="546">
        <v>1.54</v>
      </c>
      <c r="L546" s="666" t="s">
        <v>60</v>
      </c>
      <c r="M546" s="515" t="s">
        <v>61</v>
      </c>
    </row>
    <row r="547" s="492" customFormat="1" spans="1:13">
      <c r="A547" s="539"/>
      <c r="B547" s="509"/>
      <c r="C547" s="527"/>
      <c r="D547" s="538"/>
      <c r="E547" s="527"/>
      <c r="F547" s="527"/>
      <c r="G547" s="515" t="s">
        <v>75</v>
      </c>
      <c r="H547" s="546">
        <v>1.07</v>
      </c>
      <c r="I547" s="546">
        <v>0.52</v>
      </c>
      <c r="J547" s="659" t="s">
        <v>22</v>
      </c>
      <c r="K547" s="546">
        <v>1.6</v>
      </c>
      <c r="L547" s="667"/>
      <c r="M547" s="515"/>
    </row>
    <row r="548" s="492" customFormat="1" spans="1:13">
      <c r="A548" s="539"/>
      <c r="B548" s="509"/>
      <c r="C548" s="527"/>
      <c r="D548" s="538"/>
      <c r="E548" s="527"/>
      <c r="F548" s="527"/>
      <c r="G548" s="515" t="s">
        <v>90</v>
      </c>
      <c r="H548" s="546">
        <v>1.07</v>
      </c>
      <c r="I548" s="546">
        <v>0.4</v>
      </c>
      <c r="J548" s="659" t="s">
        <v>44</v>
      </c>
      <c r="K548" s="546">
        <v>2.8</v>
      </c>
      <c r="L548" s="667"/>
      <c r="M548" s="515"/>
    </row>
    <row r="549" s="492" customFormat="1" spans="1:13">
      <c r="A549" s="539"/>
      <c r="B549" s="509"/>
      <c r="C549" s="527"/>
      <c r="D549" s="538"/>
      <c r="E549" s="527"/>
      <c r="F549" s="527"/>
      <c r="G549" s="515" t="s">
        <v>91</v>
      </c>
      <c r="H549" s="546">
        <v>1.99</v>
      </c>
      <c r="I549" s="546">
        <v>0.84</v>
      </c>
      <c r="J549" s="545" t="s">
        <v>24</v>
      </c>
      <c r="K549" s="546" t="s">
        <v>24</v>
      </c>
      <c r="L549" s="669"/>
      <c r="M549" s="515"/>
    </row>
    <row r="550" s="492" customFormat="1" spans="1:13">
      <c r="A550" s="539">
        <v>46170</v>
      </c>
      <c r="B550" s="509" t="s">
        <v>330</v>
      </c>
      <c r="C550" s="527" t="s">
        <v>32</v>
      </c>
      <c r="D550" s="538">
        <v>10</v>
      </c>
      <c r="E550" s="527" t="s">
        <v>14</v>
      </c>
      <c r="F550" s="527" t="s">
        <v>94</v>
      </c>
      <c r="G550" s="515" t="s">
        <v>73</v>
      </c>
      <c r="H550" s="546">
        <v>1.08</v>
      </c>
      <c r="I550" s="546">
        <v>8.24</v>
      </c>
      <c r="J550" s="659" t="s">
        <v>17</v>
      </c>
      <c r="K550" s="546">
        <v>1.55</v>
      </c>
      <c r="L550" s="666" t="s">
        <v>60</v>
      </c>
      <c r="M550" s="527" t="s">
        <v>61</v>
      </c>
    </row>
    <row r="551" s="492" customFormat="1" spans="1:13">
      <c r="A551" s="539"/>
      <c r="B551" s="509"/>
      <c r="C551" s="527"/>
      <c r="D551" s="538"/>
      <c r="E551" s="527"/>
      <c r="F551" s="527"/>
      <c r="G551" s="515" t="s">
        <v>75</v>
      </c>
      <c r="H551" s="546">
        <v>1.08</v>
      </c>
      <c r="I551" s="546">
        <v>0.52</v>
      </c>
      <c r="J551" s="659" t="s">
        <v>22</v>
      </c>
      <c r="K551" s="546">
        <v>1.6</v>
      </c>
      <c r="L551" s="667"/>
      <c r="M551" s="527"/>
    </row>
    <row r="552" s="492" customFormat="1" spans="1:13">
      <c r="A552" s="539"/>
      <c r="B552" s="509"/>
      <c r="C552" s="527"/>
      <c r="D552" s="538"/>
      <c r="E552" s="527"/>
      <c r="F552" s="527"/>
      <c r="G552" s="515" t="s">
        <v>90</v>
      </c>
      <c r="H552" s="546">
        <v>1.08</v>
      </c>
      <c r="I552" s="546">
        <v>0.4</v>
      </c>
      <c r="J552" s="659" t="s">
        <v>44</v>
      </c>
      <c r="K552" s="546">
        <v>2.8</v>
      </c>
      <c r="L552" s="667"/>
      <c r="M552" s="527"/>
    </row>
    <row r="553" s="492" customFormat="1" spans="1:13">
      <c r="A553" s="539"/>
      <c r="B553" s="509"/>
      <c r="C553" s="527"/>
      <c r="D553" s="538"/>
      <c r="E553" s="527"/>
      <c r="F553" s="527"/>
      <c r="G553" s="515" t="s">
        <v>91</v>
      </c>
      <c r="H553" s="546">
        <v>2</v>
      </c>
      <c r="I553" s="546">
        <v>0.84</v>
      </c>
      <c r="J553" s="545" t="s">
        <v>24</v>
      </c>
      <c r="K553" s="546" t="s">
        <v>24</v>
      </c>
      <c r="L553" s="669"/>
      <c r="M553" s="527"/>
    </row>
    <row r="554" s="492" customFormat="1" spans="1:13">
      <c r="A554" s="539">
        <v>46171</v>
      </c>
      <c r="B554" s="509" t="s">
        <v>331</v>
      </c>
      <c r="C554" s="527" t="s">
        <v>13</v>
      </c>
      <c r="D554" s="538">
        <v>10</v>
      </c>
      <c r="E554" s="527" t="s">
        <v>72</v>
      </c>
      <c r="F554" s="527" t="s">
        <v>63</v>
      </c>
      <c r="G554" s="515" t="s">
        <v>73</v>
      </c>
      <c r="H554" s="546">
        <v>0.72</v>
      </c>
      <c r="I554" s="546">
        <v>9</v>
      </c>
      <c r="J554" s="659" t="s">
        <v>17</v>
      </c>
      <c r="K554" s="546">
        <v>1.55</v>
      </c>
      <c r="L554" s="666" t="s">
        <v>74</v>
      </c>
      <c r="M554" s="527"/>
    </row>
    <row r="555" s="492" customFormat="1" spans="1:13">
      <c r="A555" s="539"/>
      <c r="B555" s="509"/>
      <c r="C555" s="527"/>
      <c r="D555" s="538"/>
      <c r="E555" s="527"/>
      <c r="F555" s="527"/>
      <c r="G555" s="515" t="s">
        <v>75</v>
      </c>
      <c r="H555" s="546">
        <v>0.95</v>
      </c>
      <c r="I555" s="546">
        <v>0.3</v>
      </c>
      <c r="J555" s="659" t="s">
        <v>22</v>
      </c>
      <c r="K555" s="546">
        <v>1.77</v>
      </c>
      <c r="L555" s="667"/>
      <c r="M555" s="527"/>
    </row>
    <row r="556" s="492" customFormat="1" spans="1:13">
      <c r="A556" s="539"/>
      <c r="B556" s="509"/>
      <c r="C556" s="527"/>
      <c r="D556" s="538"/>
      <c r="E556" s="527"/>
      <c r="F556" s="527"/>
      <c r="G556" s="515" t="s">
        <v>91</v>
      </c>
      <c r="H556" s="546">
        <v>1.44</v>
      </c>
      <c r="I556" s="546">
        <v>0.7</v>
      </c>
      <c r="J556" s="545" t="s">
        <v>24</v>
      </c>
      <c r="K556" s="546" t="s">
        <v>24</v>
      </c>
      <c r="L556" s="669"/>
      <c r="M556" s="527"/>
    </row>
    <row r="557" s="492" customFormat="1" spans="1:13">
      <c r="A557" s="539">
        <v>46171</v>
      </c>
      <c r="B557" s="509" t="s">
        <v>332</v>
      </c>
      <c r="C557" s="527" t="s">
        <v>13</v>
      </c>
      <c r="D557" s="538">
        <v>15</v>
      </c>
      <c r="E557" s="527" t="s">
        <v>33</v>
      </c>
      <c r="F557" s="527" t="s">
        <v>63</v>
      </c>
      <c r="G557" s="515" t="s">
        <v>73</v>
      </c>
      <c r="H557" s="546">
        <v>1.08</v>
      </c>
      <c r="I557" s="546">
        <v>12.45</v>
      </c>
      <c r="J557" s="659" t="s">
        <v>17</v>
      </c>
      <c r="K557" s="546">
        <v>1.6</v>
      </c>
      <c r="L557" s="666" t="s">
        <v>35</v>
      </c>
      <c r="M557" s="527" t="s">
        <v>98</v>
      </c>
    </row>
    <row r="558" s="492" customFormat="1" spans="1:13">
      <c r="A558" s="539"/>
      <c r="B558" s="509"/>
      <c r="C558" s="527"/>
      <c r="D558" s="538"/>
      <c r="E558" s="527"/>
      <c r="F558" s="527"/>
      <c r="G558" s="515" t="s">
        <v>75</v>
      </c>
      <c r="H558" s="546">
        <v>1.08</v>
      </c>
      <c r="I558" s="546">
        <v>0.75</v>
      </c>
      <c r="J558" s="659" t="s">
        <v>22</v>
      </c>
      <c r="K558" s="546">
        <v>1.8</v>
      </c>
      <c r="L558" s="667"/>
      <c r="M558" s="527"/>
    </row>
    <row r="559" s="492" customFormat="1" spans="1:13">
      <c r="A559" s="539"/>
      <c r="B559" s="509"/>
      <c r="C559" s="527"/>
      <c r="D559" s="538"/>
      <c r="E559" s="527"/>
      <c r="F559" s="527"/>
      <c r="G559" s="515" t="s">
        <v>99</v>
      </c>
      <c r="H559" s="546">
        <v>1.74</v>
      </c>
      <c r="I559" s="546">
        <v>1.05</v>
      </c>
      <c r="J559" s="659" t="s">
        <v>100</v>
      </c>
      <c r="K559" s="546">
        <v>3.1</v>
      </c>
      <c r="L559" s="667"/>
      <c r="M559" s="527"/>
    </row>
    <row r="560" s="492" customFormat="1" spans="1:13">
      <c r="A560" s="539"/>
      <c r="B560" s="509"/>
      <c r="C560" s="527"/>
      <c r="D560" s="538"/>
      <c r="E560" s="527"/>
      <c r="F560" s="527"/>
      <c r="G560" s="515" t="s">
        <v>91</v>
      </c>
      <c r="H560" s="546">
        <v>1.74</v>
      </c>
      <c r="I560" s="546">
        <v>0.75</v>
      </c>
      <c r="J560" s="545" t="s">
        <v>24</v>
      </c>
      <c r="K560" s="546" t="s">
        <v>24</v>
      </c>
      <c r="L560" s="669"/>
      <c r="M560" s="527"/>
    </row>
    <row r="561" s="492" customFormat="1" spans="1:13">
      <c r="A561" s="539">
        <v>46171</v>
      </c>
      <c r="B561" s="509" t="s">
        <v>333</v>
      </c>
      <c r="C561" s="527" t="s">
        <v>13</v>
      </c>
      <c r="D561" s="538">
        <v>10</v>
      </c>
      <c r="E561" s="527" t="s">
        <v>208</v>
      </c>
      <c r="F561" s="527" t="s">
        <v>111</v>
      </c>
      <c r="G561" s="515" t="s">
        <v>73</v>
      </c>
      <c r="H561" s="546">
        <v>0.99</v>
      </c>
      <c r="I561" s="546">
        <v>9</v>
      </c>
      <c r="J561" s="659" t="s">
        <v>17</v>
      </c>
      <c r="K561" s="546">
        <v>1.57</v>
      </c>
      <c r="L561" s="666" t="s">
        <v>35</v>
      </c>
      <c r="M561" s="527" t="s">
        <v>36</v>
      </c>
    </row>
    <row r="562" s="492" customFormat="1" spans="1:13">
      <c r="A562" s="539"/>
      <c r="B562" s="509"/>
      <c r="C562" s="527"/>
      <c r="D562" s="538"/>
      <c r="E562" s="527"/>
      <c r="F562" s="527"/>
      <c r="G562" s="515" t="s">
        <v>75</v>
      </c>
      <c r="H562" s="546">
        <v>0.99</v>
      </c>
      <c r="I562" s="546">
        <v>0.3</v>
      </c>
      <c r="J562" s="659" t="s">
        <v>22</v>
      </c>
      <c r="K562" s="546">
        <v>1.7</v>
      </c>
      <c r="L562" s="667"/>
      <c r="M562" s="527"/>
    </row>
    <row r="563" s="492" customFormat="1" spans="1:13">
      <c r="A563" s="539"/>
      <c r="B563" s="509"/>
      <c r="C563" s="527"/>
      <c r="D563" s="538"/>
      <c r="E563" s="527"/>
      <c r="F563" s="527"/>
      <c r="G563" s="515" t="s">
        <v>99</v>
      </c>
      <c r="H563" s="546">
        <v>1.08</v>
      </c>
      <c r="I563" s="546">
        <v>0.2</v>
      </c>
      <c r="J563" s="659" t="s">
        <v>64</v>
      </c>
      <c r="K563" s="546">
        <v>3.1</v>
      </c>
      <c r="L563" s="667"/>
      <c r="M563" s="527"/>
    </row>
    <row r="564" s="492" customFormat="1" spans="1:13">
      <c r="A564" s="539"/>
      <c r="B564" s="509"/>
      <c r="C564" s="527"/>
      <c r="D564" s="538"/>
      <c r="E564" s="527"/>
      <c r="F564" s="527"/>
      <c r="G564" s="515" t="s">
        <v>91</v>
      </c>
      <c r="H564" s="546">
        <v>1.08</v>
      </c>
      <c r="I564" s="546">
        <v>0.5</v>
      </c>
      <c r="J564" s="545" t="s">
        <v>24</v>
      </c>
      <c r="K564" s="546" t="s">
        <v>24</v>
      </c>
      <c r="L564" s="669"/>
      <c r="M564" s="527"/>
    </row>
    <row r="565" s="492" customFormat="1" spans="1:13">
      <c r="A565" s="539">
        <v>46171</v>
      </c>
      <c r="B565" s="509" t="s">
        <v>334</v>
      </c>
      <c r="C565" s="527" t="s">
        <v>32</v>
      </c>
      <c r="D565" s="538">
        <v>15</v>
      </c>
      <c r="E565" s="527" t="s">
        <v>109</v>
      </c>
      <c r="F565" s="527" t="s">
        <v>111</v>
      </c>
      <c r="G565" s="515" t="s">
        <v>73</v>
      </c>
      <c r="H565" s="546">
        <v>1.08</v>
      </c>
      <c r="I565" s="546">
        <v>12.45</v>
      </c>
      <c r="J565" s="659" t="s">
        <v>17</v>
      </c>
      <c r="K565" s="546">
        <v>1.65</v>
      </c>
      <c r="L565" s="666" t="s">
        <v>35</v>
      </c>
      <c r="M565" s="545" t="s">
        <v>269</v>
      </c>
    </row>
    <row r="566" s="492" customFormat="1" spans="1:13">
      <c r="A566" s="539"/>
      <c r="B566" s="509"/>
      <c r="C566" s="527"/>
      <c r="D566" s="538"/>
      <c r="E566" s="527"/>
      <c r="F566" s="527"/>
      <c r="G566" s="515" t="s">
        <v>75</v>
      </c>
      <c r="H566" s="546">
        <v>1.08</v>
      </c>
      <c r="I566" s="546">
        <v>0.75</v>
      </c>
      <c r="J566" s="659" t="s">
        <v>22</v>
      </c>
      <c r="K566" s="546">
        <v>1.8</v>
      </c>
      <c r="L566" s="667"/>
      <c r="M566" s="545"/>
    </row>
    <row r="567" s="492" customFormat="1" spans="1:13">
      <c r="A567" s="539"/>
      <c r="B567" s="509"/>
      <c r="C567" s="527"/>
      <c r="D567" s="538"/>
      <c r="E567" s="527"/>
      <c r="F567" s="527"/>
      <c r="G567" s="515" t="s">
        <v>99</v>
      </c>
      <c r="H567" s="546">
        <v>1.74</v>
      </c>
      <c r="I567" s="546">
        <v>1.05</v>
      </c>
      <c r="J567" s="659" t="s">
        <v>100</v>
      </c>
      <c r="K567" s="546">
        <v>3.1</v>
      </c>
      <c r="L567" s="667"/>
      <c r="M567" s="545"/>
    </row>
    <row r="568" s="492" customFormat="1" spans="1:13">
      <c r="A568" s="539"/>
      <c r="B568" s="509"/>
      <c r="C568" s="527"/>
      <c r="D568" s="538"/>
      <c r="E568" s="527"/>
      <c r="F568" s="527"/>
      <c r="G568" s="515" t="s">
        <v>91</v>
      </c>
      <c r="H568" s="546">
        <v>1.74</v>
      </c>
      <c r="I568" s="546">
        <v>0.75</v>
      </c>
      <c r="J568" s="545" t="s">
        <v>24</v>
      </c>
      <c r="K568" s="546" t="s">
        <v>24</v>
      </c>
      <c r="L568" s="669"/>
      <c r="M568" s="545"/>
    </row>
    <row r="569" s="492" customFormat="1" spans="1:13">
      <c r="A569" s="539">
        <v>46171</v>
      </c>
      <c r="B569" s="509" t="s">
        <v>335</v>
      </c>
      <c r="C569" s="527" t="s">
        <v>13</v>
      </c>
      <c r="D569" s="538">
        <v>7</v>
      </c>
      <c r="E569" s="527" t="s">
        <v>33</v>
      </c>
      <c r="F569" s="527" t="s">
        <v>52</v>
      </c>
      <c r="G569" s="515" t="s">
        <v>73</v>
      </c>
      <c r="H569" s="541">
        <v>0.9973</v>
      </c>
      <c r="I569" s="541">
        <v>6.02</v>
      </c>
      <c r="J569" s="545" t="s">
        <v>17</v>
      </c>
      <c r="K569" s="546">
        <v>1.6</v>
      </c>
      <c r="L569" s="694" t="s">
        <v>35</v>
      </c>
      <c r="M569" s="545" t="s">
        <v>336</v>
      </c>
    </row>
    <row r="570" s="492" customFormat="1" spans="1:13">
      <c r="A570" s="539"/>
      <c r="B570" s="509"/>
      <c r="C570" s="527"/>
      <c r="D570" s="538"/>
      <c r="E570" s="527"/>
      <c r="F570" s="527"/>
      <c r="G570" s="515" t="s">
        <v>75</v>
      </c>
      <c r="H570" s="541">
        <v>0.9973</v>
      </c>
      <c r="I570" s="541">
        <v>0.28</v>
      </c>
      <c r="J570" s="545" t="s">
        <v>22</v>
      </c>
      <c r="K570" s="546">
        <v>1.7</v>
      </c>
      <c r="L570" s="694"/>
      <c r="M570" s="545"/>
    </row>
    <row r="571" s="492" customFormat="1" spans="1:13">
      <c r="A571" s="539"/>
      <c r="B571" s="509"/>
      <c r="C571" s="527"/>
      <c r="D571" s="538"/>
      <c r="E571" s="527"/>
      <c r="F571" s="527"/>
      <c r="G571" s="515" t="s">
        <v>90</v>
      </c>
      <c r="H571" s="541">
        <v>0.9973</v>
      </c>
      <c r="I571" s="541">
        <v>0.35</v>
      </c>
      <c r="J571" s="545" t="s">
        <v>64</v>
      </c>
      <c r="K571" s="546">
        <v>3.1</v>
      </c>
      <c r="L571" s="694"/>
      <c r="M571" s="545"/>
    </row>
    <row r="572" s="492" customFormat="1" spans="1:13">
      <c r="A572" s="539"/>
      <c r="B572" s="509"/>
      <c r="C572" s="527"/>
      <c r="D572" s="538"/>
      <c r="E572" s="527"/>
      <c r="F572" s="527"/>
      <c r="G572" s="515" t="s">
        <v>91</v>
      </c>
      <c r="H572" s="541">
        <v>1.5041</v>
      </c>
      <c r="I572" s="541">
        <v>0.35</v>
      </c>
      <c r="J572" s="545" t="s">
        <v>24</v>
      </c>
      <c r="K572" s="546" t="s">
        <v>24</v>
      </c>
      <c r="L572" s="694"/>
      <c r="M572" s="545"/>
    </row>
    <row r="573" s="492" customFormat="1" spans="1:13">
      <c r="A573" s="539">
        <v>46171</v>
      </c>
      <c r="B573" s="509" t="s">
        <v>337</v>
      </c>
      <c r="C573" s="527" t="s">
        <v>13</v>
      </c>
      <c r="D573" s="538">
        <v>10</v>
      </c>
      <c r="E573" s="527" t="s">
        <v>109</v>
      </c>
      <c r="F573" s="527" t="s">
        <v>59</v>
      </c>
      <c r="G573" s="515" t="s">
        <v>73</v>
      </c>
      <c r="H573" s="546">
        <v>1.08</v>
      </c>
      <c r="I573" s="546">
        <v>8.3</v>
      </c>
      <c r="J573" s="659" t="s">
        <v>17</v>
      </c>
      <c r="K573" s="546">
        <v>1.65</v>
      </c>
      <c r="L573" s="666" t="s">
        <v>35</v>
      </c>
      <c r="M573" s="545" t="s">
        <v>269</v>
      </c>
    </row>
    <row r="574" s="492" customFormat="1" spans="1:13">
      <c r="A574" s="539"/>
      <c r="B574" s="509"/>
      <c r="C574" s="527"/>
      <c r="D574" s="538"/>
      <c r="E574" s="527"/>
      <c r="F574" s="527"/>
      <c r="G574" s="515" t="s">
        <v>75</v>
      </c>
      <c r="H574" s="546">
        <v>1.08</v>
      </c>
      <c r="I574" s="546">
        <v>0.5</v>
      </c>
      <c r="J574" s="659" t="s">
        <v>22</v>
      </c>
      <c r="K574" s="546">
        <v>1.8</v>
      </c>
      <c r="L574" s="667"/>
      <c r="M574" s="545"/>
    </row>
    <row r="575" s="492" customFormat="1" spans="1:13">
      <c r="A575" s="539"/>
      <c r="B575" s="509"/>
      <c r="C575" s="527"/>
      <c r="D575" s="538"/>
      <c r="E575" s="527"/>
      <c r="F575" s="527"/>
      <c r="G575" s="515" t="s">
        <v>99</v>
      </c>
      <c r="H575" s="546">
        <v>1.74</v>
      </c>
      <c r="I575" s="546">
        <v>0.7</v>
      </c>
      <c r="J575" s="659" t="s">
        <v>100</v>
      </c>
      <c r="K575" s="546">
        <v>3.1</v>
      </c>
      <c r="L575" s="667"/>
      <c r="M575" s="545"/>
    </row>
    <row r="576" s="492" customFormat="1" spans="1:13">
      <c r="A576" s="539"/>
      <c r="B576" s="509"/>
      <c r="C576" s="527"/>
      <c r="D576" s="538"/>
      <c r="E576" s="527"/>
      <c r="F576" s="527"/>
      <c r="G576" s="515" t="s">
        <v>91</v>
      </c>
      <c r="H576" s="546">
        <v>1.74</v>
      </c>
      <c r="I576" s="546">
        <v>0.5</v>
      </c>
      <c r="J576" s="545" t="s">
        <v>24</v>
      </c>
      <c r="K576" s="546" t="s">
        <v>24</v>
      </c>
      <c r="L576" s="669"/>
      <c r="M576" s="545"/>
    </row>
    <row r="577" s="492" customFormat="1" spans="1:13">
      <c r="A577" s="539">
        <v>46177</v>
      </c>
      <c r="B577" s="509" t="s">
        <v>338</v>
      </c>
      <c r="C577" s="527" t="s">
        <v>13</v>
      </c>
      <c r="D577" s="538">
        <v>4</v>
      </c>
      <c r="E577" s="527" t="s">
        <v>33</v>
      </c>
      <c r="F577" s="527" t="s">
        <v>119</v>
      </c>
      <c r="G577" s="545" t="s">
        <v>166</v>
      </c>
      <c r="H577" s="546">
        <v>0.95</v>
      </c>
      <c r="I577" s="546">
        <v>1.2</v>
      </c>
      <c r="J577" s="659" t="s">
        <v>17</v>
      </c>
      <c r="K577" s="546">
        <v>2.5</v>
      </c>
      <c r="L577" s="666" t="s">
        <v>48</v>
      </c>
      <c r="M577" s="527"/>
    </row>
    <row r="578" s="492" customFormat="1" spans="1:13">
      <c r="A578" s="539"/>
      <c r="B578" s="509"/>
      <c r="C578" s="527"/>
      <c r="D578" s="538"/>
      <c r="E578" s="527"/>
      <c r="F578" s="527"/>
      <c r="G578" s="545" t="s">
        <v>167</v>
      </c>
      <c r="H578" s="546">
        <v>1.95</v>
      </c>
      <c r="I578" s="546">
        <v>1.6</v>
      </c>
      <c r="J578" s="659" t="s">
        <v>17</v>
      </c>
      <c r="K578" s="546">
        <v>2.7</v>
      </c>
      <c r="L578" s="667"/>
      <c r="M578" s="527"/>
    </row>
    <row r="579" s="492" customFormat="1" spans="1:13">
      <c r="A579" s="539"/>
      <c r="B579" s="509"/>
      <c r="C579" s="527"/>
      <c r="D579" s="538"/>
      <c r="E579" s="527"/>
      <c r="F579" s="527"/>
      <c r="G579" s="545" t="s">
        <v>168</v>
      </c>
      <c r="H579" s="546">
        <v>2.95</v>
      </c>
      <c r="I579" s="546">
        <v>1.14</v>
      </c>
      <c r="J579" s="659" t="s">
        <v>17</v>
      </c>
      <c r="K579" s="546">
        <v>3.4</v>
      </c>
      <c r="L579" s="667"/>
      <c r="M579" s="527"/>
    </row>
    <row r="580" s="492" customFormat="1" spans="1:13">
      <c r="A580" s="539"/>
      <c r="B580" s="509"/>
      <c r="C580" s="527"/>
      <c r="D580" s="538"/>
      <c r="E580" s="527"/>
      <c r="F580" s="527"/>
      <c r="G580" s="545" t="s">
        <v>148</v>
      </c>
      <c r="H580" s="546">
        <v>2.95</v>
      </c>
      <c r="I580" s="546">
        <v>0.06</v>
      </c>
      <c r="J580" s="545" t="s">
        <v>24</v>
      </c>
      <c r="K580" s="546" t="s">
        <v>24</v>
      </c>
      <c r="L580" s="669"/>
      <c r="M580" s="527"/>
    </row>
    <row r="581" s="492" customFormat="1" spans="1:13">
      <c r="A581" s="539">
        <v>46177</v>
      </c>
      <c r="B581" s="509" t="s">
        <v>339</v>
      </c>
      <c r="C581" s="527" t="s">
        <v>32</v>
      </c>
      <c r="D581" s="538">
        <v>3.8</v>
      </c>
      <c r="E581" s="527" t="s">
        <v>33</v>
      </c>
      <c r="F581" s="527" t="s">
        <v>206</v>
      </c>
      <c r="G581" s="515" t="s">
        <v>73</v>
      </c>
      <c r="H581" s="546">
        <v>0.59</v>
      </c>
      <c r="I581" s="546">
        <v>3.58</v>
      </c>
      <c r="J581" s="659" t="s">
        <v>17</v>
      </c>
      <c r="K581" s="546">
        <v>1.54</v>
      </c>
      <c r="L581" s="666" t="s">
        <v>112</v>
      </c>
      <c r="M581" s="527"/>
    </row>
    <row r="582" s="492" customFormat="1" spans="1:13">
      <c r="A582" s="539"/>
      <c r="B582" s="509"/>
      <c r="C582" s="527"/>
      <c r="D582" s="538"/>
      <c r="E582" s="527"/>
      <c r="F582" s="527"/>
      <c r="G582" s="515" t="s">
        <v>75</v>
      </c>
      <c r="H582" s="546">
        <v>0.59</v>
      </c>
      <c r="I582" s="546">
        <v>0.22</v>
      </c>
      <c r="J582" s="659" t="s">
        <v>22</v>
      </c>
      <c r="K582" s="546">
        <v>1.6</v>
      </c>
      <c r="L582" s="669"/>
      <c r="M582" s="527"/>
    </row>
    <row r="583" s="492" customFormat="1" spans="1:13">
      <c r="A583" s="522">
        <v>46178</v>
      </c>
      <c r="B583" s="507" t="s">
        <v>340</v>
      </c>
      <c r="C583" s="526" t="s">
        <v>13</v>
      </c>
      <c r="D583" s="523">
        <v>3</v>
      </c>
      <c r="E583" s="526" t="s">
        <v>14</v>
      </c>
      <c r="F583" s="526" t="s">
        <v>111</v>
      </c>
      <c r="G583" s="515" t="s">
        <v>73</v>
      </c>
      <c r="H583" s="546">
        <v>0.55</v>
      </c>
      <c r="I583" s="546">
        <v>2.7</v>
      </c>
      <c r="J583" s="659" t="s">
        <v>17</v>
      </c>
      <c r="K583" s="546">
        <v>1.5</v>
      </c>
      <c r="L583" s="716" t="s">
        <v>112</v>
      </c>
      <c r="M583" s="545"/>
    </row>
    <row r="584" s="492" customFormat="1" spans="1:13">
      <c r="A584" s="528"/>
      <c r="B584" s="513"/>
      <c r="C584" s="531"/>
      <c r="D584" s="529"/>
      <c r="E584" s="531"/>
      <c r="F584" s="531"/>
      <c r="G584" s="515" t="s">
        <v>75</v>
      </c>
      <c r="H584" s="546">
        <v>0.55</v>
      </c>
      <c r="I584" s="546">
        <v>0.15</v>
      </c>
      <c r="J584" s="545" t="s">
        <v>22</v>
      </c>
      <c r="K584" s="546">
        <v>1.6</v>
      </c>
      <c r="L584" s="716"/>
      <c r="M584" s="545"/>
    </row>
    <row r="585" s="492" customFormat="1" spans="1:13">
      <c r="A585" s="528"/>
      <c r="B585" s="513"/>
      <c r="C585" s="531"/>
      <c r="D585" s="529"/>
      <c r="E585" s="531"/>
      <c r="F585" s="531"/>
      <c r="G585" s="515" t="s">
        <v>341</v>
      </c>
      <c r="H585" s="546">
        <v>3.02</v>
      </c>
      <c r="I585" s="546">
        <v>0.06</v>
      </c>
      <c r="J585" s="659" t="s">
        <v>24</v>
      </c>
      <c r="K585" s="546" t="s">
        <v>24</v>
      </c>
      <c r="L585" s="716"/>
      <c r="M585" s="545"/>
    </row>
    <row r="586" s="492" customFormat="1" spans="1:13">
      <c r="A586" s="532"/>
      <c r="B586" s="517"/>
      <c r="C586" s="534"/>
      <c r="D586" s="533"/>
      <c r="E586" s="534"/>
      <c r="F586" s="534"/>
      <c r="G586" s="515" t="s">
        <v>342</v>
      </c>
      <c r="H586" s="546">
        <v>3.02</v>
      </c>
      <c r="I586" s="546">
        <v>0.09</v>
      </c>
      <c r="J586" s="659" t="s">
        <v>24</v>
      </c>
      <c r="K586" s="546" t="s">
        <v>24</v>
      </c>
      <c r="L586" s="716"/>
      <c r="M586" s="545"/>
    </row>
    <row r="587" s="492" customFormat="1" spans="1:13">
      <c r="A587" s="539">
        <v>46182</v>
      </c>
      <c r="B587" s="509" t="s">
        <v>343</v>
      </c>
      <c r="C587" s="527" t="s">
        <v>13</v>
      </c>
      <c r="D587" s="538">
        <v>4</v>
      </c>
      <c r="E587" s="527" t="s">
        <v>72</v>
      </c>
      <c r="F587" s="527" t="s">
        <v>119</v>
      </c>
      <c r="G587" s="515" t="s">
        <v>199</v>
      </c>
      <c r="H587" s="546">
        <v>0.93</v>
      </c>
      <c r="I587" s="546">
        <v>1.2</v>
      </c>
      <c r="J587" s="659" t="s">
        <v>17</v>
      </c>
      <c r="K587" s="546">
        <v>2.5</v>
      </c>
      <c r="L587" s="716" t="s">
        <v>48</v>
      </c>
      <c r="M587" s="545"/>
    </row>
    <row r="588" s="492" customFormat="1" spans="1:13">
      <c r="A588" s="539"/>
      <c r="B588" s="509"/>
      <c r="C588" s="527"/>
      <c r="D588" s="538"/>
      <c r="E588" s="527"/>
      <c r="F588" s="527"/>
      <c r="G588" s="515" t="s">
        <v>154</v>
      </c>
      <c r="H588" s="546">
        <v>1.93</v>
      </c>
      <c r="I588" s="546">
        <v>1.6</v>
      </c>
      <c r="J588" s="659" t="s">
        <v>17</v>
      </c>
      <c r="K588" s="546">
        <v>2.7</v>
      </c>
      <c r="L588" s="716"/>
      <c r="M588" s="545"/>
    </row>
    <row r="589" s="492" customFormat="1" spans="1:13">
      <c r="A589" s="539"/>
      <c r="B589" s="509"/>
      <c r="C589" s="527"/>
      <c r="D589" s="538"/>
      <c r="E589" s="527"/>
      <c r="F589" s="527"/>
      <c r="G589" s="515" t="s">
        <v>200</v>
      </c>
      <c r="H589" s="546">
        <v>2.93</v>
      </c>
      <c r="I589" s="546">
        <v>1.14</v>
      </c>
      <c r="J589" s="659" t="s">
        <v>17</v>
      </c>
      <c r="K589" s="546">
        <v>3.4</v>
      </c>
      <c r="L589" s="716"/>
      <c r="M589" s="545"/>
    </row>
    <row r="590" s="492" customFormat="1" spans="1:13">
      <c r="A590" s="539"/>
      <c r="B590" s="509"/>
      <c r="C590" s="527"/>
      <c r="D590" s="538"/>
      <c r="E590" s="527"/>
      <c r="F590" s="527"/>
      <c r="G590" s="515" t="s">
        <v>91</v>
      </c>
      <c r="H590" s="546">
        <v>2.93</v>
      </c>
      <c r="I590" s="546">
        <v>0.06</v>
      </c>
      <c r="J590" s="659" t="s">
        <v>24</v>
      </c>
      <c r="K590" s="546" t="s">
        <v>24</v>
      </c>
      <c r="L590" s="716"/>
      <c r="M590" s="545"/>
    </row>
    <row r="591" s="492" customFormat="1" spans="1:13">
      <c r="A591" s="539">
        <v>46182</v>
      </c>
      <c r="B591" s="509" t="s">
        <v>344</v>
      </c>
      <c r="C591" s="527" t="s">
        <v>13</v>
      </c>
      <c r="D591" s="538">
        <v>10</v>
      </c>
      <c r="E591" s="527" t="s">
        <v>66</v>
      </c>
      <c r="F591" s="527" t="s">
        <v>77</v>
      </c>
      <c r="G591" s="515" t="s">
        <v>73</v>
      </c>
      <c r="H591" s="546">
        <v>2</v>
      </c>
      <c r="I591" s="546">
        <v>8.86</v>
      </c>
      <c r="J591" s="659" t="s">
        <v>17</v>
      </c>
      <c r="K591" s="546">
        <v>1.7</v>
      </c>
      <c r="L591" s="716" t="s">
        <v>67</v>
      </c>
      <c r="M591" s="545"/>
    </row>
    <row r="592" s="492" customFormat="1" spans="1:13">
      <c r="A592" s="539"/>
      <c r="B592" s="509"/>
      <c r="C592" s="527"/>
      <c r="D592" s="538"/>
      <c r="E592" s="527"/>
      <c r="F592" s="527"/>
      <c r="G592" s="515" t="s">
        <v>75</v>
      </c>
      <c r="H592" s="546">
        <v>2</v>
      </c>
      <c r="I592" s="546">
        <v>0.44</v>
      </c>
      <c r="J592" s="545" t="s">
        <v>44</v>
      </c>
      <c r="K592" s="546">
        <v>4</v>
      </c>
      <c r="L592" s="716"/>
      <c r="M592" s="545"/>
    </row>
    <row r="593" s="492" customFormat="1" spans="1:13">
      <c r="A593" s="539"/>
      <c r="B593" s="509"/>
      <c r="C593" s="527"/>
      <c r="D593" s="538"/>
      <c r="E593" s="527"/>
      <c r="F593" s="527"/>
      <c r="G593" s="515" t="s">
        <v>91</v>
      </c>
      <c r="H593" s="546">
        <v>2</v>
      </c>
      <c r="I593" s="546">
        <v>0.7</v>
      </c>
      <c r="J593" s="659" t="s">
        <v>24</v>
      </c>
      <c r="K593" s="546" t="s">
        <v>24</v>
      </c>
      <c r="L593" s="716"/>
      <c r="M593" s="545"/>
    </row>
    <row r="594" s="492" customFormat="1" spans="1:13">
      <c r="A594" s="539">
        <v>46182</v>
      </c>
      <c r="B594" s="509" t="s">
        <v>345</v>
      </c>
      <c r="C594" s="527" t="s">
        <v>13</v>
      </c>
      <c r="D594" s="538">
        <v>10</v>
      </c>
      <c r="E594" s="527" t="s">
        <v>33</v>
      </c>
      <c r="F594" s="527" t="s">
        <v>15</v>
      </c>
      <c r="G594" s="515" t="s">
        <v>199</v>
      </c>
      <c r="H594" s="546">
        <v>1.06</v>
      </c>
      <c r="I594" s="546">
        <v>8.4</v>
      </c>
      <c r="J594" s="659" t="s">
        <v>17</v>
      </c>
      <c r="K594" s="546">
        <v>1.53</v>
      </c>
      <c r="L594" s="716" t="s">
        <v>18</v>
      </c>
      <c r="M594" s="545" t="s">
        <v>258</v>
      </c>
    </row>
    <row r="595" s="492" customFormat="1" spans="1:13">
      <c r="A595" s="539"/>
      <c r="B595" s="509"/>
      <c r="C595" s="527"/>
      <c r="D595" s="538"/>
      <c r="E595" s="527"/>
      <c r="F595" s="527"/>
      <c r="G595" s="515" t="s">
        <v>154</v>
      </c>
      <c r="H595" s="546">
        <v>1.23</v>
      </c>
      <c r="I595" s="546">
        <v>0.6</v>
      </c>
      <c r="J595" s="659" t="s">
        <v>17</v>
      </c>
      <c r="K595" s="546">
        <v>1.6</v>
      </c>
      <c r="L595" s="716"/>
      <c r="M595" s="545"/>
    </row>
    <row r="596" s="492" customFormat="1" spans="1:13">
      <c r="A596" s="539"/>
      <c r="B596" s="509"/>
      <c r="C596" s="527"/>
      <c r="D596" s="538"/>
      <c r="E596" s="527"/>
      <c r="F596" s="527"/>
      <c r="G596" s="515" t="s">
        <v>75</v>
      </c>
      <c r="H596" s="546">
        <v>1.4</v>
      </c>
      <c r="I596" s="546">
        <v>0.5</v>
      </c>
      <c r="J596" s="545" t="s">
        <v>22</v>
      </c>
      <c r="K596" s="546">
        <v>1.75</v>
      </c>
      <c r="L596" s="716"/>
      <c r="M596" s="545"/>
    </row>
    <row r="597" s="492" customFormat="1" spans="1:13">
      <c r="A597" s="539"/>
      <c r="B597" s="509"/>
      <c r="C597" s="527"/>
      <c r="D597" s="538"/>
      <c r="E597" s="527"/>
      <c r="F597" s="527"/>
      <c r="G597" s="515" t="s">
        <v>91</v>
      </c>
      <c r="H597" s="546">
        <v>2.6</v>
      </c>
      <c r="I597" s="546">
        <v>0.5</v>
      </c>
      <c r="J597" s="659" t="s">
        <v>24</v>
      </c>
      <c r="K597" s="546" t="s">
        <v>24</v>
      </c>
      <c r="L597" s="716"/>
      <c r="M597" s="545"/>
    </row>
    <row r="598" s="492" customFormat="1" spans="1:13">
      <c r="A598" s="522">
        <v>46182</v>
      </c>
      <c r="B598" s="507" t="s">
        <v>346</v>
      </c>
      <c r="C598" s="526" t="s">
        <v>13</v>
      </c>
      <c r="D598" s="523">
        <v>5</v>
      </c>
      <c r="E598" s="526" t="s">
        <v>33</v>
      </c>
      <c r="F598" s="526" t="s">
        <v>52</v>
      </c>
      <c r="G598" s="515" t="s">
        <v>347</v>
      </c>
      <c r="H598" s="546">
        <v>1.08</v>
      </c>
      <c r="I598" s="546">
        <v>3.5</v>
      </c>
      <c r="J598" s="659" t="s">
        <v>17</v>
      </c>
      <c r="K598" s="546">
        <v>1.6</v>
      </c>
      <c r="L598" s="716" t="s">
        <v>41</v>
      </c>
      <c r="M598" s="545"/>
    </row>
    <row r="599" s="492" customFormat="1" spans="1:13">
      <c r="A599" s="528"/>
      <c r="B599" s="513"/>
      <c r="C599" s="531"/>
      <c r="D599" s="529"/>
      <c r="E599" s="531"/>
      <c r="F599" s="531"/>
      <c r="G599" s="515" t="s">
        <v>348</v>
      </c>
      <c r="H599" s="546">
        <v>1.16</v>
      </c>
      <c r="I599" s="546">
        <v>0.7</v>
      </c>
      <c r="J599" s="659" t="s">
        <v>17</v>
      </c>
      <c r="K599" s="546">
        <v>1.7</v>
      </c>
      <c r="L599" s="716"/>
      <c r="M599" s="545"/>
    </row>
    <row r="600" s="492" customFormat="1" spans="1:13">
      <c r="A600" s="528"/>
      <c r="B600" s="513"/>
      <c r="C600" s="531"/>
      <c r="D600" s="529"/>
      <c r="E600" s="531"/>
      <c r="F600" s="531"/>
      <c r="G600" s="515" t="s">
        <v>349</v>
      </c>
      <c r="H600" s="546">
        <v>1.25</v>
      </c>
      <c r="I600" s="546">
        <v>0.27</v>
      </c>
      <c r="J600" s="545" t="s">
        <v>22</v>
      </c>
      <c r="K600" s="546">
        <v>1.9</v>
      </c>
      <c r="L600" s="716"/>
      <c r="M600" s="545"/>
    </row>
    <row r="601" s="492" customFormat="1" spans="1:13">
      <c r="A601" s="528"/>
      <c r="B601" s="513"/>
      <c r="C601" s="531"/>
      <c r="D601" s="529"/>
      <c r="E601" s="531"/>
      <c r="F601" s="531"/>
      <c r="G601" s="515" t="s">
        <v>350</v>
      </c>
      <c r="H601" s="546">
        <v>1.33</v>
      </c>
      <c r="I601" s="546">
        <v>0.28</v>
      </c>
      <c r="J601" s="659" t="s">
        <v>351</v>
      </c>
      <c r="K601" s="546">
        <v>4.4</v>
      </c>
      <c r="L601" s="716"/>
      <c r="M601" s="545"/>
    </row>
    <row r="602" s="492" customFormat="1" spans="1:13">
      <c r="A602" s="532"/>
      <c r="B602" s="517"/>
      <c r="C602" s="534"/>
      <c r="D602" s="533"/>
      <c r="E602" s="534"/>
      <c r="F602" s="534"/>
      <c r="G602" s="515" t="s">
        <v>91</v>
      </c>
      <c r="H602" s="546">
        <v>1.75</v>
      </c>
      <c r="I602" s="546">
        <v>0.25</v>
      </c>
      <c r="J602" s="659" t="s">
        <v>24</v>
      </c>
      <c r="K602" s="546" t="s">
        <v>24</v>
      </c>
      <c r="L602" s="716"/>
      <c r="M602" s="545"/>
    </row>
    <row r="603" s="492" customFormat="1" ht="28" spans="1:13">
      <c r="A603" s="539">
        <v>46183</v>
      </c>
      <c r="B603" s="509" t="s">
        <v>352</v>
      </c>
      <c r="C603" s="527" t="s">
        <v>13</v>
      </c>
      <c r="D603" s="538">
        <v>2.54</v>
      </c>
      <c r="E603" s="527" t="s">
        <v>143</v>
      </c>
      <c r="F603" s="527" t="s">
        <v>46</v>
      </c>
      <c r="G603" s="515" t="s">
        <v>128</v>
      </c>
      <c r="H603" s="546" t="s">
        <v>24</v>
      </c>
      <c r="I603" s="546">
        <v>2.54</v>
      </c>
      <c r="J603" s="659" t="s">
        <v>17</v>
      </c>
      <c r="K603" s="546">
        <v>2.6</v>
      </c>
      <c r="L603" s="735" t="s">
        <v>48</v>
      </c>
      <c r="M603" s="736"/>
    </row>
    <row r="604" s="492" customFormat="1" spans="1:13">
      <c r="A604" s="539">
        <v>46183</v>
      </c>
      <c r="B604" s="509" t="s">
        <v>353</v>
      </c>
      <c r="C604" s="527" t="s">
        <v>13</v>
      </c>
      <c r="D604" s="538">
        <v>4</v>
      </c>
      <c r="E604" s="527" t="s">
        <v>354</v>
      </c>
      <c r="F604" s="527" t="s">
        <v>94</v>
      </c>
      <c r="G604" s="515" t="s">
        <v>73</v>
      </c>
      <c r="H604" s="546">
        <v>1</v>
      </c>
      <c r="I604" s="546">
        <v>3.4</v>
      </c>
      <c r="J604" s="659" t="s">
        <v>17</v>
      </c>
      <c r="K604" s="546">
        <v>1.6</v>
      </c>
      <c r="L604" s="716" t="s">
        <v>355</v>
      </c>
      <c r="M604" s="545"/>
    </row>
    <row r="605" s="492" customFormat="1" spans="1:13">
      <c r="A605" s="539"/>
      <c r="B605" s="509"/>
      <c r="C605" s="527"/>
      <c r="D605" s="538"/>
      <c r="E605" s="527"/>
      <c r="F605" s="527"/>
      <c r="G605" s="515" t="s">
        <v>75</v>
      </c>
      <c r="H605" s="546">
        <v>1</v>
      </c>
      <c r="I605" s="546">
        <v>0.2</v>
      </c>
      <c r="J605" s="545" t="s">
        <v>22</v>
      </c>
      <c r="K605" s="546">
        <v>1.65</v>
      </c>
      <c r="L605" s="716"/>
      <c r="M605" s="545"/>
    </row>
    <row r="606" s="492" customFormat="1" spans="1:13">
      <c r="A606" s="539"/>
      <c r="B606" s="509"/>
      <c r="C606" s="527"/>
      <c r="D606" s="538"/>
      <c r="E606" s="527"/>
      <c r="F606" s="527"/>
      <c r="G606" s="515" t="s">
        <v>90</v>
      </c>
      <c r="H606" s="546">
        <v>1</v>
      </c>
      <c r="I606" s="546">
        <v>0.16</v>
      </c>
      <c r="J606" s="659" t="s">
        <v>351</v>
      </c>
      <c r="K606" s="546">
        <v>2.9</v>
      </c>
      <c r="L606" s="716"/>
      <c r="M606" s="545"/>
    </row>
    <row r="607" s="492" customFormat="1" spans="1:13">
      <c r="A607" s="539"/>
      <c r="B607" s="509"/>
      <c r="C607" s="527"/>
      <c r="D607" s="538"/>
      <c r="E607" s="527"/>
      <c r="F607" s="527"/>
      <c r="G607" s="515" t="s">
        <v>91</v>
      </c>
      <c r="H607" s="546">
        <v>1.5</v>
      </c>
      <c r="I607" s="546">
        <v>0.24</v>
      </c>
      <c r="J607" s="659" t="s">
        <v>24</v>
      </c>
      <c r="K607" s="546" t="s">
        <v>24</v>
      </c>
      <c r="L607" s="716"/>
      <c r="M607" s="545"/>
    </row>
    <row r="608" s="492" customFormat="1" spans="1:13">
      <c r="A608" s="539">
        <v>46183</v>
      </c>
      <c r="B608" s="509" t="s">
        <v>356</v>
      </c>
      <c r="C608" s="527" t="s">
        <v>13</v>
      </c>
      <c r="D608" s="538">
        <v>10</v>
      </c>
      <c r="E608" s="527" t="s">
        <v>33</v>
      </c>
      <c r="F608" s="527" t="s">
        <v>15</v>
      </c>
      <c r="G608" s="515" t="s">
        <v>73</v>
      </c>
      <c r="H608" s="546">
        <v>1</v>
      </c>
      <c r="I608" s="546">
        <v>9</v>
      </c>
      <c r="J608" s="659" t="s">
        <v>17</v>
      </c>
      <c r="K608" s="546">
        <v>1.6</v>
      </c>
      <c r="L608" s="716" t="s">
        <v>35</v>
      </c>
      <c r="M608" s="545" t="s">
        <v>196</v>
      </c>
    </row>
    <row r="609" s="492" customFormat="1" spans="1:13">
      <c r="A609" s="539"/>
      <c r="B609" s="509"/>
      <c r="C609" s="527"/>
      <c r="D609" s="538"/>
      <c r="E609" s="527"/>
      <c r="F609" s="527"/>
      <c r="G609" s="515" t="s">
        <v>75</v>
      </c>
      <c r="H609" s="546">
        <v>1</v>
      </c>
      <c r="I609" s="546">
        <v>0.3</v>
      </c>
      <c r="J609" s="545" t="s">
        <v>22</v>
      </c>
      <c r="K609" s="546">
        <v>1.75</v>
      </c>
      <c r="L609" s="716"/>
      <c r="M609" s="545"/>
    </row>
    <row r="610" s="492" customFormat="1" spans="1:13">
      <c r="A610" s="539"/>
      <c r="B610" s="509"/>
      <c r="C610" s="527"/>
      <c r="D610" s="538"/>
      <c r="E610" s="527"/>
      <c r="F610" s="527"/>
      <c r="G610" s="515" t="s">
        <v>99</v>
      </c>
      <c r="H610" s="546">
        <v>1</v>
      </c>
      <c r="I610" s="546">
        <v>0.2</v>
      </c>
      <c r="J610" s="659" t="s">
        <v>64</v>
      </c>
      <c r="K610" s="546">
        <v>3.1</v>
      </c>
      <c r="L610" s="716"/>
      <c r="M610" s="545"/>
    </row>
    <row r="611" s="492" customFormat="1" spans="1:13">
      <c r="A611" s="539"/>
      <c r="B611" s="509"/>
      <c r="C611" s="527"/>
      <c r="D611" s="538"/>
      <c r="E611" s="527"/>
      <c r="F611" s="527"/>
      <c r="G611" s="515" t="s">
        <v>91</v>
      </c>
      <c r="H611" s="546">
        <v>2.83</v>
      </c>
      <c r="I611" s="546">
        <v>0.5</v>
      </c>
      <c r="J611" s="659" t="s">
        <v>24</v>
      </c>
      <c r="K611" s="546" t="s">
        <v>24</v>
      </c>
      <c r="L611" s="716"/>
      <c r="M611" s="545"/>
    </row>
    <row r="612" s="647" customFormat="1" spans="1:13">
      <c r="A612" s="499">
        <v>46184</v>
      </c>
      <c r="B612" s="500" t="s">
        <v>357</v>
      </c>
      <c r="C612" s="500" t="s">
        <v>358</v>
      </c>
      <c r="D612" s="501">
        <v>10</v>
      </c>
      <c r="E612" s="500" t="s">
        <v>359</v>
      </c>
      <c r="F612" s="500" t="s">
        <v>360</v>
      </c>
      <c r="G612" s="515" t="s">
        <v>361</v>
      </c>
      <c r="H612" s="546">
        <v>1.08</v>
      </c>
      <c r="I612" s="546">
        <v>8.24</v>
      </c>
      <c r="J612" s="659" t="s">
        <v>17</v>
      </c>
      <c r="K612" s="546">
        <v>1.54</v>
      </c>
      <c r="L612" s="666" t="s">
        <v>60</v>
      </c>
      <c r="M612" s="515" t="s">
        <v>61</v>
      </c>
    </row>
    <row r="613" s="647" customFormat="1" spans="1:13">
      <c r="A613" s="499"/>
      <c r="B613" s="500"/>
      <c r="C613" s="500"/>
      <c r="D613" s="501"/>
      <c r="E613" s="500"/>
      <c r="F613" s="500"/>
      <c r="G613" s="515" t="s">
        <v>349</v>
      </c>
      <c r="H613" s="546">
        <v>1.08</v>
      </c>
      <c r="I613" s="546">
        <v>0.52</v>
      </c>
      <c r="J613" s="659" t="s">
        <v>22</v>
      </c>
      <c r="K613" s="546">
        <v>1.58</v>
      </c>
      <c r="L613" s="667"/>
      <c r="M613" s="515"/>
    </row>
    <row r="614" s="647" customFormat="1" spans="1:13">
      <c r="A614" s="499"/>
      <c r="B614" s="500"/>
      <c r="C614" s="500"/>
      <c r="D614" s="501"/>
      <c r="E614" s="500"/>
      <c r="F614" s="500"/>
      <c r="G614" s="515" t="s">
        <v>350</v>
      </c>
      <c r="H614" s="546">
        <v>1.08</v>
      </c>
      <c r="I614" s="546">
        <v>0.4</v>
      </c>
      <c r="J614" s="659" t="s">
        <v>44</v>
      </c>
      <c r="K614" s="546">
        <v>2.8</v>
      </c>
      <c r="L614" s="667"/>
      <c r="M614" s="515"/>
    </row>
    <row r="615" s="647" customFormat="1" spans="1:13">
      <c r="A615" s="499"/>
      <c r="B615" s="500"/>
      <c r="C615" s="500"/>
      <c r="D615" s="501"/>
      <c r="E615" s="500"/>
      <c r="F615" s="500"/>
      <c r="G615" s="515" t="s">
        <v>91</v>
      </c>
      <c r="H615" s="546">
        <v>2</v>
      </c>
      <c r="I615" s="546">
        <v>0.84</v>
      </c>
      <c r="J615" s="659" t="s">
        <v>24</v>
      </c>
      <c r="K615" s="546" t="s">
        <v>24</v>
      </c>
      <c r="L615" s="669"/>
      <c r="M615" s="515"/>
    </row>
    <row r="616" s="647" customFormat="1" spans="1:13">
      <c r="A616" s="499">
        <v>46184</v>
      </c>
      <c r="B616" s="500" t="s">
        <v>362</v>
      </c>
      <c r="C616" s="500" t="s">
        <v>363</v>
      </c>
      <c r="D616" s="501">
        <v>10</v>
      </c>
      <c r="E616" s="500" t="s">
        <v>82</v>
      </c>
      <c r="F616" s="500" t="s">
        <v>364</v>
      </c>
      <c r="G616" s="545" t="s">
        <v>158</v>
      </c>
      <c r="H616" s="546">
        <v>1.08</v>
      </c>
      <c r="I616" s="546">
        <v>8.24</v>
      </c>
      <c r="J616" s="659" t="s">
        <v>17</v>
      </c>
      <c r="K616" s="546">
        <v>1.54</v>
      </c>
      <c r="L616" s="666" t="s">
        <v>60</v>
      </c>
      <c r="M616" s="527" t="s">
        <v>61</v>
      </c>
    </row>
    <row r="617" s="647" customFormat="1" spans="1:13">
      <c r="A617" s="499"/>
      <c r="B617" s="500"/>
      <c r="C617" s="500"/>
      <c r="D617" s="501"/>
      <c r="E617" s="500"/>
      <c r="F617" s="500"/>
      <c r="G617" s="545" t="s">
        <v>159</v>
      </c>
      <c r="H617" s="546">
        <v>1.08</v>
      </c>
      <c r="I617" s="546">
        <v>0.52</v>
      </c>
      <c r="J617" s="659" t="s">
        <v>22</v>
      </c>
      <c r="K617" s="546">
        <v>1.58</v>
      </c>
      <c r="L617" s="667"/>
      <c r="M617" s="527"/>
    </row>
    <row r="618" s="647" customFormat="1" spans="1:13">
      <c r="A618" s="499"/>
      <c r="B618" s="500"/>
      <c r="C618" s="500"/>
      <c r="D618" s="501"/>
      <c r="E618" s="500"/>
      <c r="F618" s="500"/>
      <c r="G618" s="545" t="s">
        <v>160</v>
      </c>
      <c r="H618" s="546">
        <v>1.08</v>
      </c>
      <c r="I618" s="546">
        <v>0.4</v>
      </c>
      <c r="J618" s="659" t="s">
        <v>44</v>
      </c>
      <c r="K618" s="546">
        <v>2.8</v>
      </c>
      <c r="L618" s="667"/>
      <c r="M618" s="527"/>
    </row>
    <row r="619" s="647" customFormat="1" spans="1:13">
      <c r="A619" s="499"/>
      <c r="B619" s="500"/>
      <c r="C619" s="500"/>
      <c r="D619" s="501"/>
      <c r="E619" s="500"/>
      <c r="F619" s="500"/>
      <c r="G619" s="515" t="s">
        <v>91</v>
      </c>
      <c r="H619" s="546">
        <v>2</v>
      </c>
      <c r="I619" s="546">
        <v>0.84</v>
      </c>
      <c r="J619" s="659" t="s">
        <v>24</v>
      </c>
      <c r="K619" s="546" t="s">
        <v>24</v>
      </c>
      <c r="L619" s="669"/>
      <c r="M619" s="527"/>
    </row>
    <row r="620" s="647" customFormat="1" spans="1:13">
      <c r="A620" s="499">
        <v>46185</v>
      </c>
      <c r="B620" s="500" t="s">
        <v>365</v>
      </c>
      <c r="C620" s="500" t="s">
        <v>358</v>
      </c>
      <c r="D620" s="501">
        <v>10</v>
      </c>
      <c r="E620" s="500" t="s">
        <v>194</v>
      </c>
      <c r="F620" s="500" t="s">
        <v>366</v>
      </c>
      <c r="G620" s="515" t="s">
        <v>361</v>
      </c>
      <c r="H620" s="546">
        <v>1</v>
      </c>
      <c r="I620" s="546">
        <v>9</v>
      </c>
      <c r="J620" s="659" t="s">
        <v>17</v>
      </c>
      <c r="K620" s="546">
        <v>1.6</v>
      </c>
      <c r="L620" s="737" t="s">
        <v>35</v>
      </c>
      <c r="M620" s="527" t="s">
        <v>36</v>
      </c>
    </row>
    <row r="621" s="647" customFormat="1" spans="1:13">
      <c r="A621" s="499"/>
      <c r="B621" s="500"/>
      <c r="C621" s="500"/>
      <c r="D621" s="501"/>
      <c r="E621" s="500"/>
      <c r="F621" s="500"/>
      <c r="G621" s="515" t="s">
        <v>349</v>
      </c>
      <c r="H621" s="546">
        <v>1</v>
      </c>
      <c r="I621" s="546">
        <v>0.3</v>
      </c>
      <c r="J621" s="659" t="s">
        <v>22</v>
      </c>
      <c r="K621" s="546">
        <v>1.7</v>
      </c>
      <c r="L621" s="737"/>
      <c r="M621" s="527"/>
    </row>
    <row r="622" s="647" customFormat="1" spans="1:13">
      <c r="A622" s="499"/>
      <c r="B622" s="500"/>
      <c r="C622" s="500"/>
      <c r="D622" s="501"/>
      <c r="E622" s="500"/>
      <c r="F622" s="500"/>
      <c r="G622" s="515" t="s">
        <v>350</v>
      </c>
      <c r="H622" s="546">
        <v>1.08</v>
      </c>
      <c r="I622" s="546">
        <v>0.2</v>
      </c>
      <c r="J622" s="659" t="s">
        <v>64</v>
      </c>
      <c r="K622" s="546">
        <v>3.1</v>
      </c>
      <c r="L622" s="737"/>
      <c r="M622" s="527"/>
    </row>
    <row r="623" s="647" customFormat="1" spans="1:13">
      <c r="A623" s="499"/>
      <c r="B623" s="500"/>
      <c r="C623" s="500"/>
      <c r="D623" s="501"/>
      <c r="E623" s="500"/>
      <c r="F623" s="500"/>
      <c r="G623" s="515" t="s">
        <v>91</v>
      </c>
      <c r="H623" s="546">
        <v>2.91</v>
      </c>
      <c r="I623" s="546">
        <v>0.5</v>
      </c>
      <c r="J623" s="659" t="s">
        <v>24</v>
      </c>
      <c r="K623" s="546" t="s">
        <v>24</v>
      </c>
      <c r="L623" s="737"/>
      <c r="M623" s="527"/>
    </row>
    <row r="624" s="647" customFormat="1" spans="1:13">
      <c r="A624" s="499">
        <v>46185</v>
      </c>
      <c r="B624" s="500" t="s">
        <v>367</v>
      </c>
      <c r="C624" s="500" t="s">
        <v>363</v>
      </c>
      <c r="D624" s="501">
        <v>10</v>
      </c>
      <c r="E624" s="500" t="s">
        <v>368</v>
      </c>
      <c r="F624" s="500" t="s">
        <v>82</v>
      </c>
      <c r="G624" s="515" t="s">
        <v>347</v>
      </c>
      <c r="H624" s="546">
        <v>1</v>
      </c>
      <c r="I624" s="546">
        <v>3</v>
      </c>
      <c r="J624" s="659" t="s">
        <v>17</v>
      </c>
      <c r="K624" s="546">
        <v>1.54</v>
      </c>
      <c r="L624" s="737" t="s">
        <v>86</v>
      </c>
      <c r="M624" s="621" t="s">
        <v>87</v>
      </c>
    </row>
    <row r="625" s="647" customFormat="1" spans="1:13">
      <c r="A625" s="499"/>
      <c r="B625" s="500"/>
      <c r="C625" s="500"/>
      <c r="D625" s="501"/>
      <c r="E625" s="500"/>
      <c r="F625" s="500"/>
      <c r="G625" s="515" t="s">
        <v>348</v>
      </c>
      <c r="H625" s="546">
        <v>1</v>
      </c>
      <c r="I625" s="546">
        <v>5.8</v>
      </c>
      <c r="J625" s="659" t="s">
        <v>17</v>
      </c>
      <c r="K625" s="546">
        <v>1.55</v>
      </c>
      <c r="L625" s="737"/>
      <c r="M625" s="621"/>
    </row>
    <row r="626" s="647" customFormat="1" spans="1:13">
      <c r="A626" s="499"/>
      <c r="B626" s="500"/>
      <c r="C626" s="500"/>
      <c r="D626" s="501"/>
      <c r="E626" s="500"/>
      <c r="F626" s="500"/>
      <c r="G626" s="515" t="s">
        <v>349</v>
      </c>
      <c r="H626" s="546">
        <v>1</v>
      </c>
      <c r="I626" s="546">
        <v>0.4</v>
      </c>
      <c r="J626" s="659" t="s">
        <v>22</v>
      </c>
      <c r="K626" s="546">
        <v>1.8</v>
      </c>
      <c r="L626" s="737"/>
      <c r="M626" s="621"/>
    </row>
    <row r="627" s="647" customFormat="1" spans="1:13">
      <c r="A627" s="499"/>
      <c r="B627" s="500"/>
      <c r="C627" s="500"/>
      <c r="D627" s="501"/>
      <c r="E627" s="500"/>
      <c r="F627" s="500"/>
      <c r="G627" s="515" t="s">
        <v>350</v>
      </c>
      <c r="H627" s="546">
        <v>1</v>
      </c>
      <c r="I627" s="546">
        <v>0.3</v>
      </c>
      <c r="J627" s="659" t="s">
        <v>96</v>
      </c>
      <c r="K627" s="546">
        <v>4</v>
      </c>
      <c r="L627" s="737"/>
      <c r="M627" s="621"/>
    </row>
    <row r="628" s="647" customFormat="1" spans="1:13">
      <c r="A628" s="499"/>
      <c r="B628" s="500"/>
      <c r="C628" s="500"/>
      <c r="D628" s="501"/>
      <c r="E628" s="500"/>
      <c r="F628" s="500"/>
      <c r="G628" s="515" t="s">
        <v>91</v>
      </c>
      <c r="H628" s="546">
        <v>2.75</v>
      </c>
      <c r="I628" s="546">
        <v>0.5</v>
      </c>
      <c r="J628" s="659" t="s">
        <v>24</v>
      </c>
      <c r="K628" s="546" t="s">
        <v>24</v>
      </c>
      <c r="L628" s="737"/>
      <c r="M628" s="621"/>
    </row>
    <row r="629" s="647" customFormat="1" spans="1:13">
      <c r="A629" s="499">
        <v>46185</v>
      </c>
      <c r="B629" s="500" t="s">
        <v>369</v>
      </c>
      <c r="C629" s="500" t="s">
        <v>358</v>
      </c>
      <c r="D629" s="501">
        <v>5</v>
      </c>
      <c r="E629" s="500" t="s">
        <v>82</v>
      </c>
      <c r="F629" s="500" t="s">
        <v>218</v>
      </c>
      <c r="G629" s="515" t="s">
        <v>361</v>
      </c>
      <c r="H629" s="546">
        <v>1</v>
      </c>
      <c r="I629" s="546">
        <v>4.4</v>
      </c>
      <c r="J629" s="659" t="s">
        <v>17</v>
      </c>
      <c r="K629" s="546">
        <v>1.6</v>
      </c>
      <c r="L629" s="737" t="s">
        <v>27</v>
      </c>
      <c r="M629" s="621" t="s">
        <v>321</v>
      </c>
    </row>
    <row r="630" s="647" customFormat="1" spans="1:13">
      <c r="A630" s="499"/>
      <c r="B630" s="500"/>
      <c r="C630" s="500"/>
      <c r="D630" s="501"/>
      <c r="E630" s="500"/>
      <c r="F630" s="500"/>
      <c r="G630" s="515" t="s">
        <v>349</v>
      </c>
      <c r="H630" s="546">
        <v>1</v>
      </c>
      <c r="I630" s="546">
        <v>0.1</v>
      </c>
      <c r="J630" s="659" t="s">
        <v>17</v>
      </c>
      <c r="K630" s="546">
        <v>1.62</v>
      </c>
      <c r="L630" s="737"/>
      <c r="M630" s="621"/>
    </row>
    <row r="631" s="647" customFormat="1" spans="1:13">
      <c r="A631" s="499"/>
      <c r="B631" s="500"/>
      <c r="C631" s="500"/>
      <c r="D631" s="501"/>
      <c r="E631" s="500"/>
      <c r="F631" s="500"/>
      <c r="G631" s="515" t="s">
        <v>350</v>
      </c>
      <c r="H631" s="546">
        <v>1</v>
      </c>
      <c r="I631" s="546">
        <v>0.25</v>
      </c>
      <c r="J631" s="659" t="s">
        <v>96</v>
      </c>
      <c r="K631" s="546">
        <v>3</v>
      </c>
      <c r="L631" s="737"/>
      <c r="M631" s="621"/>
    </row>
    <row r="632" s="647" customFormat="1" spans="1:13">
      <c r="A632" s="499"/>
      <c r="B632" s="500"/>
      <c r="C632" s="500"/>
      <c r="D632" s="501"/>
      <c r="E632" s="500"/>
      <c r="F632" s="500"/>
      <c r="G632" s="515" t="s">
        <v>91</v>
      </c>
      <c r="H632" s="546">
        <v>1.29</v>
      </c>
      <c r="I632" s="546">
        <v>0.25</v>
      </c>
      <c r="J632" s="659" t="s">
        <v>24</v>
      </c>
      <c r="K632" s="546" t="s">
        <v>24</v>
      </c>
      <c r="L632" s="737"/>
      <c r="M632" s="621"/>
    </row>
    <row r="633" s="492" customFormat="1" spans="1:13">
      <c r="A633" s="539">
        <v>46189</v>
      </c>
      <c r="B633" s="509" t="s">
        <v>370</v>
      </c>
      <c r="C633" s="527" t="s">
        <v>13</v>
      </c>
      <c r="D633" s="538">
        <v>6</v>
      </c>
      <c r="E633" s="527" t="s">
        <v>14</v>
      </c>
      <c r="F633" s="527" t="s">
        <v>46</v>
      </c>
      <c r="G633" s="515" t="s">
        <v>128</v>
      </c>
      <c r="H633" s="546">
        <v>1.01</v>
      </c>
      <c r="I633" s="546">
        <v>5.91</v>
      </c>
      <c r="J633" s="659" t="s">
        <v>17</v>
      </c>
      <c r="K633" s="546">
        <v>1.55</v>
      </c>
      <c r="L633" s="716" t="s">
        <v>48</v>
      </c>
      <c r="M633" s="545"/>
    </row>
    <row r="634" s="492" customFormat="1" spans="1:13">
      <c r="A634" s="539"/>
      <c r="B634" s="509"/>
      <c r="C634" s="527"/>
      <c r="D634" s="538"/>
      <c r="E634" s="527"/>
      <c r="F634" s="527"/>
      <c r="G634" s="515" t="s">
        <v>91</v>
      </c>
      <c r="H634" s="546">
        <v>2.91</v>
      </c>
      <c r="I634" s="546">
        <v>0.09</v>
      </c>
      <c r="J634" s="659" t="s">
        <v>24</v>
      </c>
      <c r="K634" s="546" t="s">
        <v>24</v>
      </c>
      <c r="L634" s="716"/>
      <c r="M634" s="545"/>
    </row>
    <row r="635" s="647" customFormat="1" spans="1:13">
      <c r="A635" s="499">
        <v>46189</v>
      </c>
      <c r="B635" s="500" t="s">
        <v>371</v>
      </c>
      <c r="C635" s="500" t="s">
        <v>358</v>
      </c>
      <c r="D635" s="501">
        <v>10</v>
      </c>
      <c r="E635" s="500" t="s">
        <v>214</v>
      </c>
      <c r="F635" s="500" t="s">
        <v>360</v>
      </c>
      <c r="G635" s="515" t="s">
        <v>361</v>
      </c>
      <c r="H635" s="546">
        <v>1.08</v>
      </c>
      <c r="I635" s="546">
        <v>8.24</v>
      </c>
      <c r="J635" s="659" t="s">
        <v>17</v>
      </c>
      <c r="K635" s="546">
        <v>1.57</v>
      </c>
      <c r="L635" s="666" t="s">
        <v>60</v>
      </c>
      <c r="M635" s="591" t="s">
        <v>372</v>
      </c>
    </row>
    <row r="636" s="647" customFormat="1" spans="1:13">
      <c r="A636" s="499"/>
      <c r="B636" s="500"/>
      <c r="C636" s="500"/>
      <c r="D636" s="501"/>
      <c r="E636" s="500"/>
      <c r="F636" s="500"/>
      <c r="G636" s="515" t="s">
        <v>349</v>
      </c>
      <c r="H636" s="546">
        <v>1.08</v>
      </c>
      <c r="I636" s="546">
        <v>0.52</v>
      </c>
      <c r="J636" s="659" t="s">
        <v>22</v>
      </c>
      <c r="K636" s="546">
        <v>1.58</v>
      </c>
      <c r="L636" s="667"/>
      <c r="M636" s="527"/>
    </row>
    <row r="637" s="647" customFormat="1" spans="1:13">
      <c r="A637" s="499"/>
      <c r="B637" s="500"/>
      <c r="C637" s="500"/>
      <c r="D637" s="501"/>
      <c r="E637" s="500"/>
      <c r="F637" s="500"/>
      <c r="G637" s="515" t="s">
        <v>350</v>
      </c>
      <c r="H637" s="546">
        <v>1.08</v>
      </c>
      <c r="I637" s="546">
        <v>0.4</v>
      </c>
      <c r="J637" s="659" t="s">
        <v>44</v>
      </c>
      <c r="K637" s="546">
        <v>2.8</v>
      </c>
      <c r="L637" s="667"/>
      <c r="M637" s="527"/>
    </row>
    <row r="638" s="647" customFormat="1" spans="1:13">
      <c r="A638" s="499"/>
      <c r="B638" s="500"/>
      <c r="C638" s="500"/>
      <c r="D638" s="501"/>
      <c r="E638" s="500"/>
      <c r="F638" s="500"/>
      <c r="G638" s="515" t="s">
        <v>91</v>
      </c>
      <c r="H638" s="546">
        <v>2</v>
      </c>
      <c r="I638" s="546">
        <v>0.84</v>
      </c>
      <c r="J638" s="659" t="s">
        <v>24</v>
      </c>
      <c r="K638" s="546" t="s">
        <v>24</v>
      </c>
      <c r="L638" s="669"/>
      <c r="M638" s="527"/>
    </row>
    <row r="639" s="647" customFormat="1" spans="1:13">
      <c r="A639" s="499">
        <v>46189</v>
      </c>
      <c r="B639" s="500" t="s">
        <v>373</v>
      </c>
      <c r="C639" s="500" t="s">
        <v>358</v>
      </c>
      <c r="D639" s="501">
        <v>10</v>
      </c>
      <c r="E639" s="500" t="s">
        <v>214</v>
      </c>
      <c r="F639" s="500" t="s">
        <v>374</v>
      </c>
      <c r="G639" s="515" t="s">
        <v>361</v>
      </c>
      <c r="H639" s="546">
        <v>0.87</v>
      </c>
      <c r="I639" s="546">
        <v>9</v>
      </c>
      <c r="J639" s="659" t="s">
        <v>17</v>
      </c>
      <c r="K639" s="546">
        <v>1.53</v>
      </c>
      <c r="L639" s="737" t="s">
        <v>74</v>
      </c>
      <c r="M639" s="621"/>
    </row>
    <row r="640" s="647" customFormat="1" spans="1:13">
      <c r="A640" s="499"/>
      <c r="B640" s="500"/>
      <c r="C640" s="500"/>
      <c r="D640" s="501"/>
      <c r="E640" s="500"/>
      <c r="F640" s="500"/>
      <c r="G640" s="515" t="s">
        <v>349</v>
      </c>
      <c r="H640" s="546">
        <v>1.11</v>
      </c>
      <c r="I640" s="546">
        <v>0.3</v>
      </c>
      <c r="J640" s="659" t="s">
        <v>22</v>
      </c>
      <c r="K640" s="546">
        <v>1.77</v>
      </c>
      <c r="L640" s="737"/>
      <c r="M640" s="621"/>
    </row>
    <row r="641" s="647" customFormat="1" spans="1:13">
      <c r="A641" s="499"/>
      <c r="B641" s="500"/>
      <c r="C641" s="500"/>
      <c r="D641" s="501"/>
      <c r="E641" s="500"/>
      <c r="F641" s="500"/>
      <c r="G641" s="515" t="s">
        <v>91</v>
      </c>
      <c r="H641" s="546">
        <v>1.63</v>
      </c>
      <c r="I641" s="546">
        <v>0.7</v>
      </c>
      <c r="J641" s="659" t="s">
        <v>24</v>
      </c>
      <c r="K641" s="546" t="s">
        <v>24</v>
      </c>
      <c r="L641" s="737"/>
      <c r="M641" s="621"/>
    </row>
    <row r="642" s="647" customFormat="1" spans="1:13">
      <c r="A642" s="499">
        <v>46189</v>
      </c>
      <c r="B642" s="500" t="s">
        <v>375</v>
      </c>
      <c r="C642" s="500" t="s">
        <v>358</v>
      </c>
      <c r="D642" s="501">
        <v>10</v>
      </c>
      <c r="E642" s="500" t="s">
        <v>194</v>
      </c>
      <c r="F642" s="500" t="s">
        <v>360</v>
      </c>
      <c r="G642" s="515" t="s">
        <v>361</v>
      </c>
      <c r="H642" s="546">
        <v>1</v>
      </c>
      <c r="I642" s="546">
        <v>9</v>
      </c>
      <c r="J642" s="659" t="s">
        <v>17</v>
      </c>
      <c r="K642" s="546">
        <v>1.6</v>
      </c>
      <c r="L642" s="737" t="s">
        <v>35</v>
      </c>
      <c r="M642" s="527" t="s">
        <v>36</v>
      </c>
    </row>
    <row r="643" s="647" customFormat="1" spans="1:13">
      <c r="A643" s="499"/>
      <c r="B643" s="500"/>
      <c r="C643" s="500"/>
      <c r="D643" s="501"/>
      <c r="E643" s="500"/>
      <c r="F643" s="500"/>
      <c r="G643" s="515" t="s">
        <v>349</v>
      </c>
      <c r="H643" s="546">
        <v>1</v>
      </c>
      <c r="I643" s="546">
        <v>0.3</v>
      </c>
      <c r="J643" s="659" t="s">
        <v>22</v>
      </c>
      <c r="K643" s="546">
        <v>1.77</v>
      </c>
      <c r="L643" s="737"/>
      <c r="M643" s="527"/>
    </row>
    <row r="644" s="647" customFormat="1" spans="1:13">
      <c r="A644" s="499"/>
      <c r="B644" s="500"/>
      <c r="C644" s="500"/>
      <c r="D644" s="501"/>
      <c r="E644" s="500"/>
      <c r="F644" s="500"/>
      <c r="G644" s="515" t="s">
        <v>350</v>
      </c>
      <c r="H644" s="546">
        <v>1.08</v>
      </c>
      <c r="I644" s="546">
        <v>0.2</v>
      </c>
      <c r="J644" s="659" t="s">
        <v>64</v>
      </c>
      <c r="K644" s="546">
        <v>3.1</v>
      </c>
      <c r="L644" s="737"/>
      <c r="M644" s="527"/>
    </row>
    <row r="645" s="647" customFormat="1" spans="1:13">
      <c r="A645" s="499"/>
      <c r="B645" s="500"/>
      <c r="C645" s="500"/>
      <c r="D645" s="501"/>
      <c r="E645" s="500"/>
      <c r="F645" s="500"/>
      <c r="G645" s="515" t="s">
        <v>91</v>
      </c>
      <c r="H645" s="546">
        <v>2.92</v>
      </c>
      <c r="I645" s="546">
        <v>0.5</v>
      </c>
      <c r="J645" s="659" t="s">
        <v>24</v>
      </c>
      <c r="K645" s="546" t="s">
        <v>24</v>
      </c>
      <c r="L645" s="737"/>
      <c r="M645" s="527"/>
    </row>
    <row r="646" s="647" customFormat="1" spans="1:13">
      <c r="A646" s="499">
        <v>46189</v>
      </c>
      <c r="B646" s="500" t="s">
        <v>376</v>
      </c>
      <c r="C646" s="500" t="s">
        <v>363</v>
      </c>
      <c r="D646" s="501">
        <v>10</v>
      </c>
      <c r="E646" s="500" t="s">
        <v>377</v>
      </c>
      <c r="F646" s="500" t="s">
        <v>378</v>
      </c>
      <c r="G646" s="515" t="s">
        <v>361</v>
      </c>
      <c r="H646" s="546">
        <v>1.08</v>
      </c>
      <c r="I646" s="546">
        <v>8.6</v>
      </c>
      <c r="J646" s="659" t="s">
        <v>17</v>
      </c>
      <c r="K646" s="546">
        <v>1.57</v>
      </c>
      <c r="L646" s="666" t="s">
        <v>60</v>
      </c>
      <c r="M646" s="621" t="s">
        <v>379</v>
      </c>
    </row>
    <row r="647" s="647" customFormat="1" spans="1:13">
      <c r="A647" s="499"/>
      <c r="B647" s="500"/>
      <c r="C647" s="500"/>
      <c r="D647" s="501"/>
      <c r="E647" s="500"/>
      <c r="F647" s="500"/>
      <c r="G647" s="515" t="s">
        <v>349</v>
      </c>
      <c r="H647" s="546">
        <v>1.08</v>
      </c>
      <c r="I647" s="546">
        <v>0.6</v>
      </c>
      <c r="J647" s="659" t="s">
        <v>22</v>
      </c>
      <c r="K647" s="546">
        <v>1.6</v>
      </c>
      <c r="L647" s="667"/>
      <c r="M647" s="621"/>
    </row>
    <row r="648" s="647" customFormat="1" spans="1:13">
      <c r="A648" s="499"/>
      <c r="B648" s="500"/>
      <c r="C648" s="500"/>
      <c r="D648" s="501"/>
      <c r="E648" s="500"/>
      <c r="F648" s="500"/>
      <c r="G648" s="515" t="s">
        <v>350</v>
      </c>
      <c r="H648" s="546">
        <v>1.08</v>
      </c>
      <c r="I648" s="546">
        <v>0.3</v>
      </c>
      <c r="J648" s="659" t="s">
        <v>64</v>
      </c>
      <c r="K648" s="546">
        <v>2.8</v>
      </c>
      <c r="L648" s="667"/>
      <c r="M648" s="621"/>
    </row>
    <row r="649" s="647" customFormat="1" spans="1:13">
      <c r="A649" s="499"/>
      <c r="B649" s="500"/>
      <c r="C649" s="500"/>
      <c r="D649" s="501"/>
      <c r="E649" s="500"/>
      <c r="F649" s="500"/>
      <c r="G649" s="515" t="s">
        <v>91</v>
      </c>
      <c r="H649" s="546">
        <v>2</v>
      </c>
      <c r="I649" s="546">
        <v>0.5</v>
      </c>
      <c r="J649" s="659" t="s">
        <v>24</v>
      </c>
      <c r="K649" s="546" t="s">
        <v>24</v>
      </c>
      <c r="L649" s="669"/>
      <c r="M649" s="621"/>
    </row>
    <row r="650" s="647" customFormat="1" spans="1:13">
      <c r="A650" s="499">
        <v>46190</v>
      </c>
      <c r="B650" s="500" t="s">
        <v>380</v>
      </c>
      <c r="C650" s="500" t="s">
        <v>358</v>
      </c>
      <c r="D650" s="501">
        <v>9</v>
      </c>
      <c r="E650" s="500" t="s">
        <v>194</v>
      </c>
      <c r="F650" s="500" t="s">
        <v>381</v>
      </c>
      <c r="G650" s="515" t="s">
        <v>361</v>
      </c>
      <c r="H650" s="546">
        <v>1</v>
      </c>
      <c r="I650" s="546">
        <v>8.1</v>
      </c>
      <c r="J650" s="659" t="s">
        <v>17</v>
      </c>
      <c r="K650" s="546">
        <v>1.62</v>
      </c>
      <c r="L650" s="737" t="s">
        <v>35</v>
      </c>
      <c r="M650" s="527" t="s">
        <v>36</v>
      </c>
    </row>
    <row r="651" s="647" customFormat="1" spans="1:13">
      <c r="A651" s="499"/>
      <c r="B651" s="500"/>
      <c r="C651" s="500"/>
      <c r="D651" s="501"/>
      <c r="E651" s="500"/>
      <c r="F651" s="500"/>
      <c r="G651" s="515" t="s">
        <v>349</v>
      </c>
      <c r="H651" s="546">
        <v>1</v>
      </c>
      <c r="I651" s="546">
        <v>0.27</v>
      </c>
      <c r="J651" s="659" t="s">
        <v>22</v>
      </c>
      <c r="K651" s="546">
        <v>1.7</v>
      </c>
      <c r="L651" s="737"/>
      <c r="M651" s="527"/>
    </row>
    <row r="652" s="647" customFormat="1" spans="1:13">
      <c r="A652" s="499"/>
      <c r="B652" s="500"/>
      <c r="C652" s="500"/>
      <c r="D652" s="501"/>
      <c r="E652" s="500"/>
      <c r="F652" s="500"/>
      <c r="G652" s="515" t="s">
        <v>350</v>
      </c>
      <c r="H652" s="546">
        <v>1.08</v>
      </c>
      <c r="I652" s="546">
        <v>0.18</v>
      </c>
      <c r="J652" s="659" t="s">
        <v>64</v>
      </c>
      <c r="K652" s="546">
        <v>3.1</v>
      </c>
      <c r="L652" s="737"/>
      <c r="M652" s="527"/>
    </row>
    <row r="653" s="647" customFormat="1" spans="1:13">
      <c r="A653" s="499"/>
      <c r="B653" s="500"/>
      <c r="C653" s="500"/>
      <c r="D653" s="501"/>
      <c r="E653" s="500"/>
      <c r="F653" s="500"/>
      <c r="G653" s="515" t="s">
        <v>91</v>
      </c>
      <c r="H653" s="546">
        <v>2.92</v>
      </c>
      <c r="I653" s="546">
        <v>0.45</v>
      </c>
      <c r="J653" s="659" t="s">
        <v>24</v>
      </c>
      <c r="K653" s="546" t="s">
        <v>24</v>
      </c>
      <c r="L653" s="737"/>
      <c r="M653" s="527"/>
    </row>
    <row r="654" s="647" customFormat="1" spans="1:13">
      <c r="A654" s="499">
        <v>46190</v>
      </c>
      <c r="B654" s="500" t="s">
        <v>382</v>
      </c>
      <c r="C654" s="500" t="s">
        <v>358</v>
      </c>
      <c r="D654" s="501">
        <v>10</v>
      </c>
      <c r="E654" s="500" t="s">
        <v>217</v>
      </c>
      <c r="F654" s="500" t="s">
        <v>218</v>
      </c>
      <c r="G654" s="515" t="s">
        <v>347</v>
      </c>
      <c r="H654" s="546">
        <v>1.08</v>
      </c>
      <c r="I654" s="546">
        <v>8.4</v>
      </c>
      <c r="J654" s="659" t="s">
        <v>17</v>
      </c>
      <c r="K654" s="546">
        <v>1.57</v>
      </c>
      <c r="L654" s="737" t="s">
        <v>18</v>
      </c>
      <c r="M654" s="545" t="s">
        <v>258</v>
      </c>
    </row>
    <row r="655" s="647" customFormat="1" spans="1:13">
      <c r="A655" s="499"/>
      <c r="B655" s="500"/>
      <c r="C655" s="500"/>
      <c r="D655" s="501"/>
      <c r="E655" s="500"/>
      <c r="F655" s="500"/>
      <c r="G655" s="515" t="s">
        <v>348</v>
      </c>
      <c r="H655" s="546">
        <v>1.25</v>
      </c>
      <c r="I655" s="546">
        <v>0.6</v>
      </c>
      <c r="J655" s="659" t="s">
        <v>17</v>
      </c>
      <c r="K655" s="546">
        <v>1.6</v>
      </c>
      <c r="L655" s="737"/>
      <c r="M655" s="545"/>
    </row>
    <row r="656" s="647" customFormat="1" spans="1:13">
      <c r="A656" s="499"/>
      <c r="B656" s="500"/>
      <c r="C656" s="500"/>
      <c r="D656" s="501"/>
      <c r="E656" s="500"/>
      <c r="F656" s="500"/>
      <c r="G656" s="515" t="s">
        <v>349</v>
      </c>
      <c r="H656" s="546">
        <v>1.41</v>
      </c>
      <c r="I656" s="546">
        <v>0.5</v>
      </c>
      <c r="J656" s="659" t="s">
        <v>22</v>
      </c>
      <c r="K656" s="546">
        <v>1.78</v>
      </c>
      <c r="L656" s="737"/>
      <c r="M656" s="545"/>
    </row>
    <row r="657" s="647" customFormat="1" spans="1:13">
      <c r="A657" s="499"/>
      <c r="B657" s="500"/>
      <c r="C657" s="500"/>
      <c r="D657" s="501"/>
      <c r="E657" s="500"/>
      <c r="F657" s="500"/>
      <c r="G657" s="515" t="s">
        <v>91</v>
      </c>
      <c r="H657" s="546">
        <v>2.62</v>
      </c>
      <c r="I657" s="546">
        <v>0.5</v>
      </c>
      <c r="J657" s="659" t="s">
        <v>24</v>
      </c>
      <c r="K657" s="546" t="s">
        <v>24</v>
      </c>
      <c r="L657" s="737"/>
      <c r="M657" s="545"/>
    </row>
    <row r="658" s="647" customFormat="1" spans="1:13">
      <c r="A658" s="499">
        <v>46190</v>
      </c>
      <c r="B658" s="500" t="s">
        <v>383</v>
      </c>
      <c r="C658" s="500" t="s">
        <v>363</v>
      </c>
      <c r="D658" s="501">
        <v>5</v>
      </c>
      <c r="E658" s="500" t="s">
        <v>82</v>
      </c>
      <c r="F658" s="500" t="s">
        <v>360</v>
      </c>
      <c r="G658" s="515" t="s">
        <v>361</v>
      </c>
      <c r="H658" s="546">
        <v>1.03</v>
      </c>
      <c r="I658" s="546">
        <v>4.18</v>
      </c>
      <c r="J658" s="659" t="s">
        <v>17</v>
      </c>
      <c r="K658" s="546">
        <v>1.6</v>
      </c>
      <c r="L658" s="737" t="s">
        <v>27</v>
      </c>
      <c r="M658" s="621" t="s">
        <v>321</v>
      </c>
    </row>
    <row r="659" s="647" customFormat="1" spans="1:13">
      <c r="A659" s="499"/>
      <c r="B659" s="500"/>
      <c r="C659" s="500"/>
      <c r="D659" s="501"/>
      <c r="E659" s="500"/>
      <c r="F659" s="500"/>
      <c r="G659" s="515" t="s">
        <v>349</v>
      </c>
      <c r="H659" s="546">
        <v>1.03</v>
      </c>
      <c r="I659" s="546">
        <v>0.35</v>
      </c>
      <c r="J659" s="659" t="s">
        <v>22</v>
      </c>
      <c r="K659" s="546">
        <v>1.65</v>
      </c>
      <c r="L659" s="737"/>
      <c r="M659" s="621"/>
    </row>
    <row r="660" s="647" customFormat="1" spans="1:13">
      <c r="A660" s="499"/>
      <c r="B660" s="500"/>
      <c r="C660" s="500"/>
      <c r="D660" s="501"/>
      <c r="E660" s="500"/>
      <c r="F660" s="500"/>
      <c r="G660" s="515" t="s">
        <v>91</v>
      </c>
      <c r="H660" s="546">
        <v>1.78</v>
      </c>
      <c r="I660" s="546">
        <v>0.47</v>
      </c>
      <c r="J660" s="659" t="s">
        <v>24</v>
      </c>
      <c r="K660" s="546" t="s">
        <v>24</v>
      </c>
      <c r="L660" s="737"/>
      <c r="M660" s="621"/>
    </row>
    <row r="661" s="647" customFormat="1" spans="1:13">
      <c r="A661" s="499">
        <v>46191</v>
      </c>
      <c r="B661" s="500" t="s">
        <v>384</v>
      </c>
      <c r="C661" s="500" t="s">
        <v>358</v>
      </c>
      <c r="D661" s="501">
        <v>10</v>
      </c>
      <c r="E661" s="500" t="s">
        <v>214</v>
      </c>
      <c r="F661" s="500" t="s">
        <v>385</v>
      </c>
      <c r="G661" s="515" t="s">
        <v>361</v>
      </c>
      <c r="H661" s="546">
        <v>0.86</v>
      </c>
      <c r="I661" s="546">
        <v>9</v>
      </c>
      <c r="J661" s="659" t="s">
        <v>17</v>
      </c>
      <c r="K661" s="546">
        <v>1.58</v>
      </c>
      <c r="L661" s="737" t="s">
        <v>74</v>
      </c>
      <c r="M661" s="621"/>
    </row>
    <row r="662" s="647" customFormat="1" spans="1:13">
      <c r="A662" s="499"/>
      <c r="B662" s="500"/>
      <c r="C662" s="500"/>
      <c r="D662" s="501"/>
      <c r="E662" s="500"/>
      <c r="F662" s="500"/>
      <c r="G662" s="515" t="s">
        <v>349</v>
      </c>
      <c r="H662" s="546">
        <v>1.11</v>
      </c>
      <c r="I662" s="546">
        <v>0.3</v>
      </c>
      <c r="J662" s="659" t="s">
        <v>22</v>
      </c>
      <c r="K662" s="546">
        <v>1.77</v>
      </c>
      <c r="L662" s="737"/>
      <c r="M662" s="621"/>
    </row>
    <row r="663" s="647" customFormat="1" spans="1:13">
      <c r="A663" s="499"/>
      <c r="B663" s="500"/>
      <c r="C663" s="500"/>
      <c r="D663" s="501"/>
      <c r="E663" s="500"/>
      <c r="F663" s="500"/>
      <c r="G663" s="515" t="s">
        <v>91</v>
      </c>
      <c r="H663" s="546">
        <v>1.63</v>
      </c>
      <c r="I663" s="546">
        <v>0.7</v>
      </c>
      <c r="J663" s="659" t="s">
        <v>24</v>
      </c>
      <c r="K663" s="546" t="s">
        <v>24</v>
      </c>
      <c r="L663" s="737"/>
      <c r="M663" s="621"/>
    </row>
    <row r="664" s="647" customFormat="1" spans="1:13">
      <c r="A664" s="499">
        <v>46191</v>
      </c>
      <c r="B664" s="500" t="s">
        <v>386</v>
      </c>
      <c r="C664" s="500" t="s">
        <v>358</v>
      </c>
      <c r="D664" s="501">
        <v>10</v>
      </c>
      <c r="E664" s="500" t="s">
        <v>359</v>
      </c>
      <c r="F664" s="500" t="s">
        <v>360</v>
      </c>
      <c r="G664" s="515" t="s">
        <v>361</v>
      </c>
      <c r="H664" s="546">
        <v>0.94</v>
      </c>
      <c r="I664" s="546">
        <v>9</v>
      </c>
      <c r="J664" s="659" t="s">
        <v>17</v>
      </c>
      <c r="K664" s="546">
        <v>1.58</v>
      </c>
      <c r="L664" s="737" t="s">
        <v>74</v>
      </c>
      <c r="M664" s="621"/>
    </row>
    <row r="665" s="647" customFormat="1" spans="1:13">
      <c r="A665" s="499"/>
      <c r="B665" s="500"/>
      <c r="C665" s="500"/>
      <c r="D665" s="501"/>
      <c r="E665" s="500"/>
      <c r="F665" s="500"/>
      <c r="G665" s="515" t="s">
        <v>349</v>
      </c>
      <c r="H665" s="546">
        <v>1.2</v>
      </c>
      <c r="I665" s="546">
        <v>0.3</v>
      </c>
      <c r="J665" s="659" t="s">
        <v>22</v>
      </c>
      <c r="K665" s="546">
        <v>1.77</v>
      </c>
      <c r="L665" s="737"/>
      <c r="M665" s="621"/>
    </row>
    <row r="666" s="647" customFormat="1" spans="1:13">
      <c r="A666" s="499"/>
      <c r="B666" s="500"/>
      <c r="C666" s="500"/>
      <c r="D666" s="501"/>
      <c r="E666" s="500"/>
      <c r="F666" s="500"/>
      <c r="G666" s="515" t="s">
        <v>91</v>
      </c>
      <c r="H666" s="546">
        <v>1.7</v>
      </c>
      <c r="I666" s="546">
        <v>0.7</v>
      </c>
      <c r="J666" s="659" t="s">
        <v>24</v>
      </c>
      <c r="K666" s="546" t="s">
        <v>24</v>
      </c>
      <c r="L666" s="737"/>
      <c r="M666" s="621"/>
    </row>
    <row r="667" s="647" customFormat="1" spans="1:13">
      <c r="A667" s="499">
        <v>46191</v>
      </c>
      <c r="B667" s="500" t="s">
        <v>387</v>
      </c>
      <c r="C667" s="500" t="s">
        <v>363</v>
      </c>
      <c r="D667" s="501">
        <v>10</v>
      </c>
      <c r="E667" s="500" t="s">
        <v>359</v>
      </c>
      <c r="F667" s="500" t="s">
        <v>388</v>
      </c>
      <c r="G667" s="515" t="s">
        <v>361</v>
      </c>
      <c r="H667" s="546">
        <v>0.92</v>
      </c>
      <c r="I667" s="546">
        <v>8.6</v>
      </c>
      <c r="J667" s="659" t="s">
        <v>17</v>
      </c>
      <c r="K667" s="546">
        <v>1.58</v>
      </c>
      <c r="L667" s="666" t="s">
        <v>60</v>
      </c>
      <c r="M667" s="527" t="s">
        <v>61</v>
      </c>
    </row>
    <row r="668" s="647" customFormat="1" spans="1:13">
      <c r="A668" s="499"/>
      <c r="B668" s="500"/>
      <c r="C668" s="500"/>
      <c r="D668" s="501"/>
      <c r="E668" s="500"/>
      <c r="F668" s="500"/>
      <c r="G668" s="515" t="s">
        <v>349</v>
      </c>
      <c r="H668" s="546">
        <v>0.92</v>
      </c>
      <c r="I668" s="546">
        <v>0.55</v>
      </c>
      <c r="J668" s="659" t="s">
        <v>22</v>
      </c>
      <c r="K668" s="546">
        <v>1.65</v>
      </c>
      <c r="L668" s="667"/>
      <c r="M668" s="527"/>
    </row>
    <row r="669" s="647" customFormat="1" spans="1:13">
      <c r="A669" s="499"/>
      <c r="B669" s="500"/>
      <c r="C669" s="500"/>
      <c r="D669" s="501"/>
      <c r="E669" s="500"/>
      <c r="F669" s="500"/>
      <c r="G669" s="515" t="s">
        <v>350</v>
      </c>
      <c r="H669" s="546">
        <v>0.92</v>
      </c>
      <c r="I669" s="546">
        <v>0.35</v>
      </c>
      <c r="J669" s="659" t="s">
        <v>44</v>
      </c>
      <c r="K669" s="546">
        <v>2.8</v>
      </c>
      <c r="L669" s="667"/>
      <c r="M669" s="527"/>
    </row>
    <row r="670" s="647" customFormat="1" spans="1:13">
      <c r="A670" s="499"/>
      <c r="B670" s="500"/>
      <c r="C670" s="500"/>
      <c r="D670" s="501"/>
      <c r="E670" s="500"/>
      <c r="F670" s="500"/>
      <c r="G670" s="515" t="s">
        <v>91</v>
      </c>
      <c r="H670" s="546">
        <v>3.75</v>
      </c>
      <c r="I670" s="546">
        <v>0.5</v>
      </c>
      <c r="J670" s="659" t="s">
        <v>24</v>
      </c>
      <c r="K670" s="546" t="s">
        <v>24</v>
      </c>
      <c r="L670" s="669"/>
      <c r="M670" s="527"/>
    </row>
    <row r="671" s="647" customFormat="1" spans="1:13">
      <c r="A671" s="499">
        <v>46191</v>
      </c>
      <c r="B671" s="500" t="s">
        <v>389</v>
      </c>
      <c r="C671" s="500" t="s">
        <v>363</v>
      </c>
      <c r="D671" s="501">
        <v>10</v>
      </c>
      <c r="E671" s="500" t="s">
        <v>390</v>
      </c>
      <c r="F671" s="500" t="s">
        <v>391</v>
      </c>
      <c r="G671" s="515" t="s">
        <v>361</v>
      </c>
      <c r="H671" s="546">
        <v>1.99</v>
      </c>
      <c r="I671" s="546">
        <v>8.46</v>
      </c>
      <c r="J671" s="659" t="s">
        <v>17</v>
      </c>
      <c r="K671" s="546">
        <v>2.1</v>
      </c>
      <c r="L671" s="737" t="s">
        <v>67</v>
      </c>
      <c r="M671" s="621"/>
    </row>
    <row r="672" s="647" customFormat="1" spans="1:13">
      <c r="A672" s="499"/>
      <c r="B672" s="500"/>
      <c r="C672" s="500"/>
      <c r="D672" s="501"/>
      <c r="E672" s="500"/>
      <c r="F672" s="500"/>
      <c r="G672" s="515" t="s">
        <v>349</v>
      </c>
      <c r="H672" s="546">
        <v>1.99</v>
      </c>
      <c r="I672" s="546">
        <v>0.4</v>
      </c>
      <c r="J672" s="659" t="s">
        <v>22</v>
      </c>
      <c r="K672" s="546">
        <v>2.5</v>
      </c>
      <c r="L672" s="737"/>
      <c r="M672" s="621"/>
    </row>
    <row r="673" s="647" customFormat="1" spans="1:13">
      <c r="A673" s="499"/>
      <c r="B673" s="500"/>
      <c r="C673" s="500"/>
      <c r="D673" s="501"/>
      <c r="E673" s="500"/>
      <c r="F673" s="500"/>
      <c r="G673" s="515" t="s">
        <v>350</v>
      </c>
      <c r="H673" s="546">
        <v>1.99</v>
      </c>
      <c r="I673" s="546">
        <v>0.44</v>
      </c>
      <c r="J673" s="659" t="s">
        <v>44</v>
      </c>
      <c r="K673" s="546">
        <v>4</v>
      </c>
      <c r="L673" s="737"/>
      <c r="M673" s="621"/>
    </row>
    <row r="674" s="647" customFormat="1" spans="1:13">
      <c r="A674" s="499"/>
      <c r="B674" s="500"/>
      <c r="C674" s="500"/>
      <c r="D674" s="501"/>
      <c r="E674" s="500"/>
      <c r="F674" s="500"/>
      <c r="G674" s="515" t="s">
        <v>91</v>
      </c>
      <c r="H674" s="546">
        <v>1.99</v>
      </c>
      <c r="I674" s="546">
        <v>0.7</v>
      </c>
      <c r="J674" s="659" t="s">
        <v>24</v>
      </c>
      <c r="K674" s="546" t="s">
        <v>24</v>
      </c>
      <c r="L674" s="737"/>
      <c r="M674" s="621"/>
    </row>
    <row r="675" s="647" customFormat="1" spans="1:13">
      <c r="A675" s="499">
        <v>46191</v>
      </c>
      <c r="B675" s="500" t="s">
        <v>392</v>
      </c>
      <c r="C675" s="500" t="s">
        <v>358</v>
      </c>
      <c r="D675" s="501">
        <v>10</v>
      </c>
      <c r="E675" s="500" t="s">
        <v>393</v>
      </c>
      <c r="F675" s="500" t="s">
        <v>378</v>
      </c>
      <c r="G675" s="515" t="s">
        <v>361</v>
      </c>
      <c r="H675" s="546">
        <v>1.08</v>
      </c>
      <c r="I675" s="546">
        <v>8.3</v>
      </c>
      <c r="J675" s="659" t="s">
        <v>17</v>
      </c>
      <c r="K675" s="546">
        <v>1.65</v>
      </c>
      <c r="L675" s="737" t="s">
        <v>35</v>
      </c>
      <c r="M675" s="545" t="s">
        <v>269</v>
      </c>
    </row>
    <row r="676" s="647" customFormat="1" spans="1:13">
      <c r="A676" s="499"/>
      <c r="B676" s="500"/>
      <c r="C676" s="500"/>
      <c r="D676" s="501"/>
      <c r="E676" s="500"/>
      <c r="F676" s="500"/>
      <c r="G676" s="515" t="s">
        <v>349</v>
      </c>
      <c r="H676" s="546">
        <v>1.08</v>
      </c>
      <c r="I676" s="546">
        <v>0.5</v>
      </c>
      <c r="J676" s="659" t="s">
        <v>22</v>
      </c>
      <c r="K676" s="546">
        <v>1.85</v>
      </c>
      <c r="L676" s="737"/>
      <c r="M676" s="545"/>
    </row>
    <row r="677" s="647" customFormat="1" spans="1:13">
      <c r="A677" s="499"/>
      <c r="B677" s="500"/>
      <c r="C677" s="500"/>
      <c r="D677" s="501"/>
      <c r="E677" s="500"/>
      <c r="F677" s="500"/>
      <c r="G677" s="515" t="s">
        <v>350</v>
      </c>
      <c r="H677" s="546">
        <v>1.75</v>
      </c>
      <c r="I677" s="546">
        <v>0.7</v>
      </c>
      <c r="J677" s="659" t="s">
        <v>100</v>
      </c>
      <c r="K677" s="546">
        <v>3.1</v>
      </c>
      <c r="L677" s="737"/>
      <c r="M677" s="545"/>
    </row>
    <row r="678" s="647" customFormat="1" spans="1:13">
      <c r="A678" s="499"/>
      <c r="B678" s="500"/>
      <c r="C678" s="500"/>
      <c r="D678" s="501"/>
      <c r="E678" s="500"/>
      <c r="F678" s="500"/>
      <c r="G678" s="515" t="s">
        <v>91</v>
      </c>
      <c r="H678" s="546">
        <v>1.75</v>
      </c>
      <c r="I678" s="546">
        <v>0.5</v>
      </c>
      <c r="J678" s="659" t="s">
        <v>24</v>
      </c>
      <c r="K678" s="546" t="s">
        <v>24</v>
      </c>
      <c r="L678" s="737"/>
      <c r="M678" s="545"/>
    </row>
    <row r="679" s="647" customFormat="1" spans="1:13">
      <c r="A679" s="499">
        <v>46191</v>
      </c>
      <c r="B679" s="500" t="s">
        <v>394</v>
      </c>
      <c r="C679" s="500" t="s">
        <v>358</v>
      </c>
      <c r="D679" s="501">
        <v>10</v>
      </c>
      <c r="E679" s="500" t="s">
        <v>214</v>
      </c>
      <c r="F679" s="500" t="s">
        <v>378</v>
      </c>
      <c r="G679" s="515" t="s">
        <v>361</v>
      </c>
      <c r="H679" s="546">
        <v>0.86</v>
      </c>
      <c r="I679" s="546">
        <v>9</v>
      </c>
      <c r="J679" s="659" t="s">
        <v>17</v>
      </c>
      <c r="K679" s="546">
        <v>1.58</v>
      </c>
      <c r="L679" s="737" t="s">
        <v>74</v>
      </c>
      <c r="M679" s="621"/>
    </row>
    <row r="680" s="647" customFormat="1" spans="1:13">
      <c r="A680" s="499"/>
      <c r="B680" s="500"/>
      <c r="C680" s="500"/>
      <c r="D680" s="501"/>
      <c r="E680" s="500"/>
      <c r="F680" s="500"/>
      <c r="G680" s="515" t="s">
        <v>349</v>
      </c>
      <c r="H680" s="546">
        <v>1.11</v>
      </c>
      <c r="I680" s="546">
        <v>0.3</v>
      </c>
      <c r="J680" s="659" t="s">
        <v>22</v>
      </c>
      <c r="K680" s="546">
        <v>1.77</v>
      </c>
      <c r="L680" s="737"/>
      <c r="M680" s="621"/>
    </row>
    <row r="681" s="647" customFormat="1" spans="1:13">
      <c r="A681" s="499"/>
      <c r="B681" s="500"/>
      <c r="C681" s="500"/>
      <c r="D681" s="501"/>
      <c r="E681" s="500"/>
      <c r="F681" s="500"/>
      <c r="G681" s="515" t="s">
        <v>91</v>
      </c>
      <c r="H681" s="546">
        <v>1.63</v>
      </c>
      <c r="I681" s="546">
        <v>0.7</v>
      </c>
      <c r="J681" s="659" t="s">
        <v>24</v>
      </c>
      <c r="K681" s="546" t="s">
        <v>24</v>
      </c>
      <c r="L681" s="737"/>
      <c r="M681" s="621"/>
    </row>
    <row r="682" s="647" customFormat="1" spans="1:13">
      <c r="A682" s="499">
        <v>46191</v>
      </c>
      <c r="B682" s="500" t="s">
        <v>395</v>
      </c>
      <c r="C682" s="500" t="s">
        <v>358</v>
      </c>
      <c r="D682" s="501">
        <v>5</v>
      </c>
      <c r="E682" s="500" t="s">
        <v>217</v>
      </c>
      <c r="F682" s="500" t="s">
        <v>396</v>
      </c>
      <c r="G682" s="515" t="s">
        <v>347</v>
      </c>
      <c r="H682" s="546">
        <v>1.08</v>
      </c>
      <c r="I682" s="546">
        <v>3.6</v>
      </c>
      <c r="J682" s="659" t="s">
        <v>17</v>
      </c>
      <c r="K682" s="546">
        <v>1.64</v>
      </c>
      <c r="L682" s="737" t="s">
        <v>41</v>
      </c>
      <c r="M682" s="621"/>
    </row>
    <row r="683" s="647" customFormat="1" spans="1:13">
      <c r="A683" s="499"/>
      <c r="B683" s="500"/>
      <c r="C683" s="500"/>
      <c r="D683" s="501"/>
      <c r="E683" s="500"/>
      <c r="F683" s="500"/>
      <c r="G683" s="515" t="s">
        <v>348</v>
      </c>
      <c r="H683" s="546">
        <v>1.25</v>
      </c>
      <c r="I683" s="546">
        <v>0.8</v>
      </c>
      <c r="J683" s="659" t="s">
        <v>17</v>
      </c>
      <c r="K683" s="546">
        <v>1.7</v>
      </c>
      <c r="L683" s="737"/>
      <c r="M683" s="621"/>
    </row>
    <row r="684" s="647" customFormat="1" spans="1:13">
      <c r="A684" s="499"/>
      <c r="B684" s="500"/>
      <c r="C684" s="500"/>
      <c r="D684" s="501"/>
      <c r="E684" s="500"/>
      <c r="F684" s="500"/>
      <c r="G684" s="515" t="s">
        <v>349</v>
      </c>
      <c r="H684" s="546">
        <v>1.28</v>
      </c>
      <c r="I684" s="546">
        <v>0.17</v>
      </c>
      <c r="J684" s="659" t="s">
        <v>22</v>
      </c>
      <c r="K684" s="546">
        <v>1.8</v>
      </c>
      <c r="L684" s="737"/>
      <c r="M684" s="621"/>
    </row>
    <row r="685" s="647" customFormat="1" spans="1:13">
      <c r="A685" s="499"/>
      <c r="B685" s="500"/>
      <c r="C685" s="500"/>
      <c r="D685" s="501"/>
      <c r="E685" s="500"/>
      <c r="F685" s="500"/>
      <c r="G685" s="515" t="s">
        <v>350</v>
      </c>
      <c r="H685" s="546">
        <v>1.33</v>
      </c>
      <c r="I685" s="546">
        <v>0.18</v>
      </c>
      <c r="J685" s="659" t="s">
        <v>136</v>
      </c>
      <c r="K685" s="546">
        <v>4.4</v>
      </c>
      <c r="L685" s="737"/>
      <c r="M685" s="621"/>
    </row>
    <row r="686" s="647" customFormat="1" spans="1:13">
      <c r="A686" s="499"/>
      <c r="B686" s="500"/>
      <c r="C686" s="500"/>
      <c r="D686" s="501"/>
      <c r="E686" s="500"/>
      <c r="F686" s="500"/>
      <c r="G686" s="515" t="s">
        <v>91</v>
      </c>
      <c r="H686" s="546">
        <v>1.75</v>
      </c>
      <c r="I686" s="546">
        <v>0.25</v>
      </c>
      <c r="J686" s="659" t="s">
        <v>24</v>
      </c>
      <c r="K686" s="546" t="s">
        <v>24</v>
      </c>
      <c r="L686" s="737"/>
      <c r="M686" s="621"/>
    </row>
    <row r="687" s="647" customFormat="1" spans="1:13">
      <c r="A687" s="499">
        <v>46191</v>
      </c>
      <c r="B687" s="500" t="s">
        <v>397</v>
      </c>
      <c r="C687" s="500" t="s">
        <v>358</v>
      </c>
      <c r="D687" s="501">
        <v>5</v>
      </c>
      <c r="E687" s="500" t="s">
        <v>214</v>
      </c>
      <c r="F687" s="500" t="s">
        <v>218</v>
      </c>
      <c r="G687" s="515" t="s">
        <v>361</v>
      </c>
      <c r="H687" s="546">
        <v>1.03</v>
      </c>
      <c r="I687" s="546">
        <v>4.18</v>
      </c>
      <c r="J687" s="659" t="s">
        <v>17</v>
      </c>
      <c r="K687" s="546">
        <v>1.6</v>
      </c>
      <c r="L687" s="737" t="s">
        <v>27</v>
      </c>
      <c r="M687" s="591" t="s">
        <v>170</v>
      </c>
    </row>
    <row r="688" s="647" customFormat="1" spans="1:13">
      <c r="A688" s="499"/>
      <c r="B688" s="500"/>
      <c r="C688" s="500"/>
      <c r="D688" s="501"/>
      <c r="E688" s="500"/>
      <c r="F688" s="500"/>
      <c r="G688" s="515" t="s">
        <v>349</v>
      </c>
      <c r="H688" s="546">
        <v>1.03</v>
      </c>
      <c r="I688" s="546">
        <v>0.35</v>
      </c>
      <c r="J688" s="659" t="s">
        <v>22</v>
      </c>
      <c r="K688" s="546">
        <v>1.62</v>
      </c>
      <c r="L688" s="737"/>
      <c r="M688" s="527"/>
    </row>
    <row r="689" s="647" customFormat="1" spans="1:13">
      <c r="A689" s="499"/>
      <c r="B689" s="500"/>
      <c r="C689" s="500"/>
      <c r="D689" s="501"/>
      <c r="E689" s="500"/>
      <c r="F689" s="500"/>
      <c r="G689" s="515" t="s">
        <v>91</v>
      </c>
      <c r="H689" s="546">
        <v>1.77</v>
      </c>
      <c r="I689" s="546">
        <v>0.47</v>
      </c>
      <c r="J689" s="659" t="s">
        <v>24</v>
      </c>
      <c r="K689" s="546" t="s">
        <v>24</v>
      </c>
      <c r="L689" s="737"/>
      <c r="M689" s="527"/>
    </row>
    <row r="690" s="647" customFormat="1" spans="1:13">
      <c r="A690" s="499">
        <v>46191</v>
      </c>
      <c r="B690" s="500" t="s">
        <v>398</v>
      </c>
      <c r="C690" s="500" t="s">
        <v>363</v>
      </c>
      <c r="D690" s="501">
        <v>5</v>
      </c>
      <c r="E690" s="500" t="s">
        <v>217</v>
      </c>
      <c r="F690" s="500" t="s">
        <v>399</v>
      </c>
      <c r="G690" s="515" t="s">
        <v>361</v>
      </c>
      <c r="H690" s="546">
        <v>1.78</v>
      </c>
      <c r="I690" s="546">
        <v>4.2</v>
      </c>
      <c r="J690" s="659" t="s">
        <v>17</v>
      </c>
      <c r="K690" s="546">
        <v>2.5</v>
      </c>
      <c r="L690" s="737" t="s">
        <v>310</v>
      </c>
      <c r="M690" s="621"/>
    </row>
    <row r="691" s="647" customFormat="1" spans="1:13">
      <c r="A691" s="499"/>
      <c r="B691" s="500"/>
      <c r="C691" s="500"/>
      <c r="D691" s="501"/>
      <c r="E691" s="500"/>
      <c r="F691" s="500"/>
      <c r="G691" s="515" t="s">
        <v>349</v>
      </c>
      <c r="H691" s="546">
        <v>1.78</v>
      </c>
      <c r="I691" s="546">
        <v>0.35</v>
      </c>
      <c r="J691" s="659" t="s">
        <v>22</v>
      </c>
      <c r="K691" s="546">
        <v>2.55</v>
      </c>
      <c r="L691" s="737"/>
      <c r="M691" s="621"/>
    </row>
    <row r="692" s="647" customFormat="1" spans="1:13">
      <c r="A692" s="499"/>
      <c r="B692" s="500"/>
      <c r="C692" s="500"/>
      <c r="D692" s="501"/>
      <c r="E692" s="500"/>
      <c r="F692" s="500"/>
      <c r="G692" s="515" t="s">
        <v>91</v>
      </c>
      <c r="H692" s="546">
        <v>1.78</v>
      </c>
      <c r="I692" s="546">
        <v>0.45</v>
      </c>
      <c r="J692" s="659" t="s">
        <v>24</v>
      </c>
      <c r="K692" s="546" t="s">
        <v>24</v>
      </c>
      <c r="L692" s="737"/>
      <c r="M692" s="621"/>
    </row>
    <row r="693" s="647" customFormat="1" spans="1:13">
      <c r="A693" s="499">
        <v>46196</v>
      </c>
      <c r="B693" s="500" t="s">
        <v>400</v>
      </c>
      <c r="C693" s="500" t="s">
        <v>358</v>
      </c>
      <c r="D693" s="501">
        <v>10</v>
      </c>
      <c r="E693" s="500" t="s">
        <v>359</v>
      </c>
      <c r="F693" s="500" t="s">
        <v>360</v>
      </c>
      <c r="G693" s="515" t="s">
        <v>361</v>
      </c>
      <c r="H693" s="546">
        <v>0.88</v>
      </c>
      <c r="I693" s="546">
        <v>9</v>
      </c>
      <c r="J693" s="659" t="s">
        <v>17</v>
      </c>
      <c r="K693" s="546">
        <v>1.51</v>
      </c>
      <c r="L693" s="737" t="s">
        <v>74</v>
      </c>
      <c r="M693" s="621"/>
    </row>
    <row r="694" s="647" customFormat="1" spans="1:13">
      <c r="A694" s="499"/>
      <c r="B694" s="500"/>
      <c r="C694" s="500"/>
      <c r="D694" s="501"/>
      <c r="E694" s="500"/>
      <c r="F694" s="500"/>
      <c r="G694" s="515" t="s">
        <v>349</v>
      </c>
      <c r="H694" s="546">
        <v>1.11</v>
      </c>
      <c r="I694" s="546">
        <v>0.3</v>
      </c>
      <c r="J694" s="659" t="s">
        <v>22</v>
      </c>
      <c r="K694" s="546">
        <v>1.58</v>
      </c>
      <c r="L694" s="737"/>
      <c r="M694" s="621"/>
    </row>
    <row r="695" s="647" customFormat="1" spans="1:13">
      <c r="A695" s="499"/>
      <c r="B695" s="500"/>
      <c r="C695" s="500"/>
      <c r="D695" s="501"/>
      <c r="E695" s="500"/>
      <c r="F695" s="500"/>
      <c r="G695" s="515" t="s">
        <v>91</v>
      </c>
      <c r="H695" s="546">
        <v>1.63</v>
      </c>
      <c r="I695" s="546">
        <v>0.7</v>
      </c>
      <c r="J695" s="659" t="s">
        <v>24</v>
      </c>
      <c r="K695" s="546" t="s">
        <v>24</v>
      </c>
      <c r="L695" s="737"/>
      <c r="M695" s="621"/>
    </row>
    <row r="696" s="647" customFormat="1" spans="1:13">
      <c r="A696" s="499">
        <v>46196</v>
      </c>
      <c r="B696" s="500" t="s">
        <v>401</v>
      </c>
      <c r="C696" s="500" t="s">
        <v>358</v>
      </c>
      <c r="D696" s="501">
        <v>10</v>
      </c>
      <c r="E696" s="500" t="s">
        <v>359</v>
      </c>
      <c r="F696" s="500" t="s">
        <v>195</v>
      </c>
      <c r="G696" s="515" t="s">
        <v>361</v>
      </c>
      <c r="H696" s="546">
        <v>0.88</v>
      </c>
      <c r="I696" s="546">
        <v>9</v>
      </c>
      <c r="J696" s="659" t="s">
        <v>17</v>
      </c>
      <c r="K696" s="546">
        <v>1.59</v>
      </c>
      <c r="L696" s="737" t="s">
        <v>74</v>
      </c>
      <c r="M696" s="621"/>
    </row>
    <row r="697" s="647" customFormat="1" spans="1:13">
      <c r="A697" s="499"/>
      <c r="B697" s="500"/>
      <c r="C697" s="500"/>
      <c r="D697" s="501"/>
      <c r="E697" s="500"/>
      <c r="F697" s="500"/>
      <c r="G697" s="515" t="s">
        <v>349</v>
      </c>
      <c r="H697" s="546">
        <v>1.11</v>
      </c>
      <c r="I697" s="546">
        <v>0.3</v>
      </c>
      <c r="J697" s="659" t="s">
        <v>22</v>
      </c>
      <c r="K697" s="546">
        <v>1.77</v>
      </c>
      <c r="L697" s="737"/>
      <c r="M697" s="621"/>
    </row>
    <row r="698" s="647" customFormat="1" spans="1:13">
      <c r="A698" s="499"/>
      <c r="B698" s="500"/>
      <c r="C698" s="500"/>
      <c r="D698" s="501"/>
      <c r="E698" s="500"/>
      <c r="F698" s="500"/>
      <c r="G698" s="515" t="s">
        <v>91</v>
      </c>
      <c r="H698" s="546">
        <v>1.63</v>
      </c>
      <c r="I698" s="546">
        <v>0.7</v>
      </c>
      <c r="J698" s="659" t="s">
        <v>24</v>
      </c>
      <c r="K698" s="546" t="s">
        <v>24</v>
      </c>
      <c r="L698" s="737"/>
      <c r="M698" s="621"/>
    </row>
    <row r="699" s="647" customFormat="1" spans="1:13">
      <c r="A699" s="499">
        <v>46196</v>
      </c>
      <c r="B699" s="500" t="s">
        <v>402</v>
      </c>
      <c r="C699" s="500" t="s">
        <v>363</v>
      </c>
      <c r="D699" s="501">
        <v>8</v>
      </c>
      <c r="E699" s="500" t="s">
        <v>82</v>
      </c>
      <c r="F699" s="500" t="s">
        <v>360</v>
      </c>
      <c r="G699" s="515" t="s">
        <v>361</v>
      </c>
      <c r="H699" s="546">
        <v>1.01</v>
      </c>
      <c r="I699" s="546">
        <v>6.96</v>
      </c>
      <c r="J699" s="659" t="s">
        <v>17</v>
      </c>
      <c r="K699" s="546">
        <v>1.58</v>
      </c>
      <c r="L699" s="737" t="s">
        <v>27</v>
      </c>
      <c r="M699" s="737" t="s">
        <v>403</v>
      </c>
    </row>
    <row r="700" s="647" customFormat="1" spans="1:13">
      <c r="A700" s="499"/>
      <c r="B700" s="500"/>
      <c r="C700" s="500"/>
      <c r="D700" s="501"/>
      <c r="E700" s="500"/>
      <c r="F700" s="500"/>
      <c r="G700" s="515" t="s">
        <v>349</v>
      </c>
      <c r="H700" s="546">
        <v>1.01</v>
      </c>
      <c r="I700" s="546">
        <v>0.4</v>
      </c>
      <c r="J700" s="659" t="s">
        <v>22</v>
      </c>
      <c r="K700" s="546">
        <v>1.65</v>
      </c>
      <c r="L700" s="737"/>
      <c r="M700" s="621"/>
    </row>
    <row r="701" s="647" customFormat="1" spans="1:13">
      <c r="A701" s="499"/>
      <c r="B701" s="500"/>
      <c r="C701" s="500"/>
      <c r="D701" s="501"/>
      <c r="E701" s="500"/>
      <c r="F701" s="500"/>
      <c r="G701" s="515" t="s">
        <v>91</v>
      </c>
      <c r="H701" s="546">
        <v>1.84</v>
      </c>
      <c r="I701" s="546">
        <v>0.64</v>
      </c>
      <c r="J701" s="659" t="s">
        <v>24</v>
      </c>
      <c r="K701" s="546" t="s">
        <v>24</v>
      </c>
      <c r="L701" s="737"/>
      <c r="M701" s="621"/>
    </row>
    <row r="702" s="647" customFormat="1" spans="1:13">
      <c r="A702" s="499">
        <v>46197</v>
      </c>
      <c r="B702" s="500" t="s">
        <v>404</v>
      </c>
      <c r="C702" s="500" t="s">
        <v>363</v>
      </c>
      <c r="D702" s="501">
        <v>10</v>
      </c>
      <c r="E702" s="500" t="s">
        <v>359</v>
      </c>
      <c r="F702" s="500" t="s">
        <v>385</v>
      </c>
      <c r="G702" s="515" t="s">
        <v>361</v>
      </c>
      <c r="H702" s="546">
        <v>1</v>
      </c>
      <c r="I702" s="546">
        <v>8.9</v>
      </c>
      <c r="J702" s="659" t="s">
        <v>17</v>
      </c>
      <c r="K702" s="546">
        <v>1.58</v>
      </c>
      <c r="L702" s="737" t="s">
        <v>129</v>
      </c>
      <c r="M702" s="621" t="s">
        <v>405</v>
      </c>
    </row>
    <row r="703" s="647" customFormat="1" spans="1:13">
      <c r="A703" s="499"/>
      <c r="B703" s="500"/>
      <c r="C703" s="500"/>
      <c r="D703" s="501"/>
      <c r="E703" s="500"/>
      <c r="F703" s="500"/>
      <c r="G703" s="515" t="s">
        <v>349</v>
      </c>
      <c r="H703" s="546">
        <v>1.17</v>
      </c>
      <c r="I703" s="546">
        <v>0.5</v>
      </c>
      <c r="J703" s="659" t="s">
        <v>22</v>
      </c>
      <c r="K703" s="546">
        <v>1.77</v>
      </c>
      <c r="L703" s="737"/>
      <c r="M703" s="621"/>
    </row>
    <row r="704" s="647" customFormat="1" spans="1:13">
      <c r="A704" s="499"/>
      <c r="B704" s="500"/>
      <c r="C704" s="500"/>
      <c r="D704" s="501"/>
      <c r="E704" s="500"/>
      <c r="F704" s="500"/>
      <c r="G704" s="515" t="s">
        <v>91</v>
      </c>
      <c r="H704" s="546">
        <v>1.75</v>
      </c>
      <c r="I704" s="546">
        <v>0.6</v>
      </c>
      <c r="J704" s="659" t="s">
        <v>24</v>
      </c>
      <c r="K704" s="546" t="s">
        <v>24</v>
      </c>
      <c r="L704" s="737"/>
      <c r="M704" s="621"/>
    </row>
    <row r="705" s="647" customFormat="1" spans="1:13">
      <c r="A705" s="499">
        <v>46197</v>
      </c>
      <c r="B705" s="500" t="s">
        <v>406</v>
      </c>
      <c r="C705" s="500" t="s">
        <v>358</v>
      </c>
      <c r="D705" s="501">
        <v>10</v>
      </c>
      <c r="E705" s="500" t="s">
        <v>359</v>
      </c>
      <c r="F705" s="500" t="s">
        <v>360</v>
      </c>
      <c r="G705" s="515" t="s">
        <v>361</v>
      </c>
      <c r="H705" s="546">
        <v>0.94</v>
      </c>
      <c r="I705" s="546">
        <v>9</v>
      </c>
      <c r="J705" s="659" t="s">
        <v>17</v>
      </c>
      <c r="K705" s="546">
        <v>1.57</v>
      </c>
      <c r="L705" s="737" t="s">
        <v>74</v>
      </c>
      <c r="M705" s="621"/>
    </row>
    <row r="706" s="647" customFormat="1" spans="1:13">
      <c r="A706" s="499"/>
      <c r="B706" s="500"/>
      <c r="C706" s="500"/>
      <c r="D706" s="501"/>
      <c r="E706" s="500"/>
      <c r="F706" s="500"/>
      <c r="G706" s="515" t="s">
        <v>349</v>
      </c>
      <c r="H706" s="546">
        <v>1.19</v>
      </c>
      <c r="I706" s="546">
        <v>0.3</v>
      </c>
      <c r="J706" s="659" t="s">
        <v>22</v>
      </c>
      <c r="K706" s="546">
        <v>1.77</v>
      </c>
      <c r="L706" s="737"/>
      <c r="M706" s="621"/>
    </row>
    <row r="707" s="647" customFormat="1" spans="1:13">
      <c r="A707" s="499"/>
      <c r="B707" s="500"/>
      <c r="C707" s="500"/>
      <c r="D707" s="501"/>
      <c r="E707" s="500"/>
      <c r="F707" s="500"/>
      <c r="G707" s="515" t="s">
        <v>91</v>
      </c>
      <c r="H707" s="546">
        <v>1.7</v>
      </c>
      <c r="I707" s="546">
        <v>0.7</v>
      </c>
      <c r="J707" s="659" t="s">
        <v>24</v>
      </c>
      <c r="K707" s="546" t="s">
        <v>24</v>
      </c>
      <c r="L707" s="737"/>
      <c r="M707" s="621"/>
    </row>
    <row r="708" s="647" customFormat="1" spans="1:13">
      <c r="A708" s="499">
        <v>46197</v>
      </c>
      <c r="B708" s="500" t="s">
        <v>407</v>
      </c>
      <c r="C708" s="500" t="s">
        <v>358</v>
      </c>
      <c r="D708" s="501">
        <v>10</v>
      </c>
      <c r="E708" s="500" t="s">
        <v>359</v>
      </c>
      <c r="F708" s="500" t="s">
        <v>195</v>
      </c>
      <c r="G708" s="515" t="s">
        <v>361</v>
      </c>
      <c r="H708" s="546">
        <v>0.88</v>
      </c>
      <c r="I708" s="546">
        <v>9</v>
      </c>
      <c r="J708" s="659" t="s">
        <v>17</v>
      </c>
      <c r="K708" s="546">
        <v>1.57</v>
      </c>
      <c r="L708" s="737" t="s">
        <v>74</v>
      </c>
      <c r="M708" s="621"/>
    </row>
    <row r="709" s="647" customFormat="1" spans="1:13">
      <c r="A709" s="499"/>
      <c r="B709" s="500"/>
      <c r="C709" s="500"/>
      <c r="D709" s="501"/>
      <c r="E709" s="500"/>
      <c r="F709" s="500"/>
      <c r="G709" s="515" t="s">
        <v>349</v>
      </c>
      <c r="H709" s="546">
        <v>1.11</v>
      </c>
      <c r="I709" s="546">
        <v>0.3</v>
      </c>
      <c r="J709" s="659" t="s">
        <v>22</v>
      </c>
      <c r="K709" s="546">
        <v>1.77</v>
      </c>
      <c r="L709" s="737"/>
      <c r="M709" s="621"/>
    </row>
    <row r="710" s="647" customFormat="1" spans="1:13">
      <c r="A710" s="499"/>
      <c r="B710" s="500"/>
      <c r="C710" s="500"/>
      <c r="D710" s="501"/>
      <c r="E710" s="500"/>
      <c r="F710" s="500"/>
      <c r="G710" s="515" t="s">
        <v>91</v>
      </c>
      <c r="H710" s="546">
        <v>1.63</v>
      </c>
      <c r="I710" s="546">
        <v>0.7</v>
      </c>
      <c r="J710" s="659" t="s">
        <v>24</v>
      </c>
      <c r="K710" s="546" t="s">
        <v>24</v>
      </c>
      <c r="L710" s="737"/>
      <c r="M710" s="621"/>
    </row>
    <row r="711" s="647" customFormat="1" spans="1:13">
      <c r="A711" s="499">
        <v>46198</v>
      </c>
      <c r="B711" s="500" t="s">
        <v>408</v>
      </c>
      <c r="C711" s="500" t="s">
        <v>358</v>
      </c>
      <c r="D711" s="501">
        <v>10</v>
      </c>
      <c r="E711" s="500" t="s">
        <v>359</v>
      </c>
      <c r="F711" s="500" t="s">
        <v>360</v>
      </c>
      <c r="G711" s="515" t="s">
        <v>361</v>
      </c>
      <c r="H711" s="546">
        <v>0.87</v>
      </c>
      <c r="I711" s="546">
        <v>9</v>
      </c>
      <c r="J711" s="659" t="s">
        <v>17</v>
      </c>
      <c r="K711" s="546">
        <v>1.6</v>
      </c>
      <c r="L711" s="737" t="s">
        <v>74</v>
      </c>
      <c r="M711" s="621"/>
    </row>
    <row r="712" s="647" customFormat="1" spans="1:13">
      <c r="A712" s="499"/>
      <c r="B712" s="500"/>
      <c r="C712" s="500"/>
      <c r="D712" s="501"/>
      <c r="E712" s="500"/>
      <c r="F712" s="500"/>
      <c r="G712" s="515" t="s">
        <v>349</v>
      </c>
      <c r="H712" s="546">
        <v>1.11</v>
      </c>
      <c r="I712" s="546">
        <v>0.3</v>
      </c>
      <c r="J712" s="659" t="s">
        <v>22</v>
      </c>
      <c r="K712" s="546">
        <v>1.77</v>
      </c>
      <c r="L712" s="737"/>
      <c r="M712" s="621"/>
    </row>
    <row r="713" s="647" customFormat="1" spans="1:13">
      <c r="A713" s="499"/>
      <c r="B713" s="500"/>
      <c r="C713" s="500"/>
      <c r="D713" s="501"/>
      <c r="E713" s="500"/>
      <c r="F713" s="500"/>
      <c r="G713" s="515" t="s">
        <v>91</v>
      </c>
      <c r="H713" s="546">
        <v>1.63</v>
      </c>
      <c r="I713" s="546">
        <v>0.7</v>
      </c>
      <c r="J713" s="659" t="s">
        <v>24</v>
      </c>
      <c r="K713" s="546" t="s">
        <v>24</v>
      </c>
      <c r="L713" s="737"/>
      <c r="M713" s="621"/>
    </row>
    <row r="714" s="647" customFormat="1" spans="1:13">
      <c r="A714" s="499">
        <v>46198</v>
      </c>
      <c r="B714" s="500" t="s">
        <v>409</v>
      </c>
      <c r="C714" s="500" t="s">
        <v>358</v>
      </c>
      <c r="D714" s="501">
        <v>10</v>
      </c>
      <c r="E714" s="500" t="s">
        <v>359</v>
      </c>
      <c r="F714" s="500" t="s">
        <v>195</v>
      </c>
      <c r="G714" s="515" t="s">
        <v>361</v>
      </c>
      <c r="H714" s="546">
        <v>0.87</v>
      </c>
      <c r="I714" s="546">
        <v>9</v>
      </c>
      <c r="J714" s="659" t="s">
        <v>17</v>
      </c>
      <c r="K714" s="546">
        <v>1.51</v>
      </c>
      <c r="L714" s="737" t="s">
        <v>74</v>
      </c>
      <c r="M714" s="621"/>
    </row>
    <row r="715" s="647" customFormat="1" spans="1:13">
      <c r="A715" s="499"/>
      <c r="B715" s="500"/>
      <c r="C715" s="500"/>
      <c r="D715" s="501"/>
      <c r="E715" s="500"/>
      <c r="F715" s="500"/>
      <c r="G715" s="515" t="s">
        <v>349</v>
      </c>
      <c r="H715" s="546">
        <v>1.11</v>
      </c>
      <c r="I715" s="546">
        <v>0.3</v>
      </c>
      <c r="J715" s="659" t="s">
        <v>22</v>
      </c>
      <c r="K715" s="546">
        <v>1.58</v>
      </c>
      <c r="L715" s="737"/>
      <c r="M715" s="621"/>
    </row>
    <row r="716" s="647" customFormat="1" spans="1:13">
      <c r="A716" s="499"/>
      <c r="B716" s="500"/>
      <c r="C716" s="500"/>
      <c r="D716" s="501"/>
      <c r="E716" s="500"/>
      <c r="F716" s="500"/>
      <c r="G716" s="515" t="s">
        <v>91</v>
      </c>
      <c r="H716" s="546">
        <v>1.63</v>
      </c>
      <c r="I716" s="546">
        <v>0.7</v>
      </c>
      <c r="J716" s="659" t="s">
        <v>24</v>
      </c>
      <c r="K716" s="546" t="s">
        <v>24</v>
      </c>
      <c r="L716" s="737"/>
      <c r="M716" s="621"/>
    </row>
    <row r="717" s="647" customFormat="1" spans="1:13">
      <c r="A717" s="499">
        <v>46198</v>
      </c>
      <c r="B717" s="500" t="s">
        <v>410</v>
      </c>
      <c r="C717" s="500" t="s">
        <v>363</v>
      </c>
      <c r="D717" s="501">
        <v>5</v>
      </c>
      <c r="E717" s="500" t="s">
        <v>82</v>
      </c>
      <c r="F717" s="500" t="s">
        <v>360</v>
      </c>
      <c r="G717" s="515" t="s">
        <v>361</v>
      </c>
      <c r="H717" s="546">
        <v>1.01</v>
      </c>
      <c r="I717" s="546">
        <v>4.35</v>
      </c>
      <c r="J717" s="659" t="s">
        <v>17</v>
      </c>
      <c r="K717" s="546">
        <v>1.58</v>
      </c>
      <c r="L717" s="737" t="s">
        <v>27</v>
      </c>
      <c r="M717" s="737" t="s">
        <v>403</v>
      </c>
    </row>
    <row r="718" s="647" customFormat="1" spans="1:13">
      <c r="A718" s="499"/>
      <c r="B718" s="500"/>
      <c r="C718" s="500"/>
      <c r="D718" s="501"/>
      <c r="E718" s="500"/>
      <c r="F718" s="500"/>
      <c r="G718" s="515" t="s">
        <v>349</v>
      </c>
      <c r="H718" s="546">
        <v>1.01</v>
      </c>
      <c r="I718" s="546">
        <v>0.25</v>
      </c>
      <c r="J718" s="659" t="s">
        <v>22</v>
      </c>
      <c r="K718" s="546">
        <v>1.65</v>
      </c>
      <c r="L718" s="737"/>
      <c r="M718" s="621"/>
    </row>
    <row r="719" s="647" customFormat="1" spans="1:13">
      <c r="A719" s="499"/>
      <c r="B719" s="500"/>
      <c r="C719" s="500"/>
      <c r="D719" s="501"/>
      <c r="E719" s="500"/>
      <c r="F719" s="500"/>
      <c r="G719" s="515" t="s">
        <v>91</v>
      </c>
      <c r="H719" s="546">
        <v>1.84</v>
      </c>
      <c r="I719" s="546">
        <v>0.4</v>
      </c>
      <c r="J719" s="659" t="s">
        <v>24</v>
      </c>
      <c r="K719" s="546" t="s">
        <v>24</v>
      </c>
      <c r="L719" s="737"/>
      <c r="M719" s="621"/>
    </row>
    <row r="720" s="647" customFormat="1" spans="1:13">
      <c r="A720" s="499">
        <v>46198</v>
      </c>
      <c r="B720" s="500" t="s">
        <v>411</v>
      </c>
      <c r="C720" s="500" t="s">
        <v>363</v>
      </c>
      <c r="D720" s="501">
        <v>5</v>
      </c>
      <c r="E720" s="500" t="s">
        <v>217</v>
      </c>
      <c r="F720" s="500" t="s">
        <v>399</v>
      </c>
      <c r="G720" s="515" t="s">
        <v>361</v>
      </c>
      <c r="H720" s="546">
        <v>1.84</v>
      </c>
      <c r="I720" s="546">
        <v>4.2</v>
      </c>
      <c r="J720" s="659" t="s">
        <v>17</v>
      </c>
      <c r="K720" s="546">
        <v>2.5</v>
      </c>
      <c r="L720" s="737" t="s">
        <v>310</v>
      </c>
      <c r="M720" s="621"/>
    </row>
    <row r="721" s="647" customFormat="1" spans="1:13">
      <c r="A721" s="499"/>
      <c r="B721" s="500"/>
      <c r="C721" s="500"/>
      <c r="D721" s="501"/>
      <c r="E721" s="500"/>
      <c r="F721" s="500"/>
      <c r="G721" s="515" t="s">
        <v>349</v>
      </c>
      <c r="H721" s="546">
        <v>1.84</v>
      </c>
      <c r="I721" s="546">
        <v>0.35</v>
      </c>
      <c r="J721" s="659" t="s">
        <v>22</v>
      </c>
      <c r="K721" s="546">
        <v>2.55</v>
      </c>
      <c r="L721" s="737"/>
      <c r="M721" s="621"/>
    </row>
    <row r="722" s="647" customFormat="1" spans="1:13">
      <c r="A722" s="499"/>
      <c r="B722" s="500"/>
      <c r="C722" s="500"/>
      <c r="D722" s="501"/>
      <c r="E722" s="500"/>
      <c r="F722" s="500"/>
      <c r="G722" s="515" t="s">
        <v>91</v>
      </c>
      <c r="H722" s="546">
        <v>1.84</v>
      </c>
      <c r="I722" s="546">
        <v>0.45</v>
      </c>
      <c r="J722" s="659" t="s">
        <v>24</v>
      </c>
      <c r="K722" s="546" t="s">
        <v>24</v>
      </c>
      <c r="L722" s="737"/>
      <c r="M722" s="621"/>
    </row>
    <row r="723" s="647" customFormat="1" spans="1:13">
      <c r="A723" s="499">
        <v>46199</v>
      </c>
      <c r="B723" s="500" t="s">
        <v>412</v>
      </c>
      <c r="C723" s="500" t="s">
        <v>358</v>
      </c>
      <c r="D723" s="501">
        <v>5</v>
      </c>
      <c r="E723" s="500" t="s">
        <v>82</v>
      </c>
      <c r="F723" s="500" t="s">
        <v>83</v>
      </c>
      <c r="G723" s="515" t="s">
        <v>220</v>
      </c>
      <c r="H723" s="546">
        <v>0.99</v>
      </c>
      <c r="I723" s="546">
        <v>4.925</v>
      </c>
      <c r="J723" s="659" t="s">
        <v>17</v>
      </c>
      <c r="K723" s="546">
        <v>0</v>
      </c>
      <c r="L723" s="590" t="s">
        <v>48</v>
      </c>
      <c r="M723" s="500"/>
    </row>
    <row r="724" s="647" customFormat="1" spans="1:13">
      <c r="A724" s="499"/>
      <c r="B724" s="500"/>
      <c r="C724" s="500"/>
      <c r="D724" s="501"/>
      <c r="E724" s="500"/>
      <c r="F724" s="500"/>
      <c r="G724" s="515" t="s">
        <v>91</v>
      </c>
      <c r="H724" s="546">
        <v>2.97</v>
      </c>
      <c r="I724" s="546">
        <v>0.075</v>
      </c>
      <c r="J724" s="659" t="s">
        <v>24</v>
      </c>
      <c r="K724" s="659" t="s">
        <v>24</v>
      </c>
      <c r="L724" s="590"/>
      <c r="M724" s="500"/>
    </row>
    <row r="725" s="647" customFormat="1" spans="1:13">
      <c r="A725" s="499">
        <v>46199</v>
      </c>
      <c r="B725" s="500" t="s">
        <v>413</v>
      </c>
      <c r="C725" s="500" t="s">
        <v>363</v>
      </c>
      <c r="D725" s="501">
        <v>10</v>
      </c>
      <c r="E725" s="500" t="s">
        <v>359</v>
      </c>
      <c r="F725" s="500" t="s">
        <v>385</v>
      </c>
      <c r="G725" s="515" t="s">
        <v>361</v>
      </c>
      <c r="H725" s="546">
        <v>8.9</v>
      </c>
      <c r="I725" s="546">
        <v>8.9</v>
      </c>
      <c r="J725" s="659" t="s">
        <v>17</v>
      </c>
      <c r="K725" s="546">
        <v>1.57</v>
      </c>
      <c r="L725" s="737" t="s">
        <v>129</v>
      </c>
      <c r="M725" s="621" t="s">
        <v>405</v>
      </c>
    </row>
    <row r="726" s="647" customFormat="1" spans="1:13">
      <c r="A726" s="499"/>
      <c r="B726" s="500"/>
      <c r="C726" s="500"/>
      <c r="D726" s="501"/>
      <c r="E726" s="500"/>
      <c r="F726" s="500"/>
      <c r="G726" s="515" t="s">
        <v>349</v>
      </c>
      <c r="H726" s="546">
        <v>0.5</v>
      </c>
      <c r="I726" s="546">
        <v>0.5</v>
      </c>
      <c r="J726" s="659" t="s">
        <v>22</v>
      </c>
      <c r="K726" s="546">
        <v>1.77</v>
      </c>
      <c r="L726" s="737"/>
      <c r="M726" s="621"/>
    </row>
    <row r="727" s="647" customFormat="1" spans="1:13">
      <c r="A727" s="499"/>
      <c r="B727" s="500"/>
      <c r="C727" s="500"/>
      <c r="D727" s="501"/>
      <c r="E727" s="500"/>
      <c r="F727" s="500"/>
      <c r="G727" s="515" t="s">
        <v>91</v>
      </c>
      <c r="H727" s="546">
        <v>0.6</v>
      </c>
      <c r="I727" s="546">
        <v>0.6</v>
      </c>
      <c r="J727" s="659" t="s">
        <v>24</v>
      </c>
      <c r="K727" s="546" t="s">
        <v>24</v>
      </c>
      <c r="L727" s="737"/>
      <c r="M727" s="621"/>
    </row>
    <row r="728" s="647" customFormat="1" spans="1:13">
      <c r="A728" s="499">
        <v>46199</v>
      </c>
      <c r="B728" s="500" t="s">
        <v>414</v>
      </c>
      <c r="C728" s="500" t="s">
        <v>358</v>
      </c>
      <c r="D728" s="501">
        <v>5</v>
      </c>
      <c r="E728" s="500" t="s">
        <v>217</v>
      </c>
      <c r="F728" s="500" t="s">
        <v>415</v>
      </c>
      <c r="G728" s="515" t="s">
        <v>361</v>
      </c>
      <c r="H728" s="546">
        <v>1</v>
      </c>
      <c r="I728" s="546">
        <v>4.3</v>
      </c>
      <c r="J728" s="659" t="s">
        <v>17</v>
      </c>
      <c r="K728" s="546">
        <v>1.62</v>
      </c>
      <c r="L728" s="737" t="s">
        <v>35</v>
      </c>
      <c r="M728" s="545" t="s">
        <v>336</v>
      </c>
    </row>
    <row r="729" s="647" customFormat="1" spans="1:13">
      <c r="A729" s="499"/>
      <c r="B729" s="500"/>
      <c r="C729" s="500"/>
      <c r="D729" s="501"/>
      <c r="E729" s="500"/>
      <c r="F729" s="500"/>
      <c r="G729" s="515" t="s">
        <v>349</v>
      </c>
      <c r="H729" s="546">
        <v>1</v>
      </c>
      <c r="I729" s="546">
        <v>0.2</v>
      </c>
      <c r="J729" s="659" t="s">
        <v>22</v>
      </c>
      <c r="K729" s="546">
        <v>1.7</v>
      </c>
      <c r="L729" s="737"/>
      <c r="M729" s="545"/>
    </row>
    <row r="730" s="647" customFormat="1" spans="1:13">
      <c r="A730" s="499"/>
      <c r="B730" s="500"/>
      <c r="C730" s="500"/>
      <c r="D730" s="501"/>
      <c r="E730" s="500"/>
      <c r="F730" s="500"/>
      <c r="G730" s="515" t="s">
        <v>350</v>
      </c>
      <c r="H730" s="546">
        <v>1</v>
      </c>
      <c r="I730" s="546">
        <v>0.25</v>
      </c>
      <c r="J730" s="659" t="s">
        <v>64</v>
      </c>
      <c r="K730" s="546">
        <v>3.1</v>
      </c>
      <c r="L730" s="737"/>
      <c r="M730" s="545"/>
    </row>
    <row r="731" s="647" customFormat="1" spans="1:13">
      <c r="A731" s="499"/>
      <c r="B731" s="500"/>
      <c r="C731" s="500"/>
      <c r="D731" s="501"/>
      <c r="E731" s="500"/>
      <c r="F731" s="500"/>
      <c r="G731" s="515" t="s">
        <v>91</v>
      </c>
      <c r="H731" s="546">
        <v>1.58</v>
      </c>
      <c r="I731" s="546">
        <v>0.25</v>
      </c>
      <c r="J731" s="659" t="s">
        <v>24</v>
      </c>
      <c r="K731" s="546" t="s">
        <v>24</v>
      </c>
      <c r="L731" s="737"/>
      <c r="M731" s="545"/>
    </row>
    <row r="732" s="492" customFormat="1" spans="1:13">
      <c r="A732" s="540">
        <v>46199</v>
      </c>
      <c r="B732" s="515" t="s">
        <v>416</v>
      </c>
      <c r="C732" s="515" t="s">
        <v>32</v>
      </c>
      <c r="D732" s="541">
        <v>5</v>
      </c>
      <c r="E732" s="515" t="s">
        <v>33</v>
      </c>
      <c r="F732" s="515" t="s">
        <v>77</v>
      </c>
      <c r="G732" s="515" t="s">
        <v>73</v>
      </c>
      <c r="H732" s="541">
        <v>0.99</v>
      </c>
      <c r="I732" s="541">
        <v>4.18</v>
      </c>
      <c r="J732" s="689" t="s">
        <v>17</v>
      </c>
      <c r="K732" s="541">
        <v>1.6</v>
      </c>
      <c r="L732" s="622" t="s">
        <v>27</v>
      </c>
      <c r="M732" s="621" t="s">
        <v>321</v>
      </c>
    </row>
    <row r="733" s="492" customFormat="1" spans="1:13">
      <c r="A733" s="540"/>
      <c r="B733" s="515"/>
      <c r="C733" s="515"/>
      <c r="D733" s="541"/>
      <c r="E733" s="515"/>
      <c r="F733" s="515"/>
      <c r="G733" s="515" t="s">
        <v>75</v>
      </c>
      <c r="H733" s="541">
        <v>0.99</v>
      </c>
      <c r="I733" s="541">
        <v>0.35</v>
      </c>
      <c r="J733" s="689" t="s">
        <v>22</v>
      </c>
      <c r="K733" s="541">
        <v>1.62</v>
      </c>
      <c r="L733" s="622"/>
      <c r="M733" s="621"/>
    </row>
    <row r="734" s="492" customFormat="1" spans="1:13">
      <c r="A734" s="540"/>
      <c r="B734" s="515"/>
      <c r="C734" s="515"/>
      <c r="D734" s="541"/>
      <c r="E734" s="515"/>
      <c r="F734" s="515"/>
      <c r="G734" s="515" t="s">
        <v>91</v>
      </c>
      <c r="H734" s="541">
        <v>1.74</v>
      </c>
      <c r="I734" s="541">
        <v>0.47</v>
      </c>
      <c r="J734" s="689" t="s">
        <v>24</v>
      </c>
      <c r="K734" s="541" t="s">
        <v>24</v>
      </c>
      <c r="L734" s="622"/>
      <c r="M734" s="621"/>
    </row>
    <row r="735" s="492" customFormat="1" spans="1:13">
      <c r="A735" s="540">
        <v>46199</v>
      </c>
      <c r="B735" s="515" t="s">
        <v>417</v>
      </c>
      <c r="C735" s="515" t="s">
        <v>32</v>
      </c>
      <c r="D735" s="541">
        <v>10</v>
      </c>
      <c r="E735" s="515" t="s">
        <v>66</v>
      </c>
      <c r="F735" s="515" t="s">
        <v>94</v>
      </c>
      <c r="G735" s="515" t="s">
        <v>73</v>
      </c>
      <c r="H735" s="541">
        <v>0.86</v>
      </c>
      <c r="I735" s="541">
        <v>9</v>
      </c>
      <c r="J735" s="689" t="s">
        <v>17</v>
      </c>
      <c r="K735" s="541">
        <v>1.6</v>
      </c>
      <c r="L735" s="622" t="s">
        <v>74</v>
      </c>
      <c r="M735" s="545"/>
    </row>
    <row r="736" s="492" customFormat="1" spans="1:13">
      <c r="A736" s="540"/>
      <c r="B736" s="515"/>
      <c r="C736" s="515"/>
      <c r="D736" s="541"/>
      <c r="E736" s="515"/>
      <c r="F736" s="515"/>
      <c r="G736" s="515" t="s">
        <v>75</v>
      </c>
      <c r="H736" s="541">
        <v>1.1</v>
      </c>
      <c r="I736" s="541">
        <v>0.3</v>
      </c>
      <c r="J736" s="689" t="s">
        <v>22</v>
      </c>
      <c r="K736" s="541">
        <v>1.77</v>
      </c>
      <c r="L736" s="622"/>
      <c r="M736" s="545"/>
    </row>
    <row r="737" s="492" customFormat="1" spans="1:13">
      <c r="A737" s="540"/>
      <c r="B737" s="515"/>
      <c r="C737" s="515"/>
      <c r="D737" s="541"/>
      <c r="E737" s="515"/>
      <c r="F737" s="515"/>
      <c r="G737" s="515" t="s">
        <v>91</v>
      </c>
      <c r="H737" s="541">
        <v>1.61</v>
      </c>
      <c r="I737" s="541">
        <v>0.7</v>
      </c>
      <c r="J737" s="689" t="s">
        <v>24</v>
      </c>
      <c r="K737" s="541" t="s">
        <v>24</v>
      </c>
      <c r="L737" s="622"/>
      <c r="M737" s="545"/>
    </row>
    <row r="738" s="492" customFormat="1" spans="1:13">
      <c r="A738" s="540">
        <v>46199</v>
      </c>
      <c r="B738" s="515" t="s">
        <v>418</v>
      </c>
      <c r="C738" s="515" t="s">
        <v>13</v>
      </c>
      <c r="D738" s="541">
        <v>5</v>
      </c>
      <c r="E738" s="515" t="s">
        <v>230</v>
      </c>
      <c r="F738" s="515" t="s">
        <v>15</v>
      </c>
      <c r="G738" s="515" t="s">
        <v>73</v>
      </c>
      <c r="H738" s="541">
        <v>1.48</v>
      </c>
      <c r="I738" s="541">
        <v>4.23</v>
      </c>
      <c r="J738" s="689" t="s">
        <v>17</v>
      </c>
      <c r="K738" s="541">
        <v>2.2</v>
      </c>
      <c r="L738" s="622" t="s">
        <v>67</v>
      </c>
      <c r="M738" s="545"/>
    </row>
    <row r="739" s="492" customFormat="1" spans="1:13">
      <c r="A739" s="540"/>
      <c r="B739" s="515"/>
      <c r="C739" s="515"/>
      <c r="D739" s="541"/>
      <c r="E739" s="515"/>
      <c r="F739" s="515"/>
      <c r="G739" s="515" t="s">
        <v>75</v>
      </c>
      <c r="H739" s="541">
        <v>1.48</v>
      </c>
      <c r="I739" s="541">
        <v>0.22</v>
      </c>
      <c r="J739" s="689" t="s">
        <v>22</v>
      </c>
      <c r="K739" s="541">
        <v>2.6</v>
      </c>
      <c r="L739" s="622"/>
      <c r="M739" s="545"/>
    </row>
    <row r="740" s="492" customFormat="1" spans="1:13">
      <c r="A740" s="540"/>
      <c r="B740" s="515"/>
      <c r="C740" s="515"/>
      <c r="D740" s="541"/>
      <c r="E740" s="515"/>
      <c r="F740" s="515"/>
      <c r="G740" s="515" t="s">
        <v>90</v>
      </c>
      <c r="H740" s="541">
        <v>1.48</v>
      </c>
      <c r="I740" s="541">
        <v>0.2</v>
      </c>
      <c r="J740" s="689" t="s">
        <v>44</v>
      </c>
      <c r="K740" s="541">
        <v>4</v>
      </c>
      <c r="L740" s="622"/>
      <c r="M740" s="545"/>
    </row>
    <row r="741" s="492" customFormat="1" spans="1:13">
      <c r="A741" s="540"/>
      <c r="B741" s="515"/>
      <c r="C741" s="515"/>
      <c r="D741" s="541"/>
      <c r="E741" s="515"/>
      <c r="F741" s="515"/>
      <c r="G741" s="515" t="s">
        <v>91</v>
      </c>
      <c r="H741" s="541">
        <v>1.48</v>
      </c>
      <c r="I741" s="541">
        <v>0.35</v>
      </c>
      <c r="J741" s="689" t="s">
        <v>24</v>
      </c>
      <c r="K741" s="541" t="s">
        <v>24</v>
      </c>
      <c r="L741" s="622"/>
      <c r="M741" s="545"/>
    </row>
    <row r="742" s="492" customFormat="1" spans="1:13">
      <c r="A742" s="540">
        <v>46199</v>
      </c>
      <c r="B742" s="515" t="s">
        <v>419</v>
      </c>
      <c r="C742" s="515" t="s">
        <v>13</v>
      </c>
      <c r="D742" s="541">
        <v>3</v>
      </c>
      <c r="E742" s="515" t="s">
        <v>354</v>
      </c>
      <c r="F742" s="515" t="s">
        <v>94</v>
      </c>
      <c r="G742" s="515" t="s">
        <v>73</v>
      </c>
      <c r="H742" s="541">
        <v>0.99</v>
      </c>
      <c r="I742" s="541">
        <v>2.55</v>
      </c>
      <c r="J742" s="689" t="s">
        <v>17</v>
      </c>
      <c r="K742" s="541">
        <v>1.65</v>
      </c>
      <c r="L742" s="622" t="s">
        <v>355</v>
      </c>
      <c r="M742" s="545"/>
    </row>
    <row r="743" s="492" customFormat="1" spans="1:13">
      <c r="A743" s="540"/>
      <c r="B743" s="515"/>
      <c r="C743" s="515"/>
      <c r="D743" s="541"/>
      <c r="E743" s="515"/>
      <c r="F743" s="515"/>
      <c r="G743" s="515" t="s">
        <v>75</v>
      </c>
      <c r="H743" s="541">
        <v>0.99</v>
      </c>
      <c r="I743" s="541">
        <v>0.15</v>
      </c>
      <c r="J743" s="689" t="s">
        <v>22</v>
      </c>
      <c r="K743" s="541">
        <v>1.66</v>
      </c>
      <c r="L743" s="622"/>
      <c r="M743" s="545"/>
    </row>
    <row r="744" s="492" customFormat="1" spans="1:13">
      <c r="A744" s="540"/>
      <c r="B744" s="515"/>
      <c r="C744" s="515"/>
      <c r="D744" s="541"/>
      <c r="E744" s="515"/>
      <c r="F744" s="515"/>
      <c r="G744" s="515" t="s">
        <v>90</v>
      </c>
      <c r="H744" s="541">
        <v>0.99</v>
      </c>
      <c r="I744" s="541">
        <v>0.12</v>
      </c>
      <c r="J744" s="689" t="s">
        <v>351</v>
      </c>
      <c r="K744" s="541">
        <v>2.6</v>
      </c>
      <c r="L744" s="622"/>
      <c r="M744" s="545"/>
    </row>
    <row r="745" s="492" customFormat="1" spans="1:13">
      <c r="A745" s="540"/>
      <c r="B745" s="515"/>
      <c r="C745" s="515"/>
      <c r="D745" s="541"/>
      <c r="E745" s="515"/>
      <c r="F745" s="515"/>
      <c r="G745" s="515" t="s">
        <v>91</v>
      </c>
      <c r="H745" s="541">
        <v>1.49</v>
      </c>
      <c r="I745" s="541">
        <v>0.18</v>
      </c>
      <c r="J745" s="689" t="s">
        <v>24</v>
      </c>
      <c r="K745" s="541" t="s">
        <v>24</v>
      </c>
      <c r="L745" s="622"/>
      <c r="M745" s="545"/>
    </row>
    <row r="746" s="492" customFormat="1" spans="1:13">
      <c r="A746" s="540">
        <v>46202</v>
      </c>
      <c r="B746" s="515" t="s">
        <v>420</v>
      </c>
      <c r="C746" s="515" t="s">
        <v>32</v>
      </c>
      <c r="D746" s="541">
        <v>10</v>
      </c>
      <c r="E746" s="515" t="s">
        <v>66</v>
      </c>
      <c r="F746" s="515" t="s">
        <v>94</v>
      </c>
      <c r="G746" s="515" t="s">
        <v>73</v>
      </c>
      <c r="H746" s="541">
        <v>0.87</v>
      </c>
      <c r="I746" s="541">
        <v>9</v>
      </c>
      <c r="J746" s="689" t="s">
        <v>17</v>
      </c>
      <c r="K746" s="541">
        <v>1.6</v>
      </c>
      <c r="L746" s="622" t="s">
        <v>74</v>
      </c>
      <c r="M746" s="545"/>
    </row>
    <row r="747" s="492" customFormat="1" spans="1:13">
      <c r="A747" s="540"/>
      <c r="B747" s="515"/>
      <c r="C747" s="515"/>
      <c r="D747" s="541"/>
      <c r="E747" s="515"/>
      <c r="F747" s="515"/>
      <c r="G747" s="515" t="s">
        <v>75</v>
      </c>
      <c r="H747" s="541">
        <v>1.11</v>
      </c>
      <c r="I747" s="541">
        <v>0.3</v>
      </c>
      <c r="J747" s="689" t="s">
        <v>22</v>
      </c>
      <c r="K747" s="541">
        <v>1.77</v>
      </c>
      <c r="L747" s="622"/>
      <c r="M747" s="545"/>
    </row>
    <row r="748" s="492" customFormat="1" spans="1:13">
      <c r="A748" s="540"/>
      <c r="B748" s="515"/>
      <c r="C748" s="515"/>
      <c r="D748" s="541"/>
      <c r="E748" s="515"/>
      <c r="F748" s="515"/>
      <c r="G748" s="515" t="s">
        <v>91</v>
      </c>
      <c r="H748" s="541">
        <v>1.61</v>
      </c>
      <c r="I748" s="541">
        <v>0.7</v>
      </c>
      <c r="J748" s="689" t="s">
        <v>24</v>
      </c>
      <c r="K748" s="541" t="s">
        <v>24</v>
      </c>
      <c r="L748" s="622"/>
      <c r="M748" s="545"/>
    </row>
    <row r="749" s="492" customFormat="1" spans="1:13">
      <c r="A749" s="540">
        <v>46203</v>
      </c>
      <c r="B749" s="515" t="s">
        <v>421</v>
      </c>
      <c r="C749" s="515" t="s">
        <v>13</v>
      </c>
      <c r="D749" s="541">
        <v>10</v>
      </c>
      <c r="E749" s="515" t="s">
        <v>66</v>
      </c>
      <c r="F749" s="515" t="s">
        <v>63</v>
      </c>
      <c r="G749" s="515" t="s">
        <v>73</v>
      </c>
      <c r="H749" s="541">
        <v>0.87</v>
      </c>
      <c r="I749" s="541">
        <v>9</v>
      </c>
      <c r="J749" s="689" t="s">
        <v>17</v>
      </c>
      <c r="K749" s="541">
        <v>1.6</v>
      </c>
      <c r="L749" s="622" t="s">
        <v>74</v>
      </c>
      <c r="M749" s="545"/>
    </row>
    <row r="750" s="492" customFormat="1" spans="1:13">
      <c r="A750" s="540"/>
      <c r="B750" s="515"/>
      <c r="C750" s="515"/>
      <c r="D750" s="541"/>
      <c r="E750" s="515"/>
      <c r="F750" s="515"/>
      <c r="G750" s="515" t="s">
        <v>75</v>
      </c>
      <c r="H750" s="541">
        <v>1.11</v>
      </c>
      <c r="I750" s="541">
        <v>0.3</v>
      </c>
      <c r="J750" s="689" t="s">
        <v>22</v>
      </c>
      <c r="K750" s="541">
        <v>1.77</v>
      </c>
      <c r="L750" s="622"/>
      <c r="M750" s="545"/>
    </row>
    <row r="751" s="492" customFormat="1" spans="1:13">
      <c r="A751" s="540"/>
      <c r="B751" s="515"/>
      <c r="C751" s="515"/>
      <c r="D751" s="541"/>
      <c r="E751" s="515"/>
      <c r="F751" s="515"/>
      <c r="G751" s="515" t="s">
        <v>91</v>
      </c>
      <c r="H751" s="541">
        <v>1.61</v>
      </c>
      <c r="I751" s="541">
        <v>0.7</v>
      </c>
      <c r="J751" s="689" t="s">
        <v>24</v>
      </c>
      <c r="K751" s="541" t="s">
        <v>24</v>
      </c>
      <c r="L751" s="622"/>
      <c r="M751" s="545"/>
    </row>
    <row r="752" s="492" customFormat="1" spans="1:13">
      <c r="A752" s="540">
        <v>46203</v>
      </c>
      <c r="B752" s="515" t="s">
        <v>422</v>
      </c>
      <c r="C752" s="515" t="s">
        <v>13</v>
      </c>
      <c r="D752" s="541">
        <v>3</v>
      </c>
      <c r="E752" s="515" t="s">
        <v>72</v>
      </c>
      <c r="F752" s="515" t="s">
        <v>77</v>
      </c>
      <c r="G752" s="515" t="s">
        <v>73</v>
      </c>
      <c r="H752" s="541">
        <v>0.99</v>
      </c>
      <c r="I752" s="541">
        <v>2.64</v>
      </c>
      <c r="J752" s="689" t="s">
        <v>17</v>
      </c>
      <c r="K752" s="541">
        <v>1.7</v>
      </c>
      <c r="L752" s="622" t="s">
        <v>27</v>
      </c>
      <c r="M752" s="621" t="s">
        <v>321</v>
      </c>
    </row>
    <row r="753" s="492" customFormat="1" spans="1:13">
      <c r="A753" s="540"/>
      <c r="B753" s="515"/>
      <c r="C753" s="515"/>
      <c r="D753" s="541"/>
      <c r="E753" s="515"/>
      <c r="F753" s="515"/>
      <c r="G753" s="515" t="s">
        <v>75</v>
      </c>
      <c r="H753" s="541">
        <v>0.99</v>
      </c>
      <c r="I753" s="541">
        <v>0.14</v>
      </c>
      <c r="J753" s="689" t="s">
        <v>22</v>
      </c>
      <c r="K753" s="541">
        <v>1.7</v>
      </c>
      <c r="L753" s="622"/>
      <c r="M753" s="621"/>
    </row>
    <row r="754" s="492" customFormat="1" spans="1:13">
      <c r="A754" s="540"/>
      <c r="B754" s="515"/>
      <c r="C754" s="515"/>
      <c r="D754" s="541"/>
      <c r="E754" s="515"/>
      <c r="F754" s="515"/>
      <c r="G754" s="515" t="s">
        <v>90</v>
      </c>
      <c r="H754" s="541">
        <v>1.07</v>
      </c>
      <c r="I754" s="541">
        <v>0.07</v>
      </c>
      <c r="J754" s="689" t="s">
        <v>22</v>
      </c>
      <c r="K754" s="541">
        <v>3</v>
      </c>
      <c r="L754" s="622"/>
      <c r="M754" s="621"/>
    </row>
    <row r="755" s="492" customFormat="1" spans="1:13">
      <c r="A755" s="540"/>
      <c r="B755" s="515"/>
      <c r="C755" s="515"/>
      <c r="D755" s="541"/>
      <c r="E755" s="515"/>
      <c r="F755" s="515"/>
      <c r="G755" s="515" t="s">
        <v>91</v>
      </c>
      <c r="H755" s="541">
        <v>1.07</v>
      </c>
      <c r="I755" s="541">
        <v>0.15</v>
      </c>
      <c r="J755" s="689" t="s">
        <v>24</v>
      </c>
      <c r="K755" s="541" t="s">
        <v>24</v>
      </c>
      <c r="L755" s="622"/>
      <c r="M755" s="621"/>
    </row>
    <row r="756" s="492" customFormat="1" spans="1:13">
      <c r="A756" s="540">
        <v>46205</v>
      </c>
      <c r="B756" s="515" t="s">
        <v>423</v>
      </c>
      <c r="C756" s="515" t="s">
        <v>13</v>
      </c>
      <c r="D756" s="541">
        <v>3.8</v>
      </c>
      <c r="E756" s="515" t="s">
        <v>33</v>
      </c>
      <c r="F756" s="515" t="s">
        <v>111</v>
      </c>
      <c r="G756" s="515" t="s">
        <v>73</v>
      </c>
      <c r="H756" s="541">
        <v>0.76</v>
      </c>
      <c r="I756" s="541">
        <v>3.58</v>
      </c>
      <c r="J756" s="689" t="s">
        <v>17</v>
      </c>
      <c r="K756" s="541">
        <v>1.6</v>
      </c>
      <c r="L756" s="622" t="s">
        <v>112</v>
      </c>
      <c r="M756" s="545"/>
    </row>
    <row r="757" s="492" customFormat="1" spans="1:13">
      <c r="A757" s="540"/>
      <c r="B757" s="515"/>
      <c r="C757" s="515"/>
      <c r="D757" s="541"/>
      <c r="E757" s="515"/>
      <c r="F757" s="515"/>
      <c r="G757" s="515" t="s">
        <v>75</v>
      </c>
      <c r="H757" s="541">
        <v>0.76</v>
      </c>
      <c r="I757" s="541">
        <v>0.22</v>
      </c>
      <c r="J757" s="689" t="s">
        <v>22</v>
      </c>
      <c r="K757" s="541">
        <v>1.65</v>
      </c>
      <c r="L757" s="622"/>
      <c r="M757" s="545"/>
    </row>
    <row r="758" s="492" customFormat="1" spans="1:13">
      <c r="A758" s="695">
        <v>46205</v>
      </c>
      <c r="B758" s="565" t="s">
        <v>424</v>
      </c>
      <c r="C758" s="565" t="s">
        <v>224</v>
      </c>
      <c r="D758" s="542">
        <v>4.75</v>
      </c>
      <c r="E758" s="565" t="s">
        <v>279</v>
      </c>
      <c r="F758" s="565" t="s">
        <v>280</v>
      </c>
      <c r="G758" s="515" t="s">
        <v>73</v>
      </c>
      <c r="H758" s="546">
        <v>1.02</v>
      </c>
      <c r="I758" s="546">
        <v>4.475</v>
      </c>
      <c r="J758" s="689" t="s">
        <v>17</v>
      </c>
      <c r="K758" s="546">
        <v>1.6</v>
      </c>
      <c r="L758" s="573" t="s">
        <v>112</v>
      </c>
      <c r="M758" s="545"/>
    </row>
    <row r="759" s="492" customFormat="1" spans="1:13">
      <c r="A759" s="695"/>
      <c r="B759" s="565"/>
      <c r="C759" s="565"/>
      <c r="D759" s="542"/>
      <c r="E759" s="565"/>
      <c r="F759" s="565"/>
      <c r="G759" s="515" t="s">
        <v>75</v>
      </c>
      <c r="H759" s="546">
        <v>1.02</v>
      </c>
      <c r="I759" s="546">
        <v>0.275</v>
      </c>
      <c r="J759" s="689" t="s">
        <v>22</v>
      </c>
      <c r="K759" s="546">
        <v>1.65</v>
      </c>
      <c r="L759" s="573"/>
      <c r="M759" s="545"/>
    </row>
    <row r="760" s="492" customFormat="1" spans="1:13">
      <c r="A760" s="695">
        <v>46210</v>
      </c>
      <c r="B760" s="565" t="s">
        <v>425</v>
      </c>
      <c r="C760" s="565" t="s">
        <v>274</v>
      </c>
      <c r="D760" s="542">
        <v>10</v>
      </c>
      <c r="E760" s="565" t="s">
        <v>279</v>
      </c>
      <c r="F760" s="565" t="s">
        <v>287</v>
      </c>
      <c r="G760" s="515" t="s">
        <v>73</v>
      </c>
      <c r="H760" s="546">
        <v>1.45</v>
      </c>
      <c r="I760" s="546">
        <v>8.9</v>
      </c>
      <c r="J760" s="689" t="s">
        <v>17</v>
      </c>
      <c r="K760" s="546">
        <v>1.78</v>
      </c>
      <c r="L760" s="573" t="s">
        <v>74</v>
      </c>
      <c r="M760" s="545"/>
    </row>
    <row r="761" s="492" customFormat="1" spans="1:13">
      <c r="A761" s="695"/>
      <c r="B761" s="565"/>
      <c r="C761" s="565"/>
      <c r="D761" s="542"/>
      <c r="E761" s="565"/>
      <c r="F761" s="565"/>
      <c r="G761" s="515" t="s">
        <v>75</v>
      </c>
      <c r="H761" s="546">
        <v>1.69</v>
      </c>
      <c r="I761" s="546">
        <v>0.35</v>
      </c>
      <c r="J761" s="689" t="s">
        <v>22</v>
      </c>
      <c r="K761" s="546">
        <v>1.89</v>
      </c>
      <c r="L761" s="573"/>
      <c r="M761" s="545"/>
    </row>
    <row r="762" s="492" customFormat="1" spans="1:13">
      <c r="A762" s="695"/>
      <c r="B762" s="565"/>
      <c r="C762" s="565"/>
      <c r="D762" s="542"/>
      <c r="E762" s="565"/>
      <c r="F762" s="565"/>
      <c r="G762" s="515" t="s">
        <v>91</v>
      </c>
      <c r="H762" s="546">
        <v>2.2</v>
      </c>
      <c r="I762" s="546">
        <v>0.75</v>
      </c>
      <c r="J762" s="689" t="s">
        <v>24</v>
      </c>
      <c r="K762" s="546" t="s">
        <v>24</v>
      </c>
      <c r="L762" s="573"/>
      <c r="M762" s="545"/>
    </row>
    <row r="763" s="492" customFormat="1" spans="1:13">
      <c r="A763" s="695">
        <v>46210</v>
      </c>
      <c r="B763" s="565" t="s">
        <v>426</v>
      </c>
      <c r="C763" s="565" t="s">
        <v>274</v>
      </c>
      <c r="D763" s="542">
        <v>10</v>
      </c>
      <c r="E763" s="565" t="s">
        <v>279</v>
      </c>
      <c r="F763" s="565" t="s">
        <v>427</v>
      </c>
      <c r="G763" s="515" t="s">
        <v>73</v>
      </c>
      <c r="H763" s="546">
        <v>1.45</v>
      </c>
      <c r="I763" s="546">
        <v>8.9</v>
      </c>
      <c r="J763" s="689" t="s">
        <v>17</v>
      </c>
      <c r="K763" s="546">
        <v>1.78</v>
      </c>
      <c r="L763" s="573" t="s">
        <v>74</v>
      </c>
      <c r="M763" s="545"/>
    </row>
    <row r="764" s="492" customFormat="1" spans="1:13">
      <c r="A764" s="695"/>
      <c r="B764" s="565"/>
      <c r="C764" s="565"/>
      <c r="D764" s="542"/>
      <c r="E764" s="565"/>
      <c r="F764" s="565"/>
      <c r="G764" s="515" t="s">
        <v>75</v>
      </c>
      <c r="H764" s="546">
        <v>1.69</v>
      </c>
      <c r="I764" s="546">
        <v>0.35</v>
      </c>
      <c r="J764" s="689" t="s">
        <v>22</v>
      </c>
      <c r="K764" s="546">
        <v>1.89</v>
      </c>
      <c r="L764" s="573"/>
      <c r="M764" s="545"/>
    </row>
    <row r="765" s="492" customFormat="1" spans="1:13">
      <c r="A765" s="695"/>
      <c r="B765" s="565"/>
      <c r="C765" s="565"/>
      <c r="D765" s="542"/>
      <c r="E765" s="565"/>
      <c r="F765" s="565"/>
      <c r="G765" s="515" t="s">
        <v>91</v>
      </c>
      <c r="H765" s="546">
        <v>2.2</v>
      </c>
      <c r="I765" s="546">
        <v>0.75</v>
      </c>
      <c r="J765" s="689" t="s">
        <v>24</v>
      </c>
      <c r="K765" s="546" t="s">
        <v>24</v>
      </c>
      <c r="L765" s="573"/>
      <c r="M765" s="545"/>
    </row>
    <row r="766" s="492" customFormat="1" spans="1:13">
      <c r="A766" s="695">
        <v>46210</v>
      </c>
      <c r="B766" s="565" t="s">
        <v>428</v>
      </c>
      <c r="C766" s="565" t="s">
        <v>274</v>
      </c>
      <c r="D766" s="542">
        <v>8</v>
      </c>
      <c r="E766" s="565" t="s">
        <v>295</v>
      </c>
      <c r="F766" s="565" t="s">
        <v>276</v>
      </c>
      <c r="G766" s="515" t="s">
        <v>220</v>
      </c>
      <c r="H766" s="546">
        <v>1.07</v>
      </c>
      <c r="I766" s="546">
        <v>6.72</v>
      </c>
      <c r="J766" s="689" t="s">
        <v>17</v>
      </c>
      <c r="K766" s="546">
        <v>1.6</v>
      </c>
      <c r="L766" s="573" t="s">
        <v>18</v>
      </c>
      <c r="M766" s="545" t="s">
        <v>258</v>
      </c>
    </row>
    <row r="767" s="492" customFormat="1" spans="1:13">
      <c r="A767" s="695"/>
      <c r="B767" s="565"/>
      <c r="C767" s="565"/>
      <c r="D767" s="542"/>
      <c r="E767" s="565"/>
      <c r="F767" s="565"/>
      <c r="G767" s="515" t="s">
        <v>221</v>
      </c>
      <c r="H767" s="546">
        <v>1.23</v>
      </c>
      <c r="I767" s="546">
        <v>0.48</v>
      </c>
      <c r="J767" s="689" t="s">
        <v>17</v>
      </c>
      <c r="K767" s="546">
        <v>1.69</v>
      </c>
      <c r="L767" s="573"/>
      <c r="M767" s="545"/>
    </row>
    <row r="768" s="492" customFormat="1" spans="1:13">
      <c r="A768" s="695"/>
      <c r="B768" s="565"/>
      <c r="C768" s="565"/>
      <c r="D768" s="542"/>
      <c r="E768" s="565"/>
      <c r="F768" s="565"/>
      <c r="G768" s="515" t="s">
        <v>75</v>
      </c>
      <c r="H768" s="546">
        <v>1.4</v>
      </c>
      <c r="I768" s="546">
        <v>0.4</v>
      </c>
      <c r="J768" s="689" t="s">
        <v>22</v>
      </c>
      <c r="K768" s="546">
        <v>1.79</v>
      </c>
      <c r="L768" s="573"/>
      <c r="M768" s="545"/>
    </row>
    <row r="769" s="492" customFormat="1" spans="1:13">
      <c r="A769" s="695"/>
      <c r="B769" s="565"/>
      <c r="C769" s="565"/>
      <c r="D769" s="542"/>
      <c r="E769" s="565"/>
      <c r="F769" s="565"/>
      <c r="G769" s="515" t="s">
        <v>91</v>
      </c>
      <c r="H769" s="546">
        <v>2.62</v>
      </c>
      <c r="I769" s="546">
        <v>0.4</v>
      </c>
      <c r="J769" s="689" t="s">
        <v>24</v>
      </c>
      <c r="K769" s="546" t="s">
        <v>24</v>
      </c>
      <c r="L769" s="573"/>
      <c r="M769" s="545"/>
    </row>
    <row r="770" s="492" customFormat="1" spans="1:13">
      <c r="A770" s="695">
        <v>46211</v>
      </c>
      <c r="B770" s="565" t="s">
        <v>429</v>
      </c>
      <c r="C770" s="565" t="s">
        <v>274</v>
      </c>
      <c r="D770" s="542">
        <v>10</v>
      </c>
      <c r="E770" s="565" t="s">
        <v>279</v>
      </c>
      <c r="F770" s="565" t="s">
        <v>289</v>
      </c>
      <c r="G770" s="515" t="s">
        <v>73</v>
      </c>
      <c r="H770" s="546">
        <v>1.7</v>
      </c>
      <c r="I770" s="546">
        <v>8.9</v>
      </c>
      <c r="J770" s="689" t="s">
        <v>17</v>
      </c>
      <c r="K770" s="546">
        <v>1.8</v>
      </c>
      <c r="L770" s="573" t="s">
        <v>74</v>
      </c>
      <c r="M770" s="545"/>
    </row>
    <row r="771" s="492" customFormat="1" spans="1:13">
      <c r="A771" s="695"/>
      <c r="B771" s="565"/>
      <c r="C771" s="565"/>
      <c r="D771" s="542"/>
      <c r="E771" s="565"/>
      <c r="F771" s="565"/>
      <c r="G771" s="515" t="s">
        <v>75</v>
      </c>
      <c r="H771" s="546">
        <v>1.95</v>
      </c>
      <c r="I771" s="546">
        <v>0.35</v>
      </c>
      <c r="J771" s="689" t="s">
        <v>22</v>
      </c>
      <c r="K771" s="546">
        <v>1.89</v>
      </c>
      <c r="L771" s="573"/>
      <c r="M771" s="545"/>
    </row>
    <row r="772" s="492" customFormat="1" spans="1:13">
      <c r="A772" s="695"/>
      <c r="B772" s="565"/>
      <c r="C772" s="565"/>
      <c r="D772" s="542"/>
      <c r="E772" s="565"/>
      <c r="F772" s="565"/>
      <c r="G772" s="515" t="s">
        <v>91</v>
      </c>
      <c r="H772" s="546">
        <v>2.45</v>
      </c>
      <c r="I772" s="546">
        <v>0.75</v>
      </c>
      <c r="J772" s="689" t="s">
        <v>24</v>
      </c>
      <c r="K772" s="546" t="s">
        <v>24</v>
      </c>
      <c r="L772" s="573"/>
      <c r="M772" s="545"/>
    </row>
    <row r="773" spans="1:13">
      <c r="A773" s="522">
        <v>46213</v>
      </c>
      <c r="B773" s="507" t="s">
        <v>430</v>
      </c>
      <c r="C773" s="526" t="s">
        <v>32</v>
      </c>
      <c r="D773" s="592">
        <v>10</v>
      </c>
      <c r="E773" s="526" t="s">
        <v>85</v>
      </c>
      <c r="F773" s="526" t="s">
        <v>14</v>
      </c>
      <c r="G773" s="515" t="s">
        <v>220</v>
      </c>
      <c r="H773" s="546">
        <v>1.34</v>
      </c>
      <c r="I773" s="546">
        <v>3</v>
      </c>
      <c r="J773" s="689" t="s">
        <v>17</v>
      </c>
      <c r="K773" s="546">
        <v>1.65</v>
      </c>
      <c r="L773" s="738" t="s">
        <v>86</v>
      </c>
      <c r="M773" s="515" t="s">
        <v>95</v>
      </c>
    </row>
    <row r="774" spans="1:13">
      <c r="A774" s="528"/>
      <c r="B774" s="513"/>
      <c r="C774" s="531"/>
      <c r="D774" s="592"/>
      <c r="E774" s="531"/>
      <c r="F774" s="531"/>
      <c r="G774" s="515" t="s">
        <v>221</v>
      </c>
      <c r="H774" s="546">
        <v>1.92</v>
      </c>
      <c r="I774" s="546">
        <v>5.8</v>
      </c>
      <c r="J774" s="689" t="s">
        <v>17</v>
      </c>
      <c r="K774" s="546">
        <v>1.7</v>
      </c>
      <c r="L774" s="739"/>
      <c r="M774" s="515"/>
    </row>
    <row r="775" spans="1:13">
      <c r="A775" s="528"/>
      <c r="B775" s="513"/>
      <c r="C775" s="531"/>
      <c r="D775" s="592"/>
      <c r="E775" s="531"/>
      <c r="F775" s="531"/>
      <c r="G775" s="515" t="s">
        <v>75</v>
      </c>
      <c r="H775" s="546">
        <v>2</v>
      </c>
      <c r="I775" s="546">
        <v>0.4</v>
      </c>
      <c r="J775" s="689" t="s">
        <v>22</v>
      </c>
      <c r="K775" s="546">
        <v>1.8</v>
      </c>
      <c r="L775" s="739"/>
      <c r="M775" s="515"/>
    </row>
    <row r="776" spans="1:13">
      <c r="A776" s="528"/>
      <c r="B776" s="513"/>
      <c r="C776" s="531"/>
      <c r="D776" s="592"/>
      <c r="E776" s="531"/>
      <c r="F776" s="531"/>
      <c r="G776" s="515" t="s">
        <v>90</v>
      </c>
      <c r="H776" s="546">
        <v>2</v>
      </c>
      <c r="I776" s="546">
        <v>0.3</v>
      </c>
      <c r="J776" s="689" t="s">
        <v>96</v>
      </c>
      <c r="K776" s="546">
        <v>4</v>
      </c>
      <c r="L776" s="739"/>
      <c r="M776" s="515"/>
    </row>
    <row r="777" spans="1:13">
      <c r="A777" s="532"/>
      <c r="B777" s="517"/>
      <c r="C777" s="534"/>
      <c r="D777" s="592"/>
      <c r="E777" s="534"/>
      <c r="F777" s="534"/>
      <c r="G777" s="515" t="s">
        <v>91</v>
      </c>
      <c r="H777" s="546">
        <v>2</v>
      </c>
      <c r="I777" s="546">
        <v>0.5</v>
      </c>
      <c r="J777" s="689" t="s">
        <v>24</v>
      </c>
      <c r="K777" s="546" t="s">
        <v>24</v>
      </c>
      <c r="L777" s="740"/>
      <c r="M777" s="515"/>
    </row>
    <row r="778" ht="28" spans="1:13">
      <c r="A778" s="522">
        <v>46213</v>
      </c>
      <c r="B778" s="507" t="s">
        <v>431</v>
      </c>
      <c r="C778" s="526" t="s">
        <v>13</v>
      </c>
      <c r="D778" s="592">
        <v>2.49</v>
      </c>
      <c r="E778" s="526" t="s">
        <v>14</v>
      </c>
      <c r="F778" s="526" t="s">
        <v>46</v>
      </c>
      <c r="G778" s="515" t="s">
        <v>128</v>
      </c>
      <c r="H778" s="541">
        <v>1.01</v>
      </c>
      <c r="I778" s="541">
        <v>2.49</v>
      </c>
      <c r="J778" s="689" t="s">
        <v>17</v>
      </c>
      <c r="K778" s="546">
        <v>2.55</v>
      </c>
      <c r="L778" s="591" t="s">
        <v>48</v>
      </c>
      <c r="M778" s="545"/>
    </row>
    <row r="779" spans="1:13">
      <c r="A779" s="522">
        <v>46217</v>
      </c>
      <c r="B779" s="507" t="s">
        <v>432</v>
      </c>
      <c r="C779" s="526" t="s">
        <v>13</v>
      </c>
      <c r="D779" s="592">
        <v>3</v>
      </c>
      <c r="E779" s="526" t="s">
        <v>72</v>
      </c>
      <c r="F779" s="526" t="s">
        <v>77</v>
      </c>
      <c r="G779" s="515" t="s">
        <v>73</v>
      </c>
      <c r="H779" s="546">
        <v>1.03</v>
      </c>
      <c r="I779" s="546">
        <v>2.61</v>
      </c>
      <c r="J779" s="689" t="s">
        <v>17</v>
      </c>
      <c r="K779" s="546">
        <v>1.7</v>
      </c>
      <c r="L779" s="738" t="s">
        <v>27</v>
      </c>
      <c r="M779" s="621" t="s">
        <v>321</v>
      </c>
    </row>
    <row r="780" spans="1:13">
      <c r="A780" s="528"/>
      <c r="B780" s="513"/>
      <c r="C780" s="531"/>
      <c r="D780" s="592"/>
      <c r="E780" s="531"/>
      <c r="F780" s="531"/>
      <c r="G780" s="515" t="s">
        <v>75</v>
      </c>
      <c r="H780" s="546">
        <v>1.03</v>
      </c>
      <c r="I780" s="546">
        <v>0.17</v>
      </c>
      <c r="J780" s="689" t="s">
        <v>22</v>
      </c>
      <c r="K780" s="546">
        <v>1.7</v>
      </c>
      <c r="L780" s="739"/>
      <c r="M780" s="621"/>
    </row>
    <row r="781" spans="1:13">
      <c r="A781" s="528"/>
      <c r="B781" s="513"/>
      <c r="C781" s="531"/>
      <c r="D781" s="592"/>
      <c r="E781" s="531"/>
      <c r="F781" s="531"/>
      <c r="G781" s="515" t="s">
        <v>99</v>
      </c>
      <c r="H781" s="546">
        <v>1.12</v>
      </c>
      <c r="I781" s="546">
        <v>0.07</v>
      </c>
      <c r="J781" s="689" t="s">
        <v>22</v>
      </c>
      <c r="K781" s="546">
        <v>3</v>
      </c>
      <c r="L781" s="739"/>
      <c r="M781" s="621"/>
    </row>
    <row r="782" spans="1:13">
      <c r="A782" s="532"/>
      <c r="B782" s="517"/>
      <c r="C782" s="534"/>
      <c r="D782" s="592"/>
      <c r="E782" s="534"/>
      <c r="F782" s="534"/>
      <c r="G782" s="515" t="s">
        <v>91</v>
      </c>
      <c r="H782" s="546">
        <v>1.12</v>
      </c>
      <c r="I782" s="546">
        <v>0.15</v>
      </c>
      <c r="J782" s="689" t="s">
        <v>24</v>
      </c>
      <c r="K782" s="546" t="s">
        <v>24</v>
      </c>
      <c r="L782" s="740"/>
      <c r="M782" s="621"/>
    </row>
    <row r="783" spans="1:13">
      <c r="A783" s="522">
        <v>46217</v>
      </c>
      <c r="B783" s="507" t="s">
        <v>433</v>
      </c>
      <c r="C783" s="526" t="s">
        <v>13</v>
      </c>
      <c r="D783" s="592">
        <v>10</v>
      </c>
      <c r="E783" s="526" t="s">
        <v>72</v>
      </c>
      <c r="F783" s="526" t="s">
        <v>165</v>
      </c>
      <c r="G783" s="515" t="s">
        <v>191</v>
      </c>
      <c r="H783" s="541">
        <v>0.95</v>
      </c>
      <c r="I783" s="541">
        <v>9</v>
      </c>
      <c r="J783" s="689" t="s">
        <v>17</v>
      </c>
      <c r="K783" s="546">
        <v>1.58</v>
      </c>
      <c r="L783" s="738" t="s">
        <v>74</v>
      </c>
      <c r="M783" s="545"/>
    </row>
    <row r="784" spans="1:13">
      <c r="A784" s="528"/>
      <c r="B784" s="513"/>
      <c r="C784" s="531"/>
      <c r="D784" s="592"/>
      <c r="E784" s="531"/>
      <c r="F784" s="531"/>
      <c r="G784" s="515" t="s">
        <v>192</v>
      </c>
      <c r="H784" s="546">
        <v>1.2</v>
      </c>
      <c r="I784" s="546">
        <v>0.3</v>
      </c>
      <c r="J784" s="689" t="s">
        <v>22</v>
      </c>
      <c r="K784" s="546">
        <v>1.77</v>
      </c>
      <c r="L784" s="739"/>
      <c r="M784" s="545"/>
    </row>
    <row r="785" spans="1:13">
      <c r="A785" s="532"/>
      <c r="B785" s="517"/>
      <c r="C785" s="534"/>
      <c r="D785" s="592"/>
      <c r="E785" s="534"/>
      <c r="F785" s="534"/>
      <c r="G785" s="515" t="s">
        <v>91</v>
      </c>
      <c r="H785" s="546">
        <v>1.69</v>
      </c>
      <c r="I785" s="546">
        <v>0.7</v>
      </c>
      <c r="J785" s="689" t="s">
        <v>24</v>
      </c>
      <c r="K785" s="546" t="s">
        <v>24</v>
      </c>
      <c r="L785" s="740"/>
      <c r="M785" s="545"/>
    </row>
    <row r="786" spans="1:13">
      <c r="A786" s="539">
        <v>46218</v>
      </c>
      <c r="B786" s="509" t="s">
        <v>434</v>
      </c>
      <c r="C786" s="527" t="s">
        <v>32</v>
      </c>
      <c r="D786" s="592">
        <v>5</v>
      </c>
      <c r="E786" s="527" t="s">
        <v>14</v>
      </c>
      <c r="F786" s="527" t="s">
        <v>116</v>
      </c>
      <c r="G786" s="515" t="s">
        <v>128</v>
      </c>
      <c r="H786" s="546">
        <v>0.81</v>
      </c>
      <c r="I786" s="546">
        <v>4.75</v>
      </c>
      <c r="J786" s="689" t="s">
        <v>17</v>
      </c>
      <c r="K786" s="546">
        <v>2.2</v>
      </c>
      <c r="L786" s="591" t="s">
        <v>435</v>
      </c>
      <c r="M786" s="545"/>
    </row>
    <row r="787" spans="1:13">
      <c r="A787" s="539"/>
      <c r="B787" s="509"/>
      <c r="C787" s="527"/>
      <c r="D787" s="592"/>
      <c r="E787" s="527"/>
      <c r="F787" s="527"/>
      <c r="G787" s="515" t="s">
        <v>91</v>
      </c>
      <c r="H787" s="546">
        <v>1.24</v>
      </c>
      <c r="I787" s="546">
        <v>0.25</v>
      </c>
      <c r="J787" s="689" t="s">
        <v>24</v>
      </c>
      <c r="K787" s="741" t="s">
        <v>24</v>
      </c>
      <c r="L787" s="591"/>
      <c r="M787" s="545"/>
    </row>
    <row r="788" spans="1:13">
      <c r="A788" s="522">
        <v>46218</v>
      </c>
      <c r="B788" s="507" t="s">
        <v>436</v>
      </c>
      <c r="C788" s="526" t="s">
        <v>13</v>
      </c>
      <c r="D788" s="592">
        <v>5</v>
      </c>
      <c r="E788" s="526" t="s">
        <v>14</v>
      </c>
      <c r="F788" s="526" t="s">
        <v>15</v>
      </c>
      <c r="G788" s="515" t="s">
        <v>199</v>
      </c>
      <c r="H788" s="546">
        <v>1.05</v>
      </c>
      <c r="I788" s="546">
        <v>4.2</v>
      </c>
      <c r="J788" s="689" t="s">
        <v>17</v>
      </c>
      <c r="K788" s="546">
        <v>1.58</v>
      </c>
      <c r="L788" s="738" t="s">
        <v>18</v>
      </c>
      <c r="M788" s="545" t="s">
        <v>258</v>
      </c>
    </row>
    <row r="789" spans="1:13">
      <c r="A789" s="528"/>
      <c r="B789" s="513"/>
      <c r="C789" s="531"/>
      <c r="D789" s="592"/>
      <c r="E789" s="531"/>
      <c r="F789" s="531"/>
      <c r="G789" s="515" t="s">
        <v>154</v>
      </c>
      <c r="H789" s="546">
        <v>1.21</v>
      </c>
      <c r="I789" s="546">
        <v>0.3</v>
      </c>
      <c r="J789" s="689" t="s">
        <v>17</v>
      </c>
      <c r="K789" s="546">
        <v>1.66</v>
      </c>
      <c r="L789" s="739"/>
      <c r="M789" s="545"/>
    </row>
    <row r="790" spans="1:13">
      <c r="A790" s="528"/>
      <c r="B790" s="513"/>
      <c r="C790" s="531"/>
      <c r="D790" s="592"/>
      <c r="E790" s="531"/>
      <c r="F790" s="531"/>
      <c r="G790" s="515" t="s">
        <v>75</v>
      </c>
      <c r="H790" s="546">
        <v>1.38</v>
      </c>
      <c r="I790" s="546">
        <v>0.25</v>
      </c>
      <c r="J790" s="689" t="s">
        <v>22</v>
      </c>
      <c r="K790" s="546">
        <v>1.77</v>
      </c>
      <c r="L790" s="739"/>
      <c r="M790" s="545"/>
    </row>
    <row r="791" spans="1:13">
      <c r="A791" s="532"/>
      <c r="B791" s="517"/>
      <c r="C791" s="534"/>
      <c r="D791" s="592"/>
      <c r="E791" s="534"/>
      <c r="F791" s="534"/>
      <c r="G791" s="545" t="s">
        <v>148</v>
      </c>
      <c r="H791" s="546">
        <v>2.6</v>
      </c>
      <c r="I791" s="546">
        <v>0.25</v>
      </c>
      <c r="J791" s="689" t="s">
        <v>24</v>
      </c>
      <c r="K791" s="546" t="s">
        <v>24</v>
      </c>
      <c r="L791" s="740"/>
      <c r="M791" s="545"/>
    </row>
    <row r="792" spans="1:13">
      <c r="A792" s="522">
        <v>46219</v>
      </c>
      <c r="B792" s="507" t="s">
        <v>437</v>
      </c>
      <c r="C792" s="526" t="s">
        <v>13</v>
      </c>
      <c r="D792" s="592">
        <v>5</v>
      </c>
      <c r="E792" s="526" t="s">
        <v>14</v>
      </c>
      <c r="F792" s="526" t="s">
        <v>165</v>
      </c>
      <c r="G792" s="515" t="s">
        <v>199</v>
      </c>
      <c r="H792" s="541">
        <v>0.92</v>
      </c>
      <c r="I792" s="541">
        <v>1.5</v>
      </c>
      <c r="J792" s="689" t="s">
        <v>17</v>
      </c>
      <c r="K792" s="546">
        <v>2.3</v>
      </c>
      <c r="L792" s="738" t="s">
        <v>48</v>
      </c>
      <c r="M792" s="559"/>
    </row>
    <row r="793" spans="1:13">
      <c r="A793" s="528"/>
      <c r="B793" s="513"/>
      <c r="C793" s="531"/>
      <c r="D793" s="592"/>
      <c r="E793" s="531"/>
      <c r="F793" s="531"/>
      <c r="G793" s="515" t="s">
        <v>154</v>
      </c>
      <c r="H793" s="541">
        <v>1.92</v>
      </c>
      <c r="I793" s="541">
        <v>2</v>
      </c>
      <c r="J793" s="689" t="s">
        <v>17</v>
      </c>
      <c r="K793" s="546">
        <v>2.6</v>
      </c>
      <c r="L793" s="739"/>
      <c r="M793" s="569"/>
    </row>
    <row r="794" spans="1:13">
      <c r="A794" s="528"/>
      <c r="B794" s="513"/>
      <c r="C794" s="531"/>
      <c r="D794" s="592"/>
      <c r="E794" s="531"/>
      <c r="F794" s="531"/>
      <c r="G794" s="515" t="s">
        <v>200</v>
      </c>
      <c r="H794" s="541">
        <v>2.92</v>
      </c>
      <c r="I794" s="541">
        <v>1.425</v>
      </c>
      <c r="J794" s="689" t="s">
        <v>17</v>
      </c>
      <c r="K794" s="546">
        <v>3.3</v>
      </c>
      <c r="L794" s="739"/>
      <c r="M794" s="569"/>
    </row>
    <row r="795" spans="1:13">
      <c r="A795" s="532"/>
      <c r="B795" s="517"/>
      <c r="C795" s="534"/>
      <c r="D795" s="592"/>
      <c r="E795" s="534"/>
      <c r="F795" s="534"/>
      <c r="G795" s="515" t="s">
        <v>91</v>
      </c>
      <c r="H795" s="541">
        <v>3.25</v>
      </c>
      <c r="I795" s="541">
        <v>0.075</v>
      </c>
      <c r="J795" s="689" t="s">
        <v>24</v>
      </c>
      <c r="K795" s="546" t="s">
        <v>24</v>
      </c>
      <c r="L795" s="740"/>
      <c r="M795" s="570"/>
    </row>
    <row r="796" spans="1:13">
      <c r="A796" s="522">
        <v>46219</v>
      </c>
      <c r="B796" s="507" t="s">
        <v>438</v>
      </c>
      <c r="C796" s="526" t="s">
        <v>32</v>
      </c>
      <c r="D796" s="592">
        <v>7</v>
      </c>
      <c r="E796" s="526" t="s">
        <v>208</v>
      </c>
      <c r="F796" s="526" t="s">
        <v>77</v>
      </c>
      <c r="G796" s="545" t="s">
        <v>158</v>
      </c>
      <c r="H796" s="546">
        <v>1.95</v>
      </c>
      <c r="I796" s="546">
        <v>6.09</v>
      </c>
      <c r="J796" s="689" t="s">
        <v>17</v>
      </c>
      <c r="K796" s="546">
        <v>1.8</v>
      </c>
      <c r="L796" s="738" t="s">
        <v>27</v>
      </c>
      <c r="M796" s="742" t="s">
        <v>403</v>
      </c>
    </row>
    <row r="797" spans="1:13">
      <c r="A797" s="528"/>
      <c r="B797" s="513"/>
      <c r="C797" s="531"/>
      <c r="D797" s="592"/>
      <c r="E797" s="531"/>
      <c r="F797" s="531"/>
      <c r="G797" s="515" t="s">
        <v>75</v>
      </c>
      <c r="H797" s="546">
        <v>1.95</v>
      </c>
      <c r="I797" s="546">
        <v>0.35</v>
      </c>
      <c r="J797" s="689" t="s">
        <v>22</v>
      </c>
      <c r="K797" s="546">
        <v>1.89</v>
      </c>
      <c r="L797" s="739"/>
      <c r="M797" s="569"/>
    </row>
    <row r="798" spans="1:13">
      <c r="A798" s="528"/>
      <c r="B798" s="513"/>
      <c r="C798" s="531"/>
      <c r="D798" s="592"/>
      <c r="E798" s="531"/>
      <c r="F798" s="531"/>
      <c r="G798" s="515" t="s">
        <v>99</v>
      </c>
      <c r="H798" s="546">
        <v>2.78</v>
      </c>
      <c r="I798" s="546">
        <v>0.21</v>
      </c>
      <c r="J798" s="689" t="s">
        <v>439</v>
      </c>
      <c r="K798" s="546">
        <v>3</v>
      </c>
      <c r="L798" s="739"/>
      <c r="M798" s="569"/>
    </row>
    <row r="799" spans="1:13">
      <c r="A799" s="532"/>
      <c r="B799" s="517"/>
      <c r="C799" s="534"/>
      <c r="D799" s="592"/>
      <c r="E799" s="534"/>
      <c r="F799" s="534"/>
      <c r="G799" s="515" t="s">
        <v>91</v>
      </c>
      <c r="H799" s="546">
        <v>2.78</v>
      </c>
      <c r="I799" s="546">
        <v>0.35</v>
      </c>
      <c r="J799" s="689" t="s">
        <v>24</v>
      </c>
      <c r="K799" s="546" t="s">
        <v>24</v>
      </c>
      <c r="L799" s="740"/>
      <c r="M799" s="570"/>
    </row>
    <row r="800" spans="1:13">
      <c r="A800" s="695">
        <v>46220</v>
      </c>
      <c r="B800" s="565" t="s">
        <v>440</v>
      </c>
      <c r="C800" s="566" t="s">
        <v>224</v>
      </c>
      <c r="D800" s="574">
        <v>15</v>
      </c>
      <c r="E800" s="566" t="s">
        <v>441</v>
      </c>
      <c r="F800" s="566" t="s">
        <v>289</v>
      </c>
      <c r="G800" s="545" t="s">
        <v>158</v>
      </c>
      <c r="H800" s="546">
        <v>1.08</v>
      </c>
      <c r="I800" s="546">
        <v>12.36</v>
      </c>
      <c r="J800" s="545" t="s">
        <v>17</v>
      </c>
      <c r="K800" s="546">
        <v>1.58</v>
      </c>
      <c r="L800" s="573" t="s">
        <v>60</v>
      </c>
      <c r="M800" s="545" t="s">
        <v>442</v>
      </c>
    </row>
    <row r="801" spans="1:13">
      <c r="A801" s="695"/>
      <c r="B801" s="565"/>
      <c r="C801" s="568"/>
      <c r="D801" s="743"/>
      <c r="E801" s="568"/>
      <c r="F801" s="568"/>
      <c r="G801" s="545" t="s">
        <v>159</v>
      </c>
      <c r="H801" s="546">
        <v>1.08</v>
      </c>
      <c r="I801" s="546">
        <v>0.78</v>
      </c>
      <c r="J801" s="545" t="s">
        <v>22</v>
      </c>
      <c r="K801" s="546">
        <v>1.6</v>
      </c>
      <c r="L801" s="573"/>
      <c r="M801" s="545"/>
    </row>
    <row r="802" spans="1:13">
      <c r="A802" s="695"/>
      <c r="B802" s="565"/>
      <c r="C802" s="568"/>
      <c r="D802" s="743"/>
      <c r="E802" s="568"/>
      <c r="F802" s="568"/>
      <c r="G802" s="545" t="s">
        <v>160</v>
      </c>
      <c r="H802" s="546">
        <v>1.08</v>
      </c>
      <c r="I802" s="546">
        <v>0.6</v>
      </c>
      <c r="J802" s="545" t="s">
        <v>44</v>
      </c>
      <c r="K802" s="546">
        <v>2.8</v>
      </c>
      <c r="L802" s="573"/>
      <c r="M802" s="545"/>
    </row>
    <row r="803" spans="1:13">
      <c r="A803" s="695"/>
      <c r="B803" s="565"/>
      <c r="C803" s="579"/>
      <c r="D803" s="744"/>
      <c r="E803" s="579"/>
      <c r="F803" s="579"/>
      <c r="G803" s="545" t="s">
        <v>148</v>
      </c>
      <c r="H803" s="546">
        <v>2</v>
      </c>
      <c r="I803" s="546">
        <v>1.26</v>
      </c>
      <c r="J803" s="545" t="s">
        <v>24</v>
      </c>
      <c r="K803" s="546" t="s">
        <v>24</v>
      </c>
      <c r="L803" s="573"/>
      <c r="M803" s="545"/>
    </row>
    <row r="804" spans="1:13">
      <c r="A804" s="695">
        <v>46220</v>
      </c>
      <c r="B804" s="565" t="s">
        <v>443</v>
      </c>
      <c r="C804" s="566" t="s">
        <v>224</v>
      </c>
      <c r="D804" s="574">
        <v>7</v>
      </c>
      <c r="E804" s="566" t="s">
        <v>441</v>
      </c>
      <c r="F804" s="566" t="s">
        <v>289</v>
      </c>
      <c r="G804" s="545" t="s">
        <v>158</v>
      </c>
      <c r="H804" s="546">
        <v>1.08</v>
      </c>
      <c r="I804" s="546">
        <v>6.02</v>
      </c>
      <c r="J804" s="545" t="s">
        <v>17</v>
      </c>
      <c r="K804" s="546">
        <v>1.56</v>
      </c>
      <c r="L804" s="573" t="s">
        <v>60</v>
      </c>
      <c r="M804" s="545" t="s">
        <v>444</v>
      </c>
    </row>
    <row r="805" spans="1:13">
      <c r="A805" s="695"/>
      <c r="B805" s="565"/>
      <c r="C805" s="568"/>
      <c r="D805" s="743"/>
      <c r="E805" s="568"/>
      <c r="F805" s="568"/>
      <c r="G805" s="545" t="s">
        <v>159</v>
      </c>
      <c r="H805" s="546">
        <v>1.08</v>
      </c>
      <c r="I805" s="546">
        <v>0.42</v>
      </c>
      <c r="J805" s="545" t="s">
        <v>22</v>
      </c>
      <c r="K805" s="546">
        <v>1.6</v>
      </c>
      <c r="L805" s="573"/>
      <c r="M805" s="545"/>
    </row>
    <row r="806" spans="1:13">
      <c r="A806" s="695"/>
      <c r="B806" s="565"/>
      <c r="C806" s="568"/>
      <c r="D806" s="743"/>
      <c r="E806" s="568"/>
      <c r="F806" s="568"/>
      <c r="G806" s="545" t="s">
        <v>160</v>
      </c>
      <c r="H806" s="546">
        <v>1.08</v>
      </c>
      <c r="I806" s="546">
        <v>0.21</v>
      </c>
      <c r="J806" s="545" t="s">
        <v>64</v>
      </c>
      <c r="K806" s="546">
        <v>2.8</v>
      </c>
      <c r="L806" s="573"/>
      <c r="M806" s="545"/>
    </row>
    <row r="807" spans="1:13">
      <c r="A807" s="695"/>
      <c r="B807" s="565"/>
      <c r="C807" s="579"/>
      <c r="D807" s="744"/>
      <c r="E807" s="579"/>
      <c r="F807" s="579"/>
      <c r="G807" s="545" t="s">
        <v>148</v>
      </c>
      <c r="H807" s="546">
        <v>2</v>
      </c>
      <c r="I807" s="546">
        <v>0.35</v>
      </c>
      <c r="J807" s="545" t="s">
        <v>24</v>
      </c>
      <c r="K807" s="546" t="s">
        <v>24</v>
      </c>
      <c r="L807" s="573"/>
      <c r="M807" s="545"/>
    </row>
    <row r="808" spans="1:13">
      <c r="A808" s="695">
        <v>46220</v>
      </c>
      <c r="B808" s="565" t="s">
        <v>445</v>
      </c>
      <c r="C808" s="565" t="s">
        <v>224</v>
      </c>
      <c r="D808" s="542">
        <v>5</v>
      </c>
      <c r="E808" s="565" t="s">
        <v>279</v>
      </c>
      <c r="F808" s="565" t="s">
        <v>427</v>
      </c>
      <c r="G808" s="545" t="s">
        <v>158</v>
      </c>
      <c r="H808" s="546">
        <v>1.95</v>
      </c>
      <c r="I808" s="546">
        <v>4.2</v>
      </c>
      <c r="J808" s="545" t="s">
        <v>17</v>
      </c>
      <c r="K808" s="546">
        <v>2.4</v>
      </c>
      <c r="L808" s="573" t="s">
        <v>310</v>
      </c>
      <c r="M808" s="545"/>
    </row>
    <row r="809" spans="1:13">
      <c r="A809" s="695"/>
      <c r="B809" s="565"/>
      <c r="C809" s="565"/>
      <c r="D809" s="542"/>
      <c r="E809" s="565"/>
      <c r="F809" s="565"/>
      <c r="G809" s="545" t="s">
        <v>159</v>
      </c>
      <c r="H809" s="546">
        <v>1.95</v>
      </c>
      <c r="I809" s="546">
        <v>0.35</v>
      </c>
      <c r="J809" s="545" t="s">
        <v>22</v>
      </c>
      <c r="K809" s="546">
        <v>2.55</v>
      </c>
      <c r="L809" s="573"/>
      <c r="M809" s="545"/>
    </row>
    <row r="810" spans="1:13">
      <c r="A810" s="695"/>
      <c r="B810" s="565"/>
      <c r="C810" s="565"/>
      <c r="D810" s="542"/>
      <c r="E810" s="565"/>
      <c r="F810" s="565"/>
      <c r="G810" s="545" t="s">
        <v>148</v>
      </c>
      <c r="H810" s="546">
        <v>1.95</v>
      </c>
      <c r="I810" s="546">
        <v>0.45</v>
      </c>
      <c r="J810" s="545" t="s">
        <v>24</v>
      </c>
      <c r="K810" s="546" t="s">
        <v>24</v>
      </c>
      <c r="L810" s="573"/>
      <c r="M810" s="545"/>
    </row>
    <row r="811" spans="1:13">
      <c r="A811" s="702">
        <v>46220</v>
      </c>
      <c r="B811" s="579" t="s">
        <v>446</v>
      </c>
      <c r="C811" s="566" t="s">
        <v>224</v>
      </c>
      <c r="D811" s="743">
        <v>10</v>
      </c>
      <c r="E811" s="568" t="s">
        <v>447</v>
      </c>
      <c r="F811" s="568" t="s">
        <v>289</v>
      </c>
      <c r="G811" s="545" t="s">
        <v>158</v>
      </c>
      <c r="H811" s="546">
        <v>0.92</v>
      </c>
      <c r="I811" s="546">
        <v>8.6</v>
      </c>
      <c r="J811" s="545" t="s">
        <v>17</v>
      </c>
      <c r="K811" s="546">
        <v>1.58</v>
      </c>
      <c r="L811" s="573" t="s">
        <v>60</v>
      </c>
      <c r="M811" s="527" t="s">
        <v>61</v>
      </c>
    </row>
    <row r="812" spans="1:13">
      <c r="A812" s="695"/>
      <c r="B812" s="565"/>
      <c r="C812" s="568"/>
      <c r="D812" s="743"/>
      <c r="E812" s="568"/>
      <c r="F812" s="568"/>
      <c r="G812" s="545" t="s">
        <v>159</v>
      </c>
      <c r="H812" s="546">
        <v>0.92</v>
      </c>
      <c r="I812" s="546">
        <v>0.55</v>
      </c>
      <c r="J812" s="545" t="s">
        <v>22</v>
      </c>
      <c r="K812" s="546">
        <v>1.6</v>
      </c>
      <c r="L812" s="573"/>
      <c r="M812" s="527"/>
    </row>
    <row r="813" spans="1:13">
      <c r="A813" s="695"/>
      <c r="B813" s="565"/>
      <c r="C813" s="568"/>
      <c r="D813" s="743"/>
      <c r="E813" s="568"/>
      <c r="F813" s="568"/>
      <c r="G813" s="545" t="s">
        <v>160</v>
      </c>
      <c r="H813" s="546">
        <v>0.92</v>
      </c>
      <c r="I813" s="546">
        <v>0.35</v>
      </c>
      <c r="J813" s="545" t="s">
        <v>44</v>
      </c>
      <c r="K813" s="546">
        <v>2.8</v>
      </c>
      <c r="L813" s="573"/>
      <c r="M813" s="527"/>
    </row>
    <row r="814" spans="1:13">
      <c r="A814" s="695"/>
      <c r="B814" s="565"/>
      <c r="C814" s="579"/>
      <c r="D814" s="744"/>
      <c r="E814" s="579"/>
      <c r="F814" s="579"/>
      <c r="G814" s="545" t="s">
        <v>148</v>
      </c>
      <c r="H814" s="546">
        <v>3.75</v>
      </c>
      <c r="I814" s="546">
        <v>0.5</v>
      </c>
      <c r="J814" s="545" t="s">
        <v>24</v>
      </c>
      <c r="K814" s="546" t="s">
        <v>24</v>
      </c>
      <c r="L814" s="573"/>
      <c r="M814" s="527"/>
    </row>
    <row r="815" spans="1:13">
      <c r="A815" s="695">
        <v>46220</v>
      </c>
      <c r="B815" s="565" t="s">
        <v>448</v>
      </c>
      <c r="C815" s="566" t="s">
        <v>274</v>
      </c>
      <c r="D815" s="574">
        <v>5</v>
      </c>
      <c r="E815" s="566" t="s">
        <v>279</v>
      </c>
      <c r="F815" s="566" t="s">
        <v>302</v>
      </c>
      <c r="G815" s="545" t="s">
        <v>237</v>
      </c>
      <c r="H815" s="546">
        <v>1.08</v>
      </c>
      <c r="I815" s="546">
        <v>3.6</v>
      </c>
      <c r="J815" s="545" t="s">
        <v>17</v>
      </c>
      <c r="K815" s="546">
        <v>1.64</v>
      </c>
      <c r="L815" s="573" t="s">
        <v>41</v>
      </c>
      <c r="M815" s="545"/>
    </row>
    <row r="816" spans="1:13">
      <c r="A816" s="695"/>
      <c r="B816" s="565"/>
      <c r="C816" s="568"/>
      <c r="D816" s="743"/>
      <c r="E816" s="568"/>
      <c r="F816" s="568"/>
      <c r="G816" s="545" t="s">
        <v>228</v>
      </c>
      <c r="H816" s="546">
        <v>1.25</v>
      </c>
      <c r="I816" s="546">
        <v>0.75</v>
      </c>
      <c r="J816" s="545" t="s">
        <v>17</v>
      </c>
      <c r="K816" s="546">
        <v>1.7</v>
      </c>
      <c r="L816" s="573"/>
      <c r="M816" s="545"/>
    </row>
    <row r="817" spans="1:13">
      <c r="A817" s="695"/>
      <c r="B817" s="565"/>
      <c r="C817" s="568"/>
      <c r="D817" s="743"/>
      <c r="E817" s="568"/>
      <c r="F817" s="568"/>
      <c r="G817" s="545" t="s">
        <v>159</v>
      </c>
      <c r="H817" s="546">
        <v>1.28</v>
      </c>
      <c r="I817" s="546">
        <v>0.2</v>
      </c>
      <c r="J817" s="545" t="s">
        <v>22</v>
      </c>
      <c r="K817" s="546">
        <v>1.8</v>
      </c>
      <c r="L817" s="573"/>
      <c r="M817" s="545"/>
    </row>
    <row r="818" spans="1:13">
      <c r="A818" s="695"/>
      <c r="B818" s="565"/>
      <c r="C818" s="568"/>
      <c r="D818" s="743"/>
      <c r="E818" s="568"/>
      <c r="F818" s="568"/>
      <c r="G818" s="545" t="s">
        <v>160</v>
      </c>
      <c r="H818" s="546">
        <v>1.37</v>
      </c>
      <c r="I818" s="546">
        <v>0.2</v>
      </c>
      <c r="J818" s="545" t="s">
        <v>44</v>
      </c>
      <c r="K818" s="546">
        <v>4.4</v>
      </c>
      <c r="L818" s="573"/>
      <c r="M818" s="545"/>
    </row>
    <row r="819" spans="1:13">
      <c r="A819" s="695"/>
      <c r="B819" s="565"/>
      <c r="C819" s="579"/>
      <c r="D819" s="744"/>
      <c r="E819" s="579"/>
      <c r="F819" s="579"/>
      <c r="G819" s="545" t="s">
        <v>148</v>
      </c>
      <c r="H819" s="546">
        <v>1.74</v>
      </c>
      <c r="I819" s="546">
        <v>0.25</v>
      </c>
      <c r="J819" s="545" t="s">
        <v>24</v>
      </c>
      <c r="K819" s="546" t="s">
        <v>24</v>
      </c>
      <c r="L819" s="573"/>
      <c r="M819" s="545"/>
    </row>
    <row r="820" spans="1:13">
      <c r="A820" s="695">
        <v>46220</v>
      </c>
      <c r="B820" s="565" t="s">
        <v>449</v>
      </c>
      <c r="C820" s="566" t="s">
        <v>224</v>
      </c>
      <c r="D820" s="574">
        <v>7</v>
      </c>
      <c r="E820" s="566" t="s">
        <v>447</v>
      </c>
      <c r="F820" s="566" t="s">
        <v>302</v>
      </c>
      <c r="G820" s="545" t="s">
        <v>158</v>
      </c>
      <c r="H820" s="546">
        <v>1.75</v>
      </c>
      <c r="I820" s="546">
        <v>5.92</v>
      </c>
      <c r="J820" s="545" t="s">
        <v>17</v>
      </c>
      <c r="K820" s="546">
        <v>2.2</v>
      </c>
      <c r="L820" s="573" t="s">
        <v>67</v>
      </c>
      <c r="M820" s="545"/>
    </row>
    <row r="821" spans="1:13">
      <c r="A821" s="695"/>
      <c r="B821" s="565"/>
      <c r="C821" s="568"/>
      <c r="D821" s="743"/>
      <c r="E821" s="568"/>
      <c r="F821" s="568"/>
      <c r="G821" s="545" t="s">
        <v>159</v>
      </c>
      <c r="H821" s="546">
        <v>1.75</v>
      </c>
      <c r="I821" s="546">
        <v>0.28</v>
      </c>
      <c r="J821" s="545" t="s">
        <v>22</v>
      </c>
      <c r="K821" s="546">
        <v>2.7</v>
      </c>
      <c r="L821" s="573"/>
      <c r="M821" s="545"/>
    </row>
    <row r="822" spans="1:13">
      <c r="A822" s="695"/>
      <c r="B822" s="565"/>
      <c r="C822" s="568"/>
      <c r="D822" s="743"/>
      <c r="E822" s="568"/>
      <c r="F822" s="568"/>
      <c r="G822" s="545" t="s">
        <v>160</v>
      </c>
      <c r="H822" s="546">
        <v>1.75</v>
      </c>
      <c r="I822" s="546">
        <v>0.31</v>
      </c>
      <c r="J822" s="545" t="s">
        <v>44</v>
      </c>
      <c r="K822" s="546">
        <v>4</v>
      </c>
      <c r="L822" s="573"/>
      <c r="M822" s="545"/>
    </row>
    <row r="823" spans="1:13">
      <c r="A823" s="695"/>
      <c r="B823" s="565"/>
      <c r="C823" s="579"/>
      <c r="D823" s="744"/>
      <c r="E823" s="579"/>
      <c r="F823" s="579"/>
      <c r="G823" s="545" t="s">
        <v>148</v>
      </c>
      <c r="H823" s="546">
        <v>1.75</v>
      </c>
      <c r="I823" s="546">
        <v>0.49</v>
      </c>
      <c r="J823" s="545" t="s">
        <v>24</v>
      </c>
      <c r="K823" s="546" t="s">
        <v>24</v>
      </c>
      <c r="L823" s="573"/>
      <c r="M823" s="545"/>
    </row>
    <row r="824" spans="1:13">
      <c r="A824" s="522">
        <v>46220</v>
      </c>
      <c r="B824" s="522" t="s">
        <v>450</v>
      </c>
      <c r="C824" s="522" t="s">
        <v>13</v>
      </c>
      <c r="D824" s="523">
        <v>5</v>
      </c>
      <c r="E824" s="522" t="s">
        <v>103</v>
      </c>
      <c r="F824" s="522" t="s">
        <v>15</v>
      </c>
      <c r="G824" s="545" t="s">
        <v>158</v>
      </c>
      <c r="H824" s="546">
        <v>1.83</v>
      </c>
      <c r="I824" s="546">
        <v>4.2</v>
      </c>
      <c r="J824" s="545" t="s">
        <v>17</v>
      </c>
      <c r="K824" s="546">
        <v>1.68</v>
      </c>
      <c r="L824" s="671" t="s">
        <v>18</v>
      </c>
      <c r="M824" s="564"/>
    </row>
    <row r="825" spans="1:13">
      <c r="A825" s="528"/>
      <c r="B825" s="528"/>
      <c r="C825" s="528"/>
      <c r="D825" s="529"/>
      <c r="E825" s="528"/>
      <c r="F825" s="528"/>
      <c r="G825" s="545" t="s">
        <v>159</v>
      </c>
      <c r="H825" s="546">
        <v>1.92</v>
      </c>
      <c r="I825" s="546">
        <v>0.25</v>
      </c>
      <c r="J825" s="545" t="s">
        <v>22</v>
      </c>
      <c r="K825" s="546">
        <v>1.7</v>
      </c>
      <c r="L825" s="672"/>
      <c r="M825" s="564"/>
    </row>
    <row r="826" spans="1:13">
      <c r="A826" s="528"/>
      <c r="B826" s="528"/>
      <c r="C826" s="528"/>
      <c r="D826" s="529"/>
      <c r="E826" s="528"/>
      <c r="F826" s="528"/>
      <c r="G826" s="545" t="s">
        <v>160</v>
      </c>
      <c r="H826" s="546">
        <v>2</v>
      </c>
      <c r="I826" s="546">
        <v>0.15</v>
      </c>
      <c r="J826" s="545" t="s">
        <v>44</v>
      </c>
      <c r="K826" s="546">
        <v>1.9</v>
      </c>
      <c r="L826" s="672"/>
      <c r="M826" s="564"/>
    </row>
    <row r="827" spans="1:13">
      <c r="A827" s="528"/>
      <c r="B827" s="528"/>
      <c r="C827" s="528"/>
      <c r="D827" s="529"/>
      <c r="E827" s="528"/>
      <c r="F827" s="528"/>
      <c r="G827" s="515" t="s">
        <v>105</v>
      </c>
      <c r="H827" s="546">
        <v>2.59</v>
      </c>
      <c r="I827" s="546">
        <v>0.15</v>
      </c>
      <c r="J827" s="545" t="s">
        <v>24</v>
      </c>
      <c r="K827" s="546" t="s">
        <v>24</v>
      </c>
      <c r="L827" s="672"/>
      <c r="M827" s="564"/>
    </row>
    <row r="828" spans="1:13">
      <c r="A828" s="532"/>
      <c r="B828" s="532"/>
      <c r="C828" s="532"/>
      <c r="D828" s="533"/>
      <c r="E828" s="532"/>
      <c r="F828" s="532"/>
      <c r="G828" s="515" t="s">
        <v>106</v>
      </c>
      <c r="H828" s="546">
        <v>2.59</v>
      </c>
      <c r="I828" s="546">
        <v>0.25</v>
      </c>
      <c r="J828" s="545" t="s">
        <v>24</v>
      </c>
      <c r="K828" s="546" t="s">
        <v>24</v>
      </c>
      <c r="L828" s="674"/>
      <c r="M828" s="564"/>
    </row>
    <row r="829" spans="1:13">
      <c r="A829" s="695">
        <v>46224</v>
      </c>
      <c r="B829" s="565" t="s">
        <v>451</v>
      </c>
      <c r="C829" s="565" t="s">
        <v>274</v>
      </c>
      <c r="D829" s="574">
        <v>8</v>
      </c>
      <c r="E829" s="566" t="s">
        <v>452</v>
      </c>
      <c r="F829" s="566" t="s">
        <v>289</v>
      </c>
      <c r="G829" s="545" t="s">
        <v>158</v>
      </c>
      <c r="H829" s="546">
        <v>2</v>
      </c>
      <c r="I829" s="546">
        <v>6.72</v>
      </c>
      <c r="J829" s="545" t="s">
        <v>17</v>
      </c>
      <c r="K829" s="546">
        <v>2.2</v>
      </c>
      <c r="L829" s="573" t="s">
        <v>67</v>
      </c>
      <c r="M829" s="545"/>
    </row>
    <row r="830" spans="1:13">
      <c r="A830" s="695"/>
      <c r="B830" s="565"/>
      <c r="C830" s="565"/>
      <c r="D830" s="743"/>
      <c r="E830" s="568"/>
      <c r="F830" s="568"/>
      <c r="G830" s="545" t="s">
        <v>159</v>
      </c>
      <c r="H830" s="546">
        <v>2</v>
      </c>
      <c r="I830" s="546">
        <v>0.4</v>
      </c>
      <c r="J830" s="545" t="s">
        <v>22</v>
      </c>
      <c r="K830" s="546">
        <v>2.7</v>
      </c>
      <c r="L830" s="573"/>
      <c r="M830" s="545"/>
    </row>
    <row r="831" spans="1:13">
      <c r="A831" s="695"/>
      <c r="B831" s="565"/>
      <c r="C831" s="565"/>
      <c r="D831" s="743"/>
      <c r="E831" s="568"/>
      <c r="F831" s="568"/>
      <c r="G831" s="545" t="s">
        <v>160</v>
      </c>
      <c r="H831" s="546">
        <v>2</v>
      </c>
      <c r="I831" s="546">
        <v>0.32</v>
      </c>
      <c r="J831" s="545" t="s">
        <v>44</v>
      </c>
      <c r="K831" s="546">
        <v>4</v>
      </c>
      <c r="L831" s="573"/>
      <c r="M831" s="545"/>
    </row>
    <row r="832" spans="1:13">
      <c r="A832" s="695"/>
      <c r="B832" s="565"/>
      <c r="C832" s="565"/>
      <c r="D832" s="744"/>
      <c r="E832" s="579"/>
      <c r="F832" s="579"/>
      <c r="G832" s="545" t="s">
        <v>148</v>
      </c>
      <c r="H832" s="546">
        <v>2</v>
      </c>
      <c r="I832" s="546">
        <v>0.56</v>
      </c>
      <c r="J832" s="545" t="s">
        <v>24</v>
      </c>
      <c r="K832" s="546" t="s">
        <v>24</v>
      </c>
      <c r="L832" s="573"/>
      <c r="M832" s="545"/>
    </row>
    <row r="833" spans="1:13">
      <c r="A833" s="695">
        <v>46224</v>
      </c>
      <c r="B833" s="565" t="s">
        <v>453</v>
      </c>
      <c r="C833" s="566" t="s">
        <v>274</v>
      </c>
      <c r="D833" s="574">
        <v>5</v>
      </c>
      <c r="E833" s="566" t="s">
        <v>279</v>
      </c>
      <c r="F833" s="566" t="s">
        <v>302</v>
      </c>
      <c r="G833" s="545" t="s">
        <v>237</v>
      </c>
      <c r="H833" s="546">
        <v>1.08</v>
      </c>
      <c r="I833" s="546">
        <v>3.6</v>
      </c>
      <c r="J833" s="545" t="s">
        <v>17</v>
      </c>
      <c r="K833" s="546">
        <v>1.65</v>
      </c>
      <c r="L833" s="573" t="s">
        <v>41</v>
      </c>
      <c r="M833" s="545"/>
    </row>
    <row r="834" spans="1:13">
      <c r="A834" s="695"/>
      <c r="B834" s="565"/>
      <c r="C834" s="568"/>
      <c r="D834" s="743"/>
      <c r="E834" s="568"/>
      <c r="F834" s="568"/>
      <c r="G834" s="545" t="s">
        <v>228</v>
      </c>
      <c r="H834" s="546">
        <v>1.25</v>
      </c>
      <c r="I834" s="546">
        <v>0.75</v>
      </c>
      <c r="J834" s="545" t="s">
        <v>17</v>
      </c>
      <c r="K834" s="546">
        <v>1.7</v>
      </c>
      <c r="L834" s="573"/>
      <c r="M834" s="545"/>
    </row>
    <row r="835" spans="1:13">
      <c r="A835" s="695"/>
      <c r="B835" s="565"/>
      <c r="C835" s="568"/>
      <c r="D835" s="743"/>
      <c r="E835" s="568"/>
      <c r="F835" s="568"/>
      <c r="G835" s="545" t="s">
        <v>159</v>
      </c>
      <c r="H835" s="546">
        <v>1.29</v>
      </c>
      <c r="I835" s="546">
        <v>0.2</v>
      </c>
      <c r="J835" s="545" t="s">
        <v>22</v>
      </c>
      <c r="K835" s="546">
        <v>1.8</v>
      </c>
      <c r="L835" s="573"/>
      <c r="M835" s="545"/>
    </row>
    <row r="836" spans="1:13">
      <c r="A836" s="695"/>
      <c r="B836" s="565"/>
      <c r="C836" s="568"/>
      <c r="D836" s="743"/>
      <c r="E836" s="568"/>
      <c r="F836" s="568"/>
      <c r="G836" s="545" t="s">
        <v>160</v>
      </c>
      <c r="H836" s="546">
        <v>1.38</v>
      </c>
      <c r="I836" s="546">
        <v>0.2</v>
      </c>
      <c r="J836" s="545" t="s">
        <v>44</v>
      </c>
      <c r="K836" s="546">
        <v>4.4</v>
      </c>
      <c r="L836" s="573"/>
      <c r="M836" s="545"/>
    </row>
    <row r="837" spans="1:13">
      <c r="A837" s="695"/>
      <c r="B837" s="565"/>
      <c r="C837" s="579"/>
      <c r="D837" s="744"/>
      <c r="E837" s="579"/>
      <c r="F837" s="579"/>
      <c r="G837" s="545" t="s">
        <v>148</v>
      </c>
      <c r="H837" s="546">
        <v>1.75</v>
      </c>
      <c r="I837" s="546">
        <v>0.25</v>
      </c>
      <c r="J837" s="545" t="s">
        <v>24</v>
      </c>
      <c r="K837" s="546" t="s">
        <v>24</v>
      </c>
      <c r="L837" s="573"/>
      <c r="M837" s="545"/>
    </row>
    <row r="838" spans="1:13">
      <c r="A838" s="695">
        <v>46225</v>
      </c>
      <c r="B838" s="565" t="s">
        <v>454</v>
      </c>
      <c r="C838" s="565" t="s">
        <v>274</v>
      </c>
      <c r="D838" s="574">
        <v>10</v>
      </c>
      <c r="E838" s="566" t="s">
        <v>447</v>
      </c>
      <c r="F838" s="566" t="s">
        <v>287</v>
      </c>
      <c r="G838" s="545" t="s">
        <v>158</v>
      </c>
      <c r="H838" s="546">
        <v>1.76</v>
      </c>
      <c r="I838" s="546">
        <v>8.24</v>
      </c>
      <c r="J838" s="545" t="s">
        <v>17</v>
      </c>
      <c r="K838" s="546">
        <v>1.58</v>
      </c>
      <c r="L838" s="573" t="s">
        <v>60</v>
      </c>
      <c r="M838" s="591" t="s">
        <v>372</v>
      </c>
    </row>
    <row r="839" spans="1:13">
      <c r="A839" s="695"/>
      <c r="B839" s="565"/>
      <c r="C839" s="565"/>
      <c r="D839" s="743"/>
      <c r="E839" s="568"/>
      <c r="F839" s="568"/>
      <c r="G839" s="545" t="s">
        <v>159</v>
      </c>
      <c r="H839" s="546">
        <v>1.76</v>
      </c>
      <c r="I839" s="546">
        <v>0.52</v>
      </c>
      <c r="J839" s="545" t="s">
        <v>22</v>
      </c>
      <c r="K839" s="546">
        <v>1.62</v>
      </c>
      <c r="L839" s="573"/>
      <c r="M839" s="527"/>
    </row>
    <row r="840" spans="1:13">
      <c r="A840" s="695"/>
      <c r="B840" s="565"/>
      <c r="C840" s="565"/>
      <c r="D840" s="743"/>
      <c r="E840" s="568"/>
      <c r="F840" s="568"/>
      <c r="G840" s="545" t="s">
        <v>160</v>
      </c>
      <c r="H840" s="546">
        <v>1.76</v>
      </c>
      <c r="I840" s="546">
        <v>0.4</v>
      </c>
      <c r="J840" s="545" t="s">
        <v>44</v>
      </c>
      <c r="K840" s="546">
        <v>6.49</v>
      </c>
      <c r="L840" s="573"/>
      <c r="M840" s="527"/>
    </row>
    <row r="841" spans="1:13">
      <c r="A841" s="695"/>
      <c r="B841" s="565"/>
      <c r="C841" s="565"/>
      <c r="D841" s="744"/>
      <c r="E841" s="579"/>
      <c r="F841" s="579"/>
      <c r="G841" s="545" t="s">
        <v>148</v>
      </c>
      <c r="H841" s="546">
        <v>2.67</v>
      </c>
      <c r="I841" s="546">
        <v>0.84</v>
      </c>
      <c r="J841" s="545" t="s">
        <v>24</v>
      </c>
      <c r="K841" s="546" t="s">
        <v>24</v>
      </c>
      <c r="L841" s="573"/>
      <c r="M841" s="527"/>
    </row>
    <row r="842" spans="1:13">
      <c r="A842" s="695">
        <v>46226</v>
      </c>
      <c r="B842" s="565" t="s">
        <v>455</v>
      </c>
      <c r="C842" s="566" t="s">
        <v>274</v>
      </c>
      <c r="D842" s="574">
        <v>5</v>
      </c>
      <c r="E842" s="566" t="s">
        <v>279</v>
      </c>
      <c r="F842" s="566" t="s">
        <v>456</v>
      </c>
      <c r="G842" s="545" t="s">
        <v>237</v>
      </c>
      <c r="H842" s="546">
        <v>1.08</v>
      </c>
      <c r="I842" s="546">
        <v>3.6</v>
      </c>
      <c r="J842" s="732" t="s">
        <v>17</v>
      </c>
      <c r="K842" s="546">
        <v>1.65</v>
      </c>
      <c r="L842" s="573" t="s">
        <v>41</v>
      </c>
      <c r="M842" s="745"/>
    </row>
    <row r="843" spans="1:13">
      <c r="A843" s="695"/>
      <c r="B843" s="565"/>
      <c r="C843" s="568"/>
      <c r="D843" s="743"/>
      <c r="E843" s="568"/>
      <c r="F843" s="568"/>
      <c r="G843" s="545" t="s">
        <v>228</v>
      </c>
      <c r="H843" s="546">
        <v>1.25</v>
      </c>
      <c r="I843" s="546">
        <v>0.8</v>
      </c>
      <c r="J843" s="732" t="s">
        <v>17</v>
      </c>
      <c r="K843" s="546">
        <v>1.7</v>
      </c>
      <c r="L843" s="746"/>
      <c r="M843" s="745"/>
    </row>
    <row r="844" spans="1:13">
      <c r="A844" s="695"/>
      <c r="B844" s="565"/>
      <c r="C844" s="568"/>
      <c r="D844" s="743"/>
      <c r="E844" s="568"/>
      <c r="F844" s="568"/>
      <c r="G844" s="545" t="s">
        <v>159</v>
      </c>
      <c r="H844" s="546">
        <v>1.3</v>
      </c>
      <c r="I844" s="546">
        <v>0.17</v>
      </c>
      <c r="J844" s="732" t="s">
        <v>22</v>
      </c>
      <c r="K844" s="546">
        <v>1.8</v>
      </c>
      <c r="L844" s="746"/>
      <c r="M844" s="745"/>
    </row>
    <row r="845" spans="1:13">
      <c r="A845" s="695"/>
      <c r="B845" s="565"/>
      <c r="C845" s="568"/>
      <c r="D845" s="743"/>
      <c r="E845" s="568"/>
      <c r="F845" s="568"/>
      <c r="G845" s="545" t="s">
        <v>160</v>
      </c>
      <c r="H845" s="546">
        <v>1.38</v>
      </c>
      <c r="I845" s="546">
        <v>0.18</v>
      </c>
      <c r="J845" s="732" t="s">
        <v>136</v>
      </c>
      <c r="K845" s="546">
        <v>4.4</v>
      </c>
      <c r="L845" s="746"/>
      <c r="M845" s="745"/>
    </row>
    <row r="846" spans="1:13">
      <c r="A846" s="695"/>
      <c r="B846" s="565"/>
      <c r="C846" s="579"/>
      <c r="D846" s="744"/>
      <c r="E846" s="579"/>
      <c r="F846" s="579"/>
      <c r="G846" s="545" t="s">
        <v>148</v>
      </c>
      <c r="H846" s="546">
        <v>1.75</v>
      </c>
      <c r="I846" s="546">
        <v>0.25</v>
      </c>
      <c r="J846" s="732" t="s">
        <v>24</v>
      </c>
      <c r="K846" s="546" t="s">
        <v>24</v>
      </c>
      <c r="L846" s="746"/>
      <c r="M846" s="745"/>
    </row>
    <row r="847" spans="1:13">
      <c r="A847" s="695">
        <v>46226</v>
      </c>
      <c r="B847" s="565" t="s">
        <v>457</v>
      </c>
      <c r="C847" s="565" t="s">
        <v>274</v>
      </c>
      <c r="D847" s="574">
        <v>4</v>
      </c>
      <c r="E847" s="566" t="s">
        <v>295</v>
      </c>
      <c r="F847" s="566" t="s">
        <v>285</v>
      </c>
      <c r="G847" s="545" t="s">
        <v>158</v>
      </c>
      <c r="H847" s="546">
        <v>0.71</v>
      </c>
      <c r="I847" s="546">
        <v>3.6</v>
      </c>
      <c r="J847" s="545" t="s">
        <v>17</v>
      </c>
      <c r="K847" s="546">
        <v>1.5</v>
      </c>
      <c r="L847" s="590" t="s">
        <v>112</v>
      </c>
      <c r="M847" s="747"/>
    </row>
    <row r="848" spans="1:13">
      <c r="A848" s="695"/>
      <c r="B848" s="565"/>
      <c r="C848" s="565"/>
      <c r="D848" s="743"/>
      <c r="E848" s="568"/>
      <c r="F848" s="568"/>
      <c r="G848" s="545" t="s">
        <v>159</v>
      </c>
      <c r="H848" s="546">
        <v>0.71</v>
      </c>
      <c r="I848" s="546">
        <v>0.2</v>
      </c>
      <c r="J848" s="545" t="s">
        <v>22</v>
      </c>
      <c r="K848" s="546">
        <v>1.53</v>
      </c>
      <c r="L848" s="748"/>
      <c r="M848" s="749"/>
    </row>
    <row r="849" spans="1:13">
      <c r="A849" s="695"/>
      <c r="B849" s="565"/>
      <c r="C849" s="565"/>
      <c r="D849" s="743"/>
      <c r="E849" s="568"/>
      <c r="F849" s="568"/>
      <c r="G849" s="545" t="s">
        <v>113</v>
      </c>
      <c r="H849" s="546">
        <v>3.02</v>
      </c>
      <c r="I849" s="546">
        <v>0.08</v>
      </c>
      <c r="J849" s="545" t="s">
        <v>24</v>
      </c>
      <c r="K849" s="750" t="s">
        <v>24</v>
      </c>
      <c r="L849" s="748"/>
      <c r="M849" s="749"/>
    </row>
    <row r="850" s="492" customFormat="1" spans="1:13">
      <c r="A850" s="695"/>
      <c r="B850" s="565"/>
      <c r="C850" s="565"/>
      <c r="D850" s="744"/>
      <c r="E850" s="579"/>
      <c r="F850" s="579"/>
      <c r="G850" s="545" t="s">
        <v>114</v>
      </c>
      <c r="H850" s="546">
        <v>3.02</v>
      </c>
      <c r="I850" s="546">
        <v>0.12</v>
      </c>
      <c r="J850" s="545" t="s">
        <v>24</v>
      </c>
      <c r="K850" s="750" t="s">
        <v>24</v>
      </c>
      <c r="L850" s="751"/>
      <c r="M850" s="752"/>
    </row>
    <row r="851" s="492" customFormat="1" spans="1:13">
      <c r="A851" s="753">
        <v>46226</v>
      </c>
      <c r="B851" s="754" t="s">
        <v>458</v>
      </c>
      <c r="C851" s="755" t="s">
        <v>459</v>
      </c>
      <c r="D851" s="537">
        <v>8</v>
      </c>
      <c r="E851" s="586" t="s">
        <v>194</v>
      </c>
      <c r="F851" s="586" t="s">
        <v>360</v>
      </c>
      <c r="G851" s="564" t="s">
        <v>26</v>
      </c>
      <c r="H851" s="542">
        <v>1.93</v>
      </c>
      <c r="I851" s="530">
        <v>6.96</v>
      </c>
      <c r="J851" s="564" t="s">
        <v>17</v>
      </c>
      <c r="K851" s="530">
        <v>1.58</v>
      </c>
      <c r="L851" s="738" t="s">
        <v>27</v>
      </c>
      <c r="M851" s="738" t="s">
        <v>403</v>
      </c>
    </row>
    <row r="852" s="492" customFormat="1" spans="1:13">
      <c r="A852" s="756"/>
      <c r="B852" s="757"/>
      <c r="C852" s="756"/>
      <c r="D852" s="758"/>
      <c r="E852" s="588"/>
      <c r="F852" s="588" t="s">
        <v>460</v>
      </c>
      <c r="G852" s="564" t="s">
        <v>21</v>
      </c>
      <c r="H852" s="542">
        <v>1.93</v>
      </c>
      <c r="I852" s="530">
        <v>0.4</v>
      </c>
      <c r="J852" s="564" t="s">
        <v>22</v>
      </c>
      <c r="K852" s="530">
        <v>1.62</v>
      </c>
      <c r="L852" s="739"/>
      <c r="M852" s="531"/>
    </row>
    <row r="853" s="492" customFormat="1" spans="1:13">
      <c r="A853" s="756"/>
      <c r="B853" s="757"/>
      <c r="C853" s="756"/>
      <c r="D853" s="758"/>
      <c r="E853" s="588"/>
      <c r="F853" s="588" t="s">
        <v>460</v>
      </c>
      <c r="G853" s="564" t="s">
        <v>54</v>
      </c>
      <c r="H853" s="542">
        <v>2.76</v>
      </c>
      <c r="I853" s="530">
        <v>0.24</v>
      </c>
      <c r="J853" s="564" t="s">
        <v>439</v>
      </c>
      <c r="K853" s="530">
        <v>8.9</v>
      </c>
      <c r="L853" s="739"/>
      <c r="M853" s="531"/>
    </row>
    <row r="854" s="492" customFormat="1" spans="1:13">
      <c r="A854" s="759"/>
      <c r="B854" s="760"/>
      <c r="C854" s="759"/>
      <c r="D854" s="761"/>
      <c r="E854" s="589"/>
      <c r="F854" s="589" t="s">
        <v>460</v>
      </c>
      <c r="G854" s="564" t="s">
        <v>23</v>
      </c>
      <c r="H854" s="542">
        <v>2.76</v>
      </c>
      <c r="I854" s="530">
        <v>0.4</v>
      </c>
      <c r="J854" s="564" t="s">
        <v>24</v>
      </c>
      <c r="K854" s="530" t="s">
        <v>24</v>
      </c>
      <c r="L854" s="740"/>
      <c r="M854" s="534"/>
    </row>
    <row r="855" s="492" customFormat="1" spans="1:13">
      <c r="A855" s="753">
        <v>46227</v>
      </c>
      <c r="B855" s="754" t="s">
        <v>461</v>
      </c>
      <c r="C855" s="755" t="s">
        <v>462</v>
      </c>
      <c r="D855" s="537">
        <v>10</v>
      </c>
      <c r="E855" s="586" t="s">
        <v>194</v>
      </c>
      <c r="F855" s="586" t="s">
        <v>381</v>
      </c>
      <c r="G855" s="564" t="s">
        <v>26</v>
      </c>
      <c r="H855" s="542">
        <v>1.92</v>
      </c>
      <c r="I855" s="530">
        <v>9</v>
      </c>
      <c r="J855" s="564" t="s">
        <v>17</v>
      </c>
      <c r="K855" s="530">
        <v>1.82</v>
      </c>
      <c r="L855" s="738" t="s">
        <v>35</v>
      </c>
      <c r="M855" s="526" t="s">
        <v>36</v>
      </c>
    </row>
    <row r="856" s="492" customFormat="1" spans="1:13">
      <c r="A856" s="756"/>
      <c r="B856" s="757"/>
      <c r="C856" s="756"/>
      <c r="D856" s="758"/>
      <c r="E856" s="588"/>
      <c r="F856" s="588"/>
      <c r="G856" s="564" t="s">
        <v>21</v>
      </c>
      <c r="H856" s="542">
        <v>1.92</v>
      </c>
      <c r="I856" s="530">
        <v>0.3</v>
      </c>
      <c r="J856" s="564" t="s">
        <v>22</v>
      </c>
      <c r="K856" s="530">
        <v>1.85</v>
      </c>
      <c r="L856" s="739"/>
      <c r="M856" s="531"/>
    </row>
    <row r="857" s="492" customFormat="1" spans="1:13">
      <c r="A857" s="756"/>
      <c r="B857" s="757"/>
      <c r="C857" s="756"/>
      <c r="D857" s="758"/>
      <c r="E857" s="588"/>
      <c r="F857" s="588"/>
      <c r="G857" s="564" t="s">
        <v>54</v>
      </c>
      <c r="H857" s="542">
        <v>1.92</v>
      </c>
      <c r="I857" s="530">
        <v>0.2</v>
      </c>
      <c r="J857" s="564" t="s">
        <v>64</v>
      </c>
      <c r="K857" s="530">
        <v>3.2</v>
      </c>
      <c r="L857" s="739"/>
      <c r="M857" s="531"/>
    </row>
    <row r="858" s="492" customFormat="1" spans="1:13">
      <c r="A858" s="759"/>
      <c r="B858" s="760"/>
      <c r="C858" s="759"/>
      <c r="D858" s="761"/>
      <c r="E858" s="589"/>
      <c r="F858" s="589"/>
      <c r="G858" s="564" t="s">
        <v>23</v>
      </c>
      <c r="H858" s="542">
        <v>3.83</v>
      </c>
      <c r="I858" s="530">
        <v>0.5</v>
      </c>
      <c r="J858" s="564" t="s">
        <v>24</v>
      </c>
      <c r="K858" s="530" t="s">
        <v>24</v>
      </c>
      <c r="L858" s="740"/>
      <c r="M858" s="534"/>
    </row>
    <row r="859" s="492" customFormat="1" spans="1:13">
      <c r="A859" s="753">
        <v>46227</v>
      </c>
      <c r="B859" s="754" t="s">
        <v>463</v>
      </c>
      <c r="C859" s="753" t="s">
        <v>358</v>
      </c>
      <c r="D859" s="537">
        <v>2.88</v>
      </c>
      <c r="E859" s="586" t="s">
        <v>464</v>
      </c>
      <c r="F859" s="586" t="s">
        <v>465</v>
      </c>
      <c r="G859" s="545" t="s">
        <v>158</v>
      </c>
      <c r="H859" s="542">
        <v>1.24</v>
      </c>
      <c r="I859" s="530">
        <v>2.31</v>
      </c>
      <c r="J859" s="564" t="s">
        <v>17</v>
      </c>
      <c r="K859" s="530">
        <v>1.55</v>
      </c>
      <c r="L859" s="762" t="s">
        <v>466</v>
      </c>
      <c r="M859" s="586"/>
    </row>
    <row r="860" s="492" customFormat="1" spans="1:13">
      <c r="A860" s="756"/>
      <c r="B860" s="757"/>
      <c r="C860" s="756"/>
      <c r="D860" s="758"/>
      <c r="E860" s="588"/>
      <c r="F860" s="763" t="s">
        <v>467</v>
      </c>
      <c r="G860" s="545" t="s">
        <v>159</v>
      </c>
      <c r="H860" s="542">
        <v>1.33</v>
      </c>
      <c r="I860" s="530">
        <v>0.28</v>
      </c>
      <c r="J860" s="564" t="s">
        <v>22</v>
      </c>
      <c r="K860" s="530">
        <v>1.6</v>
      </c>
      <c r="L860" s="764"/>
      <c r="M860" s="588"/>
    </row>
    <row r="861" s="492" customFormat="1" spans="1:13">
      <c r="A861" s="759"/>
      <c r="B861" s="760"/>
      <c r="C861" s="759"/>
      <c r="D861" s="761"/>
      <c r="E861" s="589"/>
      <c r="F861" s="765" t="s">
        <v>467</v>
      </c>
      <c r="G861" s="545" t="s">
        <v>160</v>
      </c>
      <c r="H861" s="542">
        <v>1.58</v>
      </c>
      <c r="I861" s="530">
        <v>0.29</v>
      </c>
      <c r="J861" s="564" t="s">
        <v>24</v>
      </c>
      <c r="K861" s="530" t="s">
        <v>24</v>
      </c>
      <c r="L861" s="766"/>
      <c r="M861" s="589"/>
    </row>
    <row r="862" s="492" customFormat="1" spans="1:13">
      <c r="A862" s="753">
        <v>46227</v>
      </c>
      <c r="B862" s="754" t="s">
        <v>468</v>
      </c>
      <c r="C862" s="753" t="s">
        <v>358</v>
      </c>
      <c r="D862" s="537">
        <v>5</v>
      </c>
      <c r="E862" s="586" t="s">
        <v>217</v>
      </c>
      <c r="F862" s="586" t="s">
        <v>391</v>
      </c>
      <c r="G862" s="564" t="s">
        <v>40</v>
      </c>
      <c r="H862" s="542">
        <v>1.08</v>
      </c>
      <c r="I862" s="530">
        <v>3.6</v>
      </c>
      <c r="J862" s="564" t="s">
        <v>17</v>
      </c>
      <c r="K862" s="530">
        <v>1.65</v>
      </c>
      <c r="L862" s="762" t="s">
        <v>41</v>
      </c>
      <c r="M862" s="586"/>
    </row>
    <row r="863" s="492" customFormat="1" spans="1:13">
      <c r="A863" s="756"/>
      <c r="B863" s="757"/>
      <c r="C863" s="756"/>
      <c r="D863" s="758"/>
      <c r="E863" s="588"/>
      <c r="F863" s="588"/>
      <c r="G863" s="564" t="s">
        <v>42</v>
      </c>
      <c r="H863" s="542">
        <v>1.25</v>
      </c>
      <c r="I863" s="530">
        <v>0.75</v>
      </c>
      <c r="J863" s="564" t="s">
        <v>17</v>
      </c>
      <c r="K863" s="530">
        <v>1.68</v>
      </c>
      <c r="L863" s="764"/>
      <c r="M863" s="588"/>
    </row>
    <row r="864" s="492" customFormat="1" spans="1:13">
      <c r="A864" s="756"/>
      <c r="B864" s="757"/>
      <c r="C864" s="756"/>
      <c r="D864" s="758"/>
      <c r="E864" s="588"/>
      <c r="F864" s="588"/>
      <c r="G864" s="564" t="s">
        <v>21</v>
      </c>
      <c r="H864" s="542">
        <v>1.28</v>
      </c>
      <c r="I864" s="530">
        <v>0.2</v>
      </c>
      <c r="J864" s="564" t="s">
        <v>22</v>
      </c>
      <c r="K864" s="530">
        <v>1.85</v>
      </c>
      <c r="L864" s="764"/>
      <c r="M864" s="588"/>
    </row>
    <row r="865" s="492" customFormat="1" spans="1:13">
      <c r="A865" s="756"/>
      <c r="B865" s="757"/>
      <c r="C865" s="756"/>
      <c r="D865" s="758"/>
      <c r="E865" s="588"/>
      <c r="F865" s="588"/>
      <c r="G865" s="564" t="s">
        <v>43</v>
      </c>
      <c r="H865" s="542">
        <v>1.37</v>
      </c>
      <c r="I865" s="530">
        <v>0.2</v>
      </c>
      <c r="J865" s="564" t="s">
        <v>44</v>
      </c>
      <c r="K865" s="530">
        <v>4.4</v>
      </c>
      <c r="L865" s="764"/>
      <c r="M865" s="588"/>
    </row>
    <row r="866" s="492" customFormat="1" spans="1:13">
      <c r="A866" s="759"/>
      <c r="B866" s="760"/>
      <c r="C866" s="759"/>
      <c r="D866" s="761"/>
      <c r="E866" s="589"/>
      <c r="F866" s="589"/>
      <c r="G866" s="564" t="s">
        <v>23</v>
      </c>
      <c r="H866" s="542">
        <v>1.74</v>
      </c>
      <c r="I866" s="530">
        <v>0.25</v>
      </c>
      <c r="J866" s="564" t="s">
        <v>24</v>
      </c>
      <c r="K866" s="530" t="s">
        <v>24</v>
      </c>
      <c r="L866" s="766"/>
      <c r="M866" s="589"/>
    </row>
    <row r="867" s="492" customFormat="1" spans="1:13">
      <c r="A867" s="753">
        <v>46231</v>
      </c>
      <c r="B867" s="754" t="s">
        <v>469</v>
      </c>
      <c r="C867" s="755" t="s">
        <v>462</v>
      </c>
      <c r="D867" s="537">
        <v>5</v>
      </c>
      <c r="E867" s="586" t="s">
        <v>470</v>
      </c>
      <c r="F867" s="586" t="s">
        <v>471</v>
      </c>
      <c r="G867" s="545" t="s">
        <v>158</v>
      </c>
      <c r="H867" s="542">
        <v>2</v>
      </c>
      <c r="I867" s="530">
        <v>4.23</v>
      </c>
      <c r="J867" s="564" t="s">
        <v>17</v>
      </c>
      <c r="K867" s="530">
        <v>2.2</v>
      </c>
      <c r="L867" s="762" t="s">
        <v>67</v>
      </c>
      <c r="M867" s="586"/>
    </row>
    <row r="868" s="492" customFormat="1" spans="1:13">
      <c r="A868" s="756"/>
      <c r="B868" s="757"/>
      <c r="C868" s="756"/>
      <c r="D868" s="758"/>
      <c r="E868" s="588"/>
      <c r="F868" s="588"/>
      <c r="G868" s="545" t="s">
        <v>159</v>
      </c>
      <c r="H868" s="542">
        <v>2</v>
      </c>
      <c r="I868" s="530">
        <v>0.2</v>
      </c>
      <c r="J868" s="564" t="s">
        <v>22</v>
      </c>
      <c r="K868" s="530">
        <v>2.7</v>
      </c>
      <c r="L868" s="764"/>
      <c r="M868" s="588"/>
    </row>
    <row r="869" s="492" customFormat="1" spans="1:13">
      <c r="A869" s="756"/>
      <c r="B869" s="757"/>
      <c r="C869" s="756"/>
      <c r="D869" s="758"/>
      <c r="E869" s="588"/>
      <c r="F869" s="588"/>
      <c r="G869" s="545" t="s">
        <v>160</v>
      </c>
      <c r="H869" s="542">
        <v>2</v>
      </c>
      <c r="I869" s="530">
        <v>0.22</v>
      </c>
      <c r="J869" s="564" t="s">
        <v>44</v>
      </c>
      <c r="K869" s="530">
        <v>4</v>
      </c>
      <c r="L869" s="764"/>
      <c r="M869" s="588"/>
    </row>
    <row r="870" s="492" customFormat="1" spans="1:13">
      <c r="A870" s="759"/>
      <c r="B870" s="760"/>
      <c r="C870" s="759"/>
      <c r="D870" s="761"/>
      <c r="E870" s="589"/>
      <c r="F870" s="589"/>
      <c r="G870" s="564" t="s">
        <v>23</v>
      </c>
      <c r="H870" s="542">
        <v>2</v>
      </c>
      <c r="I870" s="530">
        <v>0.35</v>
      </c>
      <c r="J870" s="564" t="s">
        <v>24</v>
      </c>
      <c r="K870" s="530" t="s">
        <v>24</v>
      </c>
      <c r="L870" s="766"/>
      <c r="M870" s="589"/>
    </row>
    <row r="871" s="492" customFormat="1" spans="1:13">
      <c r="A871" s="753">
        <v>46231</v>
      </c>
      <c r="B871" s="754" t="s">
        <v>472</v>
      </c>
      <c r="C871" s="755" t="s">
        <v>459</v>
      </c>
      <c r="D871" s="537">
        <v>2.75</v>
      </c>
      <c r="E871" s="586" t="s">
        <v>82</v>
      </c>
      <c r="F871" s="586" t="s">
        <v>465</v>
      </c>
      <c r="G871" s="564" t="s">
        <v>47</v>
      </c>
      <c r="H871" s="542">
        <v>1.83</v>
      </c>
      <c r="I871" s="530">
        <v>2.53</v>
      </c>
      <c r="J871" s="564" t="s">
        <v>17</v>
      </c>
      <c r="K871" s="530">
        <v>1.79</v>
      </c>
      <c r="L871" s="762" t="s">
        <v>70</v>
      </c>
      <c r="M871" s="586"/>
    </row>
    <row r="872" s="492" customFormat="1" spans="1:13">
      <c r="A872" s="759"/>
      <c r="B872" s="760"/>
      <c r="C872" s="759"/>
      <c r="D872" s="761"/>
      <c r="E872" s="589"/>
      <c r="F872" s="765" t="s">
        <v>467</v>
      </c>
      <c r="G872" s="564" t="s">
        <v>23</v>
      </c>
      <c r="H872" s="542">
        <v>2.65</v>
      </c>
      <c r="I872" s="530">
        <v>0.22</v>
      </c>
      <c r="J872" s="564" t="s">
        <v>24</v>
      </c>
      <c r="K872" s="530" t="s">
        <v>24</v>
      </c>
      <c r="L872" s="766"/>
      <c r="M872" s="589"/>
    </row>
    <row r="873" s="492" customFormat="1" spans="1:13">
      <c r="A873" s="753">
        <v>46231</v>
      </c>
      <c r="B873" s="754" t="s">
        <v>473</v>
      </c>
      <c r="C873" s="753" t="s">
        <v>358</v>
      </c>
      <c r="D873" s="537">
        <v>5</v>
      </c>
      <c r="E873" s="586" t="s">
        <v>217</v>
      </c>
      <c r="F873" s="586" t="s">
        <v>391</v>
      </c>
      <c r="G873" s="564" t="s">
        <v>40</v>
      </c>
      <c r="H873" s="542">
        <v>1.08</v>
      </c>
      <c r="I873" s="530">
        <v>3.6</v>
      </c>
      <c r="J873" s="564" t="s">
        <v>17</v>
      </c>
      <c r="K873" s="530">
        <v>1.65</v>
      </c>
      <c r="L873" s="762" t="s">
        <v>41</v>
      </c>
      <c r="M873" s="586"/>
    </row>
    <row r="874" s="492" customFormat="1" spans="1:13">
      <c r="A874" s="756"/>
      <c r="B874" s="757"/>
      <c r="C874" s="756"/>
      <c r="D874" s="758"/>
      <c r="E874" s="588"/>
      <c r="F874" s="588" t="s">
        <v>474</v>
      </c>
      <c r="G874" s="564" t="s">
        <v>42</v>
      </c>
      <c r="H874" s="542">
        <v>1.25</v>
      </c>
      <c r="I874" s="530">
        <v>0.75</v>
      </c>
      <c r="J874" s="564" t="s">
        <v>17</v>
      </c>
      <c r="K874" s="530">
        <v>1.68</v>
      </c>
      <c r="L874" s="764"/>
      <c r="M874" s="588"/>
    </row>
    <row r="875" s="492" customFormat="1" spans="1:13">
      <c r="A875" s="756"/>
      <c r="B875" s="757"/>
      <c r="C875" s="756"/>
      <c r="D875" s="758"/>
      <c r="E875" s="588"/>
      <c r="F875" s="588" t="s">
        <v>474</v>
      </c>
      <c r="G875" s="564" t="s">
        <v>21</v>
      </c>
      <c r="H875" s="542">
        <v>1.29</v>
      </c>
      <c r="I875" s="530">
        <v>0.2</v>
      </c>
      <c r="J875" s="564" t="s">
        <v>22</v>
      </c>
      <c r="K875" s="530">
        <v>1.8</v>
      </c>
      <c r="L875" s="764"/>
      <c r="M875" s="588"/>
    </row>
    <row r="876" s="492" customFormat="1" spans="1:13">
      <c r="A876" s="756"/>
      <c r="B876" s="757"/>
      <c r="C876" s="756"/>
      <c r="D876" s="758"/>
      <c r="E876" s="588"/>
      <c r="F876" s="588" t="s">
        <v>474</v>
      </c>
      <c r="G876" s="564" t="s">
        <v>43</v>
      </c>
      <c r="H876" s="542">
        <v>1.38</v>
      </c>
      <c r="I876" s="530">
        <v>0.2</v>
      </c>
      <c r="J876" s="564" t="s">
        <v>44</v>
      </c>
      <c r="K876" s="530">
        <v>4.4</v>
      </c>
      <c r="L876" s="764"/>
      <c r="M876" s="588"/>
    </row>
    <row r="877" s="492" customFormat="1" spans="1:13">
      <c r="A877" s="759"/>
      <c r="B877" s="760"/>
      <c r="C877" s="759"/>
      <c r="D877" s="761"/>
      <c r="E877" s="589"/>
      <c r="F877" s="589" t="s">
        <v>474</v>
      </c>
      <c r="G877" s="564" t="s">
        <v>23</v>
      </c>
      <c r="H877" s="542">
        <v>1.75</v>
      </c>
      <c r="I877" s="530">
        <v>0.25</v>
      </c>
      <c r="J877" s="564" t="s">
        <v>24</v>
      </c>
      <c r="K877" s="530" t="s">
        <v>24</v>
      </c>
      <c r="L877" s="766"/>
      <c r="M877" s="589"/>
    </row>
    <row r="878" s="492" customFormat="1" spans="1:13">
      <c r="A878" s="753">
        <v>46231</v>
      </c>
      <c r="B878" s="754" t="s">
        <v>475</v>
      </c>
      <c r="C878" s="755" t="s">
        <v>462</v>
      </c>
      <c r="D878" s="537">
        <v>5</v>
      </c>
      <c r="E878" s="753" t="s">
        <v>217</v>
      </c>
      <c r="F878" s="753" t="s">
        <v>476</v>
      </c>
      <c r="G878" s="564" t="s">
        <v>40</v>
      </c>
      <c r="H878" s="542">
        <v>1.08</v>
      </c>
      <c r="I878" s="530">
        <v>3.6</v>
      </c>
      <c r="J878" s="564" t="s">
        <v>17</v>
      </c>
      <c r="K878" s="530">
        <v>1.65</v>
      </c>
      <c r="L878" s="762" t="s">
        <v>41</v>
      </c>
      <c r="M878" s="586"/>
    </row>
    <row r="879" s="492" customFormat="1" spans="1:13">
      <c r="A879" s="756"/>
      <c r="B879" s="757"/>
      <c r="C879" s="756"/>
      <c r="D879" s="758"/>
      <c r="E879" s="756" t="s">
        <v>477</v>
      </c>
      <c r="F879" s="767" t="s">
        <v>478</v>
      </c>
      <c r="G879" s="564" t="s">
        <v>42</v>
      </c>
      <c r="H879" s="542">
        <v>1.25</v>
      </c>
      <c r="I879" s="530">
        <v>0.8</v>
      </c>
      <c r="J879" s="564" t="s">
        <v>17</v>
      </c>
      <c r="K879" s="530">
        <v>1.68</v>
      </c>
      <c r="L879" s="764"/>
      <c r="M879" s="588"/>
    </row>
    <row r="880" s="492" customFormat="1" spans="1:13">
      <c r="A880" s="756"/>
      <c r="B880" s="757"/>
      <c r="C880" s="756"/>
      <c r="D880" s="758"/>
      <c r="E880" s="756" t="s">
        <v>477</v>
      </c>
      <c r="F880" s="767" t="s">
        <v>478</v>
      </c>
      <c r="G880" s="564" t="s">
        <v>21</v>
      </c>
      <c r="H880" s="542">
        <v>1.29</v>
      </c>
      <c r="I880" s="530">
        <v>0.17</v>
      </c>
      <c r="J880" s="564" t="s">
        <v>22</v>
      </c>
      <c r="K880" s="530">
        <v>1.8</v>
      </c>
      <c r="L880" s="764"/>
      <c r="M880" s="588"/>
    </row>
    <row r="881" s="492" customFormat="1" spans="1:13">
      <c r="A881" s="756"/>
      <c r="B881" s="757"/>
      <c r="C881" s="756"/>
      <c r="D881" s="758"/>
      <c r="E881" s="756" t="s">
        <v>477</v>
      </c>
      <c r="F881" s="767" t="s">
        <v>478</v>
      </c>
      <c r="G881" s="564" t="s">
        <v>43</v>
      </c>
      <c r="H881" s="542">
        <v>1.38</v>
      </c>
      <c r="I881" s="530">
        <v>0.18</v>
      </c>
      <c r="J881" s="564" t="s">
        <v>136</v>
      </c>
      <c r="K881" s="530">
        <v>4.4</v>
      </c>
      <c r="L881" s="764"/>
      <c r="M881" s="588"/>
    </row>
    <row r="882" s="492" customFormat="1" spans="1:13">
      <c r="A882" s="759"/>
      <c r="B882" s="760"/>
      <c r="C882" s="759"/>
      <c r="D882" s="761"/>
      <c r="E882" s="759" t="s">
        <v>477</v>
      </c>
      <c r="F882" s="768" t="s">
        <v>478</v>
      </c>
      <c r="G882" s="564" t="s">
        <v>23</v>
      </c>
      <c r="H882" s="542">
        <v>1.75</v>
      </c>
      <c r="I882" s="530">
        <v>0.25</v>
      </c>
      <c r="J882" s="564" t="s">
        <v>24</v>
      </c>
      <c r="K882" s="530" t="s">
        <v>24</v>
      </c>
      <c r="L882" s="766"/>
      <c r="M882" s="589"/>
    </row>
    <row r="883" s="492" customFormat="1" spans="1:13">
      <c r="A883" s="753">
        <v>46231</v>
      </c>
      <c r="B883" s="754" t="s">
        <v>479</v>
      </c>
      <c r="C883" s="753" t="s">
        <v>358</v>
      </c>
      <c r="D883" s="537">
        <v>15</v>
      </c>
      <c r="E883" s="753" t="s">
        <v>480</v>
      </c>
      <c r="F883" s="753" t="s">
        <v>378</v>
      </c>
      <c r="G883" s="545" t="s">
        <v>158</v>
      </c>
      <c r="H883" s="542">
        <v>0.87</v>
      </c>
      <c r="I883" s="530">
        <v>13.5</v>
      </c>
      <c r="J883" s="564" t="s">
        <v>17</v>
      </c>
      <c r="K883" s="530">
        <v>1.6</v>
      </c>
      <c r="L883" s="762" t="s">
        <v>74</v>
      </c>
      <c r="M883" s="586"/>
    </row>
    <row r="884" s="492" customFormat="1" spans="1:13">
      <c r="A884" s="756"/>
      <c r="B884" s="757"/>
      <c r="C884" s="756"/>
      <c r="D884" s="758"/>
      <c r="E884" s="756" t="s">
        <v>481</v>
      </c>
      <c r="F884" s="756" t="s">
        <v>482</v>
      </c>
      <c r="G884" s="545" t="s">
        <v>159</v>
      </c>
      <c r="H884" s="542">
        <v>1.11</v>
      </c>
      <c r="I884" s="530">
        <v>0.45</v>
      </c>
      <c r="J884" s="564" t="s">
        <v>22</v>
      </c>
      <c r="K884" s="530">
        <v>1.77</v>
      </c>
      <c r="L884" s="764"/>
      <c r="M884" s="588"/>
    </row>
    <row r="885" s="492" customFormat="1" spans="1:13">
      <c r="A885" s="759"/>
      <c r="B885" s="760"/>
      <c r="C885" s="759"/>
      <c r="D885" s="761"/>
      <c r="E885" s="759" t="s">
        <v>481</v>
      </c>
      <c r="F885" s="759" t="s">
        <v>482</v>
      </c>
      <c r="G885" s="564" t="s">
        <v>23</v>
      </c>
      <c r="H885" s="542">
        <v>1.61</v>
      </c>
      <c r="I885" s="530">
        <v>1.05</v>
      </c>
      <c r="J885" s="564" t="s">
        <v>24</v>
      </c>
      <c r="K885" s="530" t="s">
        <v>24</v>
      </c>
      <c r="L885" s="766"/>
      <c r="M885" s="589"/>
    </row>
    <row r="886" s="492" customFormat="1" spans="1:13">
      <c r="A886" s="753">
        <v>46231</v>
      </c>
      <c r="B886" s="754" t="s">
        <v>483</v>
      </c>
      <c r="C886" s="753" t="s">
        <v>358</v>
      </c>
      <c r="D886" s="537">
        <v>10</v>
      </c>
      <c r="E886" s="753" t="s">
        <v>194</v>
      </c>
      <c r="F886" s="753" t="s">
        <v>360</v>
      </c>
      <c r="G886" s="545" t="s">
        <v>158</v>
      </c>
      <c r="H886" s="542">
        <v>1.92</v>
      </c>
      <c r="I886" s="530">
        <v>9</v>
      </c>
      <c r="J886" s="564" t="s">
        <v>17</v>
      </c>
      <c r="K886" s="530">
        <v>1.82</v>
      </c>
      <c r="L886" s="738" t="s">
        <v>35</v>
      </c>
      <c r="M886" s="526" t="s">
        <v>36</v>
      </c>
    </row>
    <row r="887" s="492" customFormat="1" spans="1:13">
      <c r="A887" s="756"/>
      <c r="B887" s="757"/>
      <c r="C887" s="756"/>
      <c r="D887" s="758"/>
      <c r="E887" s="756" t="s">
        <v>484</v>
      </c>
      <c r="F887" s="756" t="s">
        <v>460</v>
      </c>
      <c r="G887" s="545" t="s">
        <v>159</v>
      </c>
      <c r="H887" s="542">
        <v>1.92</v>
      </c>
      <c r="I887" s="530">
        <v>0.3</v>
      </c>
      <c r="J887" s="564" t="s">
        <v>22</v>
      </c>
      <c r="K887" s="530">
        <v>1.85</v>
      </c>
      <c r="L887" s="739"/>
      <c r="M887" s="531"/>
    </row>
    <row r="888" s="492" customFormat="1" spans="1:13">
      <c r="A888" s="756"/>
      <c r="B888" s="757"/>
      <c r="C888" s="756"/>
      <c r="D888" s="758"/>
      <c r="E888" s="756" t="s">
        <v>484</v>
      </c>
      <c r="F888" s="756" t="s">
        <v>460</v>
      </c>
      <c r="G888" s="564" t="s">
        <v>54</v>
      </c>
      <c r="H888" s="542">
        <v>1.92</v>
      </c>
      <c r="I888" s="530">
        <v>0.2</v>
      </c>
      <c r="J888" s="564" t="s">
        <v>64</v>
      </c>
      <c r="K888" s="530">
        <v>3.2</v>
      </c>
      <c r="L888" s="739"/>
      <c r="M888" s="531"/>
    </row>
    <row r="889" s="492" customFormat="1" spans="1:13">
      <c r="A889" s="759"/>
      <c r="B889" s="760"/>
      <c r="C889" s="759"/>
      <c r="D889" s="761"/>
      <c r="E889" s="759" t="s">
        <v>484</v>
      </c>
      <c r="F889" s="759" t="s">
        <v>460</v>
      </c>
      <c r="G889" s="564" t="s">
        <v>23</v>
      </c>
      <c r="H889" s="542">
        <v>3.83</v>
      </c>
      <c r="I889" s="530">
        <v>0.5</v>
      </c>
      <c r="J889" s="564" t="s">
        <v>24</v>
      </c>
      <c r="K889" s="530" t="s">
        <v>24</v>
      </c>
      <c r="L889" s="740"/>
      <c r="M889" s="534"/>
    </row>
    <row r="890" s="492" customFormat="1" spans="1:13">
      <c r="A890" s="753">
        <v>46232</v>
      </c>
      <c r="B890" s="754" t="s">
        <v>485</v>
      </c>
      <c r="C890" s="755" t="s">
        <v>459</v>
      </c>
      <c r="D890" s="537">
        <v>10</v>
      </c>
      <c r="E890" s="753" t="s">
        <v>82</v>
      </c>
      <c r="F890" s="753" t="s">
        <v>399</v>
      </c>
      <c r="G890" s="545" t="s">
        <v>158</v>
      </c>
      <c r="H890" s="542">
        <v>1.77</v>
      </c>
      <c r="I890" s="530">
        <v>8.24</v>
      </c>
      <c r="J890" s="564" t="s">
        <v>17</v>
      </c>
      <c r="K890" s="530">
        <v>1.78</v>
      </c>
      <c r="L890" s="738" t="s">
        <v>60</v>
      </c>
      <c r="M890" s="591" t="s">
        <v>372</v>
      </c>
    </row>
    <row r="891" s="492" customFormat="1" spans="1:13">
      <c r="A891" s="756"/>
      <c r="B891" s="757"/>
      <c r="C891" s="756"/>
      <c r="D891" s="758"/>
      <c r="E891" s="756" t="s">
        <v>486</v>
      </c>
      <c r="F891" s="756" t="s">
        <v>487</v>
      </c>
      <c r="G891" s="545" t="s">
        <v>159</v>
      </c>
      <c r="H891" s="542">
        <v>1.77</v>
      </c>
      <c r="I891" s="530">
        <v>0.52</v>
      </c>
      <c r="J891" s="564" t="s">
        <v>22</v>
      </c>
      <c r="K891" s="530">
        <v>1.88</v>
      </c>
      <c r="L891" s="739"/>
      <c r="M891" s="527"/>
    </row>
    <row r="892" s="492" customFormat="1" spans="1:13">
      <c r="A892" s="756"/>
      <c r="B892" s="757"/>
      <c r="C892" s="756"/>
      <c r="D892" s="758"/>
      <c r="E892" s="756" t="s">
        <v>486</v>
      </c>
      <c r="F892" s="756" t="s">
        <v>487</v>
      </c>
      <c r="G892" s="545" t="s">
        <v>160</v>
      </c>
      <c r="H892" s="542">
        <v>1.77</v>
      </c>
      <c r="I892" s="530">
        <v>0.4</v>
      </c>
      <c r="J892" s="564" t="s">
        <v>44</v>
      </c>
      <c r="K892" s="530">
        <v>2.8</v>
      </c>
      <c r="L892" s="739"/>
      <c r="M892" s="527"/>
    </row>
    <row r="893" s="492" customFormat="1" spans="1:13">
      <c r="A893" s="759"/>
      <c r="B893" s="760"/>
      <c r="C893" s="759"/>
      <c r="D893" s="761"/>
      <c r="E893" s="759" t="s">
        <v>486</v>
      </c>
      <c r="F893" s="759" t="s">
        <v>487</v>
      </c>
      <c r="G893" s="564" t="s">
        <v>23</v>
      </c>
      <c r="H893" s="542">
        <v>2.67</v>
      </c>
      <c r="I893" s="530">
        <v>0.84</v>
      </c>
      <c r="J893" s="564" t="s">
        <v>24</v>
      </c>
      <c r="K893" s="530" t="s">
        <v>24</v>
      </c>
      <c r="L893" s="740"/>
      <c r="M893" s="527"/>
    </row>
    <row r="894" s="492" customFormat="1" spans="1:13">
      <c r="A894" s="753">
        <v>46232</v>
      </c>
      <c r="B894" s="754" t="s">
        <v>488</v>
      </c>
      <c r="C894" s="755" t="s">
        <v>462</v>
      </c>
      <c r="D894" s="537">
        <v>10</v>
      </c>
      <c r="E894" s="753" t="s">
        <v>480</v>
      </c>
      <c r="F894" s="753" t="s">
        <v>399</v>
      </c>
      <c r="G894" s="545" t="s">
        <v>158</v>
      </c>
      <c r="H894" s="542">
        <v>0.92</v>
      </c>
      <c r="I894" s="530">
        <v>8.6</v>
      </c>
      <c r="J894" s="564" t="s">
        <v>17</v>
      </c>
      <c r="K894" s="530">
        <v>1.56</v>
      </c>
      <c r="L894" s="762" t="s">
        <v>60</v>
      </c>
      <c r="M894" s="527" t="s">
        <v>89</v>
      </c>
    </row>
    <row r="895" s="492" customFormat="1" spans="1:13">
      <c r="A895" s="756"/>
      <c r="B895" s="757"/>
      <c r="C895" s="756"/>
      <c r="D895" s="758"/>
      <c r="E895" s="756" t="s">
        <v>481</v>
      </c>
      <c r="F895" s="756" t="s">
        <v>487</v>
      </c>
      <c r="G895" s="545" t="s">
        <v>159</v>
      </c>
      <c r="H895" s="542">
        <v>0.92</v>
      </c>
      <c r="I895" s="530">
        <v>0.55</v>
      </c>
      <c r="J895" s="564" t="s">
        <v>22</v>
      </c>
      <c r="K895" s="530">
        <v>1.6</v>
      </c>
      <c r="L895" s="764"/>
      <c r="M895" s="527"/>
    </row>
    <row r="896" s="492" customFormat="1" spans="1:13">
      <c r="A896" s="756"/>
      <c r="B896" s="757"/>
      <c r="C896" s="756"/>
      <c r="D896" s="758"/>
      <c r="E896" s="756" t="s">
        <v>481</v>
      </c>
      <c r="F896" s="756" t="s">
        <v>487</v>
      </c>
      <c r="G896" s="545" t="s">
        <v>160</v>
      </c>
      <c r="H896" s="542">
        <v>0.92</v>
      </c>
      <c r="I896" s="530">
        <v>0.35</v>
      </c>
      <c r="J896" s="564" t="s">
        <v>44</v>
      </c>
      <c r="K896" s="530">
        <v>2.8</v>
      </c>
      <c r="L896" s="764"/>
      <c r="M896" s="527"/>
    </row>
    <row r="897" s="492" customFormat="1" spans="1:13">
      <c r="A897" s="759"/>
      <c r="B897" s="760"/>
      <c r="C897" s="759"/>
      <c r="D897" s="761"/>
      <c r="E897" s="759" t="s">
        <v>481</v>
      </c>
      <c r="F897" s="759" t="s">
        <v>487</v>
      </c>
      <c r="G897" s="564" t="s">
        <v>23</v>
      </c>
      <c r="H897" s="542">
        <v>3.75</v>
      </c>
      <c r="I897" s="530">
        <v>0.5</v>
      </c>
      <c r="J897" s="564" t="s">
        <v>24</v>
      </c>
      <c r="K897" s="530" t="s">
        <v>24</v>
      </c>
      <c r="L897" s="766"/>
      <c r="M897" s="527"/>
    </row>
    <row r="898" s="492" customFormat="1" spans="1:13">
      <c r="A898" s="753">
        <v>46232</v>
      </c>
      <c r="B898" s="754" t="s">
        <v>489</v>
      </c>
      <c r="C898" s="753" t="s">
        <v>358</v>
      </c>
      <c r="D898" s="537">
        <v>10</v>
      </c>
      <c r="E898" s="753" t="s">
        <v>480</v>
      </c>
      <c r="F898" s="753" t="s">
        <v>385</v>
      </c>
      <c r="G898" s="545" t="s">
        <v>158</v>
      </c>
      <c r="H898" s="542">
        <v>0.95</v>
      </c>
      <c r="I898" s="530">
        <v>9</v>
      </c>
      <c r="J898" s="564" t="s">
        <v>17</v>
      </c>
      <c r="K898" s="530">
        <v>1.6</v>
      </c>
      <c r="L898" s="738" t="s">
        <v>74</v>
      </c>
      <c r="M898" s="526"/>
    </row>
    <row r="899" s="492" customFormat="1" spans="1:13">
      <c r="A899" s="756"/>
      <c r="B899" s="757"/>
      <c r="C899" s="756"/>
      <c r="D899" s="758"/>
      <c r="E899" s="756" t="s">
        <v>481</v>
      </c>
      <c r="F899" s="756" t="s">
        <v>490</v>
      </c>
      <c r="G899" s="545" t="s">
        <v>159</v>
      </c>
      <c r="H899" s="542">
        <v>1.22</v>
      </c>
      <c r="I899" s="530">
        <v>0.3</v>
      </c>
      <c r="J899" s="564" t="s">
        <v>22</v>
      </c>
      <c r="K899" s="530">
        <v>1.77</v>
      </c>
      <c r="L899" s="739"/>
      <c r="M899" s="531"/>
    </row>
    <row r="900" s="492" customFormat="1" spans="1:13">
      <c r="A900" s="759"/>
      <c r="B900" s="760"/>
      <c r="C900" s="759"/>
      <c r="D900" s="761"/>
      <c r="E900" s="759" t="s">
        <v>481</v>
      </c>
      <c r="F900" s="759" t="s">
        <v>490</v>
      </c>
      <c r="G900" s="564" t="s">
        <v>23</v>
      </c>
      <c r="H900" s="542">
        <v>1.7</v>
      </c>
      <c r="I900" s="530">
        <v>0.7</v>
      </c>
      <c r="J900" s="564" t="s">
        <v>24</v>
      </c>
      <c r="K900" s="530" t="s">
        <v>24</v>
      </c>
      <c r="L900" s="740"/>
      <c r="M900" s="534"/>
    </row>
    <row r="901" s="492" customFormat="1" spans="1:13">
      <c r="A901" s="753">
        <v>46232</v>
      </c>
      <c r="B901" s="754" t="s">
        <v>491</v>
      </c>
      <c r="C901" s="753" t="s">
        <v>358</v>
      </c>
      <c r="D901" s="537">
        <v>10</v>
      </c>
      <c r="E901" s="753" t="s">
        <v>359</v>
      </c>
      <c r="F901" s="753" t="s">
        <v>385</v>
      </c>
      <c r="G901" s="564" t="s">
        <v>47</v>
      </c>
      <c r="H901" s="542">
        <v>1</v>
      </c>
      <c r="I901" s="530">
        <v>8.9</v>
      </c>
      <c r="J901" s="564" t="s">
        <v>17</v>
      </c>
      <c r="K901" s="530">
        <v>1.58</v>
      </c>
      <c r="L901" s="738" t="s">
        <v>129</v>
      </c>
      <c r="M901" s="526" t="s">
        <v>130</v>
      </c>
    </row>
    <row r="902" s="492" customFormat="1" spans="1:13">
      <c r="A902" s="756"/>
      <c r="B902" s="757"/>
      <c r="C902" s="756"/>
      <c r="D902" s="758"/>
      <c r="E902" s="756" t="s">
        <v>492</v>
      </c>
      <c r="F902" s="756" t="s">
        <v>490</v>
      </c>
      <c r="G902" s="564" t="s">
        <v>493</v>
      </c>
      <c r="H902" s="542">
        <v>1.17</v>
      </c>
      <c r="I902" s="530">
        <v>0.5</v>
      </c>
      <c r="J902" s="564" t="s">
        <v>22</v>
      </c>
      <c r="K902" s="530">
        <v>1.77</v>
      </c>
      <c r="L902" s="739"/>
      <c r="M902" s="531"/>
    </row>
    <row r="903" s="492" customFormat="1" spans="1:13">
      <c r="A903" s="759"/>
      <c r="B903" s="760"/>
      <c r="C903" s="759"/>
      <c r="D903" s="761"/>
      <c r="E903" s="759" t="s">
        <v>492</v>
      </c>
      <c r="F903" s="759" t="s">
        <v>490</v>
      </c>
      <c r="G903" s="564" t="s">
        <v>23</v>
      </c>
      <c r="H903" s="542">
        <v>1.77</v>
      </c>
      <c r="I903" s="530">
        <v>0.6</v>
      </c>
      <c r="J903" s="564" t="s">
        <v>24</v>
      </c>
      <c r="K903" s="530" t="s">
        <v>24</v>
      </c>
      <c r="L903" s="740"/>
      <c r="M903" s="534"/>
    </row>
    <row r="904" s="492" customFormat="1" spans="1:13">
      <c r="A904" s="753">
        <v>46232</v>
      </c>
      <c r="B904" s="754" t="s">
        <v>494</v>
      </c>
      <c r="C904" s="753" t="s">
        <v>358</v>
      </c>
      <c r="D904" s="537">
        <v>5</v>
      </c>
      <c r="E904" s="753" t="s">
        <v>217</v>
      </c>
      <c r="F904" s="753" t="s">
        <v>374</v>
      </c>
      <c r="G904" s="564" t="s">
        <v>40</v>
      </c>
      <c r="H904" s="542">
        <v>1.08</v>
      </c>
      <c r="I904" s="530">
        <v>3.5</v>
      </c>
      <c r="J904" s="564" t="s">
        <v>17</v>
      </c>
      <c r="K904" s="530">
        <v>1.68</v>
      </c>
      <c r="L904" s="738" t="s">
        <v>41</v>
      </c>
      <c r="M904" s="526"/>
    </row>
    <row r="905" s="492" customFormat="1" spans="1:13">
      <c r="A905" s="756"/>
      <c r="B905" s="757"/>
      <c r="C905" s="756"/>
      <c r="D905" s="758"/>
      <c r="E905" s="756" t="s">
        <v>477</v>
      </c>
      <c r="F905" s="756" t="s">
        <v>495</v>
      </c>
      <c r="G905" s="564" t="s">
        <v>42</v>
      </c>
      <c r="H905" s="542">
        <v>1.21</v>
      </c>
      <c r="I905" s="530">
        <v>0.7</v>
      </c>
      <c r="J905" s="564" t="s">
        <v>17</v>
      </c>
      <c r="K905" s="530">
        <v>1.75</v>
      </c>
      <c r="L905" s="739"/>
      <c r="M905" s="531"/>
    </row>
    <row r="906" s="492" customFormat="1" spans="1:13">
      <c r="A906" s="756"/>
      <c r="B906" s="757"/>
      <c r="C906" s="756"/>
      <c r="D906" s="758"/>
      <c r="E906" s="756" t="s">
        <v>477</v>
      </c>
      <c r="F906" s="756" t="s">
        <v>495</v>
      </c>
      <c r="G906" s="564" t="s">
        <v>21</v>
      </c>
      <c r="H906" s="542">
        <v>1.25</v>
      </c>
      <c r="I906" s="530">
        <v>0.27</v>
      </c>
      <c r="J906" s="564" t="s">
        <v>22</v>
      </c>
      <c r="K906" s="530">
        <v>1.85</v>
      </c>
      <c r="L906" s="739"/>
      <c r="M906" s="531"/>
    </row>
    <row r="907" s="492" customFormat="1" spans="1:13">
      <c r="A907" s="756"/>
      <c r="B907" s="757"/>
      <c r="C907" s="756"/>
      <c r="D907" s="758"/>
      <c r="E907" s="756" t="s">
        <v>477</v>
      </c>
      <c r="F907" s="756" t="s">
        <v>495</v>
      </c>
      <c r="G907" s="564" t="s">
        <v>43</v>
      </c>
      <c r="H907" s="542">
        <v>1.33</v>
      </c>
      <c r="I907" s="530">
        <v>0.28</v>
      </c>
      <c r="J907" s="564" t="s">
        <v>351</v>
      </c>
      <c r="K907" s="530">
        <v>4.4</v>
      </c>
      <c r="L907" s="739"/>
      <c r="M907" s="531"/>
    </row>
    <row r="908" s="492" customFormat="1" spans="1:13">
      <c r="A908" s="759"/>
      <c r="B908" s="760"/>
      <c r="C908" s="759"/>
      <c r="D908" s="761"/>
      <c r="E908" s="759" t="s">
        <v>477</v>
      </c>
      <c r="F908" s="759" t="s">
        <v>495</v>
      </c>
      <c r="G908" s="564" t="s">
        <v>23</v>
      </c>
      <c r="H908" s="542">
        <v>1.75</v>
      </c>
      <c r="I908" s="530">
        <v>0.25</v>
      </c>
      <c r="J908" s="564" t="s">
        <v>24</v>
      </c>
      <c r="K908" s="530" t="s">
        <v>24</v>
      </c>
      <c r="L908" s="740"/>
      <c r="M908" s="534"/>
    </row>
    <row r="909" s="492" customFormat="1" spans="1:13">
      <c r="A909" s="753">
        <v>46232</v>
      </c>
      <c r="B909" s="754" t="s">
        <v>496</v>
      </c>
      <c r="C909" s="753" t="s">
        <v>358</v>
      </c>
      <c r="D909" s="537">
        <v>4</v>
      </c>
      <c r="E909" s="753" t="s">
        <v>82</v>
      </c>
      <c r="F909" s="753" t="s">
        <v>374</v>
      </c>
      <c r="G909" s="545" t="s">
        <v>158</v>
      </c>
      <c r="H909" s="542">
        <v>0.98</v>
      </c>
      <c r="I909" s="530">
        <v>3.52</v>
      </c>
      <c r="J909" s="564" t="s">
        <v>17</v>
      </c>
      <c r="K909" s="530">
        <v>1.7</v>
      </c>
      <c r="L909" s="738" t="s">
        <v>27</v>
      </c>
      <c r="M909" s="526" t="s">
        <v>28</v>
      </c>
    </row>
    <row r="910" s="492" customFormat="1" spans="1:13">
      <c r="A910" s="756"/>
      <c r="B910" s="757"/>
      <c r="C910" s="756"/>
      <c r="D910" s="758"/>
      <c r="E910" s="756" t="s">
        <v>486</v>
      </c>
      <c r="F910" s="756" t="s">
        <v>495</v>
      </c>
      <c r="G910" s="545" t="s">
        <v>159</v>
      </c>
      <c r="H910" s="542">
        <v>0.98</v>
      </c>
      <c r="I910" s="530">
        <v>0.08</v>
      </c>
      <c r="J910" s="564" t="s">
        <v>17</v>
      </c>
      <c r="K910" s="530">
        <v>1.7</v>
      </c>
      <c r="L910" s="739"/>
      <c r="M910" s="531"/>
    </row>
    <row r="911" s="492" customFormat="1" spans="1:13">
      <c r="A911" s="756"/>
      <c r="B911" s="757"/>
      <c r="C911" s="756"/>
      <c r="D911" s="758"/>
      <c r="E911" s="756" t="s">
        <v>486</v>
      </c>
      <c r="F911" s="756" t="s">
        <v>495</v>
      </c>
      <c r="G911" s="545" t="s">
        <v>160</v>
      </c>
      <c r="H911" s="542">
        <v>0.98</v>
      </c>
      <c r="I911" s="530">
        <v>0.2</v>
      </c>
      <c r="J911" s="564" t="s">
        <v>96</v>
      </c>
      <c r="K911" s="530">
        <v>3</v>
      </c>
      <c r="L911" s="739"/>
      <c r="M911" s="531"/>
    </row>
    <row r="912" s="492" customFormat="1" spans="1:13">
      <c r="A912" s="759"/>
      <c r="B912" s="760"/>
      <c r="C912" s="759"/>
      <c r="D912" s="761"/>
      <c r="E912" s="759" t="s">
        <v>486</v>
      </c>
      <c r="F912" s="759" t="s">
        <v>495</v>
      </c>
      <c r="G912" s="564" t="s">
        <v>23</v>
      </c>
      <c r="H912" s="542">
        <v>1.24</v>
      </c>
      <c r="I912" s="530">
        <v>0.2</v>
      </c>
      <c r="J912" s="564" t="s">
        <v>24</v>
      </c>
      <c r="K912" s="530" t="s">
        <v>24</v>
      </c>
      <c r="L912" s="740"/>
      <c r="M912" s="534"/>
    </row>
    <row r="913" s="492" customFormat="1" spans="1:13">
      <c r="A913" s="753">
        <v>46233</v>
      </c>
      <c r="B913" s="754" t="s">
        <v>497</v>
      </c>
      <c r="C913" s="753" t="s">
        <v>358</v>
      </c>
      <c r="D913" s="537">
        <v>7</v>
      </c>
      <c r="E913" s="753" t="s">
        <v>82</v>
      </c>
      <c r="F913" s="753" t="s">
        <v>471</v>
      </c>
      <c r="G913" s="564" t="s">
        <v>16</v>
      </c>
      <c r="H913" s="542">
        <v>1.05</v>
      </c>
      <c r="I913" s="530">
        <v>5.88</v>
      </c>
      <c r="J913" s="564" t="s">
        <v>17</v>
      </c>
      <c r="K913" s="530">
        <v>1.58</v>
      </c>
      <c r="L913" s="762" t="s">
        <v>18</v>
      </c>
      <c r="M913" s="586" t="s">
        <v>80</v>
      </c>
    </row>
    <row r="914" s="492" customFormat="1" spans="1:13">
      <c r="A914" s="756"/>
      <c r="B914" s="757"/>
      <c r="C914" s="756"/>
      <c r="D914" s="758"/>
      <c r="E914" s="756" t="s">
        <v>486</v>
      </c>
      <c r="F914" s="767" t="s">
        <v>498</v>
      </c>
      <c r="G914" s="564" t="s">
        <v>20</v>
      </c>
      <c r="H914" s="542">
        <v>1.21</v>
      </c>
      <c r="I914" s="530">
        <v>0.42</v>
      </c>
      <c r="J914" s="564" t="s">
        <v>17</v>
      </c>
      <c r="K914" s="530">
        <v>1.65</v>
      </c>
      <c r="L914" s="764"/>
      <c r="M914" s="588"/>
    </row>
    <row r="915" s="492" customFormat="1" spans="1:13">
      <c r="A915" s="756"/>
      <c r="B915" s="757"/>
      <c r="C915" s="756"/>
      <c r="D915" s="758"/>
      <c r="E915" s="756" t="s">
        <v>486</v>
      </c>
      <c r="F915" s="767" t="s">
        <v>498</v>
      </c>
      <c r="G915" s="564" t="s">
        <v>21</v>
      </c>
      <c r="H915" s="542">
        <v>1.38</v>
      </c>
      <c r="I915" s="530">
        <v>0.35</v>
      </c>
      <c r="J915" s="564" t="s">
        <v>22</v>
      </c>
      <c r="K915" s="530">
        <v>1.8</v>
      </c>
      <c r="L915" s="764"/>
      <c r="M915" s="588"/>
    </row>
    <row r="916" s="492" customFormat="1" spans="1:13">
      <c r="A916" s="759"/>
      <c r="B916" s="760"/>
      <c r="C916" s="759"/>
      <c r="D916" s="761"/>
      <c r="E916" s="759" t="s">
        <v>486</v>
      </c>
      <c r="F916" s="768" t="s">
        <v>498</v>
      </c>
      <c r="G916" s="564" t="s">
        <v>23</v>
      </c>
      <c r="H916" s="542">
        <v>2.62</v>
      </c>
      <c r="I916" s="530">
        <v>0.35</v>
      </c>
      <c r="J916" s="564" t="s">
        <v>24</v>
      </c>
      <c r="K916" s="530" t="s">
        <v>24</v>
      </c>
      <c r="L916" s="766"/>
      <c r="M916" s="589"/>
    </row>
    <row r="917" s="492" customFormat="1" spans="1:13">
      <c r="A917" s="753">
        <v>46233</v>
      </c>
      <c r="B917" s="754" t="s">
        <v>499</v>
      </c>
      <c r="C917" s="755" t="s">
        <v>459</v>
      </c>
      <c r="D917" s="537">
        <v>10</v>
      </c>
      <c r="E917" s="753" t="s">
        <v>359</v>
      </c>
      <c r="F917" s="753" t="s">
        <v>385</v>
      </c>
      <c r="G917" s="564" t="s">
        <v>47</v>
      </c>
      <c r="H917" s="542">
        <v>0.99</v>
      </c>
      <c r="I917" s="530">
        <v>8.9</v>
      </c>
      <c r="J917" s="564" t="s">
        <v>17</v>
      </c>
      <c r="K917" s="530">
        <v>1.58</v>
      </c>
      <c r="L917" s="738" t="s">
        <v>129</v>
      </c>
      <c r="M917" s="526" t="s">
        <v>130</v>
      </c>
    </row>
    <row r="918" s="492" customFormat="1" spans="1:13">
      <c r="A918" s="756"/>
      <c r="B918" s="757"/>
      <c r="C918" s="769"/>
      <c r="D918" s="758"/>
      <c r="E918" s="756" t="s">
        <v>492</v>
      </c>
      <c r="F918" s="756" t="s">
        <v>490</v>
      </c>
      <c r="G918" s="564" t="s">
        <v>493</v>
      </c>
      <c r="H918" s="542">
        <v>1.16</v>
      </c>
      <c r="I918" s="530">
        <v>0.5</v>
      </c>
      <c r="J918" s="564" t="s">
        <v>22</v>
      </c>
      <c r="K918" s="530">
        <v>1.77</v>
      </c>
      <c r="L918" s="739"/>
      <c r="M918" s="531"/>
    </row>
    <row r="919" s="492" customFormat="1" spans="1:13">
      <c r="A919" s="759"/>
      <c r="B919" s="760"/>
      <c r="C919" s="770"/>
      <c r="D919" s="761"/>
      <c r="E919" s="759" t="s">
        <v>492</v>
      </c>
      <c r="F919" s="759" t="s">
        <v>490</v>
      </c>
      <c r="G919" s="564" t="s">
        <v>23</v>
      </c>
      <c r="H919" s="542">
        <v>1.75</v>
      </c>
      <c r="I919" s="530">
        <v>0.6</v>
      </c>
      <c r="J919" s="564" t="s">
        <v>24</v>
      </c>
      <c r="K919" s="530" t="s">
        <v>24</v>
      </c>
      <c r="L919" s="740"/>
      <c r="M919" s="534"/>
    </row>
    <row r="920" s="492" customFormat="1" spans="1:13">
      <c r="A920" s="753">
        <v>46233</v>
      </c>
      <c r="B920" s="754" t="s">
        <v>500</v>
      </c>
      <c r="C920" s="753" t="s">
        <v>358</v>
      </c>
      <c r="D920" s="537">
        <v>5.7</v>
      </c>
      <c r="E920" s="753" t="s">
        <v>359</v>
      </c>
      <c r="F920" s="753" t="s">
        <v>360</v>
      </c>
      <c r="G920" s="545" t="s">
        <v>158</v>
      </c>
      <c r="H920" s="542">
        <v>1</v>
      </c>
      <c r="I920" s="530">
        <v>5.28</v>
      </c>
      <c r="J920" s="564" t="s">
        <v>17</v>
      </c>
      <c r="K920" s="530">
        <v>1.58</v>
      </c>
      <c r="L920" s="742" t="s">
        <v>86</v>
      </c>
      <c r="M920" s="559" t="s">
        <v>256</v>
      </c>
    </row>
    <row r="921" s="492" customFormat="1" spans="1:13">
      <c r="A921" s="756"/>
      <c r="B921" s="757"/>
      <c r="C921" s="756"/>
      <c r="D921" s="758"/>
      <c r="E921" s="756" t="s">
        <v>492</v>
      </c>
      <c r="F921" s="756" t="s">
        <v>460</v>
      </c>
      <c r="G921" s="545" t="s">
        <v>159</v>
      </c>
      <c r="H921" s="542">
        <v>1</v>
      </c>
      <c r="I921" s="530">
        <v>0.24</v>
      </c>
      <c r="J921" s="564" t="s">
        <v>22</v>
      </c>
      <c r="K921" s="530">
        <v>1.75</v>
      </c>
      <c r="L921" s="771"/>
      <c r="M921" s="569"/>
    </row>
    <row r="922" s="492" customFormat="1" spans="1:13">
      <c r="A922" s="759"/>
      <c r="B922" s="760"/>
      <c r="C922" s="759"/>
      <c r="D922" s="761"/>
      <c r="E922" s="759" t="s">
        <v>492</v>
      </c>
      <c r="F922" s="759" t="s">
        <v>460</v>
      </c>
      <c r="G922" s="545" t="s">
        <v>160</v>
      </c>
      <c r="H922" s="542">
        <v>1</v>
      </c>
      <c r="I922" s="530">
        <v>0.18</v>
      </c>
      <c r="J922" s="564" t="s">
        <v>96</v>
      </c>
      <c r="K922" s="530">
        <v>4</v>
      </c>
      <c r="L922" s="772"/>
      <c r="M922" s="570"/>
    </row>
    <row r="923" s="492" customFormat="1" spans="1:13">
      <c r="A923" s="753">
        <v>46233</v>
      </c>
      <c r="B923" s="754" t="s">
        <v>501</v>
      </c>
      <c r="C923" s="755" t="s">
        <v>462</v>
      </c>
      <c r="D923" s="537">
        <v>5</v>
      </c>
      <c r="E923" s="753" t="s">
        <v>82</v>
      </c>
      <c r="F923" s="753" t="s">
        <v>385</v>
      </c>
      <c r="G923" s="564" t="s">
        <v>16</v>
      </c>
      <c r="H923" s="542">
        <v>0.96</v>
      </c>
      <c r="I923" s="530">
        <v>1.5</v>
      </c>
      <c r="J923" s="564" t="s">
        <v>17</v>
      </c>
      <c r="K923" s="530">
        <v>2.3</v>
      </c>
      <c r="L923" s="738" t="s">
        <v>48</v>
      </c>
      <c r="M923" s="526"/>
    </row>
    <row r="924" s="647" customFormat="1" spans="1:13">
      <c r="A924" s="756"/>
      <c r="B924" s="757"/>
      <c r="C924" s="756"/>
      <c r="D924" s="758"/>
      <c r="E924" s="756" t="s">
        <v>486</v>
      </c>
      <c r="F924" s="756" t="s">
        <v>490</v>
      </c>
      <c r="G924" s="564" t="s">
        <v>20</v>
      </c>
      <c r="H924" s="542">
        <v>1.96</v>
      </c>
      <c r="I924" s="530">
        <v>2</v>
      </c>
      <c r="J924" s="564" t="s">
        <v>17</v>
      </c>
      <c r="K924" s="530">
        <v>2.6</v>
      </c>
      <c r="L924" s="739"/>
      <c r="M924" s="531"/>
    </row>
    <row r="925" s="647" customFormat="1" spans="1:13">
      <c r="A925" s="756"/>
      <c r="B925" s="757"/>
      <c r="C925" s="756"/>
      <c r="D925" s="758"/>
      <c r="E925" s="756" t="s">
        <v>486</v>
      </c>
      <c r="F925" s="756" t="s">
        <v>490</v>
      </c>
      <c r="G925" s="564" t="s">
        <v>120</v>
      </c>
      <c r="H925" s="542">
        <v>2.96</v>
      </c>
      <c r="I925" s="530">
        <v>1.425</v>
      </c>
      <c r="J925" s="564" t="s">
        <v>17</v>
      </c>
      <c r="K925" s="530">
        <v>3.3</v>
      </c>
      <c r="L925" s="739"/>
      <c r="M925" s="531"/>
    </row>
    <row r="926" s="647" customFormat="1" spans="1:13">
      <c r="A926" s="759"/>
      <c r="B926" s="760"/>
      <c r="C926" s="759"/>
      <c r="D926" s="761"/>
      <c r="E926" s="759" t="s">
        <v>486</v>
      </c>
      <c r="F926" s="759" t="s">
        <v>490</v>
      </c>
      <c r="G926" s="564" t="s">
        <v>23</v>
      </c>
      <c r="H926" s="542">
        <v>3.25</v>
      </c>
      <c r="I926" s="530">
        <v>0.075</v>
      </c>
      <c r="J926" s="564" t="s">
        <v>24</v>
      </c>
      <c r="K926" s="530" t="s">
        <v>24</v>
      </c>
      <c r="L926" s="740"/>
      <c r="M926" s="534"/>
    </row>
    <row r="927" s="492" customFormat="1" spans="1:13">
      <c r="A927" s="593">
        <v>46241</v>
      </c>
      <c r="B927" s="594" t="s">
        <v>502</v>
      </c>
      <c r="C927" s="594" t="s">
        <v>462</v>
      </c>
      <c r="D927" s="595">
        <v>10</v>
      </c>
      <c r="E927" s="594" t="s">
        <v>477</v>
      </c>
      <c r="F927" s="594" t="s">
        <v>474</v>
      </c>
      <c r="G927" s="594" t="s">
        <v>220</v>
      </c>
      <c r="H927" s="595">
        <v>1.08</v>
      </c>
      <c r="I927" s="595">
        <v>7.2</v>
      </c>
      <c r="J927" s="596" t="s">
        <v>17</v>
      </c>
      <c r="K927" s="595">
        <v>1.69</v>
      </c>
      <c r="L927" s="773" t="s">
        <v>41</v>
      </c>
      <c r="M927" s="745"/>
    </row>
    <row r="928" spans="1:13">
      <c r="A928" s="593"/>
      <c r="B928" s="596"/>
      <c r="C928" s="596"/>
      <c r="D928" s="595"/>
      <c r="E928" s="596"/>
      <c r="F928" s="596"/>
      <c r="G928" s="594" t="s">
        <v>221</v>
      </c>
      <c r="H928" s="595">
        <v>1.25</v>
      </c>
      <c r="I928" s="595">
        <v>1.5</v>
      </c>
      <c r="J928" s="596" t="s">
        <v>17</v>
      </c>
      <c r="K928" s="595">
        <v>1.7</v>
      </c>
      <c r="L928" s="773"/>
      <c r="M928" s="745"/>
    </row>
    <row r="929" spans="1:13">
      <c r="A929" s="593"/>
      <c r="B929" s="596"/>
      <c r="C929" s="596"/>
      <c r="D929" s="595"/>
      <c r="E929" s="596"/>
      <c r="F929" s="596"/>
      <c r="G929" s="594" t="s">
        <v>75</v>
      </c>
      <c r="H929" s="595">
        <v>1.28</v>
      </c>
      <c r="I929" s="595">
        <v>0.4</v>
      </c>
      <c r="J929" s="596" t="s">
        <v>22</v>
      </c>
      <c r="K929" s="595">
        <v>1.85</v>
      </c>
      <c r="L929" s="773"/>
      <c r="M929" s="745"/>
    </row>
    <row r="930" spans="1:13">
      <c r="A930" s="593"/>
      <c r="B930" s="596"/>
      <c r="C930" s="596"/>
      <c r="D930" s="595"/>
      <c r="E930" s="596"/>
      <c r="F930" s="596"/>
      <c r="G930" s="594" t="s">
        <v>90</v>
      </c>
      <c r="H930" s="595">
        <v>1.37</v>
      </c>
      <c r="I930" s="595">
        <v>0.4</v>
      </c>
      <c r="J930" s="596" t="s">
        <v>44</v>
      </c>
      <c r="K930" s="595">
        <v>4.4</v>
      </c>
      <c r="L930" s="773"/>
      <c r="M930" s="745"/>
    </row>
    <row r="931" spans="1:13">
      <c r="A931" s="593"/>
      <c r="B931" s="596"/>
      <c r="C931" s="596"/>
      <c r="D931" s="595"/>
      <c r="E931" s="596"/>
      <c r="F931" s="596"/>
      <c r="G931" s="594" t="s">
        <v>503</v>
      </c>
      <c r="H931" s="595">
        <v>1.72</v>
      </c>
      <c r="I931" s="595">
        <v>0.5</v>
      </c>
      <c r="J931" s="596" t="s">
        <v>24</v>
      </c>
      <c r="K931" s="595" t="s">
        <v>24</v>
      </c>
      <c r="L931" s="773"/>
      <c r="M931" s="745"/>
    </row>
    <row r="932" spans="1:13">
      <c r="A932" s="593">
        <v>46238</v>
      </c>
      <c r="B932" s="594" t="s">
        <v>504</v>
      </c>
      <c r="C932" s="594" t="s">
        <v>462</v>
      </c>
      <c r="D932" s="595">
        <v>10</v>
      </c>
      <c r="E932" s="594" t="s">
        <v>477</v>
      </c>
      <c r="F932" s="594" t="s">
        <v>56</v>
      </c>
      <c r="G932" s="594" t="s">
        <v>220</v>
      </c>
      <c r="H932" s="595">
        <v>1.082</v>
      </c>
      <c r="I932" s="595">
        <v>7.2</v>
      </c>
      <c r="J932" s="596" t="s">
        <v>505</v>
      </c>
      <c r="K932" s="595">
        <v>1.69</v>
      </c>
      <c r="L932" s="773" t="s">
        <v>41</v>
      </c>
      <c r="M932" s="745"/>
    </row>
    <row r="933" spans="1:13">
      <c r="A933" s="593"/>
      <c r="B933" s="596"/>
      <c r="C933" s="596"/>
      <c r="D933" s="595"/>
      <c r="E933" s="596"/>
      <c r="F933" s="596"/>
      <c r="G933" s="594" t="s">
        <v>221</v>
      </c>
      <c r="H933" s="595">
        <v>1.2486</v>
      </c>
      <c r="I933" s="595">
        <v>1.6</v>
      </c>
      <c r="J933" s="596" t="s">
        <v>505</v>
      </c>
      <c r="K933" s="595">
        <v>1.75</v>
      </c>
      <c r="L933" s="773"/>
      <c r="M933" s="745"/>
    </row>
    <row r="934" spans="1:13">
      <c r="A934" s="593"/>
      <c r="B934" s="596"/>
      <c r="C934" s="596"/>
      <c r="D934" s="595"/>
      <c r="E934" s="596"/>
      <c r="F934" s="596"/>
      <c r="G934" s="594" t="s">
        <v>75</v>
      </c>
      <c r="H934" s="595">
        <v>1.2923</v>
      </c>
      <c r="I934" s="595">
        <v>0.35</v>
      </c>
      <c r="J934" s="596" t="s">
        <v>505</v>
      </c>
      <c r="K934" s="595">
        <v>1.85</v>
      </c>
      <c r="L934" s="773"/>
      <c r="M934" s="745"/>
    </row>
    <row r="935" spans="1:13">
      <c r="A935" s="593"/>
      <c r="B935" s="596"/>
      <c r="C935" s="596"/>
      <c r="D935" s="595"/>
      <c r="E935" s="596"/>
      <c r="F935" s="596"/>
      <c r="G935" s="594" t="s">
        <v>90</v>
      </c>
      <c r="H935" s="595">
        <v>1.3689</v>
      </c>
      <c r="I935" s="595">
        <v>0.35</v>
      </c>
      <c r="J935" s="596" t="s">
        <v>506</v>
      </c>
      <c r="K935" s="595">
        <v>4.4</v>
      </c>
      <c r="L935" s="773"/>
      <c r="M935" s="745"/>
    </row>
    <row r="936" spans="1:13">
      <c r="A936" s="593"/>
      <c r="B936" s="596"/>
      <c r="C936" s="596"/>
      <c r="D936" s="595"/>
      <c r="E936" s="596"/>
      <c r="F936" s="596"/>
      <c r="G936" s="594" t="s">
        <v>503</v>
      </c>
      <c r="H936" s="595">
        <v>1.7322</v>
      </c>
      <c r="I936" s="595">
        <v>0.5</v>
      </c>
      <c r="J936" s="596" t="s">
        <v>24</v>
      </c>
      <c r="K936" s="595" t="s">
        <v>24</v>
      </c>
      <c r="L936" s="773"/>
      <c r="M936" s="745"/>
    </row>
    <row r="937" spans="1:13">
      <c r="A937" s="593">
        <v>46234</v>
      </c>
      <c r="B937" s="594" t="s">
        <v>507</v>
      </c>
      <c r="C937" s="594" t="s">
        <v>462</v>
      </c>
      <c r="D937" s="595">
        <v>5</v>
      </c>
      <c r="E937" s="594" t="s">
        <v>486</v>
      </c>
      <c r="F937" s="594" t="s">
        <v>15</v>
      </c>
      <c r="G937" s="594" t="s">
        <v>73</v>
      </c>
      <c r="H937" s="595">
        <v>0.98</v>
      </c>
      <c r="I937" s="595">
        <v>4.35</v>
      </c>
      <c r="J937" s="596" t="s">
        <v>17</v>
      </c>
      <c r="K937" s="595">
        <v>1.6</v>
      </c>
      <c r="L937" s="773" t="s">
        <v>27</v>
      </c>
      <c r="M937" s="527" t="s">
        <v>89</v>
      </c>
    </row>
    <row r="938" spans="1:13">
      <c r="A938" s="593"/>
      <c r="B938" s="596"/>
      <c r="C938" s="596"/>
      <c r="D938" s="595"/>
      <c r="E938" s="596"/>
      <c r="F938" s="596"/>
      <c r="G938" s="594" t="s">
        <v>75</v>
      </c>
      <c r="H938" s="595">
        <v>0.98</v>
      </c>
      <c r="I938" s="595">
        <v>0.25</v>
      </c>
      <c r="J938" s="596" t="s">
        <v>22</v>
      </c>
      <c r="K938" s="595">
        <v>1.65</v>
      </c>
      <c r="L938" s="773"/>
      <c r="M938" s="527"/>
    </row>
    <row r="939" spans="1:13">
      <c r="A939" s="593"/>
      <c r="B939" s="596"/>
      <c r="C939" s="596"/>
      <c r="D939" s="595"/>
      <c r="E939" s="596"/>
      <c r="F939" s="596"/>
      <c r="G939" s="594" t="s">
        <v>503</v>
      </c>
      <c r="H939" s="595">
        <v>1.82</v>
      </c>
      <c r="I939" s="595">
        <v>0.4</v>
      </c>
      <c r="J939" s="596" t="s">
        <v>24</v>
      </c>
      <c r="K939" s="595" t="s">
        <v>24</v>
      </c>
      <c r="L939" s="773"/>
      <c r="M939" s="527"/>
    </row>
    <row r="940" spans="1:13">
      <c r="A940" s="593">
        <v>46234</v>
      </c>
      <c r="B940" s="594" t="s">
        <v>508</v>
      </c>
      <c r="C940" s="594" t="s">
        <v>459</v>
      </c>
      <c r="D940" s="595">
        <v>5</v>
      </c>
      <c r="E940" s="594" t="s">
        <v>486</v>
      </c>
      <c r="F940" s="594" t="s">
        <v>460</v>
      </c>
      <c r="G940" s="594" t="s">
        <v>73</v>
      </c>
      <c r="H940" s="595">
        <v>1.9</v>
      </c>
      <c r="I940" s="595">
        <v>4.175</v>
      </c>
      <c r="J940" s="596" t="s">
        <v>17</v>
      </c>
      <c r="K940" s="595">
        <v>1.84</v>
      </c>
      <c r="L940" s="773" t="s">
        <v>27</v>
      </c>
      <c r="M940" s="527" t="s">
        <v>28</v>
      </c>
    </row>
    <row r="941" spans="1:13">
      <c r="A941" s="593"/>
      <c r="B941" s="596"/>
      <c r="C941" s="596"/>
      <c r="D941" s="595"/>
      <c r="E941" s="596"/>
      <c r="F941" s="596"/>
      <c r="G941" s="594" t="s">
        <v>75</v>
      </c>
      <c r="H941" s="595">
        <v>1.9</v>
      </c>
      <c r="I941" s="595">
        <v>0.35</v>
      </c>
      <c r="J941" s="596" t="s">
        <v>22</v>
      </c>
      <c r="K941" s="595">
        <v>1.85</v>
      </c>
      <c r="L941" s="773"/>
      <c r="M941" s="527"/>
    </row>
    <row r="942" spans="1:13">
      <c r="A942" s="593"/>
      <c r="B942" s="596"/>
      <c r="C942" s="596"/>
      <c r="D942" s="595"/>
      <c r="E942" s="596"/>
      <c r="F942" s="596"/>
      <c r="G942" s="594" t="s">
        <v>509</v>
      </c>
      <c r="H942" s="595">
        <v>2.65</v>
      </c>
      <c r="I942" s="595">
        <v>0.225</v>
      </c>
      <c r="J942" s="596" t="s">
        <v>44</v>
      </c>
      <c r="K942" s="595">
        <v>3</v>
      </c>
      <c r="L942" s="773"/>
      <c r="M942" s="527"/>
    </row>
    <row r="943" spans="1:13">
      <c r="A943" s="593"/>
      <c r="B943" s="596"/>
      <c r="C943" s="596"/>
      <c r="D943" s="595"/>
      <c r="E943" s="596"/>
      <c r="F943" s="596"/>
      <c r="G943" s="594" t="s">
        <v>503</v>
      </c>
      <c r="H943" s="595">
        <v>2.65</v>
      </c>
      <c r="I943" s="595">
        <v>0.25</v>
      </c>
      <c r="J943" s="596" t="s">
        <v>24</v>
      </c>
      <c r="K943" s="595" t="s">
        <v>24</v>
      </c>
      <c r="L943" s="773"/>
      <c r="M943" s="527"/>
    </row>
    <row r="944" spans="1:13">
      <c r="A944" s="593">
        <v>46233</v>
      </c>
      <c r="B944" s="594" t="s">
        <v>510</v>
      </c>
      <c r="C944" s="594" t="s">
        <v>462</v>
      </c>
      <c r="D944" s="595">
        <v>10</v>
      </c>
      <c r="E944" s="594" t="s">
        <v>481</v>
      </c>
      <c r="F944" s="594" t="s">
        <v>495</v>
      </c>
      <c r="G944" s="594" t="s">
        <v>73</v>
      </c>
      <c r="H944" s="595">
        <v>0.863</v>
      </c>
      <c r="I944" s="595">
        <v>9</v>
      </c>
      <c r="J944" s="596" t="s">
        <v>17</v>
      </c>
      <c r="K944" s="595">
        <v>1.6</v>
      </c>
      <c r="L944" s="773" t="s">
        <v>74</v>
      </c>
      <c r="M944" s="745"/>
    </row>
    <row r="945" spans="1:15">
      <c r="A945" s="593"/>
      <c r="B945" s="596"/>
      <c r="C945" s="596"/>
      <c r="D945" s="595"/>
      <c r="E945" s="596"/>
      <c r="F945" s="596"/>
      <c r="G945" s="594" t="s">
        <v>75</v>
      </c>
      <c r="H945" s="595">
        <v>1.112</v>
      </c>
      <c r="I945" s="595">
        <v>0.3</v>
      </c>
      <c r="J945" s="596" t="s">
        <v>22</v>
      </c>
      <c r="K945" s="595">
        <v>1.77</v>
      </c>
      <c r="L945" s="773"/>
      <c r="M945" s="745"/>
    </row>
    <row r="946" spans="1:15">
      <c r="A946" s="593"/>
      <c r="B946" s="596"/>
      <c r="C946" s="596"/>
      <c r="D946" s="595"/>
      <c r="E946" s="596"/>
      <c r="F946" s="596"/>
      <c r="G946" s="594" t="s">
        <v>503</v>
      </c>
      <c r="H946" s="595">
        <v>1.612</v>
      </c>
      <c r="I946" s="595">
        <v>0.7</v>
      </c>
      <c r="J946" s="596" t="s">
        <v>24</v>
      </c>
      <c r="K946" s="595" t="s">
        <v>24</v>
      </c>
      <c r="L946" s="773"/>
      <c r="M946" s="745"/>
    </row>
    <row r="947" spans="1:15">
      <c r="A947" s="593">
        <v>46233</v>
      </c>
      <c r="B947" s="594" t="s">
        <v>511</v>
      </c>
      <c r="C947" s="594" t="s">
        <v>459</v>
      </c>
      <c r="D947" s="595">
        <v>10</v>
      </c>
      <c r="E947" s="594" t="s">
        <v>486</v>
      </c>
      <c r="F947" s="594" t="s">
        <v>460</v>
      </c>
      <c r="G947" s="594" t="s">
        <v>73</v>
      </c>
      <c r="H947" s="595">
        <v>0.98</v>
      </c>
      <c r="I947" s="595">
        <v>8.14</v>
      </c>
      <c r="J947" s="596" t="s">
        <v>17</v>
      </c>
      <c r="K947" s="595">
        <v>1.65</v>
      </c>
      <c r="L947" s="773" t="s">
        <v>27</v>
      </c>
      <c r="M947" s="591" t="s">
        <v>254</v>
      </c>
    </row>
    <row r="948" spans="1:15">
      <c r="A948" s="593"/>
      <c r="B948" s="596"/>
      <c r="C948" s="596"/>
      <c r="D948" s="595"/>
      <c r="E948" s="596"/>
      <c r="F948" s="596"/>
      <c r="G948" s="594" t="s">
        <v>75</v>
      </c>
      <c r="H948" s="595">
        <v>0.98</v>
      </c>
      <c r="I948" s="595">
        <v>0.57</v>
      </c>
      <c r="J948" s="596" t="s">
        <v>22</v>
      </c>
      <c r="K948" s="595">
        <v>1.66</v>
      </c>
      <c r="L948" s="773"/>
      <c r="M948" s="591"/>
    </row>
    <row r="949" spans="1:15">
      <c r="A949" s="593"/>
      <c r="B949" s="596"/>
      <c r="C949" s="596"/>
      <c r="D949" s="595"/>
      <c r="E949" s="596"/>
      <c r="F949" s="596"/>
      <c r="G949" s="594" t="s">
        <v>509</v>
      </c>
      <c r="H949" s="595">
        <v>2.98</v>
      </c>
      <c r="I949" s="595">
        <v>0.79</v>
      </c>
      <c r="J949" s="596" t="s">
        <v>439</v>
      </c>
      <c r="K949" s="595">
        <v>3</v>
      </c>
      <c r="L949" s="773"/>
      <c r="M949" s="591"/>
    </row>
    <row r="950" spans="1:15">
      <c r="A950" s="593"/>
      <c r="B950" s="596"/>
      <c r="C950" s="596"/>
      <c r="D950" s="595"/>
      <c r="E950" s="596"/>
      <c r="F950" s="596"/>
      <c r="G950" s="594" t="s">
        <v>503</v>
      </c>
      <c r="H950" s="595">
        <v>2.98</v>
      </c>
      <c r="I950" s="595">
        <v>0.5</v>
      </c>
      <c r="J950" s="596" t="s">
        <v>24</v>
      </c>
      <c r="K950" s="595" t="s">
        <v>24</v>
      </c>
      <c r="L950" s="773"/>
      <c r="M950" s="591"/>
    </row>
    <row r="951" spans="1:15">
      <c r="A951" s="499">
        <v>46248</v>
      </c>
      <c r="B951" s="590" t="s">
        <v>512</v>
      </c>
      <c r="C951" s="590" t="s">
        <v>462</v>
      </c>
      <c r="D951" s="501">
        <v>7.6</v>
      </c>
      <c r="E951" s="590" t="s">
        <v>492</v>
      </c>
      <c r="F951" s="590" t="s">
        <v>460</v>
      </c>
      <c r="G951" s="594" t="s">
        <v>73</v>
      </c>
      <c r="H951" s="501">
        <v>1</v>
      </c>
      <c r="I951" s="501">
        <v>7.04</v>
      </c>
      <c r="J951" s="500" t="s">
        <v>17</v>
      </c>
      <c r="K951" s="501">
        <v>1.6</v>
      </c>
      <c r="L951" s="590" t="s">
        <v>86</v>
      </c>
      <c r="M951" s="545" t="s">
        <v>256</v>
      </c>
      <c r="O951" s="774"/>
    </row>
    <row r="952" spans="1:15">
      <c r="A952" s="614"/>
      <c r="B952" s="615"/>
      <c r="C952" s="615"/>
      <c r="D952" s="616"/>
      <c r="E952" s="615"/>
      <c r="F952" s="615"/>
      <c r="G952" s="594" t="s">
        <v>75</v>
      </c>
      <c r="H952" s="501">
        <v>1</v>
      </c>
      <c r="I952" s="501">
        <v>0.32</v>
      </c>
      <c r="J952" s="500" t="s">
        <v>22</v>
      </c>
      <c r="K952" s="501">
        <v>1.8</v>
      </c>
      <c r="L952" s="775"/>
      <c r="M952" s="545"/>
      <c r="O952" s="774"/>
    </row>
    <row r="953" spans="1:15">
      <c r="A953" s="617"/>
      <c r="B953" s="618"/>
      <c r="C953" s="618"/>
      <c r="D953" s="619"/>
      <c r="E953" s="618"/>
      <c r="F953" s="618"/>
      <c r="G953" s="594" t="s">
        <v>90</v>
      </c>
      <c r="H953" s="501">
        <v>1</v>
      </c>
      <c r="I953" s="501">
        <v>0.24</v>
      </c>
      <c r="J953" s="500" t="s">
        <v>96</v>
      </c>
      <c r="K953" s="501">
        <v>4</v>
      </c>
      <c r="L953" s="776"/>
      <c r="M953" s="545"/>
      <c r="O953" s="774"/>
    </row>
    <row r="954" spans="1:15">
      <c r="A954" s="499">
        <v>46246</v>
      </c>
      <c r="B954" s="590" t="s">
        <v>513</v>
      </c>
      <c r="C954" s="590" t="s">
        <v>459</v>
      </c>
      <c r="D954" s="501">
        <v>10</v>
      </c>
      <c r="E954" s="590" t="s">
        <v>484</v>
      </c>
      <c r="F954" s="590" t="s">
        <v>460</v>
      </c>
      <c r="G954" s="594" t="s">
        <v>73</v>
      </c>
      <c r="H954" s="501">
        <v>1.95</v>
      </c>
      <c r="I954" s="501">
        <v>8.7</v>
      </c>
      <c r="J954" s="500" t="s">
        <v>17</v>
      </c>
      <c r="K954" s="501">
        <v>1.84</v>
      </c>
      <c r="L954" s="590" t="s">
        <v>27</v>
      </c>
      <c r="M954" s="591" t="s">
        <v>403</v>
      </c>
      <c r="O954" s="774"/>
    </row>
    <row r="955" spans="1:15">
      <c r="A955" s="614"/>
      <c r="B955" s="615"/>
      <c r="C955" s="615"/>
      <c r="D955" s="616"/>
      <c r="E955" s="615"/>
      <c r="F955" s="615"/>
      <c r="G955" s="594" t="s">
        <v>75</v>
      </c>
      <c r="H955" s="501">
        <v>1.95</v>
      </c>
      <c r="I955" s="501">
        <v>0.5</v>
      </c>
      <c r="J955" s="500" t="s">
        <v>22</v>
      </c>
      <c r="K955" s="501">
        <v>1.85</v>
      </c>
      <c r="L955" s="775"/>
      <c r="M955" s="527"/>
      <c r="O955" s="774"/>
    </row>
    <row r="956" spans="1:15">
      <c r="A956" s="614"/>
      <c r="B956" s="615"/>
      <c r="C956" s="615"/>
      <c r="D956" s="616"/>
      <c r="E956" s="615"/>
      <c r="F956" s="615"/>
      <c r="G956" s="594" t="s">
        <v>90</v>
      </c>
      <c r="H956" s="501">
        <v>2.79</v>
      </c>
      <c r="I956" s="501">
        <v>0.3</v>
      </c>
      <c r="J956" s="500" t="s">
        <v>44</v>
      </c>
      <c r="K956" s="501">
        <v>3</v>
      </c>
      <c r="L956" s="775"/>
      <c r="M956" s="527"/>
      <c r="O956" s="774"/>
    </row>
    <row r="957" spans="1:15">
      <c r="A957" s="617"/>
      <c r="B957" s="618"/>
      <c r="C957" s="618"/>
      <c r="D957" s="619"/>
      <c r="E957" s="618"/>
      <c r="F957" s="618"/>
      <c r="G957" s="594" t="s">
        <v>503</v>
      </c>
      <c r="H957" s="501">
        <v>2.79</v>
      </c>
      <c r="I957" s="501">
        <v>0.5</v>
      </c>
      <c r="J957" s="596" t="s">
        <v>24</v>
      </c>
      <c r="K957" s="595" t="s">
        <v>24</v>
      </c>
      <c r="L957" s="776"/>
      <c r="M957" s="527"/>
      <c r="O957" s="774"/>
    </row>
    <row r="958" spans="1:15">
      <c r="A958" s="499">
        <v>46246</v>
      </c>
      <c r="B958" s="590" t="s">
        <v>514</v>
      </c>
      <c r="C958" s="590" t="s">
        <v>462</v>
      </c>
      <c r="D958" s="501">
        <v>4</v>
      </c>
      <c r="E958" s="590" t="s">
        <v>486</v>
      </c>
      <c r="F958" s="590" t="s">
        <v>218</v>
      </c>
      <c r="G958" s="594" t="s">
        <v>73</v>
      </c>
      <c r="H958" s="501">
        <v>1</v>
      </c>
      <c r="I958" s="501">
        <v>3.27</v>
      </c>
      <c r="J958" s="500" t="s">
        <v>17</v>
      </c>
      <c r="K958" s="501">
        <v>1.73</v>
      </c>
      <c r="L958" s="590" t="s">
        <v>27</v>
      </c>
      <c r="M958" s="573" t="s">
        <v>254</v>
      </c>
      <c r="O958" s="774"/>
    </row>
    <row r="959" spans="1:15">
      <c r="A959" s="614"/>
      <c r="B959" s="615"/>
      <c r="C959" s="615"/>
      <c r="D959" s="616"/>
      <c r="E959" s="615"/>
      <c r="F959" s="615"/>
      <c r="G959" s="594" t="s">
        <v>75</v>
      </c>
      <c r="H959" s="501">
        <v>1</v>
      </c>
      <c r="I959" s="501">
        <v>0.16</v>
      </c>
      <c r="J959" s="500" t="s">
        <v>17</v>
      </c>
      <c r="K959" s="501">
        <v>1.8</v>
      </c>
      <c r="L959" s="775"/>
      <c r="M959" s="545"/>
      <c r="O959" s="774"/>
    </row>
    <row r="960" spans="1:15">
      <c r="A960" s="614"/>
      <c r="B960" s="615"/>
      <c r="C960" s="615"/>
      <c r="D960" s="616"/>
      <c r="E960" s="615"/>
      <c r="F960" s="615"/>
      <c r="G960" s="594" t="s">
        <v>90</v>
      </c>
      <c r="H960" s="501">
        <v>1.55</v>
      </c>
      <c r="I960" s="501">
        <v>0.37</v>
      </c>
      <c r="J960" s="500" t="s">
        <v>351</v>
      </c>
      <c r="K960" s="501">
        <v>3</v>
      </c>
      <c r="L960" s="775"/>
      <c r="M960" s="545"/>
      <c r="O960" s="774"/>
    </row>
    <row r="961" spans="1:15">
      <c r="A961" s="617"/>
      <c r="B961" s="618"/>
      <c r="C961" s="618"/>
      <c r="D961" s="619"/>
      <c r="E961" s="618"/>
      <c r="F961" s="618"/>
      <c r="G961" s="594" t="s">
        <v>503</v>
      </c>
      <c r="H961" s="501">
        <v>2.87</v>
      </c>
      <c r="I961" s="501">
        <v>0.2</v>
      </c>
      <c r="J961" s="596" t="s">
        <v>24</v>
      </c>
      <c r="K961" s="501" t="s">
        <v>24</v>
      </c>
      <c r="L961" s="776"/>
      <c r="M961" s="545"/>
      <c r="O961" s="774"/>
    </row>
    <row r="962" spans="1:15">
      <c r="A962" s="499">
        <v>46246</v>
      </c>
      <c r="B962" s="590" t="s">
        <v>515</v>
      </c>
      <c r="C962" s="590" t="s">
        <v>459</v>
      </c>
      <c r="D962" s="501">
        <v>10</v>
      </c>
      <c r="E962" s="590" t="s">
        <v>484</v>
      </c>
      <c r="F962" s="590" t="s">
        <v>516</v>
      </c>
      <c r="G962" s="564" t="s">
        <v>47</v>
      </c>
      <c r="H962" s="501">
        <v>1.92</v>
      </c>
      <c r="I962" s="501">
        <v>8.9</v>
      </c>
      <c r="J962" s="500" t="s">
        <v>17</v>
      </c>
      <c r="K962" s="501">
        <v>1.78</v>
      </c>
      <c r="L962" s="590" t="s">
        <v>129</v>
      </c>
      <c r="M962" s="527" t="s">
        <v>130</v>
      </c>
      <c r="O962" s="774"/>
    </row>
    <row r="963" spans="1:15">
      <c r="A963" s="614"/>
      <c r="B963" s="615"/>
      <c r="C963" s="615"/>
      <c r="D963" s="616"/>
      <c r="E963" s="615"/>
      <c r="F963" s="615"/>
      <c r="G963" s="564" t="s">
        <v>493</v>
      </c>
      <c r="H963" s="501">
        <v>2.01</v>
      </c>
      <c r="I963" s="501">
        <v>0.4</v>
      </c>
      <c r="J963" s="500" t="s">
        <v>22</v>
      </c>
      <c r="K963" s="501">
        <v>1.88</v>
      </c>
      <c r="L963" s="775"/>
      <c r="M963" s="527"/>
      <c r="O963" s="774"/>
    </row>
    <row r="964" spans="1:15">
      <c r="A964" s="617"/>
      <c r="B964" s="618"/>
      <c r="C964" s="618"/>
      <c r="D964" s="619"/>
      <c r="E964" s="618"/>
      <c r="F964" s="618"/>
      <c r="G964" s="564" t="s">
        <v>23</v>
      </c>
      <c r="H964" s="501">
        <v>2.67</v>
      </c>
      <c r="I964" s="501">
        <v>0.7</v>
      </c>
      <c r="J964" s="596" t="s">
        <v>24</v>
      </c>
      <c r="K964" s="595" t="s">
        <v>24</v>
      </c>
      <c r="L964" s="776"/>
      <c r="M964" s="527"/>
      <c r="O964" s="774"/>
    </row>
    <row r="965" spans="1:15">
      <c r="A965" s="499">
        <v>46245</v>
      </c>
      <c r="B965" s="590" t="s">
        <v>517</v>
      </c>
      <c r="C965" s="590" t="s">
        <v>459</v>
      </c>
      <c r="D965" s="501">
        <v>10</v>
      </c>
      <c r="E965" s="590" t="s">
        <v>477</v>
      </c>
      <c r="F965" s="590" t="s">
        <v>474</v>
      </c>
      <c r="G965" s="594" t="s">
        <v>220</v>
      </c>
      <c r="H965" s="501">
        <v>1.08</v>
      </c>
      <c r="I965" s="501">
        <v>7.2</v>
      </c>
      <c r="J965" s="500" t="s">
        <v>17</v>
      </c>
      <c r="K965" s="620">
        <v>1.69</v>
      </c>
      <c r="L965" s="590" t="s">
        <v>41</v>
      </c>
      <c r="M965" s="559"/>
      <c r="O965" s="774"/>
    </row>
    <row r="966" spans="1:15">
      <c r="A966" s="614"/>
      <c r="B966" s="615"/>
      <c r="C966" s="615"/>
      <c r="D966" s="616"/>
      <c r="E966" s="615"/>
      <c r="F966" s="615"/>
      <c r="G966" s="594" t="s">
        <v>221</v>
      </c>
      <c r="H966" s="501">
        <v>1.25</v>
      </c>
      <c r="I966" s="501">
        <v>1.6</v>
      </c>
      <c r="J966" s="500" t="s">
        <v>17</v>
      </c>
      <c r="K966" s="620">
        <v>1.8</v>
      </c>
      <c r="L966" s="775"/>
      <c r="M966" s="569"/>
      <c r="O966" s="774"/>
    </row>
    <row r="967" spans="1:15">
      <c r="A967" s="614"/>
      <c r="B967" s="615"/>
      <c r="C967" s="615"/>
      <c r="D967" s="616"/>
      <c r="E967" s="615"/>
      <c r="F967" s="615"/>
      <c r="G967" s="594" t="s">
        <v>75</v>
      </c>
      <c r="H967" s="501">
        <v>1.29</v>
      </c>
      <c r="I967" s="501">
        <v>0.35</v>
      </c>
      <c r="J967" s="500" t="s">
        <v>22</v>
      </c>
      <c r="K967" s="620">
        <v>1.9</v>
      </c>
      <c r="L967" s="775"/>
      <c r="M967" s="569"/>
      <c r="O967" s="774"/>
    </row>
    <row r="968" spans="1:15">
      <c r="A968" s="614"/>
      <c r="B968" s="615"/>
      <c r="C968" s="615"/>
      <c r="D968" s="616"/>
      <c r="E968" s="615"/>
      <c r="F968" s="615"/>
      <c r="G968" s="594" t="s">
        <v>90</v>
      </c>
      <c r="H968" s="501">
        <v>1.37</v>
      </c>
      <c r="I968" s="501">
        <v>0.35</v>
      </c>
      <c r="J968" s="500" t="s">
        <v>136</v>
      </c>
      <c r="K968" s="620">
        <v>4.4</v>
      </c>
      <c r="L968" s="775"/>
      <c r="M968" s="569"/>
      <c r="O968" s="774"/>
    </row>
    <row r="969" spans="1:15">
      <c r="A969" s="617"/>
      <c r="B969" s="618"/>
      <c r="C969" s="618"/>
      <c r="D969" s="619"/>
      <c r="E969" s="618"/>
      <c r="F969" s="618"/>
      <c r="G969" s="594" t="s">
        <v>503</v>
      </c>
      <c r="H969" s="501">
        <v>1.75</v>
      </c>
      <c r="I969" s="501">
        <v>0.5</v>
      </c>
      <c r="J969" s="596" t="s">
        <v>24</v>
      </c>
      <c r="K969" s="595" t="s">
        <v>24</v>
      </c>
      <c r="L969" s="776"/>
      <c r="M969" s="570"/>
      <c r="O969" s="774"/>
    </row>
    <row r="970" spans="1:15">
      <c r="A970" s="499">
        <v>46245</v>
      </c>
      <c r="B970" s="590" t="s">
        <v>518</v>
      </c>
      <c r="C970" s="590" t="s">
        <v>459</v>
      </c>
      <c r="D970" s="501">
        <v>10</v>
      </c>
      <c r="E970" s="590" t="s">
        <v>484</v>
      </c>
      <c r="F970" s="590" t="s">
        <v>516</v>
      </c>
      <c r="G970" s="564" t="s">
        <v>47</v>
      </c>
      <c r="H970" s="501">
        <v>1</v>
      </c>
      <c r="I970" s="501">
        <v>8.8</v>
      </c>
      <c r="J970" s="500" t="s">
        <v>17</v>
      </c>
      <c r="K970" s="501">
        <v>1.59</v>
      </c>
      <c r="L970" s="590" t="s">
        <v>129</v>
      </c>
      <c r="M970" s="564" t="s">
        <v>519</v>
      </c>
      <c r="O970" s="774"/>
    </row>
    <row r="971" spans="1:15">
      <c r="A971" s="614"/>
      <c r="B971" s="615"/>
      <c r="C971" s="615"/>
      <c r="D971" s="616"/>
      <c r="E971" s="615"/>
      <c r="F971" s="615"/>
      <c r="G971" s="564" t="s">
        <v>493</v>
      </c>
      <c r="H971" s="501">
        <v>1.09</v>
      </c>
      <c r="I971" s="501">
        <v>0.6</v>
      </c>
      <c r="J971" s="500" t="s">
        <v>22</v>
      </c>
      <c r="K971" s="501">
        <v>1.77</v>
      </c>
      <c r="L971" s="775"/>
      <c r="M971" s="564"/>
      <c r="O971" s="774"/>
    </row>
    <row r="972" spans="1:15">
      <c r="A972" s="617"/>
      <c r="B972" s="618"/>
      <c r="C972" s="618"/>
      <c r="D972" s="619"/>
      <c r="E972" s="618"/>
      <c r="F972" s="618"/>
      <c r="G972" s="594" t="s">
        <v>503</v>
      </c>
      <c r="H972" s="501">
        <v>1.67</v>
      </c>
      <c r="I972" s="501">
        <v>0.6</v>
      </c>
      <c r="J972" s="596" t="s">
        <v>24</v>
      </c>
      <c r="K972" s="501" t="s">
        <v>24</v>
      </c>
      <c r="L972" s="776"/>
      <c r="M972" s="564"/>
      <c r="O972" s="774"/>
    </row>
    <row r="973" spans="1:15">
      <c r="A973" s="499">
        <v>46241</v>
      </c>
      <c r="B973" s="590" t="s">
        <v>520</v>
      </c>
      <c r="C973" s="590" t="s">
        <v>459</v>
      </c>
      <c r="D973" s="501">
        <v>20</v>
      </c>
      <c r="E973" s="590" t="s">
        <v>521</v>
      </c>
      <c r="F973" s="590" t="s">
        <v>486</v>
      </c>
      <c r="G973" s="594" t="s">
        <v>220</v>
      </c>
      <c r="H973" s="501">
        <v>1.08</v>
      </c>
      <c r="I973" s="501">
        <v>6</v>
      </c>
      <c r="J973" s="500" t="s">
        <v>17</v>
      </c>
      <c r="K973" s="620">
        <v>1.58</v>
      </c>
      <c r="L973" s="590" t="s">
        <v>86</v>
      </c>
      <c r="M973" s="515" t="s">
        <v>95</v>
      </c>
      <c r="O973" s="774"/>
    </row>
    <row r="974" spans="1:15">
      <c r="A974" s="614"/>
      <c r="B974" s="615"/>
      <c r="C974" s="615"/>
      <c r="D974" s="616"/>
      <c r="E974" s="615"/>
      <c r="F974" s="615"/>
      <c r="G974" s="594" t="s">
        <v>221</v>
      </c>
      <c r="H974" s="501">
        <v>1.67</v>
      </c>
      <c r="I974" s="501">
        <v>11.6</v>
      </c>
      <c r="J974" s="500" t="s">
        <v>17</v>
      </c>
      <c r="K974" s="620">
        <v>1.7</v>
      </c>
      <c r="L974" s="775"/>
      <c r="M974" s="515"/>
      <c r="O974" s="774"/>
    </row>
    <row r="975" spans="1:15">
      <c r="A975" s="614"/>
      <c r="B975" s="615"/>
      <c r="C975" s="615"/>
      <c r="D975" s="616"/>
      <c r="E975" s="615"/>
      <c r="F975" s="615"/>
      <c r="G975" s="594" t="s">
        <v>75</v>
      </c>
      <c r="H975" s="501">
        <v>1.74</v>
      </c>
      <c r="I975" s="501">
        <v>0.8</v>
      </c>
      <c r="J975" s="500" t="s">
        <v>22</v>
      </c>
      <c r="K975" s="620">
        <v>1.8</v>
      </c>
      <c r="L975" s="775"/>
      <c r="M975" s="515"/>
      <c r="O975" s="774"/>
    </row>
    <row r="976" spans="1:15">
      <c r="A976" s="614"/>
      <c r="B976" s="615"/>
      <c r="C976" s="615"/>
      <c r="D976" s="616"/>
      <c r="E976" s="615"/>
      <c r="F976" s="615"/>
      <c r="G976" s="594" t="s">
        <v>90</v>
      </c>
      <c r="H976" s="501">
        <v>1.74</v>
      </c>
      <c r="I976" s="501">
        <v>0.6</v>
      </c>
      <c r="J976" s="500" t="s">
        <v>96</v>
      </c>
      <c r="K976" s="620">
        <v>4</v>
      </c>
      <c r="L976" s="775"/>
      <c r="M976" s="515"/>
      <c r="O976" s="774"/>
    </row>
    <row r="977" spans="1:15">
      <c r="A977" s="617"/>
      <c r="B977" s="618"/>
      <c r="C977" s="618"/>
      <c r="D977" s="619"/>
      <c r="E977" s="618"/>
      <c r="F977" s="618"/>
      <c r="G977" s="594" t="s">
        <v>503</v>
      </c>
      <c r="H977" s="501">
        <v>1.74</v>
      </c>
      <c r="I977" s="501">
        <v>1</v>
      </c>
      <c r="J977" s="596" t="s">
        <v>24</v>
      </c>
      <c r="K977" s="595" t="s">
        <v>24</v>
      </c>
      <c r="L977" s="776"/>
      <c r="M977" s="515"/>
      <c r="O977" s="774"/>
    </row>
    <row r="978" spans="1:15">
      <c r="A978" s="499">
        <v>46241</v>
      </c>
      <c r="B978" s="590" t="s">
        <v>522</v>
      </c>
      <c r="C978" s="590" t="s">
        <v>462</v>
      </c>
      <c r="D978" s="501">
        <v>4</v>
      </c>
      <c r="E978" s="590" t="s">
        <v>486</v>
      </c>
      <c r="F978" s="590" t="s">
        <v>523</v>
      </c>
      <c r="G978" s="500" t="s">
        <v>26</v>
      </c>
      <c r="H978" s="501">
        <v>0.55</v>
      </c>
      <c r="I978" s="501">
        <v>3.6</v>
      </c>
      <c r="J978" s="500" t="s">
        <v>17</v>
      </c>
      <c r="K978" s="620">
        <v>1.58</v>
      </c>
      <c r="L978" s="590" t="s">
        <v>112</v>
      </c>
      <c r="M978" s="559"/>
      <c r="O978" s="774"/>
    </row>
    <row r="979" spans="1:15">
      <c r="A979" s="614"/>
      <c r="B979" s="615"/>
      <c r="C979" s="615"/>
      <c r="D979" s="616"/>
      <c r="E979" s="615"/>
      <c r="F979" s="615"/>
      <c r="G979" s="500" t="s">
        <v>21</v>
      </c>
      <c r="H979" s="501">
        <v>0.55</v>
      </c>
      <c r="I979" s="501">
        <v>0.2</v>
      </c>
      <c r="J979" s="500" t="s">
        <v>22</v>
      </c>
      <c r="K979" s="620">
        <v>1.63</v>
      </c>
      <c r="L979" s="775"/>
      <c r="M979" s="569"/>
      <c r="O979" s="774"/>
    </row>
    <row r="980" spans="1:15">
      <c r="A980" s="614"/>
      <c r="B980" s="615"/>
      <c r="C980" s="615"/>
      <c r="D980" s="616"/>
      <c r="E980" s="615"/>
      <c r="F980" s="615"/>
      <c r="G980" s="545" t="s">
        <v>113</v>
      </c>
      <c r="H980" s="501">
        <v>3.02</v>
      </c>
      <c r="I980" s="501">
        <v>0.08</v>
      </c>
      <c r="J980" s="596" t="s">
        <v>24</v>
      </c>
      <c r="K980" s="595" t="s">
        <v>24</v>
      </c>
      <c r="L980" s="775"/>
      <c r="M980" s="569"/>
      <c r="O980" s="774"/>
    </row>
    <row r="981" spans="1:15">
      <c r="A981" s="617"/>
      <c r="B981" s="618"/>
      <c r="C981" s="618"/>
      <c r="D981" s="619"/>
      <c r="E981" s="618"/>
      <c r="F981" s="618"/>
      <c r="G981" s="545" t="s">
        <v>114</v>
      </c>
      <c r="H981" s="501">
        <v>3.02</v>
      </c>
      <c r="I981" s="501">
        <v>0.12</v>
      </c>
      <c r="J981" s="596" t="s">
        <v>24</v>
      </c>
      <c r="K981" s="595" t="s">
        <v>24</v>
      </c>
      <c r="L981" s="776"/>
      <c r="M981" s="570"/>
      <c r="O981" s="774"/>
    </row>
    <row r="982" spans="1:15">
      <c r="A982" s="499">
        <v>46254</v>
      </c>
      <c r="B982" s="590" t="s">
        <v>524</v>
      </c>
      <c r="C982" s="590" t="s">
        <v>459</v>
      </c>
      <c r="D982" s="501">
        <v>10</v>
      </c>
      <c r="E982" s="590" t="s">
        <v>521</v>
      </c>
      <c r="F982" s="590" t="s">
        <v>487</v>
      </c>
      <c r="G982" s="594" t="s">
        <v>220</v>
      </c>
      <c r="H982" s="501">
        <v>1.33</v>
      </c>
      <c r="I982" s="501">
        <v>3</v>
      </c>
      <c r="J982" s="500" t="s">
        <v>17</v>
      </c>
      <c r="K982" s="501">
        <v>1.65</v>
      </c>
      <c r="L982" s="590" t="s">
        <v>86</v>
      </c>
      <c r="M982" s="590" t="s">
        <v>525</v>
      </c>
    </row>
    <row r="983" spans="1:15">
      <c r="A983" s="614"/>
      <c r="B983" s="615"/>
      <c r="C983" s="615"/>
      <c r="D983" s="616"/>
      <c r="E983" s="615"/>
      <c r="F983" s="615"/>
      <c r="G983" s="594" t="s">
        <v>221</v>
      </c>
      <c r="H983" s="501">
        <v>1.92</v>
      </c>
      <c r="I983" s="501">
        <v>5.8</v>
      </c>
      <c r="J983" s="500" t="s">
        <v>17</v>
      </c>
      <c r="K983" s="501">
        <v>1.7</v>
      </c>
      <c r="L983" s="775"/>
      <c r="M983" s="615"/>
    </row>
    <row r="984" spans="1:15">
      <c r="A984" s="614"/>
      <c r="B984" s="615"/>
      <c r="C984" s="615"/>
      <c r="D984" s="616"/>
      <c r="E984" s="615"/>
      <c r="F984" s="615"/>
      <c r="G984" s="594" t="s">
        <v>75</v>
      </c>
      <c r="H984" s="501">
        <v>1.99</v>
      </c>
      <c r="I984" s="501">
        <v>0.6</v>
      </c>
      <c r="J984" s="500" t="s">
        <v>22</v>
      </c>
      <c r="K984" s="501">
        <v>1.8</v>
      </c>
      <c r="L984" s="775"/>
      <c r="M984" s="615"/>
    </row>
    <row r="985" spans="1:15">
      <c r="A985" s="617"/>
      <c r="B985" s="618"/>
      <c r="C985" s="618"/>
      <c r="D985" s="619"/>
      <c r="E985" s="618"/>
      <c r="F985" s="618"/>
      <c r="G985" s="594" t="s">
        <v>503</v>
      </c>
      <c r="H985" s="501">
        <v>1.99</v>
      </c>
      <c r="I985" s="501">
        <v>0.6</v>
      </c>
      <c r="J985" s="500" t="s">
        <v>24</v>
      </c>
      <c r="K985" s="501" t="s">
        <v>24</v>
      </c>
      <c r="L985" s="776"/>
      <c r="M985" s="618"/>
    </row>
    <row r="986" spans="1:15">
      <c r="A986" s="499">
        <v>46254</v>
      </c>
      <c r="B986" s="590" t="s">
        <v>526</v>
      </c>
      <c r="C986" s="590" t="s">
        <v>462</v>
      </c>
      <c r="D986" s="501">
        <v>5</v>
      </c>
      <c r="E986" s="590" t="s">
        <v>477</v>
      </c>
      <c r="F986" s="590" t="s">
        <v>523</v>
      </c>
      <c r="G986" s="594" t="s">
        <v>73</v>
      </c>
      <c r="H986" s="501">
        <v>1</v>
      </c>
      <c r="I986" s="501">
        <v>4.3</v>
      </c>
      <c r="J986" s="500" t="s">
        <v>17</v>
      </c>
      <c r="K986" s="501" t="s">
        <v>527</v>
      </c>
      <c r="L986" s="590" t="s">
        <v>35</v>
      </c>
      <c r="M986" s="573" t="s">
        <v>528</v>
      </c>
    </row>
    <row r="987" spans="1:15">
      <c r="A987" s="614"/>
      <c r="B987" s="615"/>
      <c r="C987" s="615"/>
      <c r="D987" s="616"/>
      <c r="E987" s="615"/>
      <c r="F987" s="615"/>
      <c r="G987" s="594" t="s">
        <v>75</v>
      </c>
      <c r="H987" s="501">
        <v>1</v>
      </c>
      <c r="I987" s="501">
        <v>0.2</v>
      </c>
      <c r="J987" s="500" t="s">
        <v>22</v>
      </c>
      <c r="K987" s="501">
        <v>1.7</v>
      </c>
      <c r="L987" s="775"/>
      <c r="M987" s="545"/>
    </row>
    <row r="988" spans="1:15">
      <c r="A988" s="614"/>
      <c r="B988" s="615"/>
      <c r="C988" s="615"/>
      <c r="D988" s="616"/>
      <c r="E988" s="615"/>
      <c r="F988" s="615"/>
      <c r="G988" s="594" t="s">
        <v>90</v>
      </c>
      <c r="H988" s="501">
        <v>1</v>
      </c>
      <c r="I988" s="501">
        <v>0.25</v>
      </c>
      <c r="J988" s="500" t="s">
        <v>64</v>
      </c>
      <c r="K988" s="501">
        <v>3.1</v>
      </c>
      <c r="L988" s="775"/>
      <c r="M988" s="545"/>
    </row>
    <row r="989" spans="1:15">
      <c r="A989" s="617"/>
      <c r="B989" s="618"/>
      <c r="C989" s="618"/>
      <c r="D989" s="619"/>
      <c r="E989" s="618"/>
      <c r="F989" s="618"/>
      <c r="G989" s="594" t="s">
        <v>503</v>
      </c>
      <c r="H989" s="501">
        <v>1.42</v>
      </c>
      <c r="I989" s="501">
        <v>0.25</v>
      </c>
      <c r="J989" s="500" t="s">
        <v>24</v>
      </c>
      <c r="K989" s="501" t="s">
        <v>24</v>
      </c>
      <c r="L989" s="776"/>
      <c r="M989" s="545"/>
    </row>
    <row r="990" spans="1:15">
      <c r="A990" s="499">
        <v>46255</v>
      </c>
      <c r="B990" s="590" t="s">
        <v>529</v>
      </c>
      <c r="C990" s="590" t="s">
        <v>462</v>
      </c>
      <c r="D990" s="501">
        <v>5</v>
      </c>
      <c r="E990" s="590" t="s">
        <v>486</v>
      </c>
      <c r="F990" s="590" t="s">
        <v>530</v>
      </c>
      <c r="G990" s="777" t="s">
        <v>531</v>
      </c>
      <c r="H990" s="501">
        <v>0.99</v>
      </c>
      <c r="I990" s="501">
        <v>4.925</v>
      </c>
      <c r="J990" s="500" t="s">
        <v>17</v>
      </c>
      <c r="K990" s="501">
        <v>2.5</v>
      </c>
      <c r="L990" s="590" t="s">
        <v>48</v>
      </c>
      <c r="M990" s="500"/>
    </row>
    <row r="991" spans="1:15">
      <c r="A991" s="617"/>
      <c r="B991" s="618"/>
      <c r="C991" s="618"/>
      <c r="D991" s="619"/>
      <c r="E991" s="618"/>
      <c r="F991" s="618"/>
      <c r="G991" s="777" t="s">
        <v>503</v>
      </c>
      <c r="H991" s="501">
        <v>3.08</v>
      </c>
      <c r="I991" s="501">
        <v>0.075</v>
      </c>
      <c r="J991" s="500" t="s">
        <v>24</v>
      </c>
      <c r="K991" s="501" t="s">
        <v>24</v>
      </c>
      <c r="L991" s="776"/>
      <c r="M991" s="618"/>
    </row>
    <row r="992" spans="1:15">
      <c r="A992" s="499">
        <v>46254</v>
      </c>
      <c r="B992" s="590" t="s">
        <v>532</v>
      </c>
      <c r="C992" s="590" t="s">
        <v>459</v>
      </c>
      <c r="D992" s="501">
        <v>4.7</v>
      </c>
      <c r="E992" s="590" t="s">
        <v>481</v>
      </c>
      <c r="F992" s="590" t="s">
        <v>218</v>
      </c>
      <c r="G992" s="594" t="s">
        <v>73</v>
      </c>
      <c r="H992" s="501">
        <v>1</v>
      </c>
      <c r="I992" s="501">
        <v>4.4</v>
      </c>
      <c r="J992" s="500" t="s">
        <v>17</v>
      </c>
      <c r="K992" s="620">
        <v>1.58</v>
      </c>
      <c r="L992" s="590" t="s">
        <v>86</v>
      </c>
      <c r="M992" s="590" t="s">
        <v>525</v>
      </c>
    </row>
    <row r="993" spans="1:13">
      <c r="A993" s="617"/>
      <c r="B993" s="618"/>
      <c r="C993" s="618"/>
      <c r="D993" s="619"/>
      <c r="E993" s="618"/>
      <c r="F993" s="618"/>
      <c r="G993" s="594" t="s">
        <v>75</v>
      </c>
      <c r="H993" s="501">
        <v>1</v>
      </c>
      <c r="I993" s="501">
        <v>0.3</v>
      </c>
      <c r="J993" s="500" t="s">
        <v>22</v>
      </c>
      <c r="K993" s="620">
        <v>1.8</v>
      </c>
      <c r="L993" s="776"/>
      <c r="M993" s="618"/>
    </row>
    <row r="994" spans="1:13">
      <c r="A994" s="499">
        <v>46253</v>
      </c>
      <c r="B994" s="590" t="s">
        <v>533</v>
      </c>
      <c r="C994" s="590" t="s">
        <v>459</v>
      </c>
      <c r="D994" s="501">
        <v>2.69</v>
      </c>
      <c r="E994" s="590" t="s">
        <v>486</v>
      </c>
      <c r="F994" s="590" t="s">
        <v>534</v>
      </c>
      <c r="G994" s="777" t="s">
        <v>531</v>
      </c>
      <c r="H994" s="501">
        <v>1.84</v>
      </c>
      <c r="I994" s="501">
        <v>2.47</v>
      </c>
      <c r="J994" s="500" t="s">
        <v>17</v>
      </c>
      <c r="K994" s="620">
        <v>1.75</v>
      </c>
      <c r="L994" s="590" t="s">
        <v>70</v>
      </c>
      <c r="M994" s="500"/>
    </row>
    <row r="995" spans="1:13">
      <c r="A995" s="617"/>
      <c r="B995" s="618"/>
      <c r="C995" s="618"/>
      <c r="D995" s="619"/>
      <c r="E995" s="618"/>
      <c r="F995" s="618"/>
      <c r="G995" s="777" t="s">
        <v>503</v>
      </c>
      <c r="H995" s="501">
        <v>1.84</v>
      </c>
      <c r="I995" s="501">
        <v>0.22</v>
      </c>
      <c r="J995" s="500" t="s">
        <v>24</v>
      </c>
      <c r="K995" s="501" t="s">
        <v>24</v>
      </c>
      <c r="L995" s="776"/>
      <c r="M995" s="618"/>
    </row>
    <row r="996" spans="1:13">
      <c r="A996" s="499">
        <v>46252</v>
      </c>
      <c r="B996" s="590" t="s">
        <v>535</v>
      </c>
      <c r="C996" s="590" t="s">
        <v>462</v>
      </c>
      <c r="D996" s="501">
        <v>10</v>
      </c>
      <c r="E996" s="590" t="s">
        <v>536</v>
      </c>
      <c r="F996" s="590" t="s">
        <v>490</v>
      </c>
      <c r="G996" s="573" t="s">
        <v>158</v>
      </c>
      <c r="H996" s="501">
        <v>1.69</v>
      </c>
      <c r="I996" s="501">
        <v>8.9</v>
      </c>
      <c r="J996" s="500" t="s">
        <v>17</v>
      </c>
      <c r="K996" s="620">
        <v>1.75</v>
      </c>
      <c r="L996" s="590" t="s">
        <v>74</v>
      </c>
      <c r="M996" s="500"/>
    </row>
    <row r="997" spans="1:13">
      <c r="A997" s="614"/>
      <c r="B997" s="615"/>
      <c r="C997" s="615"/>
      <c r="D997" s="616"/>
      <c r="E997" s="615"/>
      <c r="F997" s="615"/>
      <c r="G997" s="573" t="s">
        <v>159</v>
      </c>
      <c r="H997" s="501">
        <v>1.94</v>
      </c>
      <c r="I997" s="501">
        <v>0.35</v>
      </c>
      <c r="J997" s="500" t="s">
        <v>22</v>
      </c>
      <c r="K997" s="620">
        <v>1.89</v>
      </c>
      <c r="L997" s="775"/>
      <c r="M997" s="615"/>
    </row>
    <row r="998" spans="1:13">
      <c r="A998" s="617"/>
      <c r="B998" s="618"/>
      <c r="C998" s="618"/>
      <c r="D998" s="619"/>
      <c r="E998" s="618"/>
      <c r="F998" s="618"/>
      <c r="G998" s="777" t="s">
        <v>503</v>
      </c>
      <c r="H998" s="501">
        <v>2.45</v>
      </c>
      <c r="I998" s="501">
        <v>0.75</v>
      </c>
      <c r="J998" s="500" t="s">
        <v>24</v>
      </c>
      <c r="K998" s="501" t="s">
        <v>24</v>
      </c>
      <c r="L998" s="776"/>
      <c r="M998" s="618"/>
    </row>
    <row r="999" spans="1:13">
      <c r="A999" s="499">
        <v>46253</v>
      </c>
      <c r="B999" s="590" t="s">
        <v>537</v>
      </c>
      <c r="C999" s="590" t="s">
        <v>459</v>
      </c>
      <c r="D999" s="501">
        <v>10</v>
      </c>
      <c r="E999" s="590" t="s">
        <v>484</v>
      </c>
      <c r="F999" s="590" t="s">
        <v>516</v>
      </c>
      <c r="G999" s="777" t="s">
        <v>531</v>
      </c>
      <c r="H999" s="501">
        <v>1</v>
      </c>
      <c r="I999" s="501">
        <v>8.8</v>
      </c>
      <c r="J999" s="500" t="s">
        <v>17</v>
      </c>
      <c r="K999" s="620">
        <v>1.6</v>
      </c>
      <c r="L999" s="590" t="s">
        <v>129</v>
      </c>
      <c r="M999" s="777" t="s">
        <v>538</v>
      </c>
    </row>
    <row r="1000" spans="1:13">
      <c r="A1000" s="614"/>
      <c r="B1000" s="615"/>
      <c r="C1000" s="615"/>
      <c r="D1000" s="616"/>
      <c r="E1000" s="615"/>
      <c r="F1000" s="615"/>
      <c r="G1000" s="777" t="s">
        <v>539</v>
      </c>
      <c r="H1000" s="501">
        <v>1.09</v>
      </c>
      <c r="I1000" s="501">
        <v>0.6</v>
      </c>
      <c r="J1000" s="500" t="s">
        <v>22</v>
      </c>
      <c r="K1000" s="620">
        <v>1.77</v>
      </c>
      <c r="L1000" s="775"/>
      <c r="M1000" s="564"/>
    </row>
    <row r="1001" spans="1:13">
      <c r="A1001" s="617"/>
      <c r="B1001" s="618"/>
      <c r="C1001" s="618"/>
      <c r="D1001" s="619"/>
      <c r="E1001" s="618"/>
      <c r="F1001" s="618"/>
      <c r="G1001" s="777" t="s">
        <v>503</v>
      </c>
      <c r="H1001" s="501">
        <v>1.67</v>
      </c>
      <c r="I1001" s="501">
        <v>0.6</v>
      </c>
      <c r="J1001" s="500" t="s">
        <v>24</v>
      </c>
      <c r="K1001" s="501" t="s">
        <v>24</v>
      </c>
      <c r="L1001" s="776"/>
      <c r="M1001" s="564"/>
    </row>
    <row r="1002" spans="1:13">
      <c r="A1002" s="499">
        <v>46252</v>
      </c>
      <c r="B1002" s="590" t="s">
        <v>540</v>
      </c>
      <c r="C1002" s="590" t="s">
        <v>459</v>
      </c>
      <c r="D1002" s="501">
        <v>10</v>
      </c>
      <c r="E1002" s="590" t="s">
        <v>484</v>
      </c>
      <c r="F1002" s="590" t="s">
        <v>516</v>
      </c>
      <c r="G1002" s="777" t="s">
        <v>531</v>
      </c>
      <c r="H1002" s="501">
        <v>1</v>
      </c>
      <c r="I1002" s="501">
        <v>8.8</v>
      </c>
      <c r="J1002" s="500" t="s">
        <v>17</v>
      </c>
      <c r="K1002" s="620">
        <v>1.6</v>
      </c>
      <c r="L1002" s="590" t="s">
        <v>129</v>
      </c>
      <c r="M1002" s="777" t="s">
        <v>538</v>
      </c>
    </row>
    <row r="1003" spans="1:13">
      <c r="A1003" s="614"/>
      <c r="B1003" s="615"/>
      <c r="C1003" s="615"/>
      <c r="D1003" s="616"/>
      <c r="E1003" s="615"/>
      <c r="F1003" s="615"/>
      <c r="G1003" s="777" t="s">
        <v>539</v>
      </c>
      <c r="H1003" s="501">
        <v>1.09</v>
      </c>
      <c r="I1003" s="501">
        <v>0.6</v>
      </c>
      <c r="J1003" s="500" t="s">
        <v>22</v>
      </c>
      <c r="K1003" s="620">
        <v>1.77</v>
      </c>
      <c r="L1003" s="775"/>
      <c r="M1003" s="564"/>
    </row>
    <row r="1004" spans="1:13">
      <c r="A1004" s="617"/>
      <c r="B1004" s="618"/>
      <c r="C1004" s="618"/>
      <c r="D1004" s="619"/>
      <c r="E1004" s="618"/>
      <c r="F1004" s="618"/>
      <c r="G1004" s="777" t="s">
        <v>503</v>
      </c>
      <c r="H1004" s="501">
        <v>1.67</v>
      </c>
      <c r="I1004" s="501">
        <v>0.6</v>
      </c>
      <c r="J1004" s="500" t="s">
        <v>24</v>
      </c>
      <c r="K1004" s="501" t="s">
        <v>24</v>
      </c>
      <c r="L1004" s="776"/>
      <c r="M1004" s="564"/>
    </row>
    <row r="1005" spans="1:13">
      <c r="A1005" s="499">
        <v>46248</v>
      </c>
      <c r="B1005" s="590" t="s">
        <v>541</v>
      </c>
      <c r="C1005" s="590" t="s">
        <v>462</v>
      </c>
      <c r="D1005" s="501">
        <v>10</v>
      </c>
      <c r="E1005" s="590" t="s">
        <v>481</v>
      </c>
      <c r="F1005" s="590" t="s">
        <v>487</v>
      </c>
      <c r="G1005" s="573" t="s">
        <v>158</v>
      </c>
      <c r="H1005" s="501">
        <v>0.9</v>
      </c>
      <c r="I1005" s="501">
        <v>8.6</v>
      </c>
      <c r="J1005" s="500" t="s">
        <v>17</v>
      </c>
      <c r="K1005" s="620">
        <v>1.58</v>
      </c>
      <c r="L1005" s="590" t="s">
        <v>60</v>
      </c>
      <c r="M1005" s="591" t="s">
        <v>403</v>
      </c>
    </row>
    <row r="1006" spans="1:13">
      <c r="A1006" s="614"/>
      <c r="B1006" s="615"/>
      <c r="C1006" s="615"/>
      <c r="D1006" s="616"/>
      <c r="E1006" s="615"/>
      <c r="F1006" s="615"/>
      <c r="G1006" s="573" t="s">
        <v>159</v>
      </c>
      <c r="H1006" s="501">
        <v>0.9</v>
      </c>
      <c r="I1006" s="501">
        <v>0.55</v>
      </c>
      <c r="J1006" s="500" t="s">
        <v>22</v>
      </c>
      <c r="K1006" s="620">
        <v>1.6</v>
      </c>
      <c r="L1006" s="775"/>
      <c r="M1006" s="527"/>
    </row>
    <row r="1007" spans="1:13">
      <c r="A1007" s="614"/>
      <c r="B1007" s="615"/>
      <c r="C1007" s="615"/>
      <c r="D1007" s="616"/>
      <c r="E1007" s="615"/>
      <c r="F1007" s="615"/>
      <c r="G1007" s="573" t="s">
        <v>160</v>
      </c>
      <c r="H1007" s="501">
        <v>0.9</v>
      </c>
      <c r="I1007" s="501">
        <v>0.35</v>
      </c>
      <c r="J1007" s="500" t="s">
        <v>44</v>
      </c>
      <c r="K1007" s="620">
        <v>2.8</v>
      </c>
      <c r="L1007" s="775"/>
      <c r="M1007" s="527"/>
    </row>
    <row r="1008" spans="1:13">
      <c r="A1008" s="617"/>
      <c r="B1008" s="618"/>
      <c r="C1008" s="618"/>
      <c r="D1008" s="619"/>
      <c r="E1008" s="618"/>
      <c r="F1008" s="618"/>
      <c r="G1008" s="777" t="s">
        <v>503</v>
      </c>
      <c r="H1008" s="501">
        <v>3.74</v>
      </c>
      <c r="I1008" s="501">
        <v>0.5</v>
      </c>
      <c r="J1008" s="500" t="s">
        <v>24</v>
      </c>
      <c r="K1008" s="501" t="s">
        <v>24</v>
      </c>
      <c r="L1008" s="776"/>
      <c r="M1008" s="527"/>
    </row>
    <row r="1009" spans="1:13">
      <c r="A1009" s="499">
        <v>46248</v>
      </c>
      <c r="B1009" s="590" t="s">
        <v>542</v>
      </c>
      <c r="C1009" s="590" t="s">
        <v>459</v>
      </c>
      <c r="D1009" s="501">
        <v>10</v>
      </c>
      <c r="E1009" s="590" t="s">
        <v>492</v>
      </c>
      <c r="F1009" s="590" t="s">
        <v>543</v>
      </c>
      <c r="G1009" s="594" t="s">
        <v>73</v>
      </c>
      <c r="H1009" s="501">
        <v>0.82</v>
      </c>
      <c r="I1009" s="501">
        <v>8.6</v>
      </c>
      <c r="J1009" s="500" t="s">
        <v>17</v>
      </c>
      <c r="K1009" s="620">
        <v>1.58</v>
      </c>
      <c r="L1009" s="590" t="s">
        <v>60</v>
      </c>
      <c r="M1009" s="591" t="s">
        <v>372</v>
      </c>
    </row>
    <row r="1010" spans="1:13">
      <c r="A1010" s="614"/>
      <c r="B1010" s="615"/>
      <c r="C1010" s="615"/>
      <c r="D1010" s="616"/>
      <c r="E1010" s="615"/>
      <c r="F1010" s="615"/>
      <c r="G1010" s="594" t="s">
        <v>75</v>
      </c>
      <c r="H1010" s="501">
        <v>0.82</v>
      </c>
      <c r="I1010" s="501">
        <v>0.55</v>
      </c>
      <c r="J1010" s="500" t="s">
        <v>22</v>
      </c>
      <c r="K1010" s="620">
        <v>1.6</v>
      </c>
      <c r="L1010" s="775"/>
      <c r="M1010" s="527"/>
    </row>
    <row r="1011" spans="1:13">
      <c r="A1011" s="614"/>
      <c r="B1011" s="615"/>
      <c r="C1011" s="615"/>
      <c r="D1011" s="616"/>
      <c r="E1011" s="615"/>
      <c r="F1011" s="615"/>
      <c r="G1011" s="594" t="s">
        <v>90</v>
      </c>
      <c r="H1011" s="501">
        <v>0.82</v>
      </c>
      <c r="I1011" s="501">
        <v>0.35</v>
      </c>
      <c r="J1011" s="500" t="s">
        <v>44</v>
      </c>
      <c r="K1011" s="620">
        <v>2.8</v>
      </c>
      <c r="L1011" s="775"/>
      <c r="M1011" s="527"/>
    </row>
    <row r="1012" spans="1:13">
      <c r="A1012" s="617"/>
      <c r="B1012" s="618"/>
      <c r="C1012" s="618"/>
      <c r="D1012" s="619"/>
      <c r="E1012" s="618"/>
      <c r="F1012" s="618"/>
      <c r="G1012" s="594" t="s">
        <v>503</v>
      </c>
      <c r="H1012" s="501">
        <v>3.49</v>
      </c>
      <c r="I1012" s="501">
        <v>0.5</v>
      </c>
      <c r="J1012" s="500" t="s">
        <v>24</v>
      </c>
      <c r="K1012" s="501" t="s">
        <v>24</v>
      </c>
      <c r="L1012" s="776"/>
      <c r="M1012" s="527"/>
    </row>
    <row r="1013" spans="1:13">
      <c r="A1013" s="499">
        <v>46252</v>
      </c>
      <c r="B1013" s="590" t="s">
        <v>544</v>
      </c>
      <c r="C1013" s="590" t="s">
        <v>462</v>
      </c>
      <c r="D1013" s="501">
        <v>5</v>
      </c>
      <c r="E1013" s="590" t="s">
        <v>477</v>
      </c>
      <c r="F1013" s="590" t="s">
        <v>474</v>
      </c>
      <c r="G1013" s="594" t="s">
        <v>220</v>
      </c>
      <c r="H1013" s="501">
        <v>1.07</v>
      </c>
      <c r="I1013" s="501">
        <v>3.6</v>
      </c>
      <c r="J1013" s="500" t="s">
        <v>17</v>
      </c>
      <c r="K1013" s="501">
        <v>1.73</v>
      </c>
      <c r="L1013" s="590" t="s">
        <v>41</v>
      </c>
      <c r="M1013" s="500"/>
    </row>
    <row r="1014" spans="1:13">
      <c r="A1014" s="614"/>
      <c r="B1014" s="615"/>
      <c r="C1014" s="615"/>
      <c r="D1014" s="616"/>
      <c r="E1014" s="615"/>
      <c r="F1014" s="615"/>
      <c r="G1014" s="594" t="s">
        <v>221</v>
      </c>
      <c r="H1014" s="501">
        <v>1.25</v>
      </c>
      <c r="I1014" s="501">
        <v>0.75</v>
      </c>
      <c r="J1014" s="500" t="s">
        <v>17</v>
      </c>
      <c r="K1014" s="501">
        <v>1.75</v>
      </c>
      <c r="L1014" s="775"/>
      <c r="M1014" s="615"/>
    </row>
    <row r="1015" spans="1:13">
      <c r="A1015" s="614"/>
      <c r="B1015" s="615"/>
      <c r="C1015" s="615"/>
      <c r="D1015" s="616"/>
      <c r="E1015" s="615"/>
      <c r="F1015" s="615"/>
      <c r="G1015" s="594" t="s">
        <v>75</v>
      </c>
      <c r="H1015" s="501">
        <v>1.29</v>
      </c>
      <c r="I1015" s="501">
        <v>0.2</v>
      </c>
      <c r="J1015" s="500" t="s">
        <v>22</v>
      </c>
      <c r="K1015" s="501">
        <v>1.85</v>
      </c>
      <c r="L1015" s="775"/>
      <c r="M1015" s="615"/>
    </row>
    <row r="1016" spans="1:13">
      <c r="A1016" s="614"/>
      <c r="B1016" s="615"/>
      <c r="C1016" s="615"/>
      <c r="D1016" s="616"/>
      <c r="E1016" s="615"/>
      <c r="F1016" s="615"/>
      <c r="G1016" s="594" t="s">
        <v>90</v>
      </c>
      <c r="H1016" s="501">
        <v>1.37</v>
      </c>
      <c r="I1016" s="501">
        <v>0.2</v>
      </c>
      <c r="J1016" s="500" t="s">
        <v>44</v>
      </c>
      <c r="K1016" s="501">
        <v>4.4</v>
      </c>
      <c r="L1016" s="775"/>
      <c r="M1016" s="615"/>
    </row>
    <row r="1017" spans="1:13">
      <c r="A1017" s="617"/>
      <c r="B1017" s="618"/>
      <c r="C1017" s="618"/>
      <c r="D1017" s="619"/>
      <c r="E1017" s="618"/>
      <c r="F1017" s="618"/>
      <c r="G1017" s="594" t="s">
        <v>503</v>
      </c>
      <c r="H1017" s="501">
        <v>1.75</v>
      </c>
      <c r="I1017" s="501">
        <v>0.25</v>
      </c>
      <c r="J1017" s="500" t="s">
        <v>24</v>
      </c>
      <c r="K1017" s="501" t="s">
        <v>24</v>
      </c>
      <c r="L1017" s="776"/>
      <c r="M1017" s="618"/>
    </row>
    <row r="1018" spans="1:13">
      <c r="A1018" s="499">
        <v>46248</v>
      </c>
      <c r="B1018" s="590" t="s">
        <v>545</v>
      </c>
      <c r="C1018" s="590" t="s">
        <v>459</v>
      </c>
      <c r="D1018" s="501">
        <v>10</v>
      </c>
      <c r="E1018" s="590" t="s">
        <v>484</v>
      </c>
      <c r="F1018" s="590" t="s">
        <v>516</v>
      </c>
      <c r="G1018" s="777" t="s">
        <v>531</v>
      </c>
      <c r="H1018" s="501">
        <v>1</v>
      </c>
      <c r="I1018" s="501">
        <v>8.8</v>
      </c>
      <c r="J1018" s="500" t="s">
        <v>17</v>
      </c>
      <c r="K1018" s="620">
        <v>1.6</v>
      </c>
      <c r="L1018" s="590" t="s">
        <v>129</v>
      </c>
      <c r="M1018" s="777" t="s">
        <v>538</v>
      </c>
    </row>
    <row r="1019" spans="1:13">
      <c r="A1019" s="614"/>
      <c r="B1019" s="615"/>
      <c r="C1019" s="615"/>
      <c r="D1019" s="616"/>
      <c r="E1019" s="615"/>
      <c r="F1019" s="615"/>
      <c r="G1019" s="777" t="s">
        <v>539</v>
      </c>
      <c r="H1019" s="501">
        <v>1.08</v>
      </c>
      <c r="I1019" s="501">
        <v>0.6</v>
      </c>
      <c r="J1019" s="500" t="s">
        <v>22</v>
      </c>
      <c r="K1019" s="620">
        <v>1.77</v>
      </c>
      <c r="L1019" s="775"/>
      <c r="M1019" s="564"/>
    </row>
    <row r="1020" spans="1:13">
      <c r="A1020" s="617"/>
      <c r="B1020" s="618"/>
      <c r="C1020" s="618"/>
      <c r="D1020" s="619"/>
      <c r="E1020" s="618"/>
      <c r="F1020" s="618"/>
      <c r="G1020" s="777" t="s">
        <v>503</v>
      </c>
      <c r="H1020" s="501">
        <v>1.67</v>
      </c>
      <c r="I1020" s="501">
        <v>0.6</v>
      </c>
      <c r="J1020" s="500" t="s">
        <v>24</v>
      </c>
      <c r="K1020" s="501" t="s">
        <v>24</v>
      </c>
      <c r="L1020" s="776"/>
      <c r="M1020" s="564"/>
    </row>
    <row r="1021" spans="1:13">
      <c r="A1021" s="499">
        <v>46248</v>
      </c>
      <c r="B1021" s="590" t="s">
        <v>546</v>
      </c>
      <c r="C1021" s="590" t="s">
        <v>462</v>
      </c>
      <c r="D1021" s="501">
        <v>10</v>
      </c>
      <c r="E1021" s="590" t="s">
        <v>477</v>
      </c>
      <c r="F1021" s="590" t="s">
        <v>474</v>
      </c>
      <c r="G1021" s="594" t="s">
        <v>220</v>
      </c>
      <c r="H1021" s="501">
        <v>1.08</v>
      </c>
      <c r="I1021" s="501">
        <v>7.2</v>
      </c>
      <c r="J1021" s="500" t="s">
        <v>17</v>
      </c>
      <c r="K1021" s="620">
        <v>1.73</v>
      </c>
      <c r="L1021" s="590" t="s">
        <v>41</v>
      </c>
      <c r="M1021" s="500"/>
    </row>
    <row r="1022" spans="1:13">
      <c r="A1022" s="614"/>
      <c r="B1022" s="615"/>
      <c r="C1022" s="615"/>
      <c r="D1022" s="616"/>
      <c r="E1022" s="615"/>
      <c r="F1022" s="615"/>
      <c r="G1022" s="594" t="s">
        <v>221</v>
      </c>
      <c r="H1022" s="501">
        <v>1.25</v>
      </c>
      <c r="I1022" s="501">
        <v>1.5</v>
      </c>
      <c r="J1022" s="500" t="s">
        <v>17</v>
      </c>
      <c r="K1022" s="620">
        <v>1.73</v>
      </c>
      <c r="L1022" s="775"/>
      <c r="M1022" s="615"/>
    </row>
    <row r="1023" spans="1:13">
      <c r="A1023" s="614"/>
      <c r="B1023" s="615"/>
      <c r="C1023" s="615"/>
      <c r="D1023" s="616"/>
      <c r="E1023" s="615"/>
      <c r="F1023" s="615"/>
      <c r="G1023" s="594" t="s">
        <v>75</v>
      </c>
      <c r="H1023" s="501">
        <v>1.28</v>
      </c>
      <c r="I1023" s="501">
        <v>0.4</v>
      </c>
      <c r="J1023" s="500" t="s">
        <v>22</v>
      </c>
      <c r="K1023" s="620">
        <v>1.8</v>
      </c>
      <c r="L1023" s="775"/>
      <c r="M1023" s="615"/>
    </row>
    <row r="1024" spans="1:13">
      <c r="A1024" s="614"/>
      <c r="B1024" s="615"/>
      <c r="C1024" s="615"/>
      <c r="D1024" s="616"/>
      <c r="E1024" s="615"/>
      <c r="F1024" s="615"/>
      <c r="G1024" s="594" t="s">
        <v>90</v>
      </c>
      <c r="H1024" s="501">
        <v>1.37</v>
      </c>
      <c r="I1024" s="501">
        <v>0.4</v>
      </c>
      <c r="J1024" s="500" t="s">
        <v>44</v>
      </c>
      <c r="K1024" s="620">
        <v>4.4</v>
      </c>
      <c r="L1024" s="775"/>
      <c r="M1024" s="615"/>
    </row>
    <row r="1025" spans="1:13">
      <c r="A1025" s="617"/>
      <c r="B1025" s="618"/>
      <c r="C1025" s="618"/>
      <c r="D1025" s="619"/>
      <c r="E1025" s="618"/>
      <c r="F1025" s="618"/>
      <c r="G1025" s="594" t="s">
        <v>503</v>
      </c>
      <c r="H1025" s="501">
        <v>1.74</v>
      </c>
      <c r="I1025" s="501">
        <v>0.5</v>
      </c>
      <c r="J1025" s="500" t="s">
        <v>24</v>
      </c>
      <c r="K1025" s="501" t="s">
        <v>24</v>
      </c>
      <c r="L1025" s="776"/>
      <c r="M1025" s="618"/>
    </row>
    <row r="1026" spans="1:13">
      <c r="A1026" s="499">
        <v>46260</v>
      </c>
      <c r="B1026" s="590" t="s">
        <v>547</v>
      </c>
      <c r="C1026" s="590" t="s">
        <v>459</v>
      </c>
      <c r="D1026" s="501">
        <v>3</v>
      </c>
      <c r="E1026" s="590" t="s">
        <v>477</v>
      </c>
      <c r="F1026" s="590" t="s">
        <v>487</v>
      </c>
      <c r="G1026" s="594" t="s">
        <v>73</v>
      </c>
      <c r="H1026" s="501">
        <v>1.84</v>
      </c>
      <c r="I1026" s="501">
        <v>2.52</v>
      </c>
      <c r="J1026" s="500" t="s">
        <v>17</v>
      </c>
      <c r="K1026" s="501">
        <v>2.4</v>
      </c>
      <c r="L1026" s="590" t="s">
        <v>310</v>
      </c>
      <c r="M1026" s="590"/>
    </row>
    <row r="1027" spans="1:13">
      <c r="A1027" s="614"/>
      <c r="B1027" s="615"/>
      <c r="C1027" s="615"/>
      <c r="D1027" s="616"/>
      <c r="E1027" s="615"/>
      <c r="F1027" s="615"/>
      <c r="G1027" s="594" t="s">
        <v>75</v>
      </c>
      <c r="H1027" s="501">
        <v>1.84</v>
      </c>
      <c r="I1027" s="501">
        <v>0.21</v>
      </c>
      <c r="J1027" s="500" t="s">
        <v>22</v>
      </c>
      <c r="K1027" s="501">
        <v>2.5</v>
      </c>
      <c r="L1027" s="748"/>
      <c r="M1027" s="778"/>
    </row>
    <row r="1028" spans="1:13">
      <c r="A1028" s="617"/>
      <c r="B1028" s="618"/>
      <c r="C1028" s="618"/>
      <c r="D1028" s="619"/>
      <c r="E1028" s="618"/>
      <c r="F1028" s="618"/>
      <c r="G1028" s="594" t="s">
        <v>503</v>
      </c>
      <c r="H1028" s="501">
        <v>1.84</v>
      </c>
      <c r="I1028" s="501">
        <v>0.27</v>
      </c>
      <c r="J1028" s="500" t="s">
        <v>24</v>
      </c>
      <c r="K1028" s="501" t="s">
        <v>24</v>
      </c>
      <c r="L1028" s="751"/>
      <c r="M1028" s="779"/>
    </row>
    <row r="1029" spans="1:13">
      <c r="A1029" s="499">
        <v>46261</v>
      </c>
      <c r="B1029" s="590" t="s">
        <v>548</v>
      </c>
      <c r="C1029" s="590" t="s">
        <v>462</v>
      </c>
      <c r="D1029" s="501">
        <v>10</v>
      </c>
      <c r="E1029" s="590" t="s">
        <v>477</v>
      </c>
      <c r="F1029" s="590" t="s">
        <v>460</v>
      </c>
      <c r="G1029" s="594" t="s">
        <v>73</v>
      </c>
      <c r="H1029" s="501">
        <v>1.71</v>
      </c>
      <c r="I1029" s="501">
        <v>8.9</v>
      </c>
      <c r="J1029" s="500" t="s">
        <v>17</v>
      </c>
      <c r="K1029" s="501">
        <v>1.74</v>
      </c>
      <c r="L1029" s="590" t="s">
        <v>74</v>
      </c>
      <c r="M1029" s="590"/>
    </row>
    <row r="1030" spans="1:13">
      <c r="A1030" s="614"/>
      <c r="B1030" s="615"/>
      <c r="C1030" s="615"/>
      <c r="D1030" s="616"/>
      <c r="E1030" s="615"/>
      <c r="F1030" s="615"/>
      <c r="G1030" s="594" t="s">
        <v>75</v>
      </c>
      <c r="H1030" s="501">
        <v>1.95</v>
      </c>
      <c r="I1030" s="501">
        <v>0.35</v>
      </c>
      <c r="J1030" s="500" t="s">
        <v>22</v>
      </c>
      <c r="K1030" s="501">
        <v>1.89</v>
      </c>
      <c r="L1030" s="748"/>
      <c r="M1030" s="778"/>
    </row>
    <row r="1031" spans="1:13">
      <c r="A1031" s="617"/>
      <c r="B1031" s="618"/>
      <c r="C1031" s="618"/>
      <c r="D1031" s="619"/>
      <c r="E1031" s="618"/>
      <c r="F1031" s="618"/>
      <c r="G1031" s="594" t="s">
        <v>503</v>
      </c>
      <c r="H1031" s="501">
        <v>2.45</v>
      </c>
      <c r="I1031" s="501">
        <v>0.75</v>
      </c>
      <c r="J1031" s="500" t="s">
        <v>24</v>
      </c>
      <c r="K1031" s="501" t="s">
        <v>24</v>
      </c>
      <c r="L1031" s="751"/>
      <c r="M1031" s="779"/>
    </row>
    <row r="1032" spans="1:13">
      <c r="A1032" s="499">
        <v>46259</v>
      </c>
      <c r="B1032" s="590" t="s">
        <v>549</v>
      </c>
      <c r="C1032" s="590" t="s">
        <v>462</v>
      </c>
      <c r="D1032" s="501">
        <v>10</v>
      </c>
      <c r="E1032" s="590" t="s">
        <v>481</v>
      </c>
      <c r="F1032" s="590" t="s">
        <v>550</v>
      </c>
      <c r="G1032" s="594" t="s">
        <v>73</v>
      </c>
      <c r="H1032" s="501">
        <v>0.92</v>
      </c>
      <c r="I1032" s="501">
        <v>8.6</v>
      </c>
      <c r="J1032" s="500" t="s">
        <v>17</v>
      </c>
      <c r="K1032" s="501">
        <v>1.56</v>
      </c>
      <c r="L1032" s="590" t="s">
        <v>60</v>
      </c>
      <c r="M1032" s="591" t="s">
        <v>403</v>
      </c>
    </row>
    <row r="1033" spans="1:13">
      <c r="A1033" s="614"/>
      <c r="B1033" s="615"/>
      <c r="C1033" s="615"/>
      <c r="D1033" s="616"/>
      <c r="E1033" s="615"/>
      <c r="F1033" s="615"/>
      <c r="G1033" s="594" t="s">
        <v>75</v>
      </c>
      <c r="H1033" s="501">
        <v>0.92</v>
      </c>
      <c r="I1033" s="501">
        <v>0.55</v>
      </c>
      <c r="J1033" s="500" t="s">
        <v>22</v>
      </c>
      <c r="K1033" s="501">
        <v>1.6</v>
      </c>
      <c r="L1033" s="748"/>
      <c r="M1033" s="527"/>
    </row>
    <row r="1034" spans="1:13">
      <c r="A1034" s="614"/>
      <c r="B1034" s="615"/>
      <c r="C1034" s="615"/>
      <c r="D1034" s="616"/>
      <c r="E1034" s="615"/>
      <c r="F1034" s="615"/>
      <c r="G1034" s="594" t="s">
        <v>90</v>
      </c>
      <c r="H1034" s="501">
        <v>0.92</v>
      </c>
      <c r="I1034" s="501">
        <v>0.35</v>
      </c>
      <c r="J1034" s="500" t="s">
        <v>44</v>
      </c>
      <c r="K1034" s="501">
        <v>2.8</v>
      </c>
      <c r="L1034" s="748"/>
      <c r="M1034" s="527"/>
    </row>
    <row r="1035" spans="1:13">
      <c r="A1035" s="617"/>
      <c r="B1035" s="618"/>
      <c r="C1035" s="618"/>
      <c r="D1035" s="619"/>
      <c r="E1035" s="618"/>
      <c r="F1035" s="618"/>
      <c r="G1035" s="594" t="s">
        <v>503</v>
      </c>
      <c r="H1035" s="501">
        <v>3.75</v>
      </c>
      <c r="I1035" s="501">
        <v>0.5</v>
      </c>
      <c r="J1035" s="500" t="s">
        <v>24</v>
      </c>
      <c r="K1035" s="501" t="s">
        <v>24</v>
      </c>
      <c r="L1035" s="751"/>
      <c r="M1035" s="527"/>
    </row>
    <row r="1036" spans="1:13">
      <c r="A1036" s="499">
        <v>46254</v>
      </c>
      <c r="B1036" s="590" t="s">
        <v>551</v>
      </c>
      <c r="C1036" s="590" t="s">
        <v>459</v>
      </c>
      <c r="D1036" s="501">
        <v>8</v>
      </c>
      <c r="E1036" s="590" t="s">
        <v>552</v>
      </c>
      <c r="F1036" s="590" t="s">
        <v>474</v>
      </c>
      <c r="G1036" s="594" t="s">
        <v>73</v>
      </c>
      <c r="H1036" s="501">
        <v>1.99</v>
      </c>
      <c r="I1036" s="501">
        <v>6.76</v>
      </c>
      <c r="J1036" s="500" t="s">
        <v>17</v>
      </c>
      <c r="K1036" s="501">
        <v>2.4</v>
      </c>
      <c r="L1036" s="590" t="s">
        <v>67</v>
      </c>
      <c r="M1036" s="590"/>
    </row>
    <row r="1037" spans="1:13">
      <c r="A1037" s="614"/>
      <c r="B1037" s="615"/>
      <c r="C1037" s="615"/>
      <c r="D1037" s="616"/>
      <c r="E1037" s="615"/>
      <c r="F1037" s="615"/>
      <c r="G1037" s="594" t="s">
        <v>75</v>
      </c>
      <c r="H1037" s="501">
        <v>1.99</v>
      </c>
      <c r="I1037" s="501">
        <v>0.32</v>
      </c>
      <c r="J1037" s="500" t="s">
        <v>22</v>
      </c>
      <c r="K1037" s="501">
        <v>2.8</v>
      </c>
      <c r="L1037" s="748"/>
      <c r="M1037" s="778"/>
    </row>
    <row r="1038" spans="1:13">
      <c r="A1038" s="614"/>
      <c r="B1038" s="615"/>
      <c r="C1038" s="615"/>
      <c r="D1038" s="616"/>
      <c r="E1038" s="615"/>
      <c r="F1038" s="615"/>
      <c r="G1038" s="594" t="s">
        <v>90</v>
      </c>
      <c r="H1038" s="501">
        <v>1.99</v>
      </c>
      <c r="I1038" s="501">
        <v>0.36</v>
      </c>
      <c r="J1038" s="500" t="s">
        <v>44</v>
      </c>
      <c r="K1038" s="501">
        <v>4</v>
      </c>
      <c r="L1038" s="748"/>
      <c r="M1038" s="778"/>
    </row>
    <row r="1039" spans="1:13">
      <c r="A1039" s="617"/>
      <c r="B1039" s="618"/>
      <c r="C1039" s="618"/>
      <c r="D1039" s="619"/>
      <c r="E1039" s="618"/>
      <c r="F1039" s="618"/>
      <c r="G1039" s="594" t="s">
        <v>503</v>
      </c>
      <c r="H1039" s="501">
        <v>1.99</v>
      </c>
      <c r="I1039" s="501">
        <v>0.56</v>
      </c>
      <c r="J1039" s="500" t="s">
        <v>24</v>
      </c>
      <c r="K1039" s="501" t="s">
        <v>24</v>
      </c>
      <c r="L1039" s="751"/>
      <c r="M1039" s="779"/>
    </row>
    <row r="1040" spans="1:13">
      <c r="A1040" s="499">
        <v>46255</v>
      </c>
      <c r="B1040" s="590" t="s">
        <v>553</v>
      </c>
      <c r="C1040" s="590" t="s">
        <v>462</v>
      </c>
      <c r="D1040" s="501">
        <v>10</v>
      </c>
      <c r="E1040" s="590" t="s">
        <v>477</v>
      </c>
      <c r="F1040" s="590" t="s">
        <v>487</v>
      </c>
      <c r="G1040" s="594" t="s">
        <v>73</v>
      </c>
      <c r="H1040" s="501">
        <v>1.47</v>
      </c>
      <c r="I1040" s="501">
        <v>8.9</v>
      </c>
      <c r="J1040" s="500" t="s">
        <v>17</v>
      </c>
      <c r="K1040" s="501">
        <v>1.75</v>
      </c>
      <c r="L1040" s="590" t="s">
        <v>74</v>
      </c>
      <c r="M1040" s="590"/>
    </row>
    <row r="1041" spans="1:13">
      <c r="A1041" s="614"/>
      <c r="B1041" s="615"/>
      <c r="C1041" s="615"/>
      <c r="D1041" s="616"/>
      <c r="E1041" s="615"/>
      <c r="F1041" s="615"/>
      <c r="G1041" s="594" t="s">
        <v>75</v>
      </c>
      <c r="H1041" s="501">
        <v>1.72</v>
      </c>
      <c r="I1041" s="501">
        <v>0.35</v>
      </c>
      <c r="J1041" s="500" t="s">
        <v>22</v>
      </c>
      <c r="K1041" s="501">
        <v>1.89</v>
      </c>
      <c r="L1041" s="748"/>
      <c r="M1041" s="778"/>
    </row>
    <row r="1042" spans="1:13">
      <c r="A1042" s="617"/>
      <c r="B1042" s="618"/>
      <c r="C1042" s="618"/>
      <c r="D1042" s="619"/>
      <c r="E1042" s="618"/>
      <c r="F1042" s="618"/>
      <c r="G1042" s="594" t="s">
        <v>503</v>
      </c>
      <c r="H1042" s="501">
        <v>2.2</v>
      </c>
      <c r="I1042" s="501">
        <v>0.75</v>
      </c>
      <c r="J1042" s="500" t="s">
        <v>24</v>
      </c>
      <c r="K1042" s="501" t="s">
        <v>24</v>
      </c>
      <c r="L1042" s="751"/>
      <c r="M1042" s="779"/>
    </row>
    <row r="1043" spans="1:13">
      <c r="A1043" s="499">
        <v>46259</v>
      </c>
      <c r="B1043" s="590" t="s">
        <v>554</v>
      </c>
      <c r="C1043" s="590" t="s">
        <v>462</v>
      </c>
      <c r="D1043" s="501">
        <v>10</v>
      </c>
      <c r="E1043" s="590" t="s">
        <v>477</v>
      </c>
      <c r="F1043" s="590" t="s">
        <v>487</v>
      </c>
      <c r="G1043" s="594" t="s">
        <v>73</v>
      </c>
      <c r="H1043" s="501">
        <v>1.71</v>
      </c>
      <c r="I1043" s="501">
        <v>8.9</v>
      </c>
      <c r="J1043" s="500" t="s">
        <v>17</v>
      </c>
      <c r="K1043" s="501">
        <v>1.75</v>
      </c>
      <c r="L1043" s="590" t="s">
        <v>74</v>
      </c>
      <c r="M1043" s="590"/>
    </row>
    <row r="1044" spans="1:13">
      <c r="A1044" s="614"/>
      <c r="B1044" s="615"/>
      <c r="C1044" s="615"/>
      <c r="D1044" s="616"/>
      <c r="E1044" s="615"/>
      <c r="F1044" s="615"/>
      <c r="G1044" s="594" t="s">
        <v>75</v>
      </c>
      <c r="H1044" s="501">
        <v>1.94</v>
      </c>
      <c r="I1044" s="501">
        <v>0.35</v>
      </c>
      <c r="J1044" s="500" t="s">
        <v>22</v>
      </c>
      <c r="K1044" s="501">
        <v>1.89</v>
      </c>
      <c r="L1044" s="748"/>
      <c r="M1044" s="778"/>
    </row>
    <row r="1045" spans="1:13">
      <c r="A1045" s="617"/>
      <c r="B1045" s="618"/>
      <c r="C1045" s="618"/>
      <c r="D1045" s="619"/>
      <c r="E1045" s="618"/>
      <c r="F1045" s="618"/>
      <c r="G1045" s="594" t="s">
        <v>503</v>
      </c>
      <c r="H1045" s="501">
        <v>2.45</v>
      </c>
      <c r="I1045" s="501">
        <v>0.75</v>
      </c>
      <c r="J1045" s="500" t="s">
        <v>24</v>
      </c>
      <c r="K1045" s="501" t="s">
        <v>24</v>
      </c>
      <c r="L1045" s="751"/>
      <c r="M1045" s="779"/>
    </row>
    <row r="1046" spans="1:13">
      <c r="A1046" s="499">
        <v>46255</v>
      </c>
      <c r="B1046" s="590" t="s">
        <v>555</v>
      </c>
      <c r="C1046" s="590" t="s">
        <v>462</v>
      </c>
      <c r="D1046" s="501">
        <v>4</v>
      </c>
      <c r="E1046" s="590" t="s">
        <v>477</v>
      </c>
      <c r="F1046" s="590" t="s">
        <v>523</v>
      </c>
      <c r="G1046" s="545" t="s">
        <v>158</v>
      </c>
      <c r="H1046" s="501">
        <v>1.03</v>
      </c>
      <c r="I1046" s="501">
        <v>3.6</v>
      </c>
      <c r="J1046" s="500" t="s">
        <v>17</v>
      </c>
      <c r="K1046" s="501">
        <v>1.58</v>
      </c>
      <c r="L1046" s="590" t="s">
        <v>112</v>
      </c>
      <c r="M1046" s="590"/>
    </row>
    <row r="1047" spans="1:13">
      <c r="A1047" s="614"/>
      <c r="B1047" s="615"/>
      <c r="C1047" s="615"/>
      <c r="D1047" s="616"/>
      <c r="E1047" s="615"/>
      <c r="F1047" s="615"/>
      <c r="G1047" s="545" t="s">
        <v>159</v>
      </c>
      <c r="H1047" s="501">
        <v>1.03</v>
      </c>
      <c r="I1047" s="501">
        <v>0.2</v>
      </c>
      <c r="J1047" s="500" t="s">
        <v>22</v>
      </c>
      <c r="K1047" s="501">
        <v>1.63</v>
      </c>
      <c r="L1047" s="748"/>
      <c r="M1047" s="778"/>
    </row>
    <row r="1048" spans="1:13">
      <c r="A1048" s="614"/>
      <c r="B1048" s="615"/>
      <c r="C1048" s="615"/>
      <c r="D1048" s="616"/>
      <c r="E1048" s="615"/>
      <c r="F1048" s="615"/>
      <c r="G1048" s="545" t="s">
        <v>113</v>
      </c>
      <c r="H1048" s="501">
        <v>3</v>
      </c>
      <c r="I1048" s="501">
        <v>0.08</v>
      </c>
      <c r="J1048" s="500" t="s">
        <v>24</v>
      </c>
      <c r="K1048" s="501" t="s">
        <v>24</v>
      </c>
      <c r="L1048" s="748"/>
      <c r="M1048" s="778"/>
    </row>
    <row r="1049" spans="1:13">
      <c r="A1049" s="617"/>
      <c r="B1049" s="618"/>
      <c r="C1049" s="618"/>
      <c r="D1049" s="619"/>
      <c r="E1049" s="618"/>
      <c r="F1049" s="618"/>
      <c r="G1049" s="545" t="s">
        <v>114</v>
      </c>
      <c r="H1049" s="501">
        <v>3</v>
      </c>
      <c r="I1049" s="501">
        <v>0.12</v>
      </c>
      <c r="J1049" s="500" t="s">
        <v>24</v>
      </c>
      <c r="K1049" s="501" t="s">
        <v>24</v>
      </c>
      <c r="L1049" s="751"/>
      <c r="M1049" s="779"/>
    </row>
    <row r="1050" spans="1:13">
      <c r="A1050" s="499">
        <v>46260</v>
      </c>
      <c r="B1050" s="590" t="s">
        <v>556</v>
      </c>
      <c r="C1050" s="590" t="s">
        <v>462</v>
      </c>
      <c r="D1050" s="501">
        <v>10</v>
      </c>
      <c r="E1050" s="590" t="s">
        <v>477</v>
      </c>
      <c r="F1050" s="590" t="s">
        <v>482</v>
      </c>
      <c r="G1050" s="594" t="s">
        <v>73</v>
      </c>
      <c r="H1050" s="501">
        <v>1.71</v>
      </c>
      <c r="I1050" s="501">
        <v>8.9</v>
      </c>
      <c r="J1050" s="500" t="s">
        <v>17</v>
      </c>
      <c r="K1050" s="501">
        <v>1.75</v>
      </c>
      <c r="L1050" s="590" t="s">
        <v>74</v>
      </c>
      <c r="M1050" s="590"/>
    </row>
    <row r="1051" spans="1:13">
      <c r="A1051" s="614"/>
      <c r="B1051" s="615"/>
      <c r="C1051" s="615"/>
      <c r="D1051" s="616"/>
      <c r="E1051" s="615"/>
      <c r="F1051" s="615"/>
      <c r="G1051" s="594" t="s">
        <v>75</v>
      </c>
      <c r="H1051" s="501">
        <v>1.95</v>
      </c>
      <c r="I1051" s="501">
        <v>0.35</v>
      </c>
      <c r="J1051" s="500" t="s">
        <v>22</v>
      </c>
      <c r="K1051" s="501">
        <v>1.89</v>
      </c>
      <c r="L1051" s="748"/>
      <c r="M1051" s="778"/>
    </row>
    <row r="1052" spans="1:13">
      <c r="A1052" s="617"/>
      <c r="B1052" s="618"/>
      <c r="C1052" s="618"/>
      <c r="D1052" s="619"/>
      <c r="E1052" s="618"/>
      <c r="F1052" s="618"/>
      <c r="G1052" s="594" t="s">
        <v>503</v>
      </c>
      <c r="H1052" s="501">
        <v>2.45</v>
      </c>
      <c r="I1052" s="501">
        <v>0.75</v>
      </c>
      <c r="J1052" s="500" t="s">
        <v>24</v>
      </c>
      <c r="K1052" s="501" t="s">
        <v>24</v>
      </c>
      <c r="L1052" s="751"/>
      <c r="M1052" s="779"/>
    </row>
    <row r="1053" spans="1:13">
      <c r="A1053" s="593">
        <v>46262</v>
      </c>
      <c r="B1053" s="594" t="s">
        <v>557</v>
      </c>
      <c r="C1053" s="594" t="s">
        <v>459</v>
      </c>
      <c r="D1053" s="595">
        <v>10</v>
      </c>
      <c r="E1053" s="594" t="s">
        <v>486</v>
      </c>
      <c r="F1053" s="594" t="s">
        <v>487</v>
      </c>
      <c r="G1053" s="622" t="s">
        <v>73</v>
      </c>
      <c r="H1053" s="629">
        <v>1.08</v>
      </c>
      <c r="I1053" s="629">
        <v>8.24</v>
      </c>
      <c r="J1053" s="596" t="s">
        <v>17</v>
      </c>
      <c r="K1053" s="595">
        <v>1.57</v>
      </c>
      <c r="L1053" s="594" t="s">
        <v>60</v>
      </c>
      <c r="M1053" s="591" t="s">
        <v>372</v>
      </c>
    </row>
    <row r="1054" spans="1:13">
      <c r="A1054" s="593"/>
      <c r="B1054" s="596"/>
      <c r="C1054" s="596"/>
      <c r="D1054" s="595"/>
      <c r="E1054" s="596"/>
      <c r="F1054" s="596"/>
      <c r="G1054" s="622" t="s">
        <v>75</v>
      </c>
      <c r="H1054" s="629">
        <v>1.08</v>
      </c>
      <c r="I1054" s="629">
        <v>0.52</v>
      </c>
      <c r="J1054" s="596" t="s">
        <v>22</v>
      </c>
      <c r="K1054" s="595">
        <v>1.6</v>
      </c>
      <c r="L1054" s="594"/>
      <c r="M1054" s="527"/>
    </row>
    <row r="1055" spans="1:13">
      <c r="A1055" s="593"/>
      <c r="B1055" s="596"/>
      <c r="C1055" s="596"/>
      <c r="D1055" s="595"/>
      <c r="E1055" s="596"/>
      <c r="F1055" s="596"/>
      <c r="G1055" s="622" t="s">
        <v>90</v>
      </c>
      <c r="H1055" s="629">
        <v>1.08</v>
      </c>
      <c r="I1055" s="629">
        <v>0.4</v>
      </c>
      <c r="J1055" s="596" t="s">
        <v>44</v>
      </c>
      <c r="K1055" s="595">
        <v>2.8</v>
      </c>
      <c r="L1055" s="594"/>
      <c r="M1055" s="527"/>
    </row>
    <row r="1056" spans="1:13">
      <c r="A1056" s="593"/>
      <c r="B1056" s="596"/>
      <c r="C1056" s="596"/>
      <c r="D1056" s="595"/>
      <c r="E1056" s="596"/>
      <c r="F1056" s="596"/>
      <c r="G1056" s="622" t="s">
        <v>503</v>
      </c>
      <c r="H1056" s="629">
        <v>2</v>
      </c>
      <c r="I1056" s="629">
        <v>0.84</v>
      </c>
      <c r="J1056" s="596" t="s">
        <v>24</v>
      </c>
      <c r="K1056" s="595" t="s">
        <v>24</v>
      </c>
      <c r="L1056" s="594"/>
      <c r="M1056" s="527"/>
    </row>
    <row r="1057" spans="1:13">
      <c r="A1057" s="593">
        <v>46262</v>
      </c>
      <c r="B1057" s="594" t="s">
        <v>558</v>
      </c>
      <c r="C1057" s="594" t="s">
        <v>459</v>
      </c>
      <c r="D1057" s="595">
        <v>10</v>
      </c>
      <c r="E1057" s="594" t="s">
        <v>486</v>
      </c>
      <c r="F1057" s="594" t="s">
        <v>487</v>
      </c>
      <c r="G1057" s="622" t="s">
        <v>73</v>
      </c>
      <c r="H1057" s="629">
        <v>1.08</v>
      </c>
      <c r="I1057" s="629">
        <v>8.24</v>
      </c>
      <c r="J1057" s="596" t="s">
        <v>17</v>
      </c>
      <c r="K1057" s="595">
        <v>1.57</v>
      </c>
      <c r="L1057" s="594" t="s">
        <v>60</v>
      </c>
      <c r="M1057" s="591" t="s">
        <v>372</v>
      </c>
    </row>
    <row r="1058" spans="1:13">
      <c r="A1058" s="593"/>
      <c r="B1058" s="596"/>
      <c r="C1058" s="596"/>
      <c r="D1058" s="595"/>
      <c r="E1058" s="596"/>
      <c r="F1058" s="596"/>
      <c r="G1058" s="622" t="s">
        <v>75</v>
      </c>
      <c r="H1058" s="629">
        <v>1.08</v>
      </c>
      <c r="I1058" s="629">
        <v>0.52</v>
      </c>
      <c r="J1058" s="596" t="s">
        <v>22</v>
      </c>
      <c r="K1058" s="595">
        <v>1.6</v>
      </c>
      <c r="L1058" s="594"/>
      <c r="M1058" s="527"/>
    </row>
    <row r="1059" spans="1:13">
      <c r="A1059" s="593"/>
      <c r="B1059" s="596"/>
      <c r="C1059" s="596"/>
      <c r="D1059" s="595"/>
      <c r="E1059" s="596"/>
      <c r="F1059" s="596"/>
      <c r="G1059" s="622" t="s">
        <v>90</v>
      </c>
      <c r="H1059" s="629">
        <v>1.08</v>
      </c>
      <c r="I1059" s="629">
        <v>0.4</v>
      </c>
      <c r="J1059" s="596" t="s">
        <v>44</v>
      </c>
      <c r="K1059" s="595">
        <v>2.8</v>
      </c>
      <c r="L1059" s="594"/>
      <c r="M1059" s="527"/>
    </row>
    <row r="1060" spans="1:13">
      <c r="A1060" s="593"/>
      <c r="B1060" s="596"/>
      <c r="C1060" s="596"/>
      <c r="D1060" s="595"/>
      <c r="E1060" s="596"/>
      <c r="F1060" s="596"/>
      <c r="G1060" s="622" t="s">
        <v>503</v>
      </c>
      <c r="H1060" s="629">
        <v>2</v>
      </c>
      <c r="I1060" s="629">
        <v>0.84</v>
      </c>
      <c r="J1060" s="596" t="s">
        <v>24</v>
      </c>
      <c r="K1060" s="595" t="s">
        <v>24</v>
      </c>
      <c r="L1060" s="594"/>
      <c r="M1060" s="527"/>
    </row>
    <row r="1061" spans="1:13">
      <c r="A1061" s="593">
        <v>46262</v>
      </c>
      <c r="B1061" s="594" t="s">
        <v>559</v>
      </c>
      <c r="C1061" s="594" t="s">
        <v>459</v>
      </c>
      <c r="D1061" s="595">
        <v>5</v>
      </c>
      <c r="E1061" s="594" t="s">
        <v>486</v>
      </c>
      <c r="F1061" s="594" t="s">
        <v>460</v>
      </c>
      <c r="G1061" s="573" t="s">
        <v>158</v>
      </c>
      <c r="H1061" s="629">
        <v>0.99</v>
      </c>
      <c r="I1061" s="629">
        <v>4.07</v>
      </c>
      <c r="J1061" s="596" t="s">
        <v>17</v>
      </c>
      <c r="K1061" s="595">
        <v>1.62</v>
      </c>
      <c r="L1061" s="594" t="s">
        <v>27</v>
      </c>
      <c r="M1061" s="573" t="s">
        <v>254</v>
      </c>
    </row>
    <row r="1062" spans="1:13">
      <c r="A1062" s="593"/>
      <c r="B1062" s="596"/>
      <c r="C1062" s="596"/>
      <c r="D1062" s="595"/>
      <c r="E1062" s="596"/>
      <c r="F1062" s="596"/>
      <c r="G1062" s="573" t="s">
        <v>159</v>
      </c>
      <c r="H1062" s="629">
        <v>0.99</v>
      </c>
      <c r="I1062" s="596">
        <v>0.285</v>
      </c>
      <c r="J1062" s="596" t="s">
        <v>22</v>
      </c>
      <c r="K1062" s="595">
        <v>1.63</v>
      </c>
      <c r="L1062" s="594"/>
      <c r="M1062" s="545"/>
    </row>
    <row r="1063" spans="1:13">
      <c r="A1063" s="593"/>
      <c r="B1063" s="596"/>
      <c r="C1063" s="596"/>
      <c r="D1063" s="595"/>
      <c r="E1063" s="596"/>
      <c r="F1063" s="596"/>
      <c r="G1063" s="573" t="s">
        <v>509</v>
      </c>
      <c r="H1063" s="629">
        <v>1.5</v>
      </c>
      <c r="I1063" s="596">
        <v>0.395</v>
      </c>
      <c r="J1063" s="596" t="s">
        <v>44</v>
      </c>
      <c r="K1063" s="595">
        <v>3</v>
      </c>
      <c r="L1063" s="594"/>
      <c r="M1063" s="545"/>
    </row>
    <row r="1064" spans="1:13">
      <c r="A1064" s="593"/>
      <c r="B1064" s="596"/>
      <c r="C1064" s="596"/>
      <c r="D1064" s="595"/>
      <c r="E1064" s="596"/>
      <c r="F1064" s="596"/>
      <c r="G1064" s="573" t="s">
        <v>503</v>
      </c>
      <c r="H1064" s="629">
        <v>1.5</v>
      </c>
      <c r="I1064" s="629">
        <v>0.25</v>
      </c>
      <c r="J1064" s="596" t="s">
        <v>24</v>
      </c>
      <c r="K1064" s="595" t="s">
        <v>24</v>
      </c>
      <c r="L1064" s="594"/>
      <c r="M1064" s="545"/>
    </row>
    <row r="1065" spans="1:13">
      <c r="A1065" s="593">
        <v>46262</v>
      </c>
      <c r="B1065" s="594" t="s">
        <v>560</v>
      </c>
      <c r="C1065" s="594" t="s">
        <v>462</v>
      </c>
      <c r="D1065" s="595">
        <v>10</v>
      </c>
      <c r="E1065" s="594" t="s">
        <v>477</v>
      </c>
      <c r="F1065" s="594" t="s">
        <v>523</v>
      </c>
      <c r="G1065" s="573" t="s">
        <v>158</v>
      </c>
      <c r="H1065" s="629">
        <v>1.92</v>
      </c>
      <c r="I1065" s="629">
        <v>9</v>
      </c>
      <c r="J1065" s="596" t="s">
        <v>17</v>
      </c>
      <c r="K1065" s="595">
        <v>1.8</v>
      </c>
      <c r="L1065" s="594" t="s">
        <v>35</v>
      </c>
      <c r="M1065" s="596" t="s">
        <v>561</v>
      </c>
    </row>
    <row r="1066" spans="1:13">
      <c r="A1066" s="593"/>
      <c r="B1066" s="596"/>
      <c r="C1066" s="596"/>
      <c r="D1066" s="595"/>
      <c r="E1066" s="596"/>
      <c r="F1066" s="596"/>
      <c r="G1066" s="573" t="s">
        <v>159</v>
      </c>
      <c r="H1066" s="629">
        <v>1.92</v>
      </c>
      <c r="I1066" s="629">
        <v>0.3</v>
      </c>
      <c r="J1066" s="596" t="s">
        <v>22</v>
      </c>
      <c r="K1066" s="595">
        <v>1.92</v>
      </c>
      <c r="L1066" s="594"/>
      <c r="M1066" s="596"/>
    </row>
    <row r="1067" spans="1:13">
      <c r="A1067" s="593"/>
      <c r="B1067" s="596"/>
      <c r="C1067" s="596"/>
      <c r="D1067" s="595"/>
      <c r="E1067" s="596"/>
      <c r="F1067" s="596"/>
      <c r="G1067" s="573" t="s">
        <v>509</v>
      </c>
      <c r="H1067" s="629">
        <v>1.92</v>
      </c>
      <c r="I1067" s="629">
        <v>0.2</v>
      </c>
      <c r="J1067" s="596" t="s">
        <v>64</v>
      </c>
      <c r="K1067" s="595">
        <v>3.2</v>
      </c>
      <c r="L1067" s="594"/>
      <c r="M1067" s="596"/>
    </row>
    <row r="1068" spans="1:13">
      <c r="A1068" s="593"/>
      <c r="B1068" s="596"/>
      <c r="C1068" s="596"/>
      <c r="D1068" s="595"/>
      <c r="E1068" s="596"/>
      <c r="F1068" s="596"/>
      <c r="G1068" s="573" t="s">
        <v>503</v>
      </c>
      <c r="H1068" s="629">
        <v>3.83</v>
      </c>
      <c r="I1068" s="629">
        <v>0.5</v>
      </c>
      <c r="J1068" s="596" t="s">
        <v>24</v>
      </c>
      <c r="K1068" s="595" t="s">
        <v>24</v>
      </c>
      <c r="L1068" s="594"/>
      <c r="M1068" s="596"/>
    </row>
    <row r="1069" spans="1:13">
      <c r="A1069" s="593">
        <v>46262</v>
      </c>
      <c r="B1069" s="594" t="s">
        <v>562</v>
      </c>
      <c r="C1069" s="594" t="s">
        <v>462</v>
      </c>
      <c r="D1069" s="595">
        <v>10</v>
      </c>
      <c r="E1069" s="594" t="s">
        <v>477</v>
      </c>
      <c r="F1069" s="594" t="s">
        <v>474</v>
      </c>
      <c r="G1069" s="622" t="s">
        <v>220</v>
      </c>
      <c r="H1069" s="629">
        <v>1.08</v>
      </c>
      <c r="I1069" s="629">
        <v>7.2</v>
      </c>
      <c r="J1069" s="596" t="s">
        <v>17</v>
      </c>
      <c r="K1069" s="595">
        <v>1.74</v>
      </c>
      <c r="L1069" s="594" t="s">
        <v>41</v>
      </c>
      <c r="M1069" s="596"/>
    </row>
    <row r="1070" spans="1:13">
      <c r="A1070" s="593"/>
      <c r="B1070" s="596"/>
      <c r="C1070" s="596"/>
      <c r="D1070" s="595"/>
      <c r="E1070" s="596"/>
      <c r="F1070" s="596"/>
      <c r="G1070" s="622" t="s">
        <v>221</v>
      </c>
      <c r="H1070" s="629">
        <v>1.25</v>
      </c>
      <c r="I1070" s="629">
        <v>1.5</v>
      </c>
      <c r="J1070" s="596" t="s">
        <v>17</v>
      </c>
      <c r="K1070" s="595">
        <v>1.78</v>
      </c>
      <c r="L1070" s="594"/>
      <c r="M1070" s="596"/>
    </row>
    <row r="1071" spans="1:13">
      <c r="A1071" s="593"/>
      <c r="B1071" s="596"/>
      <c r="C1071" s="596"/>
      <c r="D1071" s="595"/>
      <c r="E1071" s="596"/>
      <c r="F1071" s="596"/>
      <c r="G1071" s="622" t="s">
        <v>75</v>
      </c>
      <c r="H1071" s="629">
        <v>1.28</v>
      </c>
      <c r="I1071" s="629">
        <v>0.4</v>
      </c>
      <c r="J1071" s="596" t="s">
        <v>22</v>
      </c>
      <c r="K1071" s="595">
        <v>1.85</v>
      </c>
      <c r="L1071" s="594"/>
      <c r="M1071" s="596"/>
    </row>
    <row r="1072" spans="1:13">
      <c r="A1072" s="593"/>
      <c r="B1072" s="596"/>
      <c r="C1072" s="596"/>
      <c r="D1072" s="595"/>
      <c r="E1072" s="596"/>
      <c r="F1072" s="596"/>
      <c r="G1072" s="780" t="s">
        <v>90</v>
      </c>
      <c r="H1072" s="629">
        <v>1.37</v>
      </c>
      <c r="I1072" s="629">
        <v>0.4</v>
      </c>
      <c r="J1072" s="596" t="s">
        <v>44</v>
      </c>
      <c r="K1072" s="595">
        <v>4.4</v>
      </c>
      <c r="L1072" s="594"/>
      <c r="M1072" s="596"/>
    </row>
    <row r="1073" spans="1:14">
      <c r="A1073" s="593"/>
      <c r="B1073" s="596"/>
      <c r="C1073" s="596"/>
      <c r="D1073" s="595"/>
      <c r="E1073" s="596"/>
      <c r="F1073" s="596"/>
      <c r="G1073" s="622" t="s">
        <v>503</v>
      </c>
      <c r="H1073" s="629">
        <v>1.74</v>
      </c>
      <c r="I1073" s="629">
        <v>0.5</v>
      </c>
      <c r="J1073" s="596" t="s">
        <v>24</v>
      </c>
      <c r="K1073" s="595" t="s">
        <v>24</v>
      </c>
      <c r="L1073" s="594"/>
      <c r="M1073" s="596"/>
    </row>
    <row r="1074" spans="1:14">
      <c r="A1074" s="593">
        <v>46261</v>
      </c>
      <c r="B1074" s="594" t="s">
        <v>563</v>
      </c>
      <c r="C1074" s="594" t="s">
        <v>459</v>
      </c>
      <c r="D1074" s="595">
        <v>5</v>
      </c>
      <c r="E1074" s="594" t="s">
        <v>486</v>
      </c>
      <c r="F1074" s="594" t="s">
        <v>460</v>
      </c>
      <c r="G1074" s="622" t="s">
        <v>220</v>
      </c>
      <c r="H1074" s="629">
        <v>0.63</v>
      </c>
      <c r="I1074" s="629">
        <v>1.5</v>
      </c>
      <c r="J1074" s="596" t="s">
        <v>17</v>
      </c>
      <c r="K1074" s="595">
        <v>2.3</v>
      </c>
      <c r="L1074" s="594" t="s">
        <v>48</v>
      </c>
      <c r="M1074" s="596"/>
    </row>
    <row r="1075" spans="1:14">
      <c r="A1075" s="593"/>
      <c r="B1075" s="596"/>
      <c r="C1075" s="596"/>
      <c r="D1075" s="595"/>
      <c r="E1075" s="596"/>
      <c r="F1075" s="596"/>
      <c r="G1075" s="622" t="s">
        <v>221</v>
      </c>
      <c r="H1075" s="629">
        <v>1.55</v>
      </c>
      <c r="I1075" s="629">
        <v>2</v>
      </c>
      <c r="J1075" s="596" t="s">
        <v>17</v>
      </c>
      <c r="K1075" s="595">
        <v>2.6</v>
      </c>
      <c r="L1075" s="594"/>
      <c r="M1075" s="596"/>
    </row>
    <row r="1076" spans="1:14">
      <c r="A1076" s="593"/>
      <c r="B1076" s="596"/>
      <c r="C1076" s="596"/>
      <c r="D1076" s="595"/>
      <c r="E1076" s="596"/>
      <c r="F1076" s="596"/>
      <c r="G1076" s="622" t="s">
        <v>564</v>
      </c>
      <c r="H1076" s="629">
        <v>2.48</v>
      </c>
      <c r="I1076" s="596">
        <v>1.425</v>
      </c>
      <c r="J1076" s="596" t="s">
        <v>17</v>
      </c>
      <c r="K1076" s="595">
        <v>3.3</v>
      </c>
      <c r="L1076" s="594"/>
      <c r="M1076" s="596"/>
    </row>
    <row r="1077" spans="1:14">
      <c r="A1077" s="593"/>
      <c r="B1077" s="596"/>
      <c r="C1077" s="596"/>
      <c r="D1077" s="595"/>
      <c r="E1077" s="596"/>
      <c r="F1077" s="596"/>
      <c r="G1077" s="622" t="s">
        <v>503</v>
      </c>
      <c r="H1077" s="629">
        <v>3.22</v>
      </c>
      <c r="I1077" s="596">
        <v>0.075</v>
      </c>
      <c r="J1077" s="596" t="s">
        <v>24</v>
      </c>
      <c r="K1077" s="595" t="s">
        <v>24</v>
      </c>
      <c r="L1077" s="594"/>
      <c r="M1077" s="596"/>
    </row>
    <row r="1078" spans="1:14">
      <c r="A1078" s="593">
        <v>46261</v>
      </c>
      <c r="B1078" s="594" t="s">
        <v>565</v>
      </c>
      <c r="C1078" s="594" t="s">
        <v>459</v>
      </c>
      <c r="D1078" s="595">
        <v>5</v>
      </c>
      <c r="E1078" s="594" t="s">
        <v>521</v>
      </c>
      <c r="F1078" s="594" t="s">
        <v>486</v>
      </c>
      <c r="G1078" s="622" t="s">
        <v>220</v>
      </c>
      <c r="H1078" s="629">
        <v>1</v>
      </c>
      <c r="I1078" s="629">
        <v>1.5</v>
      </c>
      <c r="J1078" s="596" t="s">
        <v>17</v>
      </c>
      <c r="K1078" s="595">
        <v>1.6</v>
      </c>
      <c r="L1078" s="594" t="s">
        <v>86</v>
      </c>
      <c r="M1078" s="590" t="s">
        <v>525</v>
      </c>
    </row>
    <row r="1079" spans="1:14">
      <c r="A1079" s="593"/>
      <c r="B1079" s="596"/>
      <c r="C1079" s="596"/>
      <c r="D1079" s="595"/>
      <c r="E1079" s="596"/>
      <c r="F1079" s="596"/>
      <c r="G1079" s="622" t="s">
        <v>221</v>
      </c>
      <c r="H1079" s="629">
        <v>1</v>
      </c>
      <c r="I1079" s="629">
        <v>2.9</v>
      </c>
      <c r="J1079" s="596" t="s">
        <v>17</v>
      </c>
      <c r="K1079" s="595">
        <v>1.6</v>
      </c>
      <c r="L1079" s="594"/>
      <c r="M1079" s="615"/>
    </row>
    <row r="1080" spans="1:14">
      <c r="A1080" s="593"/>
      <c r="B1080" s="596"/>
      <c r="C1080" s="596"/>
      <c r="D1080" s="595"/>
      <c r="E1080" s="596"/>
      <c r="F1080" s="596"/>
      <c r="G1080" s="622" t="s">
        <v>75</v>
      </c>
      <c r="H1080" s="629">
        <v>1</v>
      </c>
      <c r="I1080" s="629">
        <v>0.3</v>
      </c>
      <c r="J1080" s="596" t="s">
        <v>22</v>
      </c>
      <c r="K1080" s="595">
        <v>1.8</v>
      </c>
      <c r="L1080" s="594"/>
      <c r="M1080" s="615"/>
    </row>
    <row r="1081" spans="1:14">
      <c r="A1081" s="593"/>
      <c r="B1081" s="596"/>
      <c r="C1081" s="596"/>
      <c r="D1081" s="595"/>
      <c r="E1081" s="596"/>
      <c r="F1081" s="596"/>
      <c r="G1081" s="622" t="s">
        <v>503</v>
      </c>
      <c r="H1081" s="629">
        <v>2.74</v>
      </c>
      <c r="I1081" s="629">
        <v>0.3</v>
      </c>
      <c r="J1081" s="596" t="s">
        <v>24</v>
      </c>
      <c r="K1081" s="595" t="s">
        <v>24</v>
      </c>
      <c r="L1081" s="594"/>
      <c r="M1081" s="618"/>
    </row>
    <row r="1082" spans="1:14">
      <c r="A1082" s="593">
        <v>46261</v>
      </c>
      <c r="B1082" s="594" t="s">
        <v>566</v>
      </c>
      <c r="C1082" s="594" t="s">
        <v>462</v>
      </c>
      <c r="D1082" s="595">
        <v>3</v>
      </c>
      <c r="E1082" s="594" t="s">
        <v>486</v>
      </c>
      <c r="F1082" s="594" t="s">
        <v>474</v>
      </c>
      <c r="G1082" s="622" t="s">
        <v>73</v>
      </c>
      <c r="H1082" s="629">
        <v>1.82</v>
      </c>
      <c r="I1082" s="629">
        <v>2.52</v>
      </c>
      <c r="J1082" s="596" t="s">
        <v>17</v>
      </c>
      <c r="K1082" s="595">
        <v>2.5</v>
      </c>
      <c r="L1082" s="594" t="s">
        <v>70</v>
      </c>
      <c r="M1082" s="596"/>
    </row>
    <row r="1083" spans="1:14">
      <c r="A1083" s="593"/>
      <c r="B1083" s="596"/>
      <c r="C1083" s="596"/>
      <c r="D1083" s="595"/>
      <c r="E1083" s="596"/>
      <c r="F1083" s="596"/>
      <c r="G1083" s="622" t="s">
        <v>75</v>
      </c>
      <c r="H1083" s="629">
        <v>1.91</v>
      </c>
      <c r="I1083" s="629">
        <v>0.18</v>
      </c>
      <c r="J1083" s="596" t="s">
        <v>22</v>
      </c>
      <c r="K1083" s="595">
        <v>2.95</v>
      </c>
      <c r="L1083" s="594"/>
      <c r="M1083" s="596"/>
    </row>
    <row r="1084" spans="1:14">
      <c r="A1084" s="593"/>
      <c r="B1084" s="596"/>
      <c r="C1084" s="596"/>
      <c r="D1084" s="595"/>
      <c r="E1084" s="596"/>
      <c r="F1084" s="596"/>
      <c r="G1084" s="622" t="s">
        <v>503</v>
      </c>
      <c r="H1084" s="629">
        <v>2.65</v>
      </c>
      <c r="I1084" s="629">
        <v>0.3</v>
      </c>
      <c r="J1084" s="596" t="s">
        <v>24</v>
      </c>
      <c r="K1084" s="595" t="s">
        <v>24</v>
      </c>
      <c r="L1084" s="594"/>
      <c r="M1084" s="596"/>
    </row>
    <row r="1085" spans="1:14">
      <c r="A1085" s="593">
        <v>46268</v>
      </c>
      <c r="B1085" s="594" t="s">
        <v>567</v>
      </c>
      <c r="C1085" s="594" t="s">
        <v>462</v>
      </c>
      <c r="D1085" s="629">
        <v>5</v>
      </c>
      <c r="E1085" s="594" t="s">
        <v>486</v>
      </c>
      <c r="F1085" s="594" t="s">
        <v>490</v>
      </c>
      <c r="G1085" s="594" t="s">
        <v>347</v>
      </c>
      <c r="H1085" s="596">
        <v>0.95</v>
      </c>
      <c r="I1085" s="629">
        <v>1.5</v>
      </c>
      <c r="J1085" s="596" t="s">
        <v>17</v>
      </c>
      <c r="K1085" s="629">
        <v>2.3</v>
      </c>
      <c r="L1085" s="594" t="s">
        <v>48</v>
      </c>
      <c r="M1085" s="594" t="s">
        <v>48</v>
      </c>
      <c r="N1085" s="774"/>
    </row>
    <row r="1086" spans="1:14">
      <c r="A1086" s="593"/>
      <c r="B1086" s="596"/>
      <c r="C1086" s="596"/>
      <c r="D1086" s="629"/>
      <c r="E1086" s="596"/>
      <c r="F1086" s="596"/>
      <c r="G1086" s="594" t="s">
        <v>348</v>
      </c>
      <c r="H1086" s="596">
        <v>1.95</v>
      </c>
      <c r="I1086" s="629">
        <v>2</v>
      </c>
      <c r="J1086" s="596" t="s">
        <v>17</v>
      </c>
      <c r="K1086" s="629">
        <v>2.6</v>
      </c>
      <c r="L1086" s="594"/>
      <c r="M1086" s="596"/>
      <c r="N1086" s="774"/>
    </row>
    <row r="1087" spans="1:14">
      <c r="A1087" s="593"/>
      <c r="B1087" s="596"/>
      <c r="C1087" s="596"/>
      <c r="D1087" s="629"/>
      <c r="E1087" s="596"/>
      <c r="F1087" s="596"/>
      <c r="G1087" s="594" t="s">
        <v>568</v>
      </c>
      <c r="H1087" s="596">
        <v>2.95</v>
      </c>
      <c r="I1087" s="781">
        <v>1.425</v>
      </c>
      <c r="J1087" s="596" t="s">
        <v>17</v>
      </c>
      <c r="K1087" s="629">
        <v>3.3</v>
      </c>
      <c r="L1087" s="594"/>
      <c r="M1087" s="596"/>
      <c r="N1087" s="774"/>
    </row>
    <row r="1088" spans="1:14">
      <c r="A1088" s="593"/>
      <c r="B1088" s="596"/>
      <c r="C1088" s="596"/>
      <c r="D1088" s="629"/>
      <c r="E1088" s="596"/>
      <c r="F1088" s="596"/>
      <c r="G1088" s="594" t="s">
        <v>503</v>
      </c>
      <c r="H1088" s="596">
        <v>3.25</v>
      </c>
      <c r="I1088" s="781">
        <v>0.075</v>
      </c>
      <c r="J1088" s="596" t="s">
        <v>24</v>
      </c>
      <c r="K1088" s="629" t="s">
        <v>24</v>
      </c>
      <c r="L1088" s="594"/>
      <c r="M1088" s="596"/>
      <c r="N1088" s="774"/>
    </row>
    <row r="1089" spans="1:14">
      <c r="A1089" s="593">
        <v>46269</v>
      </c>
      <c r="B1089" s="594" t="s">
        <v>569</v>
      </c>
      <c r="C1089" s="594" t="s">
        <v>462</v>
      </c>
      <c r="D1089" s="629">
        <v>10</v>
      </c>
      <c r="E1089" s="594" t="s">
        <v>477</v>
      </c>
      <c r="F1089" s="594" t="s">
        <v>474</v>
      </c>
      <c r="G1089" s="594" t="s">
        <v>347</v>
      </c>
      <c r="H1089" s="596">
        <v>1.07</v>
      </c>
      <c r="I1089" s="629">
        <v>7.2</v>
      </c>
      <c r="J1089" s="596" t="s">
        <v>17</v>
      </c>
      <c r="K1089" s="629">
        <v>1.74</v>
      </c>
      <c r="L1089" s="594" t="s">
        <v>41</v>
      </c>
      <c r="M1089" s="594" t="s">
        <v>41</v>
      </c>
      <c r="N1089" s="774"/>
    </row>
    <row r="1090" spans="1:14">
      <c r="A1090" s="593"/>
      <c r="B1090" s="596"/>
      <c r="C1090" s="596"/>
      <c r="D1090" s="629"/>
      <c r="E1090" s="596"/>
      <c r="F1090" s="596"/>
      <c r="G1090" s="594" t="s">
        <v>348</v>
      </c>
      <c r="H1090" s="596">
        <v>1.25</v>
      </c>
      <c r="I1090" s="629">
        <v>1.5</v>
      </c>
      <c r="J1090" s="596" t="s">
        <v>17</v>
      </c>
      <c r="K1090" s="629">
        <v>1.79</v>
      </c>
      <c r="L1090" s="594"/>
      <c r="M1090" s="596"/>
      <c r="N1090" s="774"/>
    </row>
    <row r="1091" spans="1:14">
      <c r="A1091" s="593"/>
      <c r="B1091" s="596"/>
      <c r="C1091" s="596"/>
      <c r="D1091" s="629"/>
      <c r="E1091" s="596"/>
      <c r="F1091" s="596"/>
      <c r="G1091" s="594" t="s">
        <v>349</v>
      </c>
      <c r="H1091" s="596">
        <v>1.28</v>
      </c>
      <c r="I1091" s="629">
        <v>0.4</v>
      </c>
      <c r="J1091" s="596" t="s">
        <v>22</v>
      </c>
      <c r="K1091" s="629">
        <v>1.85</v>
      </c>
      <c r="L1091" s="594"/>
      <c r="M1091" s="596"/>
      <c r="N1091" s="774"/>
    </row>
    <row r="1092" spans="1:14">
      <c r="A1092" s="593"/>
      <c r="B1092" s="596"/>
      <c r="C1092" s="596"/>
      <c r="D1092" s="629"/>
      <c r="E1092" s="596"/>
      <c r="F1092" s="596"/>
      <c r="G1092" s="594" t="s">
        <v>350</v>
      </c>
      <c r="H1092" s="596">
        <v>1.37</v>
      </c>
      <c r="I1092" s="629">
        <v>0.4</v>
      </c>
      <c r="J1092" s="596" t="s">
        <v>44</v>
      </c>
      <c r="K1092" s="629">
        <v>4.4</v>
      </c>
      <c r="L1092" s="594"/>
      <c r="M1092" s="596"/>
      <c r="N1092" s="774"/>
    </row>
    <row r="1093" spans="1:14">
      <c r="A1093" s="593"/>
      <c r="B1093" s="596"/>
      <c r="C1093" s="596"/>
      <c r="D1093" s="629"/>
      <c r="E1093" s="596"/>
      <c r="F1093" s="596"/>
      <c r="G1093" s="594" t="s">
        <v>503</v>
      </c>
      <c r="H1093" s="596">
        <v>1.74</v>
      </c>
      <c r="I1093" s="629">
        <v>0.5</v>
      </c>
      <c r="J1093" s="596" t="s">
        <v>24</v>
      </c>
      <c r="K1093" s="629" t="s">
        <v>24</v>
      </c>
      <c r="L1093" s="594"/>
      <c r="M1093" s="596"/>
      <c r="N1093" s="774"/>
    </row>
    <row r="1094" spans="1:14">
      <c r="A1094" s="593">
        <v>46269</v>
      </c>
      <c r="B1094" s="594" t="s">
        <v>570</v>
      </c>
      <c r="C1094" s="594" t="s">
        <v>462</v>
      </c>
      <c r="D1094" s="629">
        <v>10</v>
      </c>
      <c r="E1094" s="594" t="s">
        <v>484</v>
      </c>
      <c r="F1094" s="594" t="s">
        <v>487</v>
      </c>
      <c r="G1094" s="594" t="s">
        <v>361</v>
      </c>
      <c r="H1094" s="596">
        <v>0.92</v>
      </c>
      <c r="I1094" s="629">
        <v>8.6</v>
      </c>
      <c r="J1094" s="596" t="s">
        <v>17</v>
      </c>
      <c r="K1094" s="629">
        <v>1.56</v>
      </c>
      <c r="L1094" s="594" t="s">
        <v>60</v>
      </c>
      <c r="M1094" s="594" t="s">
        <v>403</v>
      </c>
      <c r="N1094" s="774"/>
    </row>
    <row r="1095" spans="1:14">
      <c r="A1095" s="593"/>
      <c r="B1095" s="596"/>
      <c r="C1095" s="596"/>
      <c r="D1095" s="629"/>
      <c r="E1095" s="596"/>
      <c r="F1095" s="596"/>
      <c r="G1095" s="594" t="s">
        <v>349</v>
      </c>
      <c r="H1095" s="596">
        <v>0.92</v>
      </c>
      <c r="I1095" s="629">
        <v>0.55</v>
      </c>
      <c r="J1095" s="596" t="s">
        <v>22</v>
      </c>
      <c r="K1095" s="629">
        <v>1.6</v>
      </c>
      <c r="L1095" s="594"/>
      <c r="M1095" s="596"/>
      <c r="N1095" s="774"/>
    </row>
    <row r="1096" spans="1:14">
      <c r="A1096" s="593"/>
      <c r="B1096" s="596"/>
      <c r="C1096" s="596"/>
      <c r="D1096" s="629"/>
      <c r="E1096" s="596"/>
      <c r="F1096" s="596"/>
      <c r="G1096" s="594" t="s">
        <v>350</v>
      </c>
      <c r="H1096" s="596">
        <v>0.92</v>
      </c>
      <c r="I1096" s="629">
        <v>0.35</v>
      </c>
      <c r="J1096" s="596" t="s">
        <v>44</v>
      </c>
      <c r="K1096" s="629">
        <v>2.8</v>
      </c>
      <c r="L1096" s="594"/>
      <c r="M1096" s="596"/>
      <c r="N1096" s="774"/>
    </row>
    <row r="1097" spans="1:14">
      <c r="A1097" s="593"/>
      <c r="B1097" s="596"/>
      <c r="C1097" s="596"/>
      <c r="D1097" s="629"/>
      <c r="E1097" s="596"/>
      <c r="F1097" s="596"/>
      <c r="G1097" s="594" t="s">
        <v>503</v>
      </c>
      <c r="H1097" s="596">
        <v>3.75</v>
      </c>
      <c r="I1097" s="629">
        <v>0.5</v>
      </c>
      <c r="J1097" s="596" t="s">
        <v>24</v>
      </c>
      <c r="K1097" s="629" t="s">
        <v>24</v>
      </c>
      <c r="L1097" s="594"/>
      <c r="M1097" s="596"/>
      <c r="N1097" s="774"/>
    </row>
    <row r="1098" spans="1:14">
      <c r="A1098" s="593">
        <v>46269</v>
      </c>
      <c r="B1098" s="594" t="s">
        <v>571</v>
      </c>
      <c r="C1098" s="594" t="s">
        <v>462</v>
      </c>
      <c r="D1098" s="629">
        <v>10</v>
      </c>
      <c r="E1098" s="594" t="s">
        <v>481</v>
      </c>
      <c r="F1098" s="594" t="s">
        <v>550</v>
      </c>
      <c r="G1098" s="594" t="s">
        <v>361</v>
      </c>
      <c r="H1098" s="596">
        <v>0.92</v>
      </c>
      <c r="I1098" s="629">
        <v>8.6</v>
      </c>
      <c r="J1098" s="596" t="s">
        <v>17</v>
      </c>
      <c r="K1098" s="629">
        <v>1.56</v>
      </c>
      <c r="L1098" s="594" t="s">
        <v>60</v>
      </c>
      <c r="M1098" s="594" t="s">
        <v>403</v>
      </c>
      <c r="N1098" s="774"/>
    </row>
    <row r="1099" spans="1:14">
      <c r="A1099" s="593"/>
      <c r="B1099" s="596"/>
      <c r="C1099" s="596"/>
      <c r="D1099" s="629"/>
      <c r="E1099" s="596"/>
      <c r="F1099" s="596"/>
      <c r="G1099" s="594" t="s">
        <v>349</v>
      </c>
      <c r="H1099" s="596">
        <v>0.92</v>
      </c>
      <c r="I1099" s="629">
        <v>0.55</v>
      </c>
      <c r="J1099" s="596" t="s">
        <v>22</v>
      </c>
      <c r="K1099" s="629">
        <v>1.6</v>
      </c>
      <c r="L1099" s="594"/>
      <c r="M1099" s="596"/>
      <c r="N1099" s="774"/>
    </row>
    <row r="1100" spans="1:14">
      <c r="A1100" s="593"/>
      <c r="B1100" s="596"/>
      <c r="C1100" s="596"/>
      <c r="D1100" s="629"/>
      <c r="E1100" s="596"/>
      <c r="F1100" s="596"/>
      <c r="G1100" s="594" t="s">
        <v>350</v>
      </c>
      <c r="H1100" s="596">
        <v>0.92</v>
      </c>
      <c r="I1100" s="629">
        <v>0.35</v>
      </c>
      <c r="J1100" s="596" t="s">
        <v>44</v>
      </c>
      <c r="K1100" s="629">
        <v>2.8</v>
      </c>
      <c r="L1100" s="594"/>
      <c r="M1100" s="596"/>
      <c r="N1100" s="774"/>
    </row>
    <row r="1101" spans="1:14">
      <c r="A1101" s="593"/>
      <c r="B1101" s="596"/>
      <c r="C1101" s="596"/>
      <c r="D1101" s="629"/>
      <c r="E1101" s="596"/>
      <c r="F1101" s="596"/>
      <c r="G1101" s="594" t="s">
        <v>503</v>
      </c>
      <c r="H1101" s="596">
        <v>3.75</v>
      </c>
      <c r="I1101" s="629">
        <v>0.5</v>
      </c>
      <c r="J1101" s="596" t="s">
        <v>24</v>
      </c>
      <c r="K1101" s="629" t="s">
        <v>24</v>
      </c>
      <c r="L1101" s="594"/>
      <c r="M1101" s="596"/>
      <c r="N1101" s="774"/>
    </row>
    <row r="1102" spans="1:14">
      <c r="A1102" s="593">
        <v>46269</v>
      </c>
      <c r="B1102" s="594" t="s">
        <v>572</v>
      </c>
      <c r="C1102" s="594" t="s">
        <v>462</v>
      </c>
      <c r="D1102" s="629">
        <v>10</v>
      </c>
      <c r="E1102" s="594" t="s">
        <v>477</v>
      </c>
      <c r="F1102" s="594" t="s">
        <v>460</v>
      </c>
      <c r="G1102" s="594" t="s">
        <v>361</v>
      </c>
      <c r="H1102" s="596">
        <v>1.92</v>
      </c>
      <c r="I1102" s="629">
        <v>9</v>
      </c>
      <c r="J1102" s="596" t="s">
        <v>17</v>
      </c>
      <c r="K1102" s="629">
        <v>1.8</v>
      </c>
      <c r="L1102" s="594" t="s">
        <v>35</v>
      </c>
      <c r="M1102" s="594" t="s">
        <v>36</v>
      </c>
      <c r="N1102" s="774"/>
    </row>
    <row r="1103" spans="1:14">
      <c r="A1103" s="593"/>
      <c r="B1103" s="596"/>
      <c r="C1103" s="596"/>
      <c r="D1103" s="629"/>
      <c r="E1103" s="596"/>
      <c r="F1103" s="596"/>
      <c r="G1103" s="594" t="s">
        <v>349</v>
      </c>
      <c r="H1103" s="596">
        <v>1.92</v>
      </c>
      <c r="I1103" s="629">
        <v>0.3</v>
      </c>
      <c r="J1103" s="596" t="s">
        <v>22</v>
      </c>
      <c r="K1103" s="629">
        <v>1.9</v>
      </c>
      <c r="L1103" s="594"/>
      <c r="M1103" s="596"/>
      <c r="N1103" s="774"/>
    </row>
    <row r="1104" spans="1:14">
      <c r="A1104" s="593"/>
      <c r="B1104" s="596"/>
      <c r="C1104" s="596"/>
      <c r="D1104" s="629"/>
      <c r="E1104" s="596"/>
      <c r="F1104" s="596"/>
      <c r="G1104" s="594" t="s">
        <v>509</v>
      </c>
      <c r="H1104" s="596">
        <v>1.92</v>
      </c>
      <c r="I1104" s="629">
        <v>0.2</v>
      </c>
      <c r="J1104" s="596" t="s">
        <v>64</v>
      </c>
      <c r="K1104" s="629">
        <v>3.2</v>
      </c>
      <c r="L1104" s="594"/>
      <c r="M1104" s="596"/>
      <c r="N1104" s="774"/>
    </row>
    <row r="1105" spans="1:14">
      <c r="A1105" s="593"/>
      <c r="B1105" s="596"/>
      <c r="C1105" s="596"/>
      <c r="D1105" s="629"/>
      <c r="E1105" s="596"/>
      <c r="F1105" s="596"/>
      <c r="G1105" s="594" t="s">
        <v>503</v>
      </c>
      <c r="H1105" s="596">
        <v>3.83</v>
      </c>
      <c r="I1105" s="629">
        <v>0.5</v>
      </c>
      <c r="J1105" s="596" t="s">
        <v>24</v>
      </c>
      <c r="K1105" s="629" t="s">
        <v>24</v>
      </c>
      <c r="L1105" s="594"/>
      <c r="M1105" s="596"/>
      <c r="N1105" s="774"/>
    </row>
    <row r="1106" spans="1:14">
      <c r="A1106" s="630" t="s">
        <v>573</v>
      </c>
      <c r="B1106" s="630" t="s">
        <v>574</v>
      </c>
      <c r="C1106" s="630" t="s">
        <v>13</v>
      </c>
      <c r="D1106" s="632">
        <v>10</v>
      </c>
      <c r="E1106" s="630" t="s">
        <v>33</v>
      </c>
      <c r="F1106" s="630" t="s">
        <v>56</v>
      </c>
      <c r="G1106" s="630" t="s">
        <v>347</v>
      </c>
      <c r="H1106" s="632">
        <v>1.08</v>
      </c>
      <c r="I1106" s="632">
        <v>7.2</v>
      </c>
      <c r="J1106" s="630" t="s">
        <v>17</v>
      </c>
      <c r="K1106" s="782">
        <v>1.72</v>
      </c>
      <c r="L1106" s="783" t="s">
        <v>41</v>
      </c>
      <c r="M1106" s="630"/>
    </row>
    <row r="1107" spans="1:14">
      <c r="A1107" s="509"/>
      <c r="B1107" s="509"/>
      <c r="C1107" s="509"/>
      <c r="D1107" s="633"/>
      <c r="E1107" s="509"/>
      <c r="F1107" s="509"/>
      <c r="G1107" s="509" t="s">
        <v>348</v>
      </c>
      <c r="H1107" s="633">
        <v>1.08</v>
      </c>
      <c r="I1107" s="633">
        <v>1.6</v>
      </c>
      <c r="J1107" s="509" t="s">
        <v>17</v>
      </c>
      <c r="K1107" s="784">
        <v>1.75</v>
      </c>
      <c r="L1107" s="575"/>
      <c r="M1107" s="509"/>
    </row>
    <row r="1108" spans="1:14">
      <c r="A1108" s="509"/>
      <c r="B1108" s="509"/>
      <c r="C1108" s="509"/>
      <c r="D1108" s="633"/>
      <c r="E1108" s="509"/>
      <c r="F1108" s="509"/>
      <c r="G1108" s="509" t="s">
        <v>349</v>
      </c>
      <c r="H1108" s="633">
        <v>1.08</v>
      </c>
      <c r="I1108" s="633">
        <v>0.35</v>
      </c>
      <c r="J1108" s="509" t="s">
        <v>22</v>
      </c>
      <c r="K1108" s="784">
        <v>1.84</v>
      </c>
      <c r="L1108" s="575"/>
      <c r="M1108" s="509"/>
    </row>
    <row r="1109" spans="1:14">
      <c r="A1109" s="509"/>
      <c r="B1109" s="509"/>
      <c r="C1109" s="509"/>
      <c r="D1109" s="633"/>
      <c r="E1109" s="509"/>
      <c r="F1109" s="509"/>
      <c r="G1109" s="509" t="s">
        <v>350</v>
      </c>
      <c r="H1109" s="633">
        <v>1.08</v>
      </c>
      <c r="I1109" s="633">
        <v>0.35</v>
      </c>
      <c r="J1109" s="509" t="s">
        <v>136</v>
      </c>
      <c r="K1109" s="784">
        <v>4.4</v>
      </c>
      <c r="L1109" s="575"/>
      <c r="M1109" s="509"/>
    </row>
    <row r="1110" spans="1:14">
      <c r="A1110" s="509"/>
      <c r="B1110" s="509"/>
      <c r="C1110" s="509"/>
      <c r="D1110" s="633"/>
      <c r="E1110" s="509"/>
      <c r="F1110" s="509"/>
      <c r="G1110" s="509" t="s">
        <v>91</v>
      </c>
      <c r="H1110" s="633">
        <v>1.08</v>
      </c>
      <c r="I1110" s="633">
        <v>0.5</v>
      </c>
      <c r="J1110" s="596" t="s">
        <v>24</v>
      </c>
      <c r="K1110" s="629" t="s">
        <v>24</v>
      </c>
      <c r="L1110" s="575"/>
      <c r="M1110" s="509"/>
    </row>
    <row r="1111" spans="1:14">
      <c r="A1111" s="509" t="s">
        <v>573</v>
      </c>
      <c r="B1111" s="509" t="s">
        <v>575</v>
      </c>
      <c r="C1111" s="509" t="s">
        <v>32</v>
      </c>
      <c r="D1111" s="633">
        <v>10</v>
      </c>
      <c r="E1111" s="509" t="s">
        <v>208</v>
      </c>
      <c r="F1111" s="509" t="s">
        <v>576</v>
      </c>
      <c r="G1111" s="509" t="s">
        <v>128</v>
      </c>
      <c r="H1111" s="633">
        <v>1.83</v>
      </c>
      <c r="I1111" s="633">
        <v>8.8</v>
      </c>
      <c r="J1111" s="509" t="s">
        <v>17</v>
      </c>
      <c r="K1111" s="784">
        <v>1.78</v>
      </c>
      <c r="L1111" s="575" t="s">
        <v>129</v>
      </c>
      <c r="M1111" s="509" t="s">
        <v>577</v>
      </c>
    </row>
    <row r="1112" spans="1:14">
      <c r="A1112" s="509"/>
      <c r="B1112" s="509"/>
      <c r="C1112" s="509"/>
      <c r="D1112" s="633"/>
      <c r="E1112" s="509"/>
      <c r="F1112" s="509"/>
      <c r="G1112" s="509" t="s">
        <v>131</v>
      </c>
      <c r="H1112" s="633">
        <v>1.83</v>
      </c>
      <c r="I1112" s="633">
        <v>0.6</v>
      </c>
      <c r="J1112" s="509" t="s">
        <v>22</v>
      </c>
      <c r="K1112" s="784">
        <v>1.92</v>
      </c>
      <c r="L1112" s="575"/>
      <c r="M1112" s="509"/>
    </row>
    <row r="1113" spans="1:14">
      <c r="A1113" s="509"/>
      <c r="B1113" s="509"/>
      <c r="C1113" s="509"/>
      <c r="D1113" s="633"/>
      <c r="E1113" s="509"/>
      <c r="F1113" s="509"/>
      <c r="G1113" s="509" t="s">
        <v>91</v>
      </c>
      <c r="H1113" s="633">
        <v>1.83</v>
      </c>
      <c r="I1113" s="633">
        <v>0.6</v>
      </c>
      <c r="J1113" s="596" t="s">
        <v>24</v>
      </c>
      <c r="K1113" s="629" t="s">
        <v>24</v>
      </c>
      <c r="L1113" s="575"/>
      <c r="M1113" s="509"/>
    </row>
    <row r="1114" spans="1:14">
      <c r="A1114" s="509" t="s">
        <v>578</v>
      </c>
      <c r="B1114" s="509" t="s">
        <v>579</v>
      </c>
      <c r="C1114" s="509" t="s">
        <v>32</v>
      </c>
      <c r="D1114" s="633">
        <v>8</v>
      </c>
      <c r="E1114" s="509" t="s">
        <v>66</v>
      </c>
      <c r="F1114" s="509" t="s">
        <v>15</v>
      </c>
      <c r="G1114" s="509" t="s">
        <v>361</v>
      </c>
      <c r="H1114" s="633">
        <v>1</v>
      </c>
      <c r="I1114" s="633">
        <v>7.04</v>
      </c>
      <c r="J1114" s="509" t="s">
        <v>17</v>
      </c>
      <c r="K1114" s="784">
        <v>1.6</v>
      </c>
      <c r="L1114" s="575" t="s">
        <v>86</v>
      </c>
      <c r="M1114" s="509" t="s">
        <v>95</v>
      </c>
    </row>
    <row r="1115" spans="1:14">
      <c r="A1115" s="509"/>
      <c r="B1115" s="509"/>
      <c r="C1115" s="509"/>
      <c r="D1115" s="633"/>
      <c r="E1115" s="509"/>
      <c r="F1115" s="509"/>
      <c r="G1115" s="509" t="s">
        <v>349</v>
      </c>
      <c r="H1115" s="633">
        <v>1</v>
      </c>
      <c r="I1115" s="633">
        <v>0.48</v>
      </c>
      <c r="J1115" s="509" t="s">
        <v>22</v>
      </c>
      <c r="K1115" s="784">
        <v>1.8</v>
      </c>
      <c r="L1115" s="575"/>
      <c r="M1115" s="509"/>
    </row>
    <row r="1116" spans="1:14">
      <c r="A1116" s="509"/>
      <c r="B1116" s="509"/>
      <c r="C1116" s="509"/>
      <c r="D1116" s="633"/>
      <c r="E1116" s="509"/>
      <c r="F1116" s="509"/>
      <c r="G1116" s="509" t="s">
        <v>91</v>
      </c>
      <c r="H1116" s="633">
        <v>1</v>
      </c>
      <c r="I1116" s="633">
        <v>0.48</v>
      </c>
      <c r="J1116" s="596" t="s">
        <v>24</v>
      </c>
      <c r="K1116" s="629" t="s">
        <v>24</v>
      </c>
      <c r="L1116" s="575"/>
      <c r="M1116" s="509"/>
    </row>
    <row r="1117" spans="1:14">
      <c r="A1117" s="509" t="s">
        <v>578</v>
      </c>
      <c r="B1117" s="509" t="s">
        <v>580</v>
      </c>
      <c r="C1117" s="509" t="s">
        <v>13</v>
      </c>
      <c r="D1117" s="633">
        <v>5</v>
      </c>
      <c r="E1117" s="509" t="s">
        <v>33</v>
      </c>
      <c r="F1117" s="509" t="s">
        <v>94</v>
      </c>
      <c r="G1117" s="509" t="s">
        <v>361</v>
      </c>
      <c r="H1117" s="633">
        <v>2.05</v>
      </c>
      <c r="I1117" s="633">
        <v>4.4</v>
      </c>
      <c r="J1117" s="509" t="s">
        <v>17</v>
      </c>
      <c r="K1117" s="784">
        <v>1.75</v>
      </c>
      <c r="L1117" s="575" t="s">
        <v>112</v>
      </c>
      <c r="M1117" s="509"/>
    </row>
    <row r="1118" spans="1:14">
      <c r="A1118" s="509"/>
      <c r="B1118" s="509"/>
      <c r="C1118" s="509"/>
      <c r="D1118" s="633"/>
      <c r="E1118" s="509"/>
      <c r="F1118" s="509"/>
      <c r="G1118" s="509" t="s">
        <v>349</v>
      </c>
      <c r="H1118" s="633">
        <v>2.05</v>
      </c>
      <c r="I1118" s="633">
        <v>0.3</v>
      </c>
      <c r="J1118" s="509" t="s">
        <v>22</v>
      </c>
      <c r="K1118" s="784">
        <v>1.8</v>
      </c>
      <c r="L1118" s="575"/>
      <c r="M1118" s="509"/>
    </row>
    <row r="1119" spans="1:14">
      <c r="A1119" s="509"/>
      <c r="B1119" s="509"/>
      <c r="C1119" s="509"/>
      <c r="D1119" s="633"/>
      <c r="E1119" s="509"/>
      <c r="F1119" s="509"/>
      <c r="G1119" s="575" t="s">
        <v>140</v>
      </c>
      <c r="H1119" s="633">
        <v>2.05</v>
      </c>
      <c r="I1119" s="633">
        <v>0.15</v>
      </c>
      <c r="J1119" s="596" t="s">
        <v>24</v>
      </c>
      <c r="K1119" s="629" t="s">
        <v>24</v>
      </c>
      <c r="L1119" s="575"/>
      <c r="M1119" s="509"/>
    </row>
    <row r="1120" spans="1:14">
      <c r="A1120" s="509"/>
      <c r="B1120" s="509"/>
      <c r="C1120" s="509"/>
      <c r="D1120" s="633"/>
      <c r="E1120" s="509"/>
      <c r="F1120" s="509"/>
      <c r="G1120" s="575" t="s">
        <v>581</v>
      </c>
      <c r="H1120" s="633">
        <v>2.05</v>
      </c>
      <c r="I1120" s="633">
        <v>0.15</v>
      </c>
      <c r="J1120" s="596" t="s">
        <v>24</v>
      </c>
      <c r="K1120" s="629" t="s">
        <v>24</v>
      </c>
      <c r="L1120" s="575"/>
      <c r="M1120" s="509"/>
    </row>
    <row r="1121" spans="1:13">
      <c r="A1121" s="509" t="s">
        <v>582</v>
      </c>
      <c r="B1121" s="509" t="s">
        <v>583</v>
      </c>
      <c r="C1121" s="509" t="s">
        <v>13</v>
      </c>
      <c r="D1121" s="633">
        <v>5</v>
      </c>
      <c r="E1121" s="509" t="s">
        <v>230</v>
      </c>
      <c r="F1121" s="509" t="s">
        <v>15</v>
      </c>
      <c r="G1121" s="509" t="s">
        <v>361</v>
      </c>
      <c r="H1121" s="633">
        <v>1.5</v>
      </c>
      <c r="I1121" s="633">
        <v>4.23</v>
      </c>
      <c r="J1121" s="509" t="s">
        <v>17</v>
      </c>
      <c r="K1121" s="784">
        <v>2.4</v>
      </c>
      <c r="L1121" s="575" t="s">
        <v>67</v>
      </c>
      <c r="M1121" s="509"/>
    </row>
    <row r="1122" spans="1:13">
      <c r="A1122" s="509"/>
      <c r="B1122" s="509"/>
      <c r="C1122" s="509"/>
      <c r="D1122" s="633"/>
      <c r="E1122" s="509"/>
      <c r="F1122" s="509"/>
      <c r="G1122" s="509" t="s">
        <v>349</v>
      </c>
      <c r="H1122" s="633">
        <v>1.5</v>
      </c>
      <c r="I1122" s="633">
        <v>0.22</v>
      </c>
      <c r="J1122" s="509" t="s">
        <v>22</v>
      </c>
      <c r="K1122" s="784">
        <v>2.8</v>
      </c>
      <c r="L1122" s="575"/>
      <c r="M1122" s="509"/>
    </row>
    <row r="1123" spans="1:13">
      <c r="A1123" s="509"/>
      <c r="B1123" s="509"/>
      <c r="C1123" s="509"/>
      <c r="D1123" s="633"/>
      <c r="E1123" s="509"/>
      <c r="F1123" s="509"/>
      <c r="G1123" s="509" t="s">
        <v>350</v>
      </c>
      <c r="H1123" s="633">
        <v>1.5</v>
      </c>
      <c r="I1123" s="633">
        <v>0.2</v>
      </c>
      <c r="J1123" s="509" t="s">
        <v>44</v>
      </c>
      <c r="K1123" s="784">
        <v>4</v>
      </c>
      <c r="L1123" s="575"/>
      <c r="M1123" s="509"/>
    </row>
    <row r="1124" spans="1:13">
      <c r="A1124" s="509"/>
      <c r="B1124" s="509"/>
      <c r="C1124" s="509"/>
      <c r="D1124" s="633"/>
      <c r="E1124" s="509"/>
      <c r="F1124" s="509"/>
      <c r="G1124" s="509" t="s">
        <v>91</v>
      </c>
      <c r="H1124" s="633">
        <v>1.5</v>
      </c>
      <c r="I1124" s="633">
        <v>0.35</v>
      </c>
      <c r="J1124" s="596" t="s">
        <v>24</v>
      </c>
      <c r="K1124" s="629" t="s">
        <v>24</v>
      </c>
      <c r="L1124" s="575"/>
      <c r="M1124" s="509"/>
    </row>
    <row r="1125" spans="1:13">
      <c r="A1125" s="509" t="s">
        <v>582</v>
      </c>
      <c r="B1125" s="509" t="s">
        <v>584</v>
      </c>
      <c r="C1125" s="509" t="s">
        <v>13</v>
      </c>
      <c r="D1125" s="633">
        <v>10</v>
      </c>
      <c r="E1125" s="509" t="s">
        <v>14</v>
      </c>
      <c r="F1125" s="509" t="s">
        <v>15</v>
      </c>
      <c r="G1125" s="509" t="s">
        <v>347</v>
      </c>
      <c r="H1125" s="633">
        <v>1.06</v>
      </c>
      <c r="I1125" s="633">
        <v>8.4</v>
      </c>
      <c r="J1125" s="509" t="s">
        <v>17</v>
      </c>
      <c r="K1125" s="784">
        <v>1.63</v>
      </c>
      <c r="L1125" s="575" t="s">
        <v>18</v>
      </c>
      <c r="M1125" s="509" t="s">
        <v>19</v>
      </c>
    </row>
    <row r="1126" spans="1:13">
      <c r="A1126" s="509"/>
      <c r="B1126" s="509"/>
      <c r="C1126" s="509"/>
      <c r="D1126" s="633"/>
      <c r="E1126" s="509"/>
      <c r="F1126" s="509"/>
      <c r="G1126" s="509" t="s">
        <v>348</v>
      </c>
      <c r="H1126" s="633">
        <v>1.06</v>
      </c>
      <c r="I1126" s="633">
        <v>0.6</v>
      </c>
      <c r="J1126" s="509" t="s">
        <v>17</v>
      </c>
      <c r="K1126" s="784">
        <v>1.65</v>
      </c>
      <c r="L1126" s="575"/>
      <c r="M1126" s="509"/>
    </row>
    <row r="1127" spans="1:13">
      <c r="A1127" s="509"/>
      <c r="B1127" s="509"/>
      <c r="C1127" s="509"/>
      <c r="D1127" s="633"/>
      <c r="E1127" s="509"/>
      <c r="F1127" s="509"/>
      <c r="G1127" s="509" t="s">
        <v>349</v>
      </c>
      <c r="H1127" s="633">
        <v>1.06</v>
      </c>
      <c r="I1127" s="633">
        <v>0.5</v>
      </c>
      <c r="J1127" s="509" t="s">
        <v>22</v>
      </c>
      <c r="K1127" s="784">
        <v>1.8</v>
      </c>
      <c r="L1127" s="575"/>
      <c r="M1127" s="509"/>
    </row>
    <row r="1128" spans="1:13">
      <c r="A1128" s="509"/>
      <c r="B1128" s="509"/>
      <c r="C1128" s="509"/>
      <c r="D1128" s="633"/>
      <c r="E1128" s="509"/>
      <c r="F1128" s="509"/>
      <c r="G1128" s="509" t="s">
        <v>91</v>
      </c>
      <c r="H1128" s="633">
        <v>1.06</v>
      </c>
      <c r="I1128" s="633">
        <v>0.5</v>
      </c>
      <c r="J1128" s="596" t="s">
        <v>24</v>
      </c>
      <c r="K1128" s="629" t="s">
        <v>24</v>
      </c>
      <c r="L1128" s="575"/>
      <c r="M1128" s="509"/>
    </row>
    <row r="1129" spans="1:13">
      <c r="A1129" s="509" t="s">
        <v>582</v>
      </c>
      <c r="B1129" s="509" t="s">
        <v>585</v>
      </c>
      <c r="C1129" s="509" t="s">
        <v>13</v>
      </c>
      <c r="D1129" s="633">
        <v>6</v>
      </c>
      <c r="E1129" s="509" t="s">
        <v>14</v>
      </c>
      <c r="F1129" s="509" t="s">
        <v>46</v>
      </c>
      <c r="G1129" s="509" t="s">
        <v>128</v>
      </c>
      <c r="H1129" s="633">
        <v>1</v>
      </c>
      <c r="I1129" s="633">
        <v>5.91</v>
      </c>
      <c r="J1129" s="509" t="s">
        <v>17</v>
      </c>
      <c r="K1129" s="784">
        <v>2.5</v>
      </c>
      <c r="L1129" s="575" t="s">
        <v>48</v>
      </c>
      <c r="M1129" s="509"/>
    </row>
    <row r="1130" spans="1:13">
      <c r="A1130" s="509"/>
      <c r="B1130" s="509"/>
      <c r="C1130" s="509"/>
      <c r="D1130" s="633"/>
      <c r="E1130" s="509"/>
      <c r="F1130" s="509"/>
      <c r="G1130" s="509" t="s">
        <v>91</v>
      </c>
      <c r="H1130" s="633">
        <v>1</v>
      </c>
      <c r="I1130" s="633">
        <v>0.09</v>
      </c>
      <c r="J1130" s="596" t="s">
        <v>24</v>
      </c>
      <c r="K1130" s="629" t="s">
        <v>24</v>
      </c>
      <c r="L1130" s="575"/>
      <c r="M1130" s="509"/>
    </row>
    <row r="1131" spans="1:13">
      <c r="A1131" s="509" t="s">
        <v>582</v>
      </c>
      <c r="B1131" s="509" t="s">
        <v>586</v>
      </c>
      <c r="C1131" s="509" t="s">
        <v>32</v>
      </c>
      <c r="D1131" s="633">
        <v>10</v>
      </c>
      <c r="E1131" s="509" t="s">
        <v>208</v>
      </c>
      <c r="F1131" s="509" t="s">
        <v>576</v>
      </c>
      <c r="G1131" s="509" t="s">
        <v>128</v>
      </c>
      <c r="H1131" s="633">
        <v>1</v>
      </c>
      <c r="I1131" s="633">
        <v>8.8</v>
      </c>
      <c r="J1131" s="509" t="s">
        <v>17</v>
      </c>
      <c r="K1131" s="784">
        <v>1.61</v>
      </c>
      <c r="L1131" s="575" t="s">
        <v>129</v>
      </c>
      <c r="M1131" s="509" t="s">
        <v>577</v>
      </c>
    </row>
    <row r="1132" spans="1:13">
      <c r="A1132" s="509"/>
      <c r="B1132" s="509"/>
      <c r="C1132" s="509"/>
      <c r="D1132" s="633"/>
      <c r="E1132" s="509"/>
      <c r="F1132" s="509"/>
      <c r="G1132" s="509" t="s">
        <v>131</v>
      </c>
      <c r="H1132" s="633">
        <v>1</v>
      </c>
      <c r="I1132" s="633">
        <v>0.6</v>
      </c>
      <c r="J1132" s="509" t="s">
        <v>22</v>
      </c>
      <c r="K1132" s="784">
        <v>1.76</v>
      </c>
      <c r="L1132" s="575"/>
      <c r="M1132" s="509"/>
    </row>
    <row r="1133" spans="1:13">
      <c r="A1133" s="509"/>
      <c r="B1133" s="509"/>
      <c r="C1133" s="509"/>
      <c r="D1133" s="633"/>
      <c r="E1133" s="509"/>
      <c r="F1133" s="509"/>
      <c r="G1133" s="509" t="s">
        <v>91</v>
      </c>
      <c r="H1133" s="633">
        <v>1</v>
      </c>
      <c r="I1133" s="633">
        <v>0.6</v>
      </c>
      <c r="J1133" s="596" t="s">
        <v>24</v>
      </c>
      <c r="K1133" s="629" t="s">
        <v>24</v>
      </c>
      <c r="L1133" s="575"/>
      <c r="M1133" s="509"/>
    </row>
    <row r="1134" spans="1:13">
      <c r="A1134" s="509" t="s">
        <v>582</v>
      </c>
      <c r="B1134" s="509" t="s">
        <v>587</v>
      </c>
      <c r="C1134" s="509" t="s">
        <v>13</v>
      </c>
      <c r="D1134" s="633">
        <v>10</v>
      </c>
      <c r="E1134" s="509" t="s">
        <v>33</v>
      </c>
      <c r="F1134" s="509" t="s">
        <v>111</v>
      </c>
      <c r="G1134" s="509" t="s">
        <v>361</v>
      </c>
      <c r="H1134" s="633">
        <v>1.92</v>
      </c>
      <c r="I1134" s="633">
        <v>9</v>
      </c>
      <c r="J1134" s="509" t="s">
        <v>17</v>
      </c>
      <c r="K1134" s="784">
        <v>1.78</v>
      </c>
      <c r="L1134" s="575" t="s">
        <v>35</v>
      </c>
      <c r="M1134" s="509" t="s">
        <v>36</v>
      </c>
    </row>
    <row r="1135" spans="1:13">
      <c r="A1135" s="509"/>
      <c r="B1135" s="509"/>
      <c r="C1135" s="509"/>
      <c r="D1135" s="633"/>
      <c r="E1135" s="509"/>
      <c r="F1135" s="509"/>
      <c r="G1135" s="509" t="s">
        <v>349</v>
      </c>
      <c r="H1135" s="633">
        <v>1.92</v>
      </c>
      <c r="I1135" s="633">
        <v>0.3</v>
      </c>
      <c r="J1135" s="509" t="s">
        <v>22</v>
      </c>
      <c r="K1135" s="784">
        <v>1.92</v>
      </c>
      <c r="L1135" s="575"/>
      <c r="M1135" s="509"/>
    </row>
    <row r="1136" spans="1:13">
      <c r="A1136" s="509"/>
      <c r="B1136" s="509"/>
      <c r="C1136" s="509"/>
      <c r="D1136" s="633"/>
      <c r="E1136" s="509"/>
      <c r="F1136" s="509"/>
      <c r="G1136" s="509" t="s">
        <v>99</v>
      </c>
      <c r="H1136" s="633">
        <v>1.92</v>
      </c>
      <c r="I1136" s="633">
        <v>0.2</v>
      </c>
      <c r="J1136" s="509" t="s">
        <v>64</v>
      </c>
      <c r="K1136" s="784">
        <v>3.2</v>
      </c>
      <c r="L1136" s="575"/>
      <c r="M1136" s="509"/>
    </row>
    <row r="1137" spans="1:13">
      <c r="A1137" s="509"/>
      <c r="B1137" s="509"/>
      <c r="C1137" s="509"/>
      <c r="D1137" s="633"/>
      <c r="E1137" s="509"/>
      <c r="F1137" s="509"/>
      <c r="G1137" s="509" t="s">
        <v>91</v>
      </c>
      <c r="H1137" s="633">
        <v>1.92</v>
      </c>
      <c r="I1137" s="633">
        <v>0.5</v>
      </c>
      <c r="J1137" s="596" t="s">
        <v>24</v>
      </c>
      <c r="K1137" s="629" t="s">
        <v>24</v>
      </c>
      <c r="L1137" s="575"/>
      <c r="M1137" s="509"/>
    </row>
    <row r="1138" spans="1:13">
      <c r="A1138" s="509" t="s">
        <v>588</v>
      </c>
      <c r="B1138" s="509" t="s">
        <v>589</v>
      </c>
      <c r="C1138" s="509" t="s">
        <v>32</v>
      </c>
      <c r="D1138" s="633">
        <v>8</v>
      </c>
      <c r="E1138" s="509" t="s">
        <v>109</v>
      </c>
      <c r="F1138" s="509" t="s">
        <v>111</v>
      </c>
      <c r="G1138" s="509" t="s">
        <v>361</v>
      </c>
      <c r="H1138" s="633">
        <v>1.08</v>
      </c>
      <c r="I1138" s="633">
        <v>6.64</v>
      </c>
      <c r="J1138" s="509" t="s">
        <v>17</v>
      </c>
      <c r="K1138" s="784">
        <v>1.65</v>
      </c>
      <c r="L1138" s="575" t="s">
        <v>35</v>
      </c>
      <c r="M1138" s="509" t="s">
        <v>98</v>
      </c>
    </row>
    <row r="1139" spans="1:13">
      <c r="A1139" s="509"/>
      <c r="B1139" s="509"/>
      <c r="C1139" s="509"/>
      <c r="D1139" s="633"/>
      <c r="E1139" s="509"/>
      <c r="F1139" s="509"/>
      <c r="G1139" s="509" t="s">
        <v>349</v>
      </c>
      <c r="H1139" s="633">
        <v>1.08</v>
      </c>
      <c r="I1139" s="633">
        <v>0.4</v>
      </c>
      <c r="J1139" s="509" t="s">
        <v>22</v>
      </c>
      <c r="K1139" s="784">
        <v>1.85</v>
      </c>
      <c r="L1139" s="575"/>
      <c r="M1139" s="509"/>
    </row>
    <row r="1140" spans="1:13">
      <c r="A1140" s="509"/>
      <c r="B1140" s="509"/>
      <c r="C1140" s="509"/>
      <c r="D1140" s="633"/>
      <c r="E1140" s="509"/>
      <c r="F1140" s="509"/>
      <c r="G1140" s="509" t="s">
        <v>99</v>
      </c>
      <c r="H1140" s="633">
        <v>1.08</v>
      </c>
      <c r="I1140" s="633">
        <v>0.56</v>
      </c>
      <c r="J1140" s="509" t="s">
        <v>100</v>
      </c>
      <c r="K1140" s="784">
        <v>3.1</v>
      </c>
      <c r="L1140" s="575"/>
      <c r="M1140" s="509"/>
    </row>
    <row r="1141" spans="1:13">
      <c r="A1141" s="509"/>
      <c r="B1141" s="509"/>
      <c r="C1141" s="509"/>
      <c r="D1141" s="633"/>
      <c r="E1141" s="509"/>
      <c r="F1141" s="509"/>
      <c r="G1141" s="509" t="s">
        <v>91</v>
      </c>
      <c r="H1141" s="633">
        <v>1.08</v>
      </c>
      <c r="I1141" s="633">
        <v>0.4</v>
      </c>
      <c r="J1141" s="596" t="s">
        <v>24</v>
      </c>
      <c r="K1141" s="629" t="s">
        <v>24</v>
      </c>
      <c r="L1141" s="575"/>
      <c r="M1141" s="509"/>
    </row>
    <row r="1142" spans="1:13">
      <c r="A1142" s="509" t="s">
        <v>588</v>
      </c>
      <c r="B1142" s="509" t="s">
        <v>590</v>
      </c>
      <c r="C1142" s="509" t="s">
        <v>13</v>
      </c>
      <c r="D1142" s="633">
        <v>4</v>
      </c>
      <c r="E1142" s="509" t="s">
        <v>14</v>
      </c>
      <c r="F1142" s="509" t="s">
        <v>111</v>
      </c>
      <c r="G1142" s="509" t="s">
        <v>591</v>
      </c>
      <c r="H1142" s="633">
        <v>1.95</v>
      </c>
      <c r="I1142" s="633">
        <v>3.52</v>
      </c>
      <c r="J1142" s="509" t="s">
        <v>17</v>
      </c>
      <c r="K1142" s="784">
        <v>1.7</v>
      </c>
      <c r="L1142" s="575" t="s">
        <v>112</v>
      </c>
      <c r="M1142" s="509"/>
    </row>
    <row r="1143" spans="1:13">
      <c r="A1143" s="509"/>
      <c r="B1143" s="509"/>
      <c r="C1143" s="509"/>
      <c r="D1143" s="633"/>
      <c r="E1143" s="509"/>
      <c r="F1143" s="509"/>
      <c r="G1143" s="509" t="s">
        <v>592</v>
      </c>
      <c r="H1143" s="633">
        <v>1.95</v>
      </c>
      <c r="I1143" s="633">
        <v>0.24</v>
      </c>
      <c r="J1143" s="509" t="s">
        <v>22</v>
      </c>
      <c r="K1143" s="784">
        <v>1.76</v>
      </c>
      <c r="L1143" s="575"/>
      <c r="M1143" s="509"/>
    </row>
    <row r="1144" spans="1:13">
      <c r="A1144" s="509"/>
      <c r="B1144" s="509"/>
      <c r="C1144" s="509"/>
      <c r="D1144" s="633"/>
      <c r="E1144" s="509"/>
      <c r="F1144" s="509"/>
      <c r="G1144" s="575" t="s">
        <v>140</v>
      </c>
      <c r="H1144" s="633">
        <v>1.95</v>
      </c>
      <c r="I1144" s="633">
        <v>0.12</v>
      </c>
      <c r="J1144" s="596" t="s">
        <v>24</v>
      </c>
      <c r="K1144" s="629" t="s">
        <v>24</v>
      </c>
      <c r="L1144" s="575"/>
      <c r="M1144" s="509"/>
    </row>
    <row r="1145" spans="1:13">
      <c r="A1145" s="509"/>
      <c r="B1145" s="509"/>
      <c r="C1145" s="509"/>
      <c r="D1145" s="633"/>
      <c r="E1145" s="509"/>
      <c r="F1145" s="509"/>
      <c r="G1145" s="575" t="s">
        <v>581</v>
      </c>
      <c r="H1145" s="633">
        <v>1.95</v>
      </c>
      <c r="I1145" s="633">
        <v>0.12</v>
      </c>
      <c r="J1145" s="596" t="s">
        <v>24</v>
      </c>
      <c r="K1145" s="629" t="s">
        <v>24</v>
      </c>
      <c r="L1145" s="575"/>
      <c r="M1145" s="509"/>
    </row>
    <row r="1146" spans="1:13">
      <c r="A1146" s="596" t="s">
        <v>593</v>
      </c>
      <c r="B1146" s="596" t="s">
        <v>594</v>
      </c>
      <c r="C1146" s="596" t="s">
        <v>13</v>
      </c>
      <c r="D1146" s="629">
        <v>10</v>
      </c>
      <c r="E1146" s="596" t="s">
        <v>14</v>
      </c>
      <c r="F1146" s="596" t="s">
        <v>15</v>
      </c>
      <c r="G1146" s="596" t="s">
        <v>347</v>
      </c>
      <c r="H1146" s="629">
        <v>1.08</v>
      </c>
      <c r="I1146" s="629">
        <v>8.4</v>
      </c>
      <c r="J1146" s="629" t="s">
        <v>17</v>
      </c>
      <c r="K1146" s="629">
        <v>1.59</v>
      </c>
      <c r="L1146" s="596" t="s">
        <v>595</v>
      </c>
      <c r="M1146" s="596" t="s">
        <v>19</v>
      </c>
    </row>
    <row r="1147" spans="1:13">
      <c r="A1147" s="596"/>
      <c r="B1147" s="596"/>
      <c r="C1147" s="596"/>
      <c r="D1147" s="629"/>
      <c r="E1147" s="596"/>
      <c r="F1147" s="596"/>
      <c r="G1147" s="596" t="s">
        <v>348</v>
      </c>
      <c r="H1147" s="629">
        <v>1.25</v>
      </c>
      <c r="I1147" s="629">
        <v>0.6</v>
      </c>
      <c r="J1147" s="629" t="s">
        <v>17</v>
      </c>
      <c r="K1147" s="629">
        <v>1.65</v>
      </c>
      <c r="L1147" s="596"/>
      <c r="M1147" s="596"/>
    </row>
    <row r="1148" spans="1:13">
      <c r="A1148" s="596"/>
      <c r="B1148" s="596"/>
      <c r="C1148" s="596"/>
      <c r="D1148" s="629"/>
      <c r="E1148" s="596"/>
      <c r="F1148" s="596"/>
      <c r="G1148" s="596" t="s">
        <v>349</v>
      </c>
      <c r="H1148" s="629">
        <v>1.42</v>
      </c>
      <c r="I1148" s="629">
        <v>0.5</v>
      </c>
      <c r="J1148" s="629" t="s">
        <v>22</v>
      </c>
      <c r="K1148" s="629">
        <v>1.78</v>
      </c>
      <c r="L1148" s="596"/>
      <c r="M1148" s="596"/>
    </row>
    <row r="1149" spans="1:13">
      <c r="A1149" s="596"/>
      <c r="B1149" s="596"/>
      <c r="C1149" s="596"/>
      <c r="D1149" s="629"/>
      <c r="E1149" s="596"/>
      <c r="F1149" s="596"/>
      <c r="G1149" s="596" t="s">
        <v>91</v>
      </c>
      <c r="H1149" s="629">
        <v>2.64</v>
      </c>
      <c r="I1149" s="629">
        <v>0.5</v>
      </c>
      <c r="J1149" s="629" t="s">
        <v>24</v>
      </c>
      <c r="K1149" s="629" t="s">
        <v>24</v>
      </c>
      <c r="L1149" s="596"/>
      <c r="M1149" s="596"/>
    </row>
    <row r="1150" spans="1:13">
      <c r="A1150" s="596" t="s">
        <v>593</v>
      </c>
      <c r="B1150" s="596" t="s">
        <v>596</v>
      </c>
      <c r="C1150" s="596" t="s">
        <v>32</v>
      </c>
      <c r="D1150" s="629">
        <v>6</v>
      </c>
      <c r="E1150" s="596" t="s">
        <v>230</v>
      </c>
      <c r="F1150" s="596" t="s">
        <v>39</v>
      </c>
      <c r="G1150" s="596" t="s">
        <v>361</v>
      </c>
      <c r="H1150" s="629">
        <v>1.75</v>
      </c>
      <c r="I1150" s="629">
        <v>5.07</v>
      </c>
      <c r="J1150" s="629" t="s">
        <v>17</v>
      </c>
      <c r="K1150" s="629">
        <v>2.4</v>
      </c>
      <c r="L1150" s="596" t="s">
        <v>597</v>
      </c>
      <c r="M1150" s="596"/>
    </row>
    <row r="1151" spans="1:13">
      <c r="A1151" s="596"/>
      <c r="B1151" s="596"/>
      <c r="C1151" s="596"/>
      <c r="D1151" s="629"/>
      <c r="E1151" s="596"/>
      <c r="F1151" s="596"/>
      <c r="G1151" s="596" t="s">
        <v>349</v>
      </c>
      <c r="H1151" s="629">
        <v>1.75</v>
      </c>
      <c r="I1151" s="629">
        <v>0.24</v>
      </c>
      <c r="J1151" s="629" t="s">
        <v>22</v>
      </c>
      <c r="K1151" s="629">
        <v>2.8</v>
      </c>
      <c r="L1151" s="596"/>
      <c r="M1151" s="596"/>
    </row>
    <row r="1152" spans="1:13">
      <c r="A1152" s="596"/>
      <c r="B1152" s="596"/>
      <c r="C1152" s="596"/>
      <c r="D1152" s="629"/>
      <c r="E1152" s="596"/>
      <c r="F1152" s="596"/>
      <c r="G1152" s="596" t="s">
        <v>350</v>
      </c>
      <c r="H1152" s="629">
        <v>1.75</v>
      </c>
      <c r="I1152" s="629">
        <v>0.27</v>
      </c>
      <c r="J1152" s="629" t="s">
        <v>44</v>
      </c>
      <c r="K1152" s="629">
        <v>4</v>
      </c>
      <c r="L1152" s="596"/>
      <c r="M1152" s="596"/>
    </row>
    <row r="1153" spans="1:13">
      <c r="A1153" s="596"/>
      <c r="B1153" s="596"/>
      <c r="C1153" s="596"/>
      <c r="D1153" s="629"/>
      <c r="E1153" s="596"/>
      <c r="F1153" s="596"/>
      <c r="G1153" s="596" t="s">
        <v>91</v>
      </c>
      <c r="H1153" s="629">
        <v>1.75</v>
      </c>
      <c r="I1153" s="629">
        <v>0.42</v>
      </c>
      <c r="J1153" s="629" t="s">
        <v>24</v>
      </c>
      <c r="K1153" s="629" t="s">
        <v>24</v>
      </c>
      <c r="L1153" s="596"/>
      <c r="M1153" s="596"/>
    </row>
    <row r="1154" spans="1:13">
      <c r="A1154" s="596" t="s">
        <v>593</v>
      </c>
      <c r="B1154" s="596" t="s">
        <v>598</v>
      </c>
      <c r="C1154" s="596" t="s">
        <v>32</v>
      </c>
      <c r="D1154" s="629">
        <v>10</v>
      </c>
      <c r="E1154" s="596" t="s">
        <v>33</v>
      </c>
      <c r="F1154" s="596" t="s">
        <v>39</v>
      </c>
      <c r="G1154" s="596" t="s">
        <v>347</v>
      </c>
      <c r="H1154" s="629">
        <v>1.08</v>
      </c>
      <c r="I1154" s="629">
        <v>7.2</v>
      </c>
      <c r="J1154" s="629" t="s">
        <v>17</v>
      </c>
      <c r="K1154" s="629">
        <v>1.73</v>
      </c>
      <c r="L1154" s="596" t="s">
        <v>599</v>
      </c>
      <c r="M1154" s="596"/>
    </row>
    <row r="1155" spans="1:13">
      <c r="A1155" s="596"/>
      <c r="B1155" s="596"/>
      <c r="C1155" s="596"/>
      <c r="D1155" s="629"/>
      <c r="E1155" s="596"/>
      <c r="F1155" s="596"/>
      <c r="G1155" s="596" t="s">
        <v>348</v>
      </c>
      <c r="H1155" s="629">
        <v>1.25</v>
      </c>
      <c r="I1155" s="629">
        <v>1.6</v>
      </c>
      <c r="J1155" s="629" t="s">
        <v>17</v>
      </c>
      <c r="K1155" s="629">
        <v>1.75</v>
      </c>
      <c r="L1155" s="596"/>
      <c r="M1155" s="596"/>
    </row>
    <row r="1156" spans="1:13">
      <c r="A1156" s="596"/>
      <c r="B1156" s="596"/>
      <c r="C1156" s="596"/>
      <c r="D1156" s="629"/>
      <c r="E1156" s="596"/>
      <c r="F1156" s="596"/>
      <c r="G1156" s="596" t="s">
        <v>349</v>
      </c>
      <c r="H1156" s="629">
        <v>1.29</v>
      </c>
      <c r="I1156" s="629">
        <v>0.35</v>
      </c>
      <c r="J1156" s="629" t="s">
        <v>22</v>
      </c>
      <c r="K1156" s="629">
        <v>1.85</v>
      </c>
      <c r="L1156" s="596"/>
      <c r="M1156" s="596"/>
    </row>
    <row r="1157" spans="1:13">
      <c r="A1157" s="596"/>
      <c r="B1157" s="596"/>
      <c r="C1157" s="596"/>
      <c r="D1157" s="629"/>
      <c r="E1157" s="596"/>
      <c r="F1157" s="596"/>
      <c r="G1157" s="596" t="s">
        <v>350</v>
      </c>
      <c r="H1157" s="629">
        <v>1.35</v>
      </c>
      <c r="I1157" s="629">
        <v>0.35</v>
      </c>
      <c r="J1157" s="629" t="s">
        <v>136</v>
      </c>
      <c r="K1157" s="629">
        <v>4.4</v>
      </c>
      <c r="L1157" s="596"/>
      <c r="M1157" s="596"/>
    </row>
    <row r="1158" spans="1:13">
      <c r="A1158" s="596"/>
      <c r="B1158" s="596"/>
      <c r="C1158" s="596"/>
      <c r="D1158" s="629"/>
      <c r="E1158" s="596"/>
      <c r="F1158" s="596"/>
      <c r="G1158" s="596" t="s">
        <v>91</v>
      </c>
      <c r="H1158" s="629">
        <v>1.75</v>
      </c>
      <c r="I1158" s="629">
        <v>0.5</v>
      </c>
      <c r="J1158" s="629" t="s">
        <v>24</v>
      </c>
      <c r="K1158" s="629" t="s">
        <v>24</v>
      </c>
      <c r="L1158" s="596"/>
      <c r="M1158" s="596"/>
    </row>
    <row r="1159" spans="1:13">
      <c r="A1159" s="596" t="s">
        <v>593</v>
      </c>
      <c r="B1159" s="596" t="s">
        <v>600</v>
      </c>
      <c r="C1159" s="596" t="s">
        <v>13</v>
      </c>
      <c r="D1159" s="629">
        <v>10</v>
      </c>
      <c r="E1159" s="596" t="s">
        <v>208</v>
      </c>
      <c r="F1159" s="596" t="s">
        <v>77</v>
      </c>
      <c r="G1159" s="596" t="s">
        <v>361</v>
      </c>
      <c r="H1159" s="629">
        <v>1.95</v>
      </c>
      <c r="I1159" s="629">
        <v>8.7</v>
      </c>
      <c r="J1159" s="629" t="s">
        <v>17</v>
      </c>
      <c r="K1159" s="629">
        <v>1.78</v>
      </c>
      <c r="L1159" s="596" t="s">
        <v>601</v>
      </c>
      <c r="M1159" s="596" t="s">
        <v>89</v>
      </c>
    </row>
    <row r="1160" spans="1:13">
      <c r="A1160" s="596"/>
      <c r="B1160" s="596"/>
      <c r="C1160" s="596"/>
      <c r="D1160" s="629"/>
      <c r="E1160" s="596"/>
      <c r="F1160" s="596"/>
      <c r="G1160" s="596" t="s">
        <v>349</v>
      </c>
      <c r="H1160" s="629">
        <v>1.95</v>
      </c>
      <c r="I1160" s="629">
        <v>0.5</v>
      </c>
      <c r="J1160" s="629" t="s">
        <v>22</v>
      </c>
      <c r="K1160" s="629">
        <v>1.79</v>
      </c>
      <c r="L1160" s="596"/>
      <c r="M1160" s="596"/>
    </row>
    <row r="1161" spans="1:13">
      <c r="A1161" s="596"/>
      <c r="B1161" s="596"/>
      <c r="C1161" s="596"/>
      <c r="D1161" s="629"/>
      <c r="E1161" s="596"/>
      <c r="F1161" s="596"/>
      <c r="G1161" s="596" t="s">
        <v>99</v>
      </c>
      <c r="H1161" s="629">
        <v>2.53</v>
      </c>
      <c r="I1161" s="629">
        <v>0.3</v>
      </c>
      <c r="J1161" s="629" t="s">
        <v>44</v>
      </c>
      <c r="K1161" s="629">
        <v>3</v>
      </c>
      <c r="L1161" s="596"/>
      <c r="M1161" s="596"/>
    </row>
    <row r="1162" spans="1:13">
      <c r="A1162" s="596"/>
      <c r="B1162" s="596"/>
      <c r="C1162" s="596"/>
      <c r="D1162" s="629"/>
      <c r="E1162" s="596"/>
      <c r="F1162" s="596"/>
      <c r="G1162" s="596" t="s">
        <v>91</v>
      </c>
      <c r="H1162" s="629">
        <v>2.53</v>
      </c>
      <c r="I1162" s="629">
        <v>0.5</v>
      </c>
      <c r="J1162" s="629" t="s">
        <v>24</v>
      </c>
      <c r="K1162" s="629" t="s">
        <v>24</v>
      </c>
      <c r="L1162" s="596"/>
      <c r="M1162" s="596"/>
    </row>
    <row r="1163" spans="1:13">
      <c r="A1163" s="596" t="s">
        <v>593</v>
      </c>
      <c r="B1163" s="596" t="s">
        <v>602</v>
      </c>
      <c r="C1163" s="596" t="s">
        <v>32</v>
      </c>
      <c r="D1163" s="629">
        <v>10</v>
      </c>
      <c r="E1163" s="596" t="s">
        <v>208</v>
      </c>
      <c r="F1163" s="596" t="s">
        <v>576</v>
      </c>
      <c r="G1163" s="596" t="s">
        <v>128</v>
      </c>
      <c r="H1163" s="629">
        <v>1.84</v>
      </c>
      <c r="I1163" s="629">
        <v>8.8</v>
      </c>
      <c r="J1163" s="629" t="s">
        <v>17</v>
      </c>
      <c r="K1163" s="629">
        <v>1.78</v>
      </c>
      <c r="L1163" s="509" t="s">
        <v>603</v>
      </c>
      <c r="M1163" s="509" t="s">
        <v>577</v>
      </c>
    </row>
    <row r="1164" spans="1:13">
      <c r="A1164" s="596"/>
      <c r="B1164" s="596"/>
      <c r="C1164" s="596"/>
      <c r="D1164" s="629"/>
      <c r="E1164" s="596"/>
      <c r="F1164" s="596"/>
      <c r="G1164" s="596" t="s">
        <v>131</v>
      </c>
      <c r="H1164" s="629">
        <v>1.92</v>
      </c>
      <c r="I1164" s="629">
        <v>0.6</v>
      </c>
      <c r="J1164" s="629" t="s">
        <v>22</v>
      </c>
      <c r="K1164" s="629">
        <v>1.9</v>
      </c>
      <c r="L1164" s="509"/>
      <c r="M1164" s="509"/>
    </row>
    <row r="1165" spans="1:13">
      <c r="A1165" s="596"/>
      <c r="B1165" s="596"/>
      <c r="C1165" s="596"/>
      <c r="D1165" s="629"/>
      <c r="E1165" s="596"/>
      <c r="F1165" s="596"/>
      <c r="G1165" s="596" t="s">
        <v>91</v>
      </c>
      <c r="H1165" s="629">
        <v>2.5</v>
      </c>
      <c r="I1165" s="629">
        <v>0.6</v>
      </c>
      <c r="J1165" s="629" t="s">
        <v>24</v>
      </c>
      <c r="K1165" s="629" t="s">
        <v>24</v>
      </c>
      <c r="L1165" s="509"/>
      <c r="M1165" s="509"/>
    </row>
    <row r="1166" spans="1:13">
      <c r="A1166" s="596" t="s">
        <v>604</v>
      </c>
      <c r="B1166" s="596" t="s">
        <v>605</v>
      </c>
      <c r="C1166" s="596" t="s">
        <v>32</v>
      </c>
      <c r="D1166" s="629">
        <v>10</v>
      </c>
      <c r="E1166" s="596" t="s">
        <v>33</v>
      </c>
      <c r="F1166" s="596" t="s">
        <v>39</v>
      </c>
      <c r="G1166" s="596" t="s">
        <v>347</v>
      </c>
      <c r="H1166" s="629">
        <v>1.08</v>
      </c>
      <c r="I1166" s="629">
        <v>7.2</v>
      </c>
      <c r="J1166" s="629" t="s">
        <v>17</v>
      </c>
      <c r="K1166" s="629">
        <v>1.72</v>
      </c>
      <c r="L1166" s="596" t="s">
        <v>599</v>
      </c>
      <c r="M1166" s="596"/>
    </row>
    <row r="1167" spans="1:13">
      <c r="A1167" s="596"/>
      <c r="B1167" s="596"/>
      <c r="C1167" s="596"/>
      <c r="D1167" s="629"/>
      <c r="E1167" s="596"/>
      <c r="F1167" s="596"/>
      <c r="G1167" s="596" t="s">
        <v>348</v>
      </c>
      <c r="H1167" s="629">
        <v>1.25</v>
      </c>
      <c r="I1167" s="629">
        <v>1.6</v>
      </c>
      <c r="J1167" s="629" t="s">
        <v>17</v>
      </c>
      <c r="K1167" s="629">
        <v>1.73</v>
      </c>
      <c r="L1167" s="596"/>
      <c r="M1167" s="596"/>
    </row>
    <row r="1168" spans="1:13">
      <c r="A1168" s="596"/>
      <c r="B1168" s="596"/>
      <c r="C1168" s="596"/>
      <c r="D1168" s="629"/>
      <c r="E1168" s="596"/>
      <c r="F1168" s="596"/>
      <c r="G1168" s="596" t="s">
        <v>349</v>
      </c>
      <c r="H1168" s="629">
        <v>1.29</v>
      </c>
      <c r="I1168" s="629">
        <v>0.35</v>
      </c>
      <c r="J1168" s="629" t="s">
        <v>22</v>
      </c>
      <c r="K1168" s="629">
        <v>1.84</v>
      </c>
      <c r="L1168" s="596"/>
      <c r="M1168" s="596"/>
    </row>
    <row r="1169" spans="1:13">
      <c r="A1169" s="596"/>
      <c r="B1169" s="596"/>
      <c r="C1169" s="596"/>
      <c r="D1169" s="629"/>
      <c r="E1169" s="596"/>
      <c r="F1169" s="596"/>
      <c r="G1169" s="596" t="s">
        <v>350</v>
      </c>
      <c r="H1169" s="629">
        <v>1.38</v>
      </c>
      <c r="I1169" s="629">
        <v>0.35</v>
      </c>
      <c r="J1169" s="629" t="s">
        <v>136</v>
      </c>
      <c r="K1169" s="629">
        <v>4.4</v>
      </c>
      <c r="L1169" s="596"/>
      <c r="M1169" s="596"/>
    </row>
    <row r="1170" spans="1:13">
      <c r="A1170" s="596"/>
      <c r="B1170" s="596"/>
      <c r="C1170" s="596"/>
      <c r="D1170" s="629"/>
      <c r="E1170" s="596"/>
      <c r="F1170" s="596"/>
      <c r="G1170" s="596" t="s">
        <v>91</v>
      </c>
      <c r="H1170" s="629">
        <v>1.75</v>
      </c>
      <c r="I1170" s="629">
        <v>0.5</v>
      </c>
      <c r="J1170" s="629" t="s">
        <v>24</v>
      </c>
      <c r="K1170" s="629" t="s">
        <v>24</v>
      </c>
      <c r="L1170" s="596"/>
      <c r="M1170" s="596"/>
    </row>
    <row r="1171" spans="1:13">
      <c r="A1171" s="596" t="s">
        <v>604</v>
      </c>
      <c r="B1171" s="596" t="s">
        <v>606</v>
      </c>
      <c r="C1171" s="596" t="s">
        <v>13</v>
      </c>
      <c r="D1171" s="629">
        <v>8</v>
      </c>
      <c r="E1171" s="596" t="s">
        <v>33</v>
      </c>
      <c r="F1171" s="596" t="s">
        <v>111</v>
      </c>
      <c r="G1171" s="596" t="s">
        <v>361</v>
      </c>
      <c r="H1171" s="629">
        <v>1.92</v>
      </c>
      <c r="I1171" s="629">
        <v>7.2</v>
      </c>
      <c r="J1171" s="629" t="s">
        <v>17</v>
      </c>
      <c r="K1171" s="629">
        <v>1.78</v>
      </c>
      <c r="L1171" s="596" t="s">
        <v>607</v>
      </c>
      <c r="M1171" s="596" t="s">
        <v>36</v>
      </c>
    </row>
    <row r="1172" spans="1:13">
      <c r="A1172" s="596"/>
      <c r="B1172" s="596"/>
      <c r="C1172" s="596"/>
      <c r="D1172" s="629"/>
      <c r="E1172" s="596"/>
      <c r="F1172" s="596"/>
      <c r="G1172" s="596" t="s">
        <v>349</v>
      </c>
      <c r="H1172" s="629">
        <v>1.92</v>
      </c>
      <c r="I1172" s="629">
        <v>0.24</v>
      </c>
      <c r="J1172" s="629" t="s">
        <v>22</v>
      </c>
      <c r="K1172" s="629">
        <v>1.9</v>
      </c>
      <c r="L1172" s="596"/>
      <c r="M1172" s="596"/>
    </row>
    <row r="1173" spans="1:13">
      <c r="A1173" s="596"/>
      <c r="B1173" s="596"/>
      <c r="C1173" s="596"/>
      <c r="D1173" s="629"/>
      <c r="E1173" s="596"/>
      <c r="F1173" s="596"/>
      <c r="G1173" s="596" t="s">
        <v>99</v>
      </c>
      <c r="H1173" s="629">
        <v>1.92</v>
      </c>
      <c r="I1173" s="629">
        <v>0.16</v>
      </c>
      <c r="J1173" s="629" t="s">
        <v>64</v>
      </c>
      <c r="K1173" s="629">
        <v>3.2</v>
      </c>
      <c r="L1173" s="596"/>
      <c r="M1173" s="596"/>
    </row>
    <row r="1174" spans="1:13">
      <c r="A1174" s="596"/>
      <c r="B1174" s="596"/>
      <c r="C1174" s="596"/>
      <c r="D1174" s="629"/>
      <c r="E1174" s="596"/>
      <c r="F1174" s="596"/>
      <c r="G1174" s="596" t="s">
        <v>91</v>
      </c>
      <c r="H1174" s="629">
        <v>3.83</v>
      </c>
      <c r="I1174" s="629">
        <v>0.4</v>
      </c>
      <c r="J1174" s="629" t="s">
        <v>24</v>
      </c>
      <c r="K1174" s="629" t="s">
        <v>24</v>
      </c>
      <c r="L1174" s="596"/>
      <c r="M1174" s="596"/>
    </row>
    <row r="1175" spans="1:13">
      <c r="A1175" s="596" t="s">
        <v>604</v>
      </c>
      <c r="B1175" s="596" t="s">
        <v>608</v>
      </c>
      <c r="C1175" s="596" t="s">
        <v>13</v>
      </c>
      <c r="D1175" s="629">
        <v>3</v>
      </c>
      <c r="E1175" s="596" t="s">
        <v>14</v>
      </c>
      <c r="F1175" s="596" t="s">
        <v>34</v>
      </c>
      <c r="G1175" s="596" t="s">
        <v>361</v>
      </c>
      <c r="H1175" s="629">
        <v>1.85</v>
      </c>
      <c r="I1175" s="629">
        <v>2.52</v>
      </c>
      <c r="J1175" s="629" t="s">
        <v>17</v>
      </c>
      <c r="K1175" s="629">
        <v>2.49</v>
      </c>
      <c r="L1175" s="596" t="s">
        <v>609</v>
      </c>
      <c r="M1175" s="596"/>
    </row>
    <row r="1176" spans="1:13">
      <c r="A1176" s="596"/>
      <c r="B1176" s="596"/>
      <c r="C1176" s="596"/>
      <c r="D1176" s="629"/>
      <c r="E1176" s="596"/>
      <c r="F1176" s="596"/>
      <c r="G1176" s="596" t="s">
        <v>349</v>
      </c>
      <c r="H1176" s="629">
        <v>1.93</v>
      </c>
      <c r="I1176" s="629">
        <v>0.18</v>
      </c>
      <c r="J1176" s="629" t="s">
        <v>22</v>
      </c>
      <c r="K1176" s="629">
        <v>2.95</v>
      </c>
      <c r="L1176" s="596"/>
      <c r="M1176" s="596"/>
    </row>
    <row r="1177" spans="1:13">
      <c r="A1177" s="596"/>
      <c r="B1177" s="596"/>
      <c r="C1177" s="596"/>
      <c r="D1177" s="629"/>
      <c r="E1177" s="596"/>
      <c r="F1177" s="596"/>
      <c r="G1177" s="596" t="s">
        <v>91</v>
      </c>
      <c r="H1177" s="629">
        <v>2.68</v>
      </c>
      <c r="I1177" s="629">
        <v>0.3</v>
      </c>
      <c r="J1177" s="629" t="s">
        <v>24</v>
      </c>
      <c r="K1177" s="629" t="s">
        <v>24</v>
      </c>
      <c r="L1177" s="596"/>
      <c r="M1177" s="596"/>
    </row>
    <row r="1178" spans="1:13">
      <c r="A1178" s="596" t="s">
        <v>610</v>
      </c>
      <c r="B1178" s="596" t="s">
        <v>611</v>
      </c>
      <c r="C1178" s="596" t="s">
        <v>13</v>
      </c>
      <c r="D1178" s="629">
        <v>10</v>
      </c>
      <c r="E1178" s="596" t="s">
        <v>33</v>
      </c>
      <c r="F1178" s="596" t="s">
        <v>15</v>
      </c>
      <c r="G1178" s="596" t="s">
        <v>361</v>
      </c>
      <c r="H1178" s="629">
        <v>2</v>
      </c>
      <c r="I1178" s="629">
        <v>8.3</v>
      </c>
      <c r="J1178" s="629" t="s">
        <v>17</v>
      </c>
      <c r="K1178" s="629">
        <v>1.78</v>
      </c>
      <c r="L1178" s="596" t="s">
        <v>607</v>
      </c>
      <c r="M1178" s="596" t="s">
        <v>98</v>
      </c>
    </row>
    <row r="1179" spans="1:13">
      <c r="A1179" s="596"/>
      <c r="B1179" s="596"/>
      <c r="C1179" s="596"/>
      <c r="D1179" s="629"/>
      <c r="E1179" s="596"/>
      <c r="F1179" s="596"/>
      <c r="G1179" s="596" t="s">
        <v>349</v>
      </c>
      <c r="H1179" s="629">
        <v>2</v>
      </c>
      <c r="I1179" s="629">
        <v>0.5</v>
      </c>
      <c r="J1179" s="629" t="s">
        <v>22</v>
      </c>
      <c r="K1179" s="629">
        <v>1.9</v>
      </c>
      <c r="L1179" s="596"/>
      <c r="M1179" s="596"/>
    </row>
    <row r="1180" spans="1:13">
      <c r="A1180" s="596"/>
      <c r="B1180" s="596"/>
      <c r="C1180" s="596"/>
      <c r="D1180" s="629"/>
      <c r="E1180" s="596"/>
      <c r="F1180" s="596"/>
      <c r="G1180" s="596" t="s">
        <v>99</v>
      </c>
      <c r="H1180" s="629">
        <v>3.75</v>
      </c>
      <c r="I1180" s="629">
        <v>0.7</v>
      </c>
      <c r="J1180" s="629" t="s">
        <v>100</v>
      </c>
      <c r="K1180" s="629">
        <v>3.2</v>
      </c>
      <c r="L1180" s="596"/>
      <c r="M1180" s="596"/>
    </row>
    <row r="1181" spans="1:13">
      <c r="A1181" s="596"/>
      <c r="B1181" s="596"/>
      <c r="C1181" s="596"/>
      <c r="D1181" s="629"/>
      <c r="E1181" s="596"/>
      <c r="F1181" s="596"/>
      <c r="G1181" s="596" t="s">
        <v>91</v>
      </c>
      <c r="H1181" s="629">
        <v>3.75</v>
      </c>
      <c r="I1181" s="629">
        <v>0.5</v>
      </c>
      <c r="J1181" s="629" t="s">
        <v>24</v>
      </c>
      <c r="K1181" s="629" t="s">
        <v>24</v>
      </c>
      <c r="L1181" s="596"/>
      <c r="M1181" s="596"/>
    </row>
    <row r="1182" spans="1:13">
      <c r="A1182" s="596" t="s">
        <v>610</v>
      </c>
      <c r="B1182" s="596" t="s">
        <v>612</v>
      </c>
      <c r="C1182" s="596" t="s">
        <v>13</v>
      </c>
      <c r="D1182" s="629">
        <v>10</v>
      </c>
      <c r="E1182" s="596" t="s">
        <v>14</v>
      </c>
      <c r="F1182" s="596" t="s">
        <v>77</v>
      </c>
      <c r="G1182" s="596" t="s">
        <v>361</v>
      </c>
      <c r="H1182" s="629">
        <v>1.02</v>
      </c>
      <c r="I1182" s="629">
        <v>8.14</v>
      </c>
      <c r="J1182" s="629" t="s">
        <v>17</v>
      </c>
      <c r="K1182" s="629">
        <v>1.65</v>
      </c>
      <c r="L1182" s="596" t="s">
        <v>601</v>
      </c>
      <c r="M1182" s="596" t="s">
        <v>178</v>
      </c>
    </row>
    <row r="1183" spans="1:13">
      <c r="A1183" s="596"/>
      <c r="B1183" s="596"/>
      <c r="C1183" s="596"/>
      <c r="D1183" s="629"/>
      <c r="E1183" s="596"/>
      <c r="F1183" s="596"/>
      <c r="G1183" s="596" t="s">
        <v>349</v>
      </c>
      <c r="H1183" s="629">
        <v>1.02</v>
      </c>
      <c r="I1183" s="629">
        <v>0.57</v>
      </c>
      <c r="J1183" s="629" t="s">
        <v>22</v>
      </c>
      <c r="K1183" s="629">
        <v>1.66</v>
      </c>
      <c r="L1183" s="596"/>
      <c r="M1183" s="596"/>
    </row>
    <row r="1184" spans="1:13">
      <c r="A1184" s="596"/>
      <c r="B1184" s="596"/>
      <c r="C1184" s="596"/>
      <c r="D1184" s="629"/>
      <c r="E1184" s="596"/>
      <c r="F1184" s="596"/>
      <c r="G1184" s="596" t="s">
        <v>99</v>
      </c>
      <c r="H1184" s="629">
        <v>1.52</v>
      </c>
      <c r="I1184" s="629">
        <v>0.79</v>
      </c>
      <c r="J1184" s="629" t="s">
        <v>44</v>
      </c>
      <c r="K1184" s="629">
        <v>3</v>
      </c>
      <c r="L1184" s="596"/>
      <c r="M1184" s="596"/>
    </row>
    <row r="1185" spans="1:13">
      <c r="A1185" s="596"/>
      <c r="B1185" s="596"/>
      <c r="C1185" s="596"/>
      <c r="D1185" s="629"/>
      <c r="E1185" s="596"/>
      <c r="F1185" s="596"/>
      <c r="G1185" s="596" t="s">
        <v>91</v>
      </c>
      <c r="H1185" s="629">
        <v>1.52</v>
      </c>
      <c r="I1185" s="629">
        <v>0.5</v>
      </c>
      <c r="J1185" s="629" t="s">
        <v>24</v>
      </c>
      <c r="K1185" s="629" t="s">
        <v>24</v>
      </c>
      <c r="L1185" s="596"/>
      <c r="M1185" s="596"/>
    </row>
    <row r="1186" spans="1:13">
      <c r="A1186" s="596" t="s">
        <v>610</v>
      </c>
      <c r="B1186" s="596" t="s">
        <v>613</v>
      </c>
      <c r="C1186" s="596" t="s">
        <v>32</v>
      </c>
      <c r="D1186" s="629">
        <v>10</v>
      </c>
      <c r="E1186" s="596" t="s">
        <v>14</v>
      </c>
      <c r="F1186" s="596" t="s">
        <v>94</v>
      </c>
      <c r="G1186" s="596" t="s">
        <v>361</v>
      </c>
      <c r="H1186" s="629">
        <v>1.75</v>
      </c>
      <c r="I1186" s="629">
        <v>8.24</v>
      </c>
      <c r="J1186" s="629" t="s">
        <v>17</v>
      </c>
      <c r="K1186" s="629">
        <v>1.78</v>
      </c>
      <c r="L1186" s="596" t="s">
        <v>614</v>
      </c>
      <c r="M1186" s="596" t="s">
        <v>615</v>
      </c>
    </row>
    <row r="1187" spans="1:13">
      <c r="A1187" s="596"/>
      <c r="B1187" s="596"/>
      <c r="C1187" s="596"/>
      <c r="D1187" s="629"/>
      <c r="E1187" s="596"/>
      <c r="F1187" s="596"/>
      <c r="G1187" s="596" t="s">
        <v>349</v>
      </c>
      <c r="H1187" s="629">
        <v>1.75</v>
      </c>
      <c r="I1187" s="629">
        <v>0.52</v>
      </c>
      <c r="J1187" s="629" t="s">
        <v>22</v>
      </c>
      <c r="K1187" s="629">
        <v>1.88</v>
      </c>
      <c r="L1187" s="596"/>
      <c r="M1187" s="596"/>
    </row>
    <row r="1188" spans="1:13">
      <c r="A1188" s="596"/>
      <c r="B1188" s="596"/>
      <c r="C1188" s="596"/>
      <c r="D1188" s="629"/>
      <c r="E1188" s="596"/>
      <c r="F1188" s="596"/>
      <c r="G1188" s="596" t="s">
        <v>350</v>
      </c>
      <c r="H1188" s="629">
        <v>1.75</v>
      </c>
      <c r="I1188" s="629">
        <v>0.4</v>
      </c>
      <c r="J1188" s="629" t="s">
        <v>44</v>
      </c>
      <c r="K1188" s="629">
        <v>2.8</v>
      </c>
      <c r="L1188" s="596"/>
      <c r="M1188" s="596"/>
    </row>
    <row r="1189" spans="1:13">
      <c r="A1189" s="596"/>
      <c r="B1189" s="596"/>
      <c r="C1189" s="596"/>
      <c r="D1189" s="629"/>
      <c r="E1189" s="596"/>
      <c r="F1189" s="596"/>
      <c r="G1189" s="596" t="s">
        <v>91</v>
      </c>
      <c r="H1189" s="629">
        <v>2.66</v>
      </c>
      <c r="I1189" s="629">
        <v>0.84</v>
      </c>
      <c r="J1189" s="629"/>
      <c r="K1189" s="629"/>
      <c r="L1189" s="596"/>
      <c r="M1189" s="596"/>
    </row>
    <row r="1190" spans="1:13">
      <c r="A1190" s="596" t="s">
        <v>610</v>
      </c>
      <c r="B1190" s="596" t="s">
        <v>616</v>
      </c>
      <c r="C1190" s="596" t="s">
        <v>32</v>
      </c>
      <c r="D1190" s="629">
        <v>10</v>
      </c>
      <c r="E1190" s="596" t="s">
        <v>66</v>
      </c>
      <c r="F1190" s="596" t="s">
        <v>59</v>
      </c>
      <c r="G1190" s="596" t="s">
        <v>361</v>
      </c>
      <c r="H1190" s="629">
        <v>0.92</v>
      </c>
      <c r="I1190" s="629">
        <v>8.6</v>
      </c>
      <c r="J1190" s="629" t="s">
        <v>17</v>
      </c>
      <c r="K1190" s="629">
        <v>1.57</v>
      </c>
      <c r="L1190" s="596" t="s">
        <v>614</v>
      </c>
      <c r="M1190" s="596" t="s">
        <v>89</v>
      </c>
    </row>
    <row r="1191" spans="1:13">
      <c r="A1191" s="596"/>
      <c r="B1191" s="596"/>
      <c r="C1191" s="596"/>
      <c r="D1191" s="629"/>
      <c r="E1191" s="596"/>
      <c r="F1191" s="596"/>
      <c r="G1191" s="596" t="s">
        <v>349</v>
      </c>
      <c r="H1191" s="629">
        <v>0.92</v>
      </c>
      <c r="I1191" s="629">
        <v>0.55</v>
      </c>
      <c r="J1191" s="629" t="s">
        <v>22</v>
      </c>
      <c r="K1191" s="629">
        <v>1.6</v>
      </c>
      <c r="L1191" s="596"/>
      <c r="M1191" s="596"/>
    </row>
    <row r="1192" spans="1:13">
      <c r="A1192" s="596"/>
      <c r="B1192" s="596"/>
      <c r="C1192" s="596"/>
      <c r="D1192" s="629"/>
      <c r="E1192" s="596"/>
      <c r="F1192" s="596"/>
      <c r="G1192" s="596" t="s">
        <v>350</v>
      </c>
      <c r="H1192" s="629">
        <v>0.92</v>
      </c>
      <c r="I1192" s="629">
        <v>0.35</v>
      </c>
      <c r="J1192" s="629" t="s">
        <v>44</v>
      </c>
      <c r="K1192" s="629">
        <v>2.8</v>
      </c>
      <c r="L1192" s="596"/>
      <c r="M1192" s="596"/>
    </row>
    <row r="1193" spans="1:13">
      <c r="A1193" s="596"/>
      <c r="B1193" s="596"/>
      <c r="C1193" s="596"/>
      <c r="D1193" s="629"/>
      <c r="E1193" s="596"/>
      <c r="F1193" s="596"/>
      <c r="G1193" s="596" t="s">
        <v>91</v>
      </c>
      <c r="H1193" s="629">
        <v>2.92</v>
      </c>
      <c r="I1193" s="629">
        <v>0.5</v>
      </c>
      <c r="J1193" s="629" t="s">
        <v>24</v>
      </c>
      <c r="K1193" s="629" t="s">
        <v>24</v>
      </c>
      <c r="L1193" s="596"/>
      <c r="M1193" s="596"/>
    </row>
    <row r="1194" spans="1:13">
      <c r="A1194" s="596" t="s">
        <v>617</v>
      </c>
      <c r="B1194" s="596" t="s">
        <v>618</v>
      </c>
      <c r="C1194" s="596" t="s">
        <v>13</v>
      </c>
      <c r="D1194" s="629">
        <v>10</v>
      </c>
      <c r="E1194" s="596" t="s">
        <v>33</v>
      </c>
      <c r="F1194" s="596" t="s">
        <v>56</v>
      </c>
      <c r="G1194" s="596" t="s">
        <v>347</v>
      </c>
      <c r="H1194" s="596">
        <v>1.08</v>
      </c>
      <c r="I1194" s="629">
        <v>7.2</v>
      </c>
      <c r="J1194" s="596" t="s">
        <v>17</v>
      </c>
      <c r="K1194" s="596" t="s">
        <v>619</v>
      </c>
      <c r="L1194" s="596" t="s">
        <v>599</v>
      </c>
      <c r="M1194" s="596"/>
    </row>
    <row r="1195" spans="1:13">
      <c r="A1195" s="596"/>
      <c r="B1195" s="596"/>
      <c r="C1195" s="596"/>
      <c r="D1195" s="629"/>
      <c r="E1195" s="596"/>
      <c r="F1195" s="596"/>
      <c r="G1195" s="596" t="s">
        <v>348</v>
      </c>
      <c r="H1195" s="596">
        <v>1.25</v>
      </c>
      <c r="I1195" s="629">
        <v>1.6</v>
      </c>
      <c r="J1195" s="596" t="s">
        <v>17</v>
      </c>
      <c r="K1195" s="596" t="s">
        <v>620</v>
      </c>
      <c r="L1195" s="596"/>
      <c r="M1195" s="596"/>
    </row>
    <row r="1196" spans="1:13">
      <c r="A1196" s="596"/>
      <c r="B1196" s="596"/>
      <c r="C1196" s="596"/>
      <c r="D1196" s="629"/>
      <c r="E1196" s="596"/>
      <c r="F1196" s="596"/>
      <c r="G1196" s="596" t="s">
        <v>349</v>
      </c>
      <c r="H1196" s="596">
        <v>1.29</v>
      </c>
      <c r="I1196" s="629">
        <v>0.35</v>
      </c>
      <c r="J1196" s="596" t="s">
        <v>22</v>
      </c>
      <c r="K1196" s="596" t="s">
        <v>621</v>
      </c>
      <c r="L1196" s="596"/>
      <c r="M1196" s="596"/>
    </row>
    <row r="1197" spans="1:13">
      <c r="A1197" s="596"/>
      <c r="B1197" s="596"/>
      <c r="C1197" s="596"/>
      <c r="D1197" s="629"/>
      <c r="E1197" s="596"/>
      <c r="F1197" s="596"/>
      <c r="G1197" s="596" t="s">
        <v>350</v>
      </c>
      <c r="H1197" s="596">
        <v>1.38</v>
      </c>
      <c r="I1197" s="629">
        <v>0.35</v>
      </c>
      <c r="J1197" s="596" t="s">
        <v>136</v>
      </c>
      <c r="K1197" s="596" t="s">
        <v>622</v>
      </c>
      <c r="L1197" s="596"/>
      <c r="M1197" s="596"/>
    </row>
    <row r="1198" spans="1:13">
      <c r="A1198" s="596"/>
      <c r="B1198" s="596"/>
      <c r="C1198" s="596"/>
      <c r="D1198" s="629"/>
      <c r="E1198" s="596"/>
      <c r="F1198" s="596"/>
      <c r="G1198" s="596" t="s">
        <v>91</v>
      </c>
      <c r="H1198" s="596">
        <v>1.75</v>
      </c>
      <c r="I1198" s="629">
        <v>0.5</v>
      </c>
      <c r="J1198" s="596" t="s">
        <v>24</v>
      </c>
      <c r="K1198" s="596" t="s">
        <v>24</v>
      </c>
      <c r="L1198" s="596"/>
      <c r="M1198" s="596"/>
    </row>
    <row r="1199" spans="1:13">
      <c r="A1199" s="596" t="s">
        <v>623</v>
      </c>
      <c r="B1199" s="596" t="s">
        <v>624</v>
      </c>
      <c r="C1199" s="596" t="s">
        <v>13</v>
      </c>
      <c r="D1199" s="629">
        <v>5</v>
      </c>
      <c r="E1199" s="596" t="s">
        <v>33</v>
      </c>
      <c r="F1199" s="596" t="s">
        <v>56</v>
      </c>
      <c r="G1199" s="596" t="s">
        <v>347</v>
      </c>
      <c r="H1199" s="596">
        <v>1.08</v>
      </c>
      <c r="I1199" s="629">
        <v>3.6</v>
      </c>
      <c r="J1199" s="596" t="s">
        <v>17</v>
      </c>
      <c r="K1199" s="596" t="s">
        <v>619</v>
      </c>
      <c r="L1199" s="596" t="s">
        <v>599</v>
      </c>
      <c r="M1199" s="596"/>
    </row>
    <row r="1200" spans="1:13">
      <c r="A1200" s="596"/>
      <c r="B1200" s="596"/>
      <c r="C1200" s="596"/>
      <c r="D1200" s="629"/>
      <c r="E1200" s="596"/>
      <c r="F1200" s="596"/>
      <c r="G1200" s="596" t="s">
        <v>348</v>
      </c>
      <c r="H1200" s="596">
        <v>1.25</v>
      </c>
      <c r="I1200" s="629">
        <v>0.8</v>
      </c>
      <c r="J1200" s="596" t="s">
        <v>17</v>
      </c>
      <c r="K1200" s="596" t="s">
        <v>620</v>
      </c>
      <c r="L1200" s="596"/>
      <c r="M1200" s="596"/>
    </row>
    <row r="1201" spans="1:13">
      <c r="A1201" s="596"/>
      <c r="B1201" s="596"/>
      <c r="C1201" s="596"/>
      <c r="D1201" s="629"/>
      <c r="E1201" s="596"/>
      <c r="F1201" s="596"/>
      <c r="G1201" s="596" t="s">
        <v>349</v>
      </c>
      <c r="H1201" s="596">
        <v>1.29</v>
      </c>
      <c r="I1201" s="629">
        <v>0.17</v>
      </c>
      <c r="J1201" s="596" t="s">
        <v>22</v>
      </c>
      <c r="K1201" s="596" t="s">
        <v>621</v>
      </c>
      <c r="L1201" s="596"/>
      <c r="M1201" s="596"/>
    </row>
    <row r="1202" spans="1:13">
      <c r="A1202" s="596"/>
      <c r="B1202" s="596"/>
      <c r="C1202" s="596"/>
      <c r="D1202" s="629"/>
      <c r="E1202" s="596"/>
      <c r="F1202" s="596"/>
      <c r="G1202" s="596" t="s">
        <v>350</v>
      </c>
      <c r="H1202" s="596">
        <v>1.38</v>
      </c>
      <c r="I1202" s="629">
        <v>0.18</v>
      </c>
      <c r="J1202" s="596" t="s">
        <v>136</v>
      </c>
      <c r="K1202" s="596" t="s">
        <v>622</v>
      </c>
      <c r="L1202" s="596"/>
      <c r="M1202" s="596"/>
    </row>
    <row r="1203" spans="1:13">
      <c r="A1203" s="596"/>
      <c r="B1203" s="596"/>
      <c r="C1203" s="596"/>
      <c r="D1203" s="629"/>
      <c r="E1203" s="596"/>
      <c r="F1203" s="596"/>
      <c r="G1203" s="596" t="s">
        <v>91</v>
      </c>
      <c r="H1203" s="596">
        <v>1.75</v>
      </c>
      <c r="I1203" s="629">
        <v>0.25</v>
      </c>
      <c r="J1203" s="596" t="s">
        <v>24</v>
      </c>
      <c r="K1203" s="596" t="s">
        <v>24</v>
      </c>
      <c r="L1203" s="596"/>
      <c r="M1203" s="596"/>
    </row>
    <row r="1204" ht="28" spans="1:13">
      <c r="A1204" s="596" t="s">
        <v>625</v>
      </c>
      <c r="B1204" s="596" t="s">
        <v>626</v>
      </c>
      <c r="C1204" s="596" t="s">
        <v>13</v>
      </c>
      <c r="D1204" s="629">
        <v>3.38</v>
      </c>
      <c r="E1204" s="596" t="s">
        <v>14</v>
      </c>
      <c r="F1204" s="596" t="s">
        <v>46</v>
      </c>
      <c r="G1204" s="596" t="s">
        <v>128</v>
      </c>
      <c r="H1204" s="629">
        <v>0.96</v>
      </c>
      <c r="I1204" s="629">
        <v>3.38</v>
      </c>
      <c r="J1204" s="629" t="s">
        <v>17</v>
      </c>
      <c r="K1204" s="629">
        <v>2.5</v>
      </c>
      <c r="L1204" s="596" t="s">
        <v>627</v>
      </c>
      <c r="M1204" s="596"/>
    </row>
    <row r="1205" spans="1:13">
      <c r="A1205" s="596" t="s">
        <v>628</v>
      </c>
      <c r="B1205" s="596" t="s">
        <v>629</v>
      </c>
      <c r="C1205" s="596" t="s">
        <v>13</v>
      </c>
      <c r="D1205" s="629">
        <v>10</v>
      </c>
      <c r="E1205" s="596" t="s">
        <v>14</v>
      </c>
      <c r="F1205" s="596" t="s">
        <v>77</v>
      </c>
      <c r="G1205" s="594" t="s">
        <v>361</v>
      </c>
      <c r="H1205" s="629">
        <v>1</v>
      </c>
      <c r="I1205" s="629">
        <v>8.8</v>
      </c>
      <c r="J1205" s="629" t="s">
        <v>17</v>
      </c>
      <c r="K1205" s="629">
        <v>1.62</v>
      </c>
      <c r="L1205" s="596" t="s">
        <v>630</v>
      </c>
      <c r="M1205" s="596" t="s">
        <v>95</v>
      </c>
    </row>
    <row r="1206" spans="1:13">
      <c r="A1206" s="596"/>
      <c r="B1206" s="596"/>
      <c r="C1206" s="596"/>
      <c r="D1206" s="629"/>
      <c r="E1206" s="596"/>
      <c r="F1206" s="596"/>
      <c r="G1206" s="594" t="s">
        <v>349</v>
      </c>
      <c r="H1206" s="629">
        <v>1</v>
      </c>
      <c r="I1206" s="629">
        <v>0.6</v>
      </c>
      <c r="J1206" s="629" t="s">
        <v>22</v>
      </c>
      <c r="K1206" s="629">
        <v>1.74</v>
      </c>
      <c r="L1206" s="596"/>
      <c r="M1206" s="596"/>
    </row>
    <row r="1207" spans="1:13">
      <c r="A1207" s="596"/>
      <c r="B1207" s="596"/>
      <c r="C1207" s="596"/>
      <c r="D1207" s="629"/>
      <c r="E1207" s="596"/>
      <c r="F1207" s="596"/>
      <c r="G1207" s="596" t="s">
        <v>91</v>
      </c>
      <c r="H1207" s="629">
        <v>3.99</v>
      </c>
      <c r="I1207" s="629">
        <v>0.6</v>
      </c>
      <c r="J1207" s="629" t="s">
        <v>24</v>
      </c>
      <c r="K1207" s="629" t="s">
        <v>24</v>
      </c>
      <c r="L1207" s="596"/>
      <c r="M1207" s="596"/>
    </row>
    <row r="1208" spans="1:13">
      <c r="A1208" s="596" t="s">
        <v>631</v>
      </c>
      <c r="B1208" s="596" t="s">
        <v>632</v>
      </c>
      <c r="C1208" s="596" t="s">
        <v>13</v>
      </c>
      <c r="D1208" s="629">
        <v>4</v>
      </c>
      <c r="E1208" s="596" t="s">
        <v>33</v>
      </c>
      <c r="F1208" s="596" t="s">
        <v>46</v>
      </c>
      <c r="G1208" s="594" t="s">
        <v>361</v>
      </c>
      <c r="H1208" s="629">
        <v>1.41</v>
      </c>
      <c r="I1208" s="629">
        <v>3.36</v>
      </c>
      <c r="J1208" s="629" t="s">
        <v>17</v>
      </c>
      <c r="K1208" s="629">
        <v>2.15</v>
      </c>
      <c r="L1208" s="596" t="s">
        <v>633</v>
      </c>
      <c r="M1208" s="596"/>
    </row>
    <row r="1209" spans="1:13">
      <c r="A1209" s="596"/>
      <c r="B1209" s="596"/>
      <c r="C1209" s="596"/>
      <c r="D1209" s="629"/>
      <c r="E1209" s="596"/>
      <c r="F1209" s="596"/>
      <c r="G1209" s="596" t="s">
        <v>75</v>
      </c>
      <c r="H1209" s="629">
        <v>1.57</v>
      </c>
      <c r="I1209" s="629">
        <v>0.24</v>
      </c>
      <c r="J1209" s="629" t="s">
        <v>22</v>
      </c>
      <c r="K1209" s="629">
        <v>2.6</v>
      </c>
      <c r="L1209" s="596"/>
      <c r="M1209" s="596"/>
    </row>
    <row r="1210" spans="1:13">
      <c r="A1210" s="596"/>
      <c r="B1210" s="596"/>
      <c r="C1210" s="596"/>
      <c r="D1210" s="629"/>
      <c r="E1210" s="596"/>
      <c r="F1210" s="596"/>
      <c r="G1210" s="596" t="s">
        <v>91</v>
      </c>
      <c r="H1210" s="629">
        <v>2.57</v>
      </c>
      <c r="I1210" s="629">
        <v>0.4</v>
      </c>
      <c r="J1210" s="629" t="s">
        <v>24</v>
      </c>
      <c r="K1210" s="629" t="s">
        <v>24</v>
      </c>
      <c r="L1210" s="596"/>
      <c r="M1210" s="596"/>
    </row>
    <row r="1211" spans="1:13">
      <c r="A1211" s="596" t="s">
        <v>631</v>
      </c>
      <c r="B1211" s="596" t="s">
        <v>634</v>
      </c>
      <c r="C1211" s="596" t="s">
        <v>32</v>
      </c>
      <c r="D1211" s="629">
        <v>5</v>
      </c>
      <c r="E1211" s="596" t="s">
        <v>33</v>
      </c>
      <c r="F1211" s="596" t="s">
        <v>39</v>
      </c>
      <c r="G1211" s="596" t="s">
        <v>220</v>
      </c>
      <c r="H1211" s="629">
        <v>1.08</v>
      </c>
      <c r="I1211" s="629">
        <v>3.6</v>
      </c>
      <c r="J1211" s="629" t="s">
        <v>17</v>
      </c>
      <c r="K1211" s="629">
        <v>1.72</v>
      </c>
      <c r="L1211" s="596" t="s">
        <v>599</v>
      </c>
      <c r="M1211" s="596"/>
    </row>
    <row r="1212" spans="1:13">
      <c r="A1212" s="596"/>
      <c r="B1212" s="596"/>
      <c r="C1212" s="596"/>
      <c r="D1212" s="629"/>
      <c r="E1212" s="596"/>
      <c r="F1212" s="596"/>
      <c r="G1212" s="596" t="s">
        <v>221</v>
      </c>
      <c r="H1212" s="629">
        <v>1.25</v>
      </c>
      <c r="I1212" s="629">
        <v>0.8</v>
      </c>
      <c r="J1212" s="629" t="s">
        <v>17</v>
      </c>
      <c r="K1212" s="629">
        <v>1.74</v>
      </c>
      <c r="L1212" s="596"/>
      <c r="M1212" s="596"/>
    </row>
    <row r="1213" spans="1:13">
      <c r="A1213" s="596"/>
      <c r="B1213" s="596"/>
      <c r="C1213" s="596"/>
      <c r="D1213" s="629"/>
      <c r="E1213" s="596"/>
      <c r="F1213" s="596"/>
      <c r="G1213" s="596" t="s">
        <v>75</v>
      </c>
      <c r="H1213" s="629">
        <v>1.29</v>
      </c>
      <c r="I1213" s="629">
        <v>0.17</v>
      </c>
      <c r="J1213" s="629" t="s">
        <v>22</v>
      </c>
      <c r="K1213" s="629">
        <v>1.84</v>
      </c>
      <c r="L1213" s="596"/>
      <c r="M1213" s="596"/>
    </row>
    <row r="1214" spans="1:13">
      <c r="A1214" s="596"/>
      <c r="B1214" s="596"/>
      <c r="C1214" s="596"/>
      <c r="D1214" s="629"/>
      <c r="E1214" s="596"/>
      <c r="F1214" s="596"/>
      <c r="G1214" s="596" t="s">
        <v>90</v>
      </c>
      <c r="H1214" s="629">
        <v>1.38</v>
      </c>
      <c r="I1214" s="629">
        <v>0.18</v>
      </c>
      <c r="J1214" s="629" t="s">
        <v>136</v>
      </c>
      <c r="K1214" s="629">
        <v>4.4</v>
      </c>
      <c r="L1214" s="596"/>
      <c r="M1214" s="596"/>
    </row>
    <row r="1215" spans="1:13">
      <c r="A1215" s="596"/>
      <c r="B1215" s="596"/>
      <c r="C1215" s="596"/>
      <c r="D1215" s="629"/>
      <c r="E1215" s="596"/>
      <c r="F1215" s="596"/>
      <c r="G1215" s="596" t="s">
        <v>91</v>
      </c>
      <c r="H1215" s="629">
        <v>1.75</v>
      </c>
      <c r="I1215" s="629">
        <v>0.25</v>
      </c>
      <c r="J1215" s="629" t="s">
        <v>24</v>
      </c>
      <c r="K1215" s="629" t="s">
        <v>24</v>
      </c>
      <c r="L1215" s="596"/>
      <c r="M1215" s="596"/>
    </row>
    <row r="1216" spans="1:13">
      <c r="A1216" s="596" t="s">
        <v>631</v>
      </c>
      <c r="B1216" s="596" t="s">
        <v>635</v>
      </c>
      <c r="C1216" s="596" t="s">
        <v>32</v>
      </c>
      <c r="D1216" s="629">
        <v>4</v>
      </c>
      <c r="E1216" s="596" t="s">
        <v>33</v>
      </c>
      <c r="F1216" s="596" t="s">
        <v>94</v>
      </c>
      <c r="G1216" s="596" t="s">
        <v>73</v>
      </c>
      <c r="H1216" s="629">
        <v>1.84</v>
      </c>
      <c r="I1216" s="629">
        <v>3.36</v>
      </c>
      <c r="J1216" s="629" t="s">
        <v>17</v>
      </c>
      <c r="K1216" s="629">
        <v>2.3</v>
      </c>
      <c r="L1216" s="596" t="s">
        <v>636</v>
      </c>
      <c r="M1216" s="596"/>
    </row>
    <row r="1217" spans="1:13">
      <c r="A1217" s="596"/>
      <c r="B1217" s="596"/>
      <c r="C1217" s="596"/>
      <c r="D1217" s="629"/>
      <c r="E1217" s="596"/>
      <c r="F1217" s="596"/>
      <c r="G1217" s="596" t="s">
        <v>75</v>
      </c>
      <c r="H1217" s="629">
        <v>1.84</v>
      </c>
      <c r="I1217" s="629">
        <v>0.28</v>
      </c>
      <c r="J1217" s="629" t="s">
        <v>22</v>
      </c>
      <c r="K1217" s="629">
        <v>2.5</v>
      </c>
      <c r="L1217" s="596"/>
      <c r="M1217" s="596"/>
    </row>
    <row r="1218" spans="1:13">
      <c r="A1218" s="596"/>
      <c r="B1218" s="596"/>
      <c r="C1218" s="596"/>
      <c r="D1218" s="629"/>
      <c r="E1218" s="596"/>
      <c r="F1218" s="596"/>
      <c r="G1218" s="596" t="s">
        <v>91</v>
      </c>
      <c r="H1218" s="629">
        <v>1.84</v>
      </c>
      <c r="I1218" s="629">
        <v>0.36</v>
      </c>
      <c r="J1218" s="629" t="s">
        <v>24</v>
      </c>
      <c r="K1218" s="629" t="s">
        <v>24</v>
      </c>
      <c r="L1218" s="596"/>
      <c r="M1218" s="596"/>
    </row>
    <row r="1219" spans="1:13">
      <c r="A1219" s="596" t="s">
        <v>637</v>
      </c>
      <c r="B1219" s="596" t="s">
        <v>638</v>
      </c>
      <c r="C1219" s="596" t="s">
        <v>13</v>
      </c>
      <c r="D1219" s="629">
        <v>7</v>
      </c>
      <c r="E1219" s="596" t="s">
        <v>14</v>
      </c>
      <c r="F1219" s="596" t="s">
        <v>46</v>
      </c>
      <c r="G1219" s="596" t="s">
        <v>128</v>
      </c>
      <c r="H1219" s="629">
        <v>1</v>
      </c>
      <c r="I1219" s="629">
        <v>6.895</v>
      </c>
      <c r="J1219" s="629" t="s">
        <v>17</v>
      </c>
      <c r="K1219" s="629">
        <v>2.5</v>
      </c>
      <c r="L1219" s="596" t="s">
        <v>627</v>
      </c>
      <c r="M1219" s="596"/>
    </row>
    <row r="1220" spans="1:13">
      <c r="A1220" s="596"/>
      <c r="B1220" s="596"/>
      <c r="C1220" s="596"/>
      <c r="D1220" s="629"/>
      <c r="E1220" s="596"/>
      <c r="F1220" s="596"/>
      <c r="G1220" s="596" t="s">
        <v>91</v>
      </c>
      <c r="H1220" s="629">
        <v>3.06</v>
      </c>
      <c r="I1220" s="629">
        <v>0.105</v>
      </c>
      <c r="J1220" s="629" t="s">
        <v>24</v>
      </c>
      <c r="K1220" s="629" t="s">
        <v>24</v>
      </c>
      <c r="L1220" s="596"/>
      <c r="M1220" s="596"/>
    </row>
    <row r="1221" spans="1:13">
      <c r="A1221" s="596" t="s">
        <v>637</v>
      </c>
      <c r="B1221" s="596" t="s">
        <v>639</v>
      </c>
      <c r="C1221" s="596" t="s">
        <v>32</v>
      </c>
      <c r="D1221" s="629">
        <v>5</v>
      </c>
      <c r="E1221" s="596" t="s">
        <v>33</v>
      </c>
      <c r="F1221" s="596" t="s">
        <v>39</v>
      </c>
      <c r="G1221" s="596" t="s">
        <v>220</v>
      </c>
      <c r="H1221" s="629">
        <v>1.75</v>
      </c>
      <c r="I1221" s="629">
        <v>4.4</v>
      </c>
      <c r="J1221" s="629" t="s">
        <v>17</v>
      </c>
      <c r="K1221" s="629">
        <v>1.88</v>
      </c>
      <c r="L1221" s="596" t="s">
        <v>599</v>
      </c>
      <c r="M1221" s="596"/>
    </row>
    <row r="1222" spans="1:13">
      <c r="A1222" s="596"/>
      <c r="B1222" s="596"/>
      <c r="C1222" s="596"/>
      <c r="D1222" s="629"/>
      <c r="E1222" s="596"/>
      <c r="F1222" s="596"/>
      <c r="G1222" s="596" t="s">
        <v>75</v>
      </c>
      <c r="H1222" s="629">
        <v>1.78</v>
      </c>
      <c r="I1222" s="629">
        <v>0.17</v>
      </c>
      <c r="J1222" s="629" t="s">
        <v>22</v>
      </c>
      <c r="K1222" s="629">
        <v>1.98</v>
      </c>
      <c r="L1222" s="596"/>
      <c r="M1222" s="596"/>
    </row>
    <row r="1223" spans="1:13">
      <c r="A1223" s="596"/>
      <c r="B1223" s="596"/>
      <c r="C1223" s="596"/>
      <c r="D1223" s="629"/>
      <c r="E1223" s="596"/>
      <c r="F1223" s="596"/>
      <c r="G1223" s="596" t="s">
        <v>90</v>
      </c>
      <c r="H1223" s="629">
        <v>1.82</v>
      </c>
      <c r="I1223" s="629">
        <v>0.18</v>
      </c>
      <c r="J1223" s="629" t="s">
        <v>136</v>
      </c>
      <c r="K1223" s="629">
        <v>4.4</v>
      </c>
      <c r="L1223" s="596"/>
      <c r="M1223" s="596"/>
    </row>
    <row r="1224" spans="1:13">
      <c r="A1224" s="596"/>
      <c r="B1224" s="596"/>
      <c r="C1224" s="596"/>
      <c r="D1224" s="629"/>
      <c r="E1224" s="596"/>
      <c r="F1224" s="596"/>
      <c r="G1224" s="596" t="s">
        <v>91</v>
      </c>
      <c r="H1224" s="629">
        <v>2.24</v>
      </c>
      <c r="I1224" s="629">
        <v>0.25</v>
      </c>
      <c r="J1224" s="629" t="s">
        <v>24</v>
      </c>
      <c r="K1224" s="629" t="s">
        <v>24</v>
      </c>
      <c r="L1224" s="596"/>
      <c r="M1224" s="596"/>
    </row>
    <row r="1225" spans="1:13">
      <c r="A1225" s="596" t="s">
        <v>637</v>
      </c>
      <c r="B1225" s="596" t="s">
        <v>640</v>
      </c>
      <c r="C1225" s="596" t="s">
        <v>32</v>
      </c>
      <c r="D1225" s="629">
        <v>10</v>
      </c>
      <c r="E1225" s="596" t="s">
        <v>14</v>
      </c>
      <c r="F1225" s="596" t="s">
        <v>94</v>
      </c>
      <c r="G1225" s="596" t="s">
        <v>73</v>
      </c>
      <c r="H1225" s="629">
        <v>1.75</v>
      </c>
      <c r="I1225" s="629">
        <v>8.24</v>
      </c>
      <c r="J1225" s="629" t="s">
        <v>17</v>
      </c>
      <c r="K1225" s="629">
        <v>1.78</v>
      </c>
      <c r="L1225" s="596" t="s">
        <v>614</v>
      </c>
      <c r="M1225" s="596" t="s">
        <v>615</v>
      </c>
    </row>
    <row r="1226" spans="1:13">
      <c r="A1226" s="596"/>
      <c r="B1226" s="596"/>
      <c r="C1226" s="596"/>
      <c r="D1226" s="629"/>
      <c r="E1226" s="596"/>
      <c r="F1226" s="596"/>
      <c r="G1226" s="596" t="s">
        <v>75</v>
      </c>
      <c r="H1226" s="629">
        <v>1.75</v>
      </c>
      <c r="I1226" s="629">
        <v>0.52</v>
      </c>
      <c r="J1226" s="629" t="s">
        <v>22</v>
      </c>
      <c r="K1226" s="629">
        <v>1.88</v>
      </c>
      <c r="L1226" s="596"/>
      <c r="M1226" s="596"/>
    </row>
    <row r="1227" spans="1:13">
      <c r="A1227" s="596"/>
      <c r="B1227" s="596"/>
      <c r="C1227" s="596"/>
      <c r="D1227" s="629"/>
      <c r="E1227" s="596"/>
      <c r="F1227" s="596"/>
      <c r="G1227" s="596" t="s">
        <v>90</v>
      </c>
      <c r="H1227" s="629">
        <v>1.75</v>
      </c>
      <c r="I1227" s="629">
        <v>0.4</v>
      </c>
      <c r="J1227" s="629" t="s">
        <v>44</v>
      </c>
      <c r="K1227" s="629">
        <v>2.8</v>
      </c>
      <c r="L1227" s="596"/>
      <c r="M1227" s="596"/>
    </row>
    <row r="1228" spans="1:13">
      <c r="A1228" s="596"/>
      <c r="B1228" s="596"/>
      <c r="C1228" s="596"/>
      <c r="D1228" s="629"/>
      <c r="E1228" s="596"/>
      <c r="F1228" s="596"/>
      <c r="G1228" s="596" t="s">
        <v>91</v>
      </c>
      <c r="H1228" s="629">
        <v>2.66</v>
      </c>
      <c r="I1228" s="629">
        <v>0.84</v>
      </c>
      <c r="J1228" s="629" t="s">
        <v>24</v>
      </c>
      <c r="K1228" s="629" t="s">
        <v>24</v>
      </c>
      <c r="L1228" s="596"/>
      <c r="M1228" s="596"/>
    </row>
    <row r="1229" spans="1:13">
      <c r="A1229" s="596" t="s">
        <v>637</v>
      </c>
      <c r="B1229" s="596" t="s">
        <v>641</v>
      </c>
      <c r="C1229" s="596" t="s">
        <v>13</v>
      </c>
      <c r="D1229" s="629">
        <v>10</v>
      </c>
      <c r="E1229" s="596" t="s">
        <v>58</v>
      </c>
      <c r="F1229" s="596" t="s">
        <v>94</v>
      </c>
      <c r="G1229" s="596" t="s">
        <v>73</v>
      </c>
      <c r="H1229" s="629">
        <v>0.92</v>
      </c>
      <c r="I1229" s="629">
        <v>8.6</v>
      </c>
      <c r="J1229" s="629" t="s">
        <v>17</v>
      </c>
      <c r="K1229" s="629">
        <v>1.56</v>
      </c>
      <c r="L1229" s="596" t="s">
        <v>614</v>
      </c>
      <c r="M1229" s="596" t="s">
        <v>89</v>
      </c>
    </row>
    <row r="1230" spans="1:13">
      <c r="A1230" s="596"/>
      <c r="B1230" s="596"/>
      <c r="C1230" s="596"/>
      <c r="D1230" s="629"/>
      <c r="E1230" s="596"/>
      <c r="F1230" s="596"/>
      <c r="G1230" s="596" t="s">
        <v>75</v>
      </c>
      <c r="H1230" s="629">
        <v>0.92</v>
      </c>
      <c r="I1230" s="629">
        <v>0.55</v>
      </c>
      <c r="J1230" s="629" t="s">
        <v>22</v>
      </c>
      <c r="K1230" s="629">
        <v>1.6</v>
      </c>
      <c r="L1230" s="596"/>
      <c r="M1230" s="596"/>
    </row>
    <row r="1231" spans="1:13">
      <c r="A1231" s="596"/>
      <c r="B1231" s="596"/>
      <c r="C1231" s="596"/>
      <c r="D1231" s="629"/>
      <c r="E1231" s="596"/>
      <c r="F1231" s="596"/>
      <c r="G1231" s="596" t="s">
        <v>90</v>
      </c>
      <c r="H1231" s="629">
        <v>0.92</v>
      </c>
      <c r="I1231" s="629">
        <v>0.35</v>
      </c>
      <c r="J1231" s="629" t="s">
        <v>44</v>
      </c>
      <c r="K1231" s="629">
        <v>2.8</v>
      </c>
      <c r="L1231" s="596"/>
      <c r="M1231" s="596"/>
    </row>
    <row r="1232" spans="1:13">
      <c r="A1232" s="596"/>
      <c r="B1232" s="596"/>
      <c r="C1232" s="596"/>
      <c r="D1232" s="629"/>
      <c r="E1232" s="596"/>
      <c r="F1232" s="596"/>
      <c r="G1232" s="596" t="s">
        <v>91</v>
      </c>
      <c r="H1232" s="629">
        <v>3.75</v>
      </c>
      <c r="I1232" s="629">
        <v>0.5</v>
      </c>
      <c r="J1232" s="629" t="s">
        <v>24</v>
      </c>
      <c r="K1232" s="629" t="s">
        <v>24</v>
      </c>
      <c r="L1232" s="596"/>
      <c r="M1232" s="596"/>
    </row>
    <row r="1233" spans="1:13">
      <c r="A1233" s="596" t="s">
        <v>637</v>
      </c>
      <c r="B1233" s="596" t="s">
        <v>642</v>
      </c>
      <c r="C1233" s="596" t="s">
        <v>13</v>
      </c>
      <c r="D1233" s="629">
        <v>8</v>
      </c>
      <c r="E1233" s="596" t="s">
        <v>66</v>
      </c>
      <c r="F1233" s="596" t="s">
        <v>77</v>
      </c>
      <c r="G1233" s="596" t="s">
        <v>73</v>
      </c>
      <c r="H1233" s="629">
        <v>1.75</v>
      </c>
      <c r="I1233" s="629">
        <v>7.08</v>
      </c>
      <c r="J1233" s="629" t="s">
        <v>17</v>
      </c>
      <c r="K1233" s="629">
        <v>1.78</v>
      </c>
      <c r="L1233" s="596" t="s">
        <v>597</v>
      </c>
      <c r="M1233" s="596"/>
    </row>
    <row r="1234" spans="1:13">
      <c r="A1234" s="596"/>
      <c r="B1234" s="596"/>
      <c r="C1234" s="596"/>
      <c r="D1234" s="629"/>
      <c r="E1234" s="596"/>
      <c r="F1234" s="596"/>
      <c r="G1234" s="596" t="s">
        <v>75</v>
      </c>
      <c r="H1234" s="629">
        <v>1.75</v>
      </c>
      <c r="I1234" s="629">
        <v>0.36</v>
      </c>
      <c r="J1234" s="629" t="s">
        <v>44</v>
      </c>
      <c r="K1234" s="629">
        <v>4</v>
      </c>
      <c r="L1234" s="596"/>
      <c r="M1234" s="596"/>
    </row>
    <row r="1235" spans="1:13">
      <c r="A1235" s="596"/>
      <c r="B1235" s="596"/>
      <c r="C1235" s="596"/>
      <c r="D1235" s="629"/>
      <c r="E1235" s="596"/>
      <c r="F1235" s="596"/>
      <c r="G1235" s="596" t="s">
        <v>91</v>
      </c>
      <c r="H1235" s="629">
        <v>1.75</v>
      </c>
      <c r="I1235" s="629">
        <v>0.56</v>
      </c>
      <c r="J1235" s="629" t="s">
        <v>24</v>
      </c>
      <c r="K1235" s="629" t="s">
        <v>24</v>
      </c>
      <c r="L1235" s="596"/>
      <c r="M1235" s="596"/>
    </row>
    <row r="1236" spans="1:13">
      <c r="A1236" s="596" t="s">
        <v>637</v>
      </c>
      <c r="B1236" s="596" t="s">
        <v>643</v>
      </c>
      <c r="C1236" s="596" t="s">
        <v>13</v>
      </c>
      <c r="D1236" s="629">
        <v>5.7</v>
      </c>
      <c r="E1236" s="596" t="s">
        <v>66</v>
      </c>
      <c r="F1236" s="596" t="s">
        <v>77</v>
      </c>
      <c r="G1236" s="596" t="s">
        <v>73</v>
      </c>
      <c r="H1236" s="629">
        <v>1</v>
      </c>
      <c r="I1236" s="629">
        <v>5.28</v>
      </c>
      <c r="J1236" s="629" t="s">
        <v>17</v>
      </c>
      <c r="K1236" s="629">
        <v>1.62</v>
      </c>
      <c r="L1236" s="596" t="s">
        <v>630</v>
      </c>
      <c r="M1236" s="596" t="s">
        <v>95</v>
      </c>
    </row>
    <row r="1237" spans="1:13">
      <c r="A1237" s="596"/>
      <c r="B1237" s="596"/>
      <c r="C1237" s="596"/>
      <c r="D1237" s="629"/>
      <c r="E1237" s="596"/>
      <c r="F1237" s="596"/>
      <c r="G1237" s="596" t="s">
        <v>75</v>
      </c>
      <c r="H1237" s="629">
        <v>1</v>
      </c>
      <c r="I1237" s="629">
        <v>0.24</v>
      </c>
      <c r="J1237" s="629" t="s">
        <v>22</v>
      </c>
      <c r="K1237" s="629">
        <v>1.74</v>
      </c>
      <c r="L1237" s="596"/>
      <c r="M1237" s="596"/>
    </row>
    <row r="1238" spans="1:13">
      <c r="A1238" s="596"/>
      <c r="B1238" s="596"/>
      <c r="C1238" s="596"/>
      <c r="D1238" s="629"/>
      <c r="E1238" s="596"/>
      <c r="F1238" s="596"/>
      <c r="G1238" s="596" t="s">
        <v>90</v>
      </c>
      <c r="H1238" s="629">
        <v>1</v>
      </c>
      <c r="I1238" s="629">
        <v>0.18</v>
      </c>
      <c r="J1238" s="629" t="s">
        <v>96</v>
      </c>
      <c r="K1238" s="629">
        <v>4</v>
      </c>
      <c r="L1238" s="596"/>
      <c r="M1238" s="596"/>
    </row>
    <row r="1239" spans="1:13">
      <c r="A1239" s="635" t="s">
        <v>644</v>
      </c>
      <c r="B1239" s="635" t="s">
        <v>645</v>
      </c>
      <c r="C1239" s="635" t="s">
        <v>13</v>
      </c>
      <c r="D1239" s="636">
        <v>10</v>
      </c>
      <c r="E1239" s="635" t="s">
        <v>14</v>
      </c>
      <c r="F1239" s="635" t="s">
        <v>15</v>
      </c>
      <c r="G1239" s="635" t="s">
        <v>347</v>
      </c>
      <c r="H1239" s="636">
        <v>1.05</v>
      </c>
      <c r="I1239" s="636">
        <v>8.4</v>
      </c>
      <c r="J1239" s="636" t="s">
        <v>17</v>
      </c>
      <c r="K1239" s="636">
        <v>1.57</v>
      </c>
      <c r="L1239" s="785" t="s">
        <v>18</v>
      </c>
      <c r="M1239" s="635" t="s">
        <v>19</v>
      </c>
    </row>
    <row r="1240" spans="1:13">
      <c r="A1240" s="635"/>
      <c r="B1240" s="635"/>
      <c r="C1240" s="635"/>
      <c r="D1240" s="636"/>
      <c r="E1240" s="635"/>
      <c r="F1240" s="635"/>
      <c r="G1240" s="635" t="s">
        <v>348</v>
      </c>
      <c r="H1240" s="636">
        <v>1.22</v>
      </c>
      <c r="I1240" s="636">
        <v>0.6</v>
      </c>
      <c r="J1240" s="636" t="s">
        <v>17</v>
      </c>
      <c r="K1240" s="636">
        <v>1.65</v>
      </c>
      <c r="L1240" s="635"/>
      <c r="M1240" s="635"/>
    </row>
    <row r="1241" spans="1:13">
      <c r="A1241" s="635"/>
      <c r="B1241" s="635"/>
      <c r="C1241" s="635"/>
      <c r="D1241" s="636"/>
      <c r="E1241" s="635"/>
      <c r="F1241" s="635"/>
      <c r="G1241" s="635" t="s">
        <v>349</v>
      </c>
      <c r="H1241" s="636">
        <v>1.38</v>
      </c>
      <c r="I1241" s="636">
        <v>0.5</v>
      </c>
      <c r="J1241" s="636" t="s">
        <v>22</v>
      </c>
      <c r="K1241" s="636">
        <v>1.8</v>
      </c>
      <c r="L1241" s="635"/>
      <c r="M1241" s="635"/>
    </row>
    <row r="1242" spans="1:13">
      <c r="A1242" s="635"/>
      <c r="B1242" s="635"/>
      <c r="C1242" s="635"/>
      <c r="D1242" s="636"/>
      <c r="E1242" s="635"/>
      <c r="F1242" s="635"/>
      <c r="G1242" s="635" t="s">
        <v>91</v>
      </c>
      <c r="H1242" s="636">
        <v>2.59</v>
      </c>
      <c r="I1242" s="636">
        <v>0.5</v>
      </c>
      <c r="J1242" s="636" t="s">
        <v>24</v>
      </c>
      <c r="K1242" s="636" t="s">
        <v>24</v>
      </c>
      <c r="L1242" s="635"/>
      <c r="M1242" s="635"/>
    </row>
    <row r="1243" spans="1:13">
      <c r="A1243" s="635" t="s">
        <v>646</v>
      </c>
      <c r="B1243" s="635" t="s">
        <v>647</v>
      </c>
      <c r="C1243" s="635" t="s">
        <v>13</v>
      </c>
      <c r="D1243" s="636">
        <v>10</v>
      </c>
      <c r="E1243" s="635" t="s">
        <v>33</v>
      </c>
      <c r="F1243" s="635" t="s">
        <v>39</v>
      </c>
      <c r="G1243" s="635" t="s">
        <v>347</v>
      </c>
      <c r="H1243" s="636">
        <v>1.08</v>
      </c>
      <c r="I1243" s="636">
        <v>7.2</v>
      </c>
      <c r="J1243" s="636" t="s">
        <v>17</v>
      </c>
      <c r="K1243" s="636">
        <v>1.74</v>
      </c>
      <c r="L1243" s="635" t="s">
        <v>599</v>
      </c>
      <c r="M1243" s="635"/>
    </row>
    <row r="1244" spans="1:13">
      <c r="A1244" s="635"/>
      <c r="B1244" s="635"/>
      <c r="C1244" s="635"/>
      <c r="D1244" s="636"/>
      <c r="E1244" s="635"/>
      <c r="F1244" s="635"/>
      <c r="G1244" s="635" t="s">
        <v>348</v>
      </c>
      <c r="H1244" s="636">
        <v>1.25</v>
      </c>
      <c r="I1244" s="636">
        <v>1.5</v>
      </c>
      <c r="J1244" s="636" t="s">
        <v>17</v>
      </c>
      <c r="K1244" s="636">
        <v>1.79</v>
      </c>
      <c r="L1244" s="635"/>
      <c r="M1244" s="635"/>
    </row>
    <row r="1245" spans="1:13">
      <c r="A1245" s="635"/>
      <c r="B1245" s="635"/>
      <c r="C1245" s="635"/>
      <c r="D1245" s="636"/>
      <c r="E1245" s="635"/>
      <c r="F1245" s="635"/>
      <c r="G1245" s="635" t="s">
        <v>349</v>
      </c>
      <c r="H1245" s="636">
        <v>1.27</v>
      </c>
      <c r="I1245" s="636">
        <v>0.4</v>
      </c>
      <c r="J1245" s="636" t="s">
        <v>22</v>
      </c>
      <c r="K1245" s="636">
        <v>1.84</v>
      </c>
      <c r="L1245" s="635"/>
      <c r="M1245" s="635"/>
    </row>
    <row r="1246" spans="1:13">
      <c r="A1246" s="635"/>
      <c r="B1246" s="635"/>
      <c r="C1246" s="635"/>
      <c r="D1246" s="636"/>
      <c r="E1246" s="635"/>
      <c r="F1246" s="635"/>
      <c r="G1246" s="635" t="s">
        <v>350</v>
      </c>
      <c r="H1246" s="636">
        <v>1.38</v>
      </c>
      <c r="I1246" s="636">
        <v>0.4</v>
      </c>
      <c r="J1246" s="636" t="s">
        <v>44</v>
      </c>
      <c r="K1246" s="636">
        <v>4.4</v>
      </c>
      <c r="L1246" s="635"/>
      <c r="M1246" s="635"/>
    </row>
    <row r="1247" spans="1:13">
      <c r="A1247" s="635"/>
      <c r="B1247" s="635"/>
      <c r="C1247" s="635"/>
      <c r="D1247" s="636"/>
      <c r="E1247" s="635"/>
      <c r="F1247" s="635"/>
      <c r="G1247" s="635" t="s">
        <v>91</v>
      </c>
      <c r="H1247" s="636">
        <v>1.75</v>
      </c>
      <c r="I1247" s="636">
        <v>0.5</v>
      </c>
      <c r="J1247" s="636" t="s">
        <v>24</v>
      </c>
      <c r="K1247" s="636" t="s">
        <v>24</v>
      </c>
      <c r="L1247" s="635"/>
      <c r="M1247" s="635"/>
    </row>
    <row r="1248" spans="1:13">
      <c r="A1248" s="635" t="s">
        <v>646</v>
      </c>
      <c r="B1248" s="635" t="s">
        <v>648</v>
      </c>
      <c r="C1248" s="635" t="s">
        <v>13</v>
      </c>
      <c r="D1248" s="636">
        <v>10</v>
      </c>
      <c r="E1248" s="635" t="s">
        <v>649</v>
      </c>
      <c r="F1248" s="635" t="s">
        <v>240</v>
      </c>
      <c r="G1248" s="635" t="s">
        <v>591</v>
      </c>
      <c r="H1248" s="636">
        <v>0.92</v>
      </c>
      <c r="I1248" s="636">
        <v>8.6</v>
      </c>
      <c r="J1248" s="636" t="s">
        <v>17</v>
      </c>
      <c r="K1248" s="636">
        <v>1.55</v>
      </c>
      <c r="L1248" s="635" t="s">
        <v>614</v>
      </c>
      <c r="M1248" s="635" t="s">
        <v>89</v>
      </c>
    </row>
    <row r="1249" spans="1:13">
      <c r="A1249" s="635"/>
      <c r="B1249" s="635"/>
      <c r="C1249" s="635"/>
      <c r="D1249" s="636"/>
      <c r="E1249" s="635"/>
      <c r="F1249" s="635"/>
      <c r="G1249" s="635" t="s">
        <v>592</v>
      </c>
      <c r="H1249" s="636">
        <v>0.92</v>
      </c>
      <c r="I1249" s="636">
        <v>0.55</v>
      </c>
      <c r="J1249" s="636" t="s">
        <v>22</v>
      </c>
      <c r="K1249" s="636">
        <v>1.58</v>
      </c>
      <c r="L1249" s="635"/>
      <c r="M1249" s="635"/>
    </row>
    <row r="1250" spans="1:13">
      <c r="A1250" s="635"/>
      <c r="B1250" s="635"/>
      <c r="C1250" s="635"/>
      <c r="D1250" s="636"/>
      <c r="E1250" s="635"/>
      <c r="F1250" s="635"/>
      <c r="G1250" s="635" t="s">
        <v>650</v>
      </c>
      <c r="H1250" s="636">
        <v>0.92</v>
      </c>
      <c r="I1250" s="636">
        <v>0.35</v>
      </c>
      <c r="J1250" s="636" t="s">
        <v>44</v>
      </c>
      <c r="K1250" s="636">
        <v>2.8</v>
      </c>
      <c r="L1250" s="635"/>
      <c r="M1250" s="635"/>
    </row>
    <row r="1251" spans="1:13">
      <c r="A1251" s="635"/>
      <c r="B1251" s="635"/>
      <c r="C1251" s="635"/>
      <c r="D1251" s="636"/>
      <c r="E1251" s="635"/>
      <c r="F1251" s="635"/>
      <c r="G1251" s="635" t="s">
        <v>91</v>
      </c>
      <c r="H1251" s="636">
        <v>2.92</v>
      </c>
      <c r="I1251" s="636">
        <v>0.5</v>
      </c>
      <c r="J1251" s="636" t="s">
        <v>24</v>
      </c>
      <c r="K1251" s="636" t="s">
        <v>24</v>
      </c>
      <c r="L1251" s="635"/>
      <c r="M1251" s="635"/>
    </row>
    <row r="1252" spans="1:13">
      <c r="A1252" s="635" t="s">
        <v>646</v>
      </c>
      <c r="B1252" s="635" t="s">
        <v>651</v>
      </c>
      <c r="C1252" s="635" t="s">
        <v>13</v>
      </c>
      <c r="D1252" s="636">
        <v>8</v>
      </c>
      <c r="E1252" s="635" t="s">
        <v>177</v>
      </c>
      <c r="F1252" s="635" t="s">
        <v>77</v>
      </c>
      <c r="G1252" s="635" t="s">
        <v>361</v>
      </c>
      <c r="H1252" s="636">
        <v>1.03</v>
      </c>
      <c r="I1252" s="636">
        <v>6.512</v>
      </c>
      <c r="J1252" s="636" t="s">
        <v>17</v>
      </c>
      <c r="K1252" s="636">
        <v>1.69</v>
      </c>
      <c r="L1252" s="635" t="s">
        <v>601</v>
      </c>
      <c r="M1252" s="635" t="s">
        <v>178</v>
      </c>
    </row>
    <row r="1253" spans="1:13">
      <c r="A1253" s="635"/>
      <c r="B1253" s="635"/>
      <c r="C1253" s="635"/>
      <c r="D1253" s="636"/>
      <c r="E1253" s="635"/>
      <c r="F1253" s="635"/>
      <c r="G1253" s="635" t="s">
        <v>349</v>
      </c>
      <c r="H1253" s="636">
        <v>1.03</v>
      </c>
      <c r="I1253" s="636">
        <v>0.456</v>
      </c>
      <c r="J1253" s="636" t="s">
        <v>22</v>
      </c>
      <c r="K1253" s="636">
        <v>1.72</v>
      </c>
      <c r="L1253" s="635"/>
      <c r="M1253" s="635"/>
    </row>
    <row r="1254" spans="1:13">
      <c r="A1254" s="635"/>
      <c r="B1254" s="635"/>
      <c r="C1254" s="635"/>
      <c r="D1254" s="636"/>
      <c r="E1254" s="635"/>
      <c r="F1254" s="635"/>
      <c r="G1254" s="635" t="s">
        <v>99</v>
      </c>
      <c r="H1254" s="636">
        <v>1.11</v>
      </c>
      <c r="I1254" s="636">
        <v>0.632</v>
      </c>
      <c r="J1254" s="636" t="s">
        <v>44</v>
      </c>
      <c r="K1254" s="636">
        <v>2.5</v>
      </c>
      <c r="L1254" s="635"/>
      <c r="M1254" s="635"/>
    </row>
    <row r="1255" spans="1:13">
      <c r="A1255" s="635"/>
      <c r="B1255" s="635"/>
      <c r="C1255" s="635"/>
      <c r="D1255" s="636"/>
      <c r="E1255" s="635"/>
      <c r="F1255" s="635"/>
      <c r="G1255" s="635" t="s">
        <v>91</v>
      </c>
      <c r="H1255" s="636">
        <v>3.03</v>
      </c>
      <c r="I1255" s="636">
        <v>0.4</v>
      </c>
      <c r="J1255" s="636" t="s">
        <v>24</v>
      </c>
      <c r="K1255" s="636" t="s">
        <v>24</v>
      </c>
      <c r="L1255" s="635"/>
      <c r="M1255" s="635"/>
    </row>
    <row r="1256" spans="1:13">
      <c r="A1256" s="635" t="s">
        <v>652</v>
      </c>
      <c r="B1256" s="635" t="s">
        <v>653</v>
      </c>
      <c r="C1256" s="635" t="s">
        <v>13</v>
      </c>
      <c r="D1256" s="636">
        <v>5</v>
      </c>
      <c r="E1256" s="635" t="s">
        <v>230</v>
      </c>
      <c r="F1256" s="635" t="s">
        <v>15</v>
      </c>
      <c r="G1256" s="635" t="s">
        <v>361</v>
      </c>
      <c r="H1256" s="636">
        <v>1.74</v>
      </c>
      <c r="I1256" s="636">
        <v>4.23</v>
      </c>
      <c r="J1256" s="636" t="s">
        <v>17</v>
      </c>
      <c r="K1256" s="636">
        <v>2.4</v>
      </c>
      <c r="L1256" s="635" t="s">
        <v>597</v>
      </c>
      <c r="M1256" s="635"/>
    </row>
    <row r="1257" spans="1:13">
      <c r="A1257" s="635"/>
      <c r="B1257" s="635"/>
      <c r="C1257" s="635"/>
      <c r="D1257" s="636"/>
      <c r="E1257" s="635"/>
      <c r="F1257" s="635"/>
      <c r="G1257" s="635" t="s">
        <v>349</v>
      </c>
      <c r="H1257" s="636">
        <v>1.74</v>
      </c>
      <c r="I1257" s="636">
        <v>0.2</v>
      </c>
      <c r="J1257" s="636" t="s">
        <v>22</v>
      </c>
      <c r="K1257" s="636">
        <v>2.8</v>
      </c>
      <c r="L1257" s="635"/>
      <c r="M1257" s="635"/>
    </row>
    <row r="1258" spans="1:13">
      <c r="A1258" s="635"/>
      <c r="B1258" s="635"/>
      <c r="C1258" s="635"/>
      <c r="D1258" s="636"/>
      <c r="E1258" s="635"/>
      <c r="F1258" s="635"/>
      <c r="G1258" s="635" t="s">
        <v>350</v>
      </c>
      <c r="H1258" s="636">
        <v>1.74</v>
      </c>
      <c r="I1258" s="636">
        <v>0.22</v>
      </c>
      <c r="J1258" s="636" t="s">
        <v>44</v>
      </c>
      <c r="K1258" s="636">
        <v>4</v>
      </c>
      <c r="L1258" s="635"/>
      <c r="M1258" s="635"/>
    </row>
    <row r="1259" spans="1:13">
      <c r="A1259" s="635"/>
      <c r="B1259" s="635"/>
      <c r="C1259" s="635"/>
      <c r="D1259" s="636"/>
      <c r="E1259" s="635"/>
      <c r="F1259" s="635"/>
      <c r="G1259" s="635" t="s">
        <v>91</v>
      </c>
      <c r="H1259" s="636">
        <v>1.74</v>
      </c>
      <c r="I1259" s="636">
        <v>0.35</v>
      </c>
      <c r="J1259" s="636" t="s">
        <v>24</v>
      </c>
      <c r="K1259" s="636" t="s">
        <v>24</v>
      </c>
      <c r="L1259" s="635"/>
      <c r="M1259" s="635"/>
    </row>
    <row r="1260" spans="1:13">
      <c r="A1260" s="635" t="s">
        <v>652</v>
      </c>
      <c r="B1260" s="635" t="s">
        <v>654</v>
      </c>
      <c r="C1260" s="635" t="s">
        <v>13</v>
      </c>
      <c r="D1260" s="636">
        <v>10</v>
      </c>
      <c r="E1260" s="635" t="s">
        <v>33</v>
      </c>
      <c r="F1260" s="635" t="s">
        <v>15</v>
      </c>
      <c r="G1260" s="635" t="s">
        <v>361</v>
      </c>
      <c r="H1260" s="636">
        <v>1.92</v>
      </c>
      <c r="I1260" s="636">
        <v>9</v>
      </c>
      <c r="J1260" s="636" t="s">
        <v>17</v>
      </c>
      <c r="K1260" s="636">
        <v>1.77</v>
      </c>
      <c r="L1260" s="635" t="s">
        <v>607</v>
      </c>
      <c r="M1260" s="635" t="s">
        <v>36</v>
      </c>
    </row>
    <row r="1261" spans="1:13">
      <c r="A1261" s="635"/>
      <c r="B1261" s="635"/>
      <c r="C1261" s="635"/>
      <c r="D1261" s="636"/>
      <c r="E1261" s="635"/>
      <c r="F1261" s="635"/>
      <c r="G1261" s="635" t="s">
        <v>349</v>
      </c>
      <c r="H1261" s="636">
        <v>1.92</v>
      </c>
      <c r="I1261" s="636">
        <v>0.3</v>
      </c>
      <c r="J1261" s="636" t="s">
        <v>22</v>
      </c>
      <c r="K1261" s="636">
        <v>1.9</v>
      </c>
      <c r="L1261" s="635"/>
      <c r="M1261" s="635"/>
    </row>
    <row r="1262" spans="1:13">
      <c r="A1262" s="635"/>
      <c r="B1262" s="635"/>
      <c r="C1262" s="635"/>
      <c r="D1262" s="636"/>
      <c r="E1262" s="635"/>
      <c r="F1262" s="635"/>
      <c r="G1262" s="635" t="s">
        <v>99</v>
      </c>
      <c r="H1262" s="636">
        <v>1.92</v>
      </c>
      <c r="I1262" s="636">
        <v>0.2</v>
      </c>
      <c r="J1262" s="636" t="s">
        <v>64</v>
      </c>
      <c r="K1262" s="636">
        <v>3.2</v>
      </c>
      <c r="L1262" s="635"/>
      <c r="M1262" s="635"/>
    </row>
    <row r="1263" spans="1:13">
      <c r="A1263" s="635"/>
      <c r="B1263" s="635"/>
      <c r="C1263" s="635"/>
      <c r="D1263" s="636"/>
      <c r="E1263" s="635"/>
      <c r="F1263" s="635"/>
      <c r="G1263" s="635" t="s">
        <v>91</v>
      </c>
      <c r="H1263" s="636">
        <v>3.83</v>
      </c>
      <c r="I1263" s="636">
        <v>0.5</v>
      </c>
      <c r="J1263" s="636" t="s">
        <v>24</v>
      </c>
      <c r="K1263" s="636" t="s">
        <v>24</v>
      </c>
      <c r="L1263" s="635"/>
      <c r="M1263" s="635"/>
    </row>
    <row r="1264" spans="1:13">
      <c r="A1264" s="635" t="s">
        <v>652</v>
      </c>
      <c r="B1264" s="785" t="s">
        <v>655</v>
      </c>
      <c r="C1264" s="635" t="s">
        <v>32</v>
      </c>
      <c r="D1264" s="636">
        <v>3.6</v>
      </c>
      <c r="E1264" s="635" t="s">
        <v>656</v>
      </c>
      <c r="F1264" s="635" t="s">
        <v>59</v>
      </c>
      <c r="G1264" s="635" t="s">
        <v>128</v>
      </c>
      <c r="H1264" s="636">
        <v>2</v>
      </c>
      <c r="I1264" s="636">
        <v>3.42</v>
      </c>
      <c r="J1264" s="636" t="s">
        <v>17</v>
      </c>
      <c r="K1264" s="636">
        <v>1.64</v>
      </c>
      <c r="L1264" s="635" t="s">
        <v>657</v>
      </c>
      <c r="M1264" s="635"/>
    </row>
    <row r="1265" spans="1:13">
      <c r="A1265" s="635"/>
      <c r="B1265" s="635"/>
      <c r="C1265" s="635"/>
      <c r="D1265" s="636"/>
      <c r="E1265" s="635"/>
      <c r="F1265" s="635"/>
      <c r="G1265" s="635" t="s">
        <v>91</v>
      </c>
      <c r="H1265" s="636">
        <v>2</v>
      </c>
      <c r="I1265" s="636">
        <v>0.18</v>
      </c>
      <c r="J1265" s="636" t="s">
        <v>24</v>
      </c>
      <c r="K1265" s="636" t="s">
        <v>24</v>
      </c>
      <c r="L1265" s="635"/>
      <c r="M1265" s="635"/>
    </row>
    <row r="1266" spans="1:13">
      <c r="A1266" s="635" t="s">
        <v>652</v>
      </c>
      <c r="B1266" s="635" t="s">
        <v>658</v>
      </c>
      <c r="C1266" s="635" t="s">
        <v>13</v>
      </c>
      <c r="D1266" s="636">
        <v>10</v>
      </c>
      <c r="E1266" s="635" t="s">
        <v>33</v>
      </c>
      <c r="F1266" s="635" t="s">
        <v>39</v>
      </c>
      <c r="G1266" s="635" t="s">
        <v>347</v>
      </c>
      <c r="H1266" s="636">
        <v>1.08</v>
      </c>
      <c r="I1266" s="636">
        <v>7.2</v>
      </c>
      <c r="J1266" s="636" t="s">
        <v>17</v>
      </c>
      <c r="K1266" s="636">
        <v>1.74</v>
      </c>
      <c r="L1266" s="635" t="s">
        <v>599</v>
      </c>
      <c r="M1266" s="635"/>
    </row>
    <row r="1267" spans="1:13">
      <c r="A1267" s="635"/>
      <c r="B1267" s="635"/>
      <c r="C1267" s="635"/>
      <c r="D1267" s="636"/>
      <c r="E1267" s="635"/>
      <c r="F1267" s="635"/>
      <c r="G1267" s="635" t="s">
        <v>348</v>
      </c>
      <c r="H1267" s="636">
        <v>1.25</v>
      </c>
      <c r="I1267" s="636">
        <v>1.5</v>
      </c>
      <c r="J1267" s="636" t="s">
        <v>17</v>
      </c>
      <c r="K1267" s="636">
        <v>1.78</v>
      </c>
      <c r="L1267" s="635"/>
      <c r="M1267" s="635"/>
    </row>
    <row r="1268" spans="1:13">
      <c r="A1268" s="635"/>
      <c r="B1268" s="635"/>
      <c r="C1268" s="635"/>
      <c r="D1268" s="636"/>
      <c r="E1268" s="635"/>
      <c r="F1268" s="635"/>
      <c r="G1268" s="635" t="s">
        <v>349</v>
      </c>
      <c r="H1268" s="636">
        <v>1.27</v>
      </c>
      <c r="I1268" s="636">
        <v>0.4</v>
      </c>
      <c r="J1268" s="636" t="s">
        <v>22</v>
      </c>
      <c r="K1268" s="636">
        <v>1.83</v>
      </c>
      <c r="L1268" s="635"/>
      <c r="M1268" s="635"/>
    </row>
    <row r="1269" spans="1:13">
      <c r="A1269" s="635"/>
      <c r="B1269" s="635"/>
      <c r="C1269" s="635"/>
      <c r="D1269" s="636"/>
      <c r="E1269" s="635"/>
      <c r="F1269" s="635"/>
      <c r="G1269" s="635" t="s">
        <v>350</v>
      </c>
      <c r="H1269" s="636">
        <v>1.37</v>
      </c>
      <c r="I1269" s="636">
        <v>0.4</v>
      </c>
      <c r="J1269" s="636" t="s">
        <v>44</v>
      </c>
      <c r="K1269" s="636">
        <v>4.4</v>
      </c>
      <c r="L1269" s="635"/>
      <c r="M1269" s="635"/>
    </row>
    <row r="1270" spans="1:13">
      <c r="A1270" s="635"/>
      <c r="B1270" s="635"/>
      <c r="C1270" s="635"/>
      <c r="D1270" s="636"/>
      <c r="E1270" s="635"/>
      <c r="F1270" s="635"/>
      <c r="G1270" s="635" t="s">
        <v>91</v>
      </c>
      <c r="H1270" s="636">
        <v>1.74</v>
      </c>
      <c r="I1270" s="636">
        <v>0.5</v>
      </c>
      <c r="J1270" s="636" t="s">
        <v>24</v>
      </c>
      <c r="K1270" s="636" t="s">
        <v>24</v>
      </c>
      <c r="L1270" s="635"/>
      <c r="M1270" s="635"/>
    </row>
    <row r="1271" spans="1:13">
      <c r="A1271" s="786" t="s">
        <v>659</v>
      </c>
      <c r="B1271" s="786" t="s">
        <v>660</v>
      </c>
      <c r="C1271" s="786" t="s">
        <v>13</v>
      </c>
      <c r="D1271" s="787">
        <v>5.8</v>
      </c>
      <c r="E1271" s="786" t="s">
        <v>14</v>
      </c>
      <c r="F1271" s="786" t="s">
        <v>165</v>
      </c>
      <c r="G1271" s="788" t="s">
        <v>347</v>
      </c>
      <c r="H1271" s="787">
        <v>1.99</v>
      </c>
      <c r="I1271" s="787">
        <v>2.32</v>
      </c>
      <c r="J1271" s="786" t="s">
        <v>17</v>
      </c>
      <c r="K1271" s="787">
        <v>2.6</v>
      </c>
      <c r="L1271" s="786" t="s">
        <v>627</v>
      </c>
      <c r="M1271" s="789"/>
    </row>
    <row r="1272" spans="1:13">
      <c r="A1272" s="790"/>
      <c r="B1272" s="790"/>
      <c r="C1272" s="790"/>
      <c r="D1272" s="791"/>
      <c r="E1272" s="790"/>
      <c r="F1272" s="790"/>
      <c r="G1272" s="792" t="s">
        <v>348</v>
      </c>
      <c r="H1272" s="791">
        <v>0.99</v>
      </c>
      <c r="I1272" s="791">
        <v>1.74</v>
      </c>
      <c r="J1272" s="793" t="s">
        <v>17</v>
      </c>
      <c r="K1272" s="791">
        <v>2.3</v>
      </c>
      <c r="L1272" s="790"/>
      <c r="M1272" s="790"/>
    </row>
    <row r="1273" spans="1:13">
      <c r="A1273" s="790"/>
      <c r="B1273" s="790"/>
      <c r="C1273" s="790"/>
      <c r="D1273" s="791"/>
      <c r="E1273" s="790"/>
      <c r="F1273" s="790"/>
      <c r="G1273" s="792" t="s">
        <v>568</v>
      </c>
      <c r="H1273" s="791">
        <v>2.99</v>
      </c>
      <c r="I1273" s="794">
        <v>1.653</v>
      </c>
      <c r="J1273" s="793" t="s">
        <v>17</v>
      </c>
      <c r="K1273" s="791">
        <v>3.3</v>
      </c>
      <c r="L1273" s="790"/>
      <c r="M1273" s="790"/>
    </row>
    <row r="1274" spans="1:13">
      <c r="A1274" s="790"/>
      <c r="B1274" s="790"/>
      <c r="C1274" s="790"/>
      <c r="D1274" s="791"/>
      <c r="E1274" s="790"/>
      <c r="F1274" s="790"/>
      <c r="G1274" s="792" t="s">
        <v>91</v>
      </c>
      <c r="H1274" s="791">
        <v>3.25</v>
      </c>
      <c r="I1274" s="794">
        <v>0.087</v>
      </c>
      <c r="J1274" s="793" t="s">
        <v>24</v>
      </c>
      <c r="K1274" s="795" t="s">
        <v>24</v>
      </c>
      <c r="L1274" s="790"/>
      <c r="M1274" s="790"/>
    </row>
    <row r="1275" spans="1:13">
      <c r="A1275" s="793" t="s">
        <v>659</v>
      </c>
      <c r="B1275" s="793" t="s">
        <v>661</v>
      </c>
      <c r="C1275" s="793" t="s">
        <v>32</v>
      </c>
      <c r="D1275" s="791">
        <v>5</v>
      </c>
      <c r="E1275" s="793" t="s">
        <v>649</v>
      </c>
      <c r="F1275" s="793" t="s">
        <v>15</v>
      </c>
      <c r="G1275" s="796" t="s">
        <v>361</v>
      </c>
      <c r="H1275" s="791">
        <v>2.67</v>
      </c>
      <c r="I1275" s="791">
        <v>4.35</v>
      </c>
      <c r="J1275" s="793" t="s">
        <v>17</v>
      </c>
      <c r="K1275" s="791">
        <v>1.8</v>
      </c>
      <c r="L1275" s="793" t="s">
        <v>630</v>
      </c>
      <c r="M1275" s="793" t="s">
        <v>95</v>
      </c>
    </row>
    <row r="1276" spans="1:13">
      <c r="A1276" s="790"/>
      <c r="B1276" s="790"/>
      <c r="C1276" s="790"/>
      <c r="D1276" s="791"/>
      <c r="E1276" s="790"/>
      <c r="F1276" s="790"/>
      <c r="G1276" s="796" t="s">
        <v>349</v>
      </c>
      <c r="H1276" s="791">
        <v>3</v>
      </c>
      <c r="I1276" s="791">
        <v>0.4</v>
      </c>
      <c r="J1276" s="793" t="s">
        <v>24</v>
      </c>
      <c r="K1276" s="795" t="s">
        <v>24</v>
      </c>
      <c r="L1276" s="790"/>
      <c r="M1276" s="790"/>
    </row>
    <row r="1277" spans="1:13">
      <c r="A1277" s="790"/>
      <c r="B1277" s="790"/>
      <c r="C1277" s="790"/>
      <c r="D1277" s="791"/>
      <c r="E1277" s="790"/>
      <c r="F1277" s="790"/>
      <c r="G1277" s="796" t="s">
        <v>91</v>
      </c>
      <c r="H1277" s="791">
        <v>2.75</v>
      </c>
      <c r="I1277" s="791">
        <v>0.25</v>
      </c>
      <c r="J1277" s="793" t="s">
        <v>22</v>
      </c>
      <c r="K1277" s="791">
        <v>1.88</v>
      </c>
      <c r="L1277" s="790"/>
      <c r="M1277" s="790"/>
    </row>
    <row r="1278" spans="1:13">
      <c r="A1278" s="793" t="s">
        <v>659</v>
      </c>
      <c r="B1278" s="793" t="s">
        <v>662</v>
      </c>
      <c r="C1278" s="793" t="s">
        <v>13</v>
      </c>
      <c r="D1278" s="791">
        <v>10</v>
      </c>
      <c r="E1278" s="793" t="s">
        <v>14</v>
      </c>
      <c r="F1278" s="793" t="s">
        <v>15</v>
      </c>
      <c r="G1278" s="793" t="s">
        <v>347</v>
      </c>
      <c r="H1278" s="791">
        <v>1.07</v>
      </c>
      <c r="I1278" s="791">
        <v>8.4</v>
      </c>
      <c r="J1278" s="793" t="s">
        <v>17</v>
      </c>
      <c r="K1278" s="791">
        <v>1.55</v>
      </c>
      <c r="L1278" s="793" t="s">
        <v>595</v>
      </c>
      <c r="M1278" s="793" t="s">
        <v>19</v>
      </c>
    </row>
    <row r="1279" spans="1:13">
      <c r="A1279" s="790"/>
      <c r="B1279" s="790"/>
      <c r="C1279" s="790"/>
      <c r="D1279" s="791"/>
      <c r="E1279" s="790"/>
      <c r="F1279" s="790"/>
      <c r="G1279" s="793" t="s">
        <v>348</v>
      </c>
      <c r="H1279" s="791">
        <v>1.24</v>
      </c>
      <c r="I1279" s="791">
        <v>0.6</v>
      </c>
      <c r="J1279" s="793" t="s">
        <v>17</v>
      </c>
      <c r="K1279" s="791">
        <v>1.63</v>
      </c>
      <c r="L1279" s="790"/>
      <c r="M1279" s="790"/>
    </row>
    <row r="1280" spans="1:13">
      <c r="A1280" s="790"/>
      <c r="B1280" s="790"/>
      <c r="C1280" s="790"/>
      <c r="D1280" s="791"/>
      <c r="E1280" s="790"/>
      <c r="F1280" s="790"/>
      <c r="G1280" s="793" t="s">
        <v>349</v>
      </c>
      <c r="H1280" s="791">
        <v>1.4</v>
      </c>
      <c r="I1280" s="791">
        <v>0.5</v>
      </c>
      <c r="J1280" s="793" t="s">
        <v>22</v>
      </c>
      <c r="K1280" s="791">
        <v>1.78</v>
      </c>
      <c r="L1280" s="790"/>
      <c r="M1280" s="790"/>
    </row>
    <row r="1281" spans="1:13">
      <c r="A1281" s="790"/>
      <c r="B1281" s="790"/>
      <c r="C1281" s="790"/>
      <c r="D1281" s="791"/>
      <c r="E1281" s="790"/>
      <c r="F1281" s="790"/>
      <c r="G1281" s="793" t="s">
        <v>91</v>
      </c>
      <c r="H1281" s="791">
        <v>2.61</v>
      </c>
      <c r="I1281" s="791">
        <v>0.5</v>
      </c>
      <c r="J1281" s="793" t="s">
        <v>24</v>
      </c>
      <c r="K1281" s="795" t="s">
        <v>24</v>
      </c>
      <c r="L1281" s="790"/>
      <c r="M1281" s="790"/>
    </row>
    <row r="1282" spans="1:13">
      <c r="A1282" s="793" t="s">
        <v>659</v>
      </c>
      <c r="B1282" s="793" t="s">
        <v>663</v>
      </c>
      <c r="C1282" s="793" t="s">
        <v>13</v>
      </c>
      <c r="D1282" s="791">
        <v>15</v>
      </c>
      <c r="E1282" s="793" t="s">
        <v>33</v>
      </c>
      <c r="F1282" s="793" t="s">
        <v>52</v>
      </c>
      <c r="G1282" s="793" t="s">
        <v>361</v>
      </c>
      <c r="H1282" s="791">
        <v>1.92</v>
      </c>
      <c r="I1282" s="791">
        <v>13.5</v>
      </c>
      <c r="J1282" s="793" t="s">
        <v>17</v>
      </c>
      <c r="K1282" s="791">
        <v>1.77</v>
      </c>
      <c r="L1282" s="793" t="s">
        <v>607</v>
      </c>
      <c r="M1282" s="793" t="s">
        <v>36</v>
      </c>
    </row>
    <row r="1283" spans="1:13">
      <c r="A1283" s="790"/>
      <c r="B1283" s="790"/>
      <c r="C1283" s="790"/>
      <c r="D1283" s="791"/>
      <c r="E1283" s="790"/>
      <c r="F1283" s="790"/>
      <c r="G1283" s="793" t="s">
        <v>349</v>
      </c>
      <c r="H1283" s="791">
        <v>1.92</v>
      </c>
      <c r="I1283" s="791">
        <v>0.45</v>
      </c>
      <c r="J1283" s="793" t="s">
        <v>22</v>
      </c>
      <c r="K1283" s="791">
        <v>1.85</v>
      </c>
      <c r="L1283" s="790"/>
      <c r="M1283" s="790"/>
    </row>
    <row r="1284" spans="1:13">
      <c r="A1284" s="790"/>
      <c r="B1284" s="790"/>
      <c r="C1284" s="790"/>
      <c r="D1284" s="791"/>
      <c r="E1284" s="790"/>
      <c r="F1284" s="790"/>
      <c r="G1284" s="793" t="s">
        <v>99</v>
      </c>
      <c r="H1284" s="791">
        <v>1.92</v>
      </c>
      <c r="I1284" s="791">
        <v>0.3</v>
      </c>
      <c r="J1284" s="793" t="s">
        <v>64</v>
      </c>
      <c r="K1284" s="791">
        <v>3.2</v>
      </c>
      <c r="L1284" s="790"/>
      <c r="M1284" s="790"/>
    </row>
    <row r="1285" spans="1:13">
      <c r="A1285" s="790"/>
      <c r="B1285" s="790"/>
      <c r="C1285" s="790"/>
      <c r="D1285" s="791"/>
      <c r="E1285" s="790"/>
      <c r="F1285" s="790"/>
      <c r="G1285" s="793" t="s">
        <v>91</v>
      </c>
      <c r="H1285" s="791">
        <v>3.83</v>
      </c>
      <c r="I1285" s="791">
        <v>0.75</v>
      </c>
      <c r="J1285" s="793" t="s">
        <v>24</v>
      </c>
      <c r="K1285" s="795" t="s">
        <v>24</v>
      </c>
      <c r="L1285" s="790"/>
      <c r="M1285" s="790"/>
    </row>
    <row r="1286" spans="1:13">
      <c r="A1286" s="793" t="s">
        <v>659</v>
      </c>
      <c r="B1286" s="793" t="s">
        <v>664</v>
      </c>
      <c r="C1286" s="793" t="s">
        <v>13</v>
      </c>
      <c r="D1286" s="791">
        <v>4</v>
      </c>
      <c r="E1286" s="793" t="s">
        <v>14</v>
      </c>
      <c r="F1286" s="793" t="s">
        <v>111</v>
      </c>
      <c r="G1286" s="796" t="s">
        <v>361</v>
      </c>
      <c r="H1286" s="791">
        <v>0.71</v>
      </c>
      <c r="I1286" s="791">
        <v>3.6</v>
      </c>
      <c r="J1286" s="793" t="s">
        <v>17</v>
      </c>
      <c r="K1286" s="791">
        <v>1.54</v>
      </c>
      <c r="L1286" s="793" t="s">
        <v>665</v>
      </c>
      <c r="M1286" s="790"/>
    </row>
    <row r="1287" spans="1:13">
      <c r="A1287" s="790"/>
      <c r="B1287" s="790"/>
      <c r="C1287" s="790"/>
      <c r="D1287" s="791"/>
      <c r="E1287" s="790"/>
      <c r="F1287" s="790"/>
      <c r="G1287" s="796" t="s">
        <v>349</v>
      </c>
      <c r="H1287" s="791">
        <v>0.71</v>
      </c>
      <c r="I1287" s="791">
        <v>0.2</v>
      </c>
      <c r="J1287" s="793" t="s">
        <v>22</v>
      </c>
      <c r="K1287" s="791">
        <v>1.6</v>
      </c>
      <c r="L1287" s="790"/>
      <c r="M1287" s="790"/>
    </row>
    <row r="1288" spans="1:13">
      <c r="A1288" s="790"/>
      <c r="B1288" s="790"/>
      <c r="C1288" s="790"/>
      <c r="D1288" s="791"/>
      <c r="E1288" s="790"/>
      <c r="F1288" s="790"/>
      <c r="G1288" s="796" t="s">
        <v>140</v>
      </c>
      <c r="H1288" s="791">
        <v>3.03</v>
      </c>
      <c r="I1288" s="791">
        <v>0.12</v>
      </c>
      <c r="J1288" s="793" t="s">
        <v>24</v>
      </c>
      <c r="K1288" s="795" t="s">
        <v>24</v>
      </c>
      <c r="L1288" s="790"/>
      <c r="M1288" s="790"/>
    </row>
    <row r="1289" spans="1:13">
      <c r="A1289" s="790"/>
      <c r="B1289" s="790"/>
      <c r="C1289" s="790"/>
      <c r="D1289" s="791"/>
      <c r="E1289" s="790"/>
      <c r="F1289" s="790"/>
      <c r="G1289" s="796" t="s">
        <v>581</v>
      </c>
      <c r="H1289" s="791">
        <v>3.03</v>
      </c>
      <c r="I1289" s="791">
        <v>0.08</v>
      </c>
      <c r="J1289" s="793" t="s">
        <v>24</v>
      </c>
      <c r="K1289" s="795" t="s">
        <v>24</v>
      </c>
      <c r="L1289" s="790"/>
      <c r="M1289" s="790"/>
    </row>
    <row r="1290" spans="1:13">
      <c r="A1290" s="793" t="s">
        <v>666</v>
      </c>
      <c r="B1290" s="793" t="s">
        <v>667</v>
      </c>
      <c r="C1290" s="793" t="s">
        <v>13</v>
      </c>
      <c r="D1290" s="791">
        <v>8</v>
      </c>
      <c r="E1290" s="793" t="s">
        <v>38</v>
      </c>
      <c r="F1290" s="793" t="s">
        <v>39</v>
      </c>
      <c r="G1290" s="793" t="s">
        <v>347</v>
      </c>
      <c r="H1290" s="791">
        <v>1.08</v>
      </c>
      <c r="I1290" s="791">
        <v>5.6</v>
      </c>
      <c r="J1290" s="793" t="s">
        <v>17</v>
      </c>
      <c r="K1290" s="791">
        <v>1.8</v>
      </c>
      <c r="L1290" s="793" t="s">
        <v>599</v>
      </c>
      <c r="M1290" s="790"/>
    </row>
    <row r="1291" spans="1:13">
      <c r="A1291" s="790"/>
      <c r="B1291" s="790"/>
      <c r="C1291" s="790"/>
      <c r="D1291" s="791"/>
      <c r="E1291" s="790"/>
      <c r="F1291" s="790"/>
      <c r="G1291" s="793" t="s">
        <v>348</v>
      </c>
      <c r="H1291" s="791">
        <v>1.21</v>
      </c>
      <c r="I1291" s="791">
        <v>1.12</v>
      </c>
      <c r="J1291" s="793" t="s">
        <v>17</v>
      </c>
      <c r="K1291" s="791">
        <v>1.85</v>
      </c>
      <c r="L1291" s="790"/>
      <c r="M1291" s="790"/>
    </row>
    <row r="1292" spans="1:13">
      <c r="A1292" s="790"/>
      <c r="B1292" s="790"/>
      <c r="C1292" s="790"/>
      <c r="D1292" s="791"/>
      <c r="E1292" s="790"/>
      <c r="F1292" s="790"/>
      <c r="G1292" s="793" t="s">
        <v>349</v>
      </c>
      <c r="H1292" s="791">
        <v>1.29</v>
      </c>
      <c r="I1292" s="791">
        <v>0.44</v>
      </c>
      <c r="J1292" s="793" t="s">
        <v>22</v>
      </c>
      <c r="K1292" s="791">
        <v>1.9</v>
      </c>
      <c r="L1292" s="790"/>
      <c r="M1292" s="790"/>
    </row>
    <row r="1293" spans="1:13">
      <c r="A1293" s="790"/>
      <c r="B1293" s="790"/>
      <c r="C1293" s="790"/>
      <c r="D1293" s="791"/>
      <c r="E1293" s="790"/>
      <c r="F1293" s="790"/>
      <c r="G1293" s="793" t="s">
        <v>350</v>
      </c>
      <c r="H1293" s="791">
        <v>1.37</v>
      </c>
      <c r="I1293" s="791">
        <v>0.44</v>
      </c>
      <c r="J1293" s="793" t="s">
        <v>351</v>
      </c>
      <c r="K1293" s="791">
        <v>4.4</v>
      </c>
      <c r="L1293" s="790"/>
      <c r="M1293" s="790"/>
    </row>
    <row r="1294" spans="1:13">
      <c r="A1294" s="790"/>
      <c r="B1294" s="790"/>
      <c r="C1294" s="790"/>
      <c r="D1294" s="791"/>
      <c r="E1294" s="790"/>
      <c r="F1294" s="790"/>
      <c r="G1294" s="793" t="s">
        <v>91</v>
      </c>
      <c r="H1294" s="791">
        <v>1.75</v>
      </c>
      <c r="I1294" s="791">
        <v>0.4</v>
      </c>
      <c r="J1294" s="793" t="s">
        <v>24</v>
      </c>
      <c r="K1294" s="795" t="s">
        <v>24</v>
      </c>
      <c r="L1294" s="790"/>
      <c r="M1294" s="790"/>
    </row>
    <row r="1295" spans="1:13">
      <c r="A1295" s="793" t="s">
        <v>668</v>
      </c>
      <c r="B1295" s="793" t="s">
        <v>669</v>
      </c>
      <c r="C1295" s="793" t="s">
        <v>32</v>
      </c>
      <c r="D1295" s="791">
        <v>10</v>
      </c>
      <c r="E1295" s="793" t="s">
        <v>649</v>
      </c>
      <c r="F1295" s="793" t="s">
        <v>165</v>
      </c>
      <c r="G1295" s="793" t="s">
        <v>128</v>
      </c>
      <c r="H1295" s="791">
        <v>1.01</v>
      </c>
      <c r="I1295" s="791">
        <v>8.9</v>
      </c>
      <c r="J1295" s="793" t="s">
        <v>17</v>
      </c>
      <c r="K1295" s="791">
        <v>1.55</v>
      </c>
      <c r="L1295" s="793" t="s">
        <v>603</v>
      </c>
      <c r="M1295" s="793" t="s">
        <v>130</v>
      </c>
    </row>
    <row r="1296" spans="1:13">
      <c r="A1296" s="790"/>
      <c r="B1296" s="790"/>
      <c r="C1296" s="790"/>
      <c r="D1296" s="791"/>
      <c r="E1296" s="790"/>
      <c r="F1296" s="790"/>
      <c r="G1296" s="793" t="s">
        <v>131</v>
      </c>
      <c r="H1296" s="791">
        <v>1.17</v>
      </c>
      <c r="I1296" s="791">
        <v>0.5</v>
      </c>
      <c r="J1296" s="793" t="s">
        <v>22</v>
      </c>
      <c r="K1296" s="791">
        <v>1.65</v>
      </c>
      <c r="L1296" s="790"/>
      <c r="M1296" s="790"/>
    </row>
    <row r="1297" spans="1:13">
      <c r="A1297" s="790"/>
      <c r="B1297" s="790"/>
      <c r="C1297" s="790"/>
      <c r="D1297" s="791"/>
      <c r="E1297" s="790"/>
      <c r="F1297" s="790"/>
      <c r="G1297" s="793" t="s">
        <v>91</v>
      </c>
      <c r="H1297" s="791">
        <v>1.75</v>
      </c>
      <c r="I1297" s="791">
        <v>0.6</v>
      </c>
      <c r="J1297" s="793" t="s">
        <v>24</v>
      </c>
      <c r="K1297" s="795" t="s">
        <v>24</v>
      </c>
      <c r="L1297" s="790"/>
      <c r="M1297" s="790"/>
    </row>
    <row r="1298" spans="1:13">
      <c r="A1298" s="793" t="s">
        <v>668</v>
      </c>
      <c r="B1298" s="793" t="s">
        <v>670</v>
      </c>
      <c r="C1298" s="793" t="s">
        <v>32</v>
      </c>
      <c r="D1298" s="791">
        <v>10</v>
      </c>
      <c r="E1298" s="793" t="s">
        <v>649</v>
      </c>
      <c r="F1298" s="793" t="s">
        <v>165</v>
      </c>
      <c r="G1298" s="793" t="s">
        <v>128</v>
      </c>
      <c r="H1298" s="791">
        <v>1.01</v>
      </c>
      <c r="I1298" s="791">
        <v>8.9</v>
      </c>
      <c r="J1298" s="793" t="s">
        <v>17</v>
      </c>
      <c r="K1298" s="791">
        <v>1.55</v>
      </c>
      <c r="L1298" s="793" t="s">
        <v>603</v>
      </c>
      <c r="M1298" s="793" t="s">
        <v>130</v>
      </c>
    </row>
    <row r="1299" spans="1:13">
      <c r="A1299" s="790"/>
      <c r="B1299" s="790"/>
      <c r="C1299" s="790"/>
      <c r="D1299" s="791"/>
      <c r="E1299" s="790"/>
      <c r="F1299" s="790"/>
      <c r="G1299" s="793" t="s">
        <v>131</v>
      </c>
      <c r="H1299" s="791">
        <v>1.17</v>
      </c>
      <c r="I1299" s="791">
        <v>0.5</v>
      </c>
      <c r="J1299" s="793" t="s">
        <v>22</v>
      </c>
      <c r="K1299" s="791">
        <v>1.65</v>
      </c>
      <c r="L1299" s="790"/>
      <c r="M1299" s="790"/>
    </row>
    <row r="1300" spans="1:13">
      <c r="A1300" s="790"/>
      <c r="B1300" s="790"/>
      <c r="C1300" s="790"/>
      <c r="D1300" s="791"/>
      <c r="E1300" s="790"/>
      <c r="F1300" s="790"/>
      <c r="G1300" s="793" t="s">
        <v>91</v>
      </c>
      <c r="H1300" s="791">
        <v>1.75</v>
      </c>
      <c r="I1300" s="791">
        <v>0.6</v>
      </c>
      <c r="J1300" s="793" t="s">
        <v>24</v>
      </c>
      <c r="K1300" s="795" t="s">
        <v>24</v>
      </c>
      <c r="L1300" s="790"/>
      <c r="M1300" s="790"/>
    </row>
    <row r="1301" spans="1:13">
      <c r="A1301" s="793" t="s">
        <v>668</v>
      </c>
      <c r="B1301" s="793" t="s">
        <v>671</v>
      </c>
      <c r="C1301" s="793" t="s">
        <v>32</v>
      </c>
      <c r="D1301" s="791">
        <v>10</v>
      </c>
      <c r="E1301" s="793" t="s">
        <v>649</v>
      </c>
      <c r="F1301" s="793" t="s">
        <v>165</v>
      </c>
      <c r="G1301" s="793" t="s">
        <v>128</v>
      </c>
      <c r="H1301" s="791">
        <v>1.01</v>
      </c>
      <c r="I1301" s="791">
        <v>8.9</v>
      </c>
      <c r="J1301" s="793" t="s">
        <v>17</v>
      </c>
      <c r="K1301" s="791">
        <v>1.55</v>
      </c>
      <c r="L1301" s="793" t="s">
        <v>603</v>
      </c>
      <c r="M1301" s="793" t="s">
        <v>130</v>
      </c>
    </row>
    <row r="1302" spans="1:13">
      <c r="A1302" s="790"/>
      <c r="B1302" s="790"/>
      <c r="C1302" s="790"/>
      <c r="D1302" s="791"/>
      <c r="E1302" s="790"/>
      <c r="F1302" s="790"/>
      <c r="G1302" s="793" t="s">
        <v>131</v>
      </c>
      <c r="H1302" s="791">
        <v>1.17</v>
      </c>
      <c r="I1302" s="791">
        <v>0.5</v>
      </c>
      <c r="J1302" s="793" t="s">
        <v>22</v>
      </c>
      <c r="K1302" s="791">
        <v>1.65</v>
      </c>
      <c r="L1302" s="790"/>
      <c r="M1302" s="790"/>
    </row>
    <row r="1303" spans="1:13">
      <c r="A1303" s="790"/>
      <c r="B1303" s="790"/>
      <c r="C1303" s="790"/>
      <c r="D1303" s="791"/>
      <c r="E1303" s="790"/>
      <c r="F1303" s="790"/>
      <c r="G1303" s="793" t="s">
        <v>91</v>
      </c>
      <c r="H1303" s="791">
        <v>1.75</v>
      </c>
      <c r="I1303" s="791">
        <v>0.6</v>
      </c>
      <c r="J1303" s="793" t="s">
        <v>24</v>
      </c>
      <c r="K1303" s="795" t="s">
        <v>24</v>
      </c>
      <c r="L1303" s="790"/>
      <c r="M1303" s="790"/>
    </row>
    <row r="1304" spans="1:13">
      <c r="A1304" s="793" t="s">
        <v>668</v>
      </c>
      <c r="B1304" s="793" t="s">
        <v>672</v>
      </c>
      <c r="C1304" s="793" t="s">
        <v>32</v>
      </c>
      <c r="D1304" s="791">
        <v>10</v>
      </c>
      <c r="E1304" s="793" t="s">
        <v>14</v>
      </c>
      <c r="F1304" s="793" t="s">
        <v>94</v>
      </c>
      <c r="G1304" s="793" t="s">
        <v>361</v>
      </c>
      <c r="H1304" s="791">
        <v>1.75</v>
      </c>
      <c r="I1304" s="791">
        <v>8.24</v>
      </c>
      <c r="J1304" s="793" t="s">
        <v>17</v>
      </c>
      <c r="K1304" s="791">
        <v>1.68</v>
      </c>
      <c r="L1304" s="793" t="s">
        <v>614</v>
      </c>
      <c r="M1304" s="793" t="s">
        <v>61</v>
      </c>
    </row>
    <row r="1305" spans="1:13">
      <c r="A1305" s="790"/>
      <c r="B1305" s="790"/>
      <c r="C1305" s="790"/>
      <c r="D1305" s="791"/>
      <c r="E1305" s="790"/>
      <c r="F1305" s="790"/>
      <c r="G1305" s="793" t="s">
        <v>349</v>
      </c>
      <c r="H1305" s="791">
        <v>1.75</v>
      </c>
      <c r="I1305" s="791">
        <v>0.52</v>
      </c>
      <c r="J1305" s="793" t="s">
        <v>22</v>
      </c>
      <c r="K1305" s="791">
        <v>1.75</v>
      </c>
      <c r="L1305" s="790"/>
      <c r="M1305" s="790"/>
    </row>
    <row r="1306" spans="1:13">
      <c r="A1306" s="790"/>
      <c r="B1306" s="790"/>
      <c r="C1306" s="790"/>
      <c r="D1306" s="791"/>
      <c r="E1306" s="790"/>
      <c r="F1306" s="790"/>
      <c r="G1306" s="793" t="s">
        <v>350</v>
      </c>
      <c r="H1306" s="791">
        <v>1.75</v>
      </c>
      <c r="I1306" s="791">
        <v>0.4</v>
      </c>
      <c r="J1306" s="793" t="s">
        <v>44</v>
      </c>
      <c r="K1306" s="791">
        <v>2.8</v>
      </c>
      <c r="L1306" s="790"/>
      <c r="M1306" s="790"/>
    </row>
    <row r="1307" spans="1:13">
      <c r="A1307" s="790"/>
      <c r="B1307" s="790"/>
      <c r="C1307" s="790"/>
      <c r="D1307" s="791"/>
      <c r="E1307" s="790"/>
      <c r="F1307" s="790"/>
      <c r="G1307" s="793" t="s">
        <v>91</v>
      </c>
      <c r="H1307" s="791">
        <v>2.67</v>
      </c>
      <c r="I1307" s="791">
        <v>0.84</v>
      </c>
      <c r="J1307" s="793" t="s">
        <v>24</v>
      </c>
      <c r="K1307" s="795" t="s">
        <v>24</v>
      </c>
      <c r="L1307" s="790"/>
      <c r="M1307" s="790"/>
    </row>
    <row r="1308" spans="1:13">
      <c r="A1308" s="793" t="s">
        <v>668</v>
      </c>
      <c r="B1308" s="793" t="s">
        <v>673</v>
      </c>
      <c r="C1308" s="793" t="s">
        <v>32</v>
      </c>
      <c r="D1308" s="791">
        <v>5</v>
      </c>
      <c r="E1308" s="793" t="s">
        <v>66</v>
      </c>
      <c r="F1308" s="793" t="s">
        <v>674</v>
      </c>
      <c r="G1308" s="793" t="s">
        <v>591</v>
      </c>
      <c r="H1308" s="791">
        <v>0.92</v>
      </c>
      <c r="I1308" s="791">
        <v>4.3</v>
      </c>
      <c r="J1308" s="793" t="s">
        <v>17</v>
      </c>
      <c r="K1308" s="791">
        <v>1.54</v>
      </c>
      <c r="L1308" s="793" t="s">
        <v>614</v>
      </c>
      <c r="M1308" s="793" t="s">
        <v>89</v>
      </c>
    </row>
    <row r="1309" spans="1:13">
      <c r="A1309" s="790"/>
      <c r="B1309" s="790"/>
      <c r="C1309" s="790"/>
      <c r="D1309" s="791"/>
      <c r="E1309" s="790"/>
      <c r="F1309" s="790"/>
      <c r="G1309" s="793" t="s">
        <v>592</v>
      </c>
      <c r="H1309" s="791">
        <v>0.92</v>
      </c>
      <c r="I1309" s="794">
        <v>0.275</v>
      </c>
      <c r="J1309" s="793" t="s">
        <v>22</v>
      </c>
      <c r="K1309" s="791">
        <v>1.57</v>
      </c>
      <c r="L1309" s="790"/>
      <c r="M1309" s="790"/>
    </row>
    <row r="1310" spans="1:13">
      <c r="A1310" s="790"/>
      <c r="B1310" s="790"/>
      <c r="C1310" s="790"/>
      <c r="D1310" s="791"/>
      <c r="E1310" s="790"/>
      <c r="F1310" s="790"/>
      <c r="G1310" s="793" t="s">
        <v>650</v>
      </c>
      <c r="H1310" s="791">
        <v>0.92</v>
      </c>
      <c r="I1310" s="794">
        <v>0.175</v>
      </c>
      <c r="J1310" s="793" t="s">
        <v>44</v>
      </c>
      <c r="K1310" s="791">
        <v>2.8</v>
      </c>
      <c r="L1310" s="790"/>
      <c r="M1310" s="790"/>
    </row>
    <row r="1311" spans="1:13">
      <c r="A1311" s="790"/>
      <c r="B1311" s="790"/>
      <c r="C1311" s="790"/>
      <c r="D1311" s="791"/>
      <c r="E1311" s="790"/>
      <c r="F1311" s="790"/>
      <c r="G1311" s="793" t="s">
        <v>91</v>
      </c>
      <c r="H1311" s="791">
        <v>2.92</v>
      </c>
      <c r="I1311" s="791">
        <v>0.25</v>
      </c>
      <c r="J1311" s="793" t="s">
        <v>24</v>
      </c>
      <c r="K1311" s="795" t="s">
        <v>24</v>
      </c>
      <c r="L1311" s="790"/>
      <c r="M1311" s="790"/>
    </row>
    <row r="1312" spans="1:13">
      <c r="A1312" s="793" t="s">
        <v>668</v>
      </c>
      <c r="B1312" s="793" t="s">
        <v>675</v>
      </c>
      <c r="C1312" s="793" t="s">
        <v>32</v>
      </c>
      <c r="D1312" s="791">
        <v>10</v>
      </c>
      <c r="E1312" s="793" t="s">
        <v>676</v>
      </c>
      <c r="F1312" s="793" t="s">
        <v>59</v>
      </c>
      <c r="G1312" s="793" t="s">
        <v>591</v>
      </c>
      <c r="H1312" s="791">
        <v>0.92</v>
      </c>
      <c r="I1312" s="791">
        <v>8.6</v>
      </c>
      <c r="J1312" s="793" t="s">
        <v>17</v>
      </c>
      <c r="K1312" s="791">
        <v>1.54</v>
      </c>
      <c r="L1312" s="793" t="s">
        <v>614</v>
      </c>
      <c r="M1312" s="793" t="s">
        <v>89</v>
      </c>
    </row>
    <row r="1313" spans="1:13">
      <c r="A1313" s="790"/>
      <c r="B1313" s="790"/>
      <c r="C1313" s="790"/>
      <c r="D1313" s="791"/>
      <c r="E1313" s="790"/>
      <c r="F1313" s="790"/>
      <c r="G1313" s="793" t="s">
        <v>592</v>
      </c>
      <c r="H1313" s="791">
        <v>0.92</v>
      </c>
      <c r="I1313" s="791">
        <v>0.55</v>
      </c>
      <c r="J1313" s="793" t="s">
        <v>22</v>
      </c>
      <c r="K1313" s="791">
        <v>1.57</v>
      </c>
      <c r="L1313" s="790"/>
      <c r="M1313" s="790"/>
    </row>
    <row r="1314" spans="1:13">
      <c r="A1314" s="790"/>
      <c r="B1314" s="790"/>
      <c r="C1314" s="790"/>
      <c r="D1314" s="791"/>
      <c r="E1314" s="790"/>
      <c r="F1314" s="790"/>
      <c r="G1314" s="793" t="s">
        <v>650</v>
      </c>
      <c r="H1314" s="791">
        <v>0.92</v>
      </c>
      <c r="I1314" s="791">
        <v>0.35</v>
      </c>
      <c r="J1314" s="793" t="s">
        <v>44</v>
      </c>
      <c r="K1314" s="791">
        <v>2.8</v>
      </c>
      <c r="L1314" s="790"/>
      <c r="M1314" s="790"/>
    </row>
    <row r="1315" spans="1:13">
      <c r="A1315" s="790"/>
      <c r="B1315" s="790"/>
      <c r="C1315" s="790"/>
      <c r="D1315" s="791"/>
      <c r="E1315" s="790"/>
      <c r="F1315" s="790"/>
      <c r="G1315" s="793" t="s">
        <v>91</v>
      </c>
      <c r="H1315" s="791">
        <v>3.75</v>
      </c>
      <c r="I1315" s="791">
        <v>0.5</v>
      </c>
      <c r="J1315" s="793" t="s">
        <v>24</v>
      </c>
      <c r="K1315" s="795" t="s">
        <v>24</v>
      </c>
      <c r="L1315" s="790"/>
      <c r="M1315" s="790"/>
    </row>
    <row r="1316" spans="1:13">
      <c r="A1316" s="793" t="s">
        <v>668</v>
      </c>
      <c r="B1316" s="793" t="s">
        <v>677</v>
      </c>
      <c r="C1316" s="793" t="s">
        <v>13</v>
      </c>
      <c r="D1316" s="791">
        <v>10</v>
      </c>
      <c r="E1316" s="793" t="s">
        <v>33</v>
      </c>
      <c r="F1316" s="793" t="s">
        <v>15</v>
      </c>
      <c r="G1316" s="793" t="s">
        <v>361</v>
      </c>
      <c r="H1316" s="791">
        <v>1.92</v>
      </c>
      <c r="I1316" s="791">
        <v>9</v>
      </c>
      <c r="J1316" s="793" t="s">
        <v>17</v>
      </c>
      <c r="K1316" s="791">
        <v>1.72</v>
      </c>
      <c r="L1316" s="793" t="s">
        <v>607</v>
      </c>
      <c r="M1316" s="793" t="s">
        <v>36</v>
      </c>
    </row>
    <row r="1317" spans="1:13">
      <c r="A1317" s="790"/>
      <c r="B1317" s="790"/>
      <c r="C1317" s="790"/>
      <c r="D1317" s="791"/>
      <c r="E1317" s="790"/>
      <c r="F1317" s="790"/>
      <c r="G1317" s="793" t="s">
        <v>349</v>
      </c>
      <c r="H1317" s="791">
        <v>1.92</v>
      </c>
      <c r="I1317" s="791">
        <v>0.3</v>
      </c>
      <c r="J1317" s="793" t="s">
        <v>22</v>
      </c>
      <c r="K1317" s="791">
        <v>1.8</v>
      </c>
      <c r="L1317" s="790"/>
      <c r="M1317" s="790"/>
    </row>
    <row r="1318" spans="1:13">
      <c r="A1318" s="790"/>
      <c r="B1318" s="790"/>
      <c r="C1318" s="790"/>
      <c r="D1318" s="791"/>
      <c r="E1318" s="790"/>
      <c r="F1318" s="790"/>
      <c r="G1318" s="793" t="s">
        <v>99</v>
      </c>
      <c r="H1318" s="791">
        <v>1.92</v>
      </c>
      <c r="I1318" s="791">
        <v>0.2</v>
      </c>
      <c r="J1318" s="793" t="s">
        <v>64</v>
      </c>
      <c r="K1318" s="791">
        <v>3.2</v>
      </c>
      <c r="L1318" s="790"/>
      <c r="M1318" s="790"/>
    </row>
    <row r="1319" spans="1:13">
      <c r="A1319" s="790"/>
      <c r="B1319" s="790"/>
      <c r="C1319" s="790"/>
      <c r="D1319" s="791"/>
      <c r="E1319" s="790"/>
      <c r="F1319" s="790"/>
      <c r="G1319" s="793" t="s">
        <v>91</v>
      </c>
      <c r="H1319" s="791">
        <v>3.83</v>
      </c>
      <c r="I1319" s="791">
        <v>0.5</v>
      </c>
      <c r="J1319" s="793" t="s">
        <v>24</v>
      </c>
      <c r="K1319" s="795" t="s">
        <v>24</v>
      </c>
      <c r="L1319" s="790"/>
      <c r="M1319" s="790"/>
    </row>
  </sheetData>
  <autoFilter xmlns:etc="http://www.wps.cn/officeDocument/2017/etCustomData" ref="A1:M1270" etc:filterBottomFollowUsedRange="0">
    <extLst/>
  </autoFilter>
  <sortState ref="A330:F358">
    <sortCondition ref="A330:A358"/>
  </sortState>
  <mergeCells count="2848">
    <mergeCell ref="A2:A5"/>
    <mergeCell ref="A6:A9"/>
    <mergeCell ref="A10:A11"/>
    <mergeCell ref="A12:A16"/>
    <mergeCell ref="A19:A22"/>
    <mergeCell ref="A23:A27"/>
    <mergeCell ref="A28:A31"/>
    <mergeCell ref="A32:A35"/>
    <mergeCell ref="A36:A39"/>
    <mergeCell ref="A40:A42"/>
    <mergeCell ref="A43:A45"/>
    <mergeCell ref="A46:A49"/>
    <mergeCell ref="A50:A53"/>
    <mergeCell ref="A55:A58"/>
    <mergeCell ref="A59:A62"/>
    <mergeCell ref="A63:A65"/>
    <mergeCell ref="A66:A69"/>
    <mergeCell ref="A70:A73"/>
    <mergeCell ref="A74:A77"/>
    <mergeCell ref="A78:A82"/>
    <mergeCell ref="A83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6"/>
    <mergeCell ref="A127:A129"/>
    <mergeCell ref="A130:A132"/>
    <mergeCell ref="A133:A135"/>
    <mergeCell ref="A136:A140"/>
    <mergeCell ref="A141:A144"/>
    <mergeCell ref="A145:A146"/>
    <mergeCell ref="A147:A150"/>
    <mergeCell ref="A152:A155"/>
    <mergeCell ref="A156:A159"/>
    <mergeCell ref="A160:A161"/>
    <mergeCell ref="A162:A165"/>
    <mergeCell ref="A166:A169"/>
    <mergeCell ref="A170:A172"/>
    <mergeCell ref="A173:A176"/>
    <mergeCell ref="A177:A180"/>
    <mergeCell ref="A181:A182"/>
    <mergeCell ref="A183:A187"/>
    <mergeCell ref="A188:A190"/>
    <mergeCell ref="A191:A194"/>
    <mergeCell ref="A195:A197"/>
    <mergeCell ref="A198:A201"/>
    <mergeCell ref="A202:A204"/>
    <mergeCell ref="A205:A208"/>
    <mergeCell ref="A209:A211"/>
    <mergeCell ref="A212:A215"/>
    <mergeCell ref="A216:A218"/>
    <mergeCell ref="A219:A221"/>
    <mergeCell ref="A222:A225"/>
    <mergeCell ref="A226:A228"/>
    <mergeCell ref="A229:A232"/>
    <mergeCell ref="A233:A235"/>
    <mergeCell ref="A236:A238"/>
    <mergeCell ref="A239:A242"/>
    <mergeCell ref="A243:A245"/>
    <mergeCell ref="A246:A249"/>
    <mergeCell ref="A250:A253"/>
    <mergeCell ref="A254:A257"/>
    <mergeCell ref="A258:A260"/>
    <mergeCell ref="A261:A264"/>
    <mergeCell ref="A265:A268"/>
    <mergeCell ref="A269:A272"/>
    <mergeCell ref="A273:A276"/>
    <mergeCell ref="A277:A280"/>
    <mergeCell ref="A281:A284"/>
    <mergeCell ref="A285:A288"/>
    <mergeCell ref="A289:A292"/>
    <mergeCell ref="A293:A297"/>
    <mergeCell ref="A298:A301"/>
    <mergeCell ref="A302:A303"/>
    <mergeCell ref="A304:A307"/>
    <mergeCell ref="A308:A311"/>
    <mergeCell ref="A312:A314"/>
    <mergeCell ref="A315:A317"/>
    <mergeCell ref="A318:A322"/>
    <mergeCell ref="A323:A326"/>
    <mergeCell ref="A327:A331"/>
    <mergeCell ref="A332:A334"/>
    <mergeCell ref="A335:A338"/>
    <mergeCell ref="A339:A341"/>
    <mergeCell ref="A342:A344"/>
    <mergeCell ref="A345:A348"/>
    <mergeCell ref="A349:A351"/>
    <mergeCell ref="A352:A355"/>
    <mergeCell ref="A356:A359"/>
    <mergeCell ref="A360:A362"/>
    <mergeCell ref="A363:A364"/>
    <mergeCell ref="A365:A368"/>
    <mergeCell ref="A369:A371"/>
    <mergeCell ref="A372:A376"/>
    <mergeCell ref="A377:A380"/>
    <mergeCell ref="A381:A384"/>
    <mergeCell ref="A385:A388"/>
    <mergeCell ref="A389:A393"/>
    <mergeCell ref="A394:A396"/>
    <mergeCell ref="A397:A398"/>
    <mergeCell ref="A399:A400"/>
    <mergeCell ref="A401:A403"/>
    <mergeCell ref="A404:A405"/>
    <mergeCell ref="A406:A408"/>
    <mergeCell ref="A409:A412"/>
    <mergeCell ref="A413:A415"/>
    <mergeCell ref="A416:A417"/>
    <mergeCell ref="A418:A421"/>
    <mergeCell ref="A422:A425"/>
    <mergeCell ref="A426:A429"/>
    <mergeCell ref="A430:A433"/>
    <mergeCell ref="A434:A435"/>
    <mergeCell ref="A436:A437"/>
    <mergeCell ref="A438:A441"/>
    <mergeCell ref="A442:A445"/>
    <mergeCell ref="A446:A450"/>
    <mergeCell ref="A451:A453"/>
    <mergeCell ref="A454:A457"/>
    <mergeCell ref="A458:A460"/>
    <mergeCell ref="A461:A465"/>
    <mergeCell ref="A466:A468"/>
    <mergeCell ref="A469:A472"/>
    <mergeCell ref="A473:A475"/>
    <mergeCell ref="A476:A479"/>
    <mergeCell ref="A480:A483"/>
    <mergeCell ref="A484:A486"/>
    <mergeCell ref="A487:A489"/>
    <mergeCell ref="A490:A494"/>
    <mergeCell ref="A495:A498"/>
    <mergeCell ref="A499:A502"/>
    <mergeCell ref="A503:A505"/>
    <mergeCell ref="A506:A508"/>
    <mergeCell ref="A509:A511"/>
    <mergeCell ref="A512:A514"/>
    <mergeCell ref="A515:A518"/>
    <mergeCell ref="A519:A522"/>
    <mergeCell ref="A523:A526"/>
    <mergeCell ref="A527:A530"/>
    <mergeCell ref="A531:A535"/>
    <mergeCell ref="A536:A538"/>
    <mergeCell ref="A539:A541"/>
    <mergeCell ref="A542:A545"/>
    <mergeCell ref="A546:A549"/>
    <mergeCell ref="A550:A553"/>
    <mergeCell ref="A554:A556"/>
    <mergeCell ref="A557:A560"/>
    <mergeCell ref="A561:A564"/>
    <mergeCell ref="A565:A568"/>
    <mergeCell ref="A569:A572"/>
    <mergeCell ref="A573:A576"/>
    <mergeCell ref="A577:A580"/>
    <mergeCell ref="A581:A582"/>
    <mergeCell ref="A583:A586"/>
    <mergeCell ref="A587:A590"/>
    <mergeCell ref="A591:A593"/>
    <mergeCell ref="A594:A597"/>
    <mergeCell ref="A598:A602"/>
    <mergeCell ref="A604:A607"/>
    <mergeCell ref="A608:A611"/>
    <mergeCell ref="A612:A615"/>
    <mergeCell ref="A616:A619"/>
    <mergeCell ref="A620:A623"/>
    <mergeCell ref="A624:A628"/>
    <mergeCell ref="A629:A632"/>
    <mergeCell ref="A633:A634"/>
    <mergeCell ref="A635:A638"/>
    <mergeCell ref="A639:A641"/>
    <mergeCell ref="A642:A645"/>
    <mergeCell ref="A646:A649"/>
    <mergeCell ref="A650:A653"/>
    <mergeCell ref="A654:A657"/>
    <mergeCell ref="A658:A660"/>
    <mergeCell ref="A661:A663"/>
    <mergeCell ref="A664:A666"/>
    <mergeCell ref="A667:A670"/>
    <mergeCell ref="A671:A674"/>
    <mergeCell ref="A675:A678"/>
    <mergeCell ref="A679:A681"/>
    <mergeCell ref="A682:A686"/>
    <mergeCell ref="A687:A689"/>
    <mergeCell ref="A690:A692"/>
    <mergeCell ref="A693:A695"/>
    <mergeCell ref="A696:A698"/>
    <mergeCell ref="A699:A701"/>
    <mergeCell ref="A702:A704"/>
    <mergeCell ref="A705:A707"/>
    <mergeCell ref="A708:A710"/>
    <mergeCell ref="A711:A713"/>
    <mergeCell ref="A714:A716"/>
    <mergeCell ref="A717:A719"/>
    <mergeCell ref="A720:A722"/>
    <mergeCell ref="A723:A724"/>
    <mergeCell ref="A725:A727"/>
    <mergeCell ref="A728:A731"/>
    <mergeCell ref="A732:A734"/>
    <mergeCell ref="A735:A737"/>
    <mergeCell ref="A738:A741"/>
    <mergeCell ref="A742:A745"/>
    <mergeCell ref="A746:A748"/>
    <mergeCell ref="A749:A751"/>
    <mergeCell ref="A752:A755"/>
    <mergeCell ref="A756:A757"/>
    <mergeCell ref="A758:A759"/>
    <mergeCell ref="A760:A762"/>
    <mergeCell ref="A763:A765"/>
    <mergeCell ref="A766:A769"/>
    <mergeCell ref="A770:A772"/>
    <mergeCell ref="A773:A777"/>
    <mergeCell ref="A779:A782"/>
    <mergeCell ref="A783:A785"/>
    <mergeCell ref="A786:A787"/>
    <mergeCell ref="A788:A791"/>
    <mergeCell ref="A792:A795"/>
    <mergeCell ref="A796:A799"/>
    <mergeCell ref="A800:A803"/>
    <mergeCell ref="A804:A807"/>
    <mergeCell ref="A808:A810"/>
    <mergeCell ref="A811:A814"/>
    <mergeCell ref="A815:A819"/>
    <mergeCell ref="A820:A823"/>
    <mergeCell ref="A824:A828"/>
    <mergeCell ref="A829:A832"/>
    <mergeCell ref="A833:A837"/>
    <mergeCell ref="A838:A841"/>
    <mergeCell ref="A842:A846"/>
    <mergeCell ref="A847:A850"/>
    <mergeCell ref="A851:A854"/>
    <mergeCell ref="A855:A858"/>
    <mergeCell ref="A859:A861"/>
    <mergeCell ref="A862:A866"/>
    <mergeCell ref="A867:A870"/>
    <mergeCell ref="A871:A872"/>
    <mergeCell ref="A873:A877"/>
    <mergeCell ref="A878:A882"/>
    <mergeCell ref="A883:A885"/>
    <mergeCell ref="A886:A889"/>
    <mergeCell ref="A890:A893"/>
    <mergeCell ref="A894:A897"/>
    <mergeCell ref="A898:A900"/>
    <mergeCell ref="A901:A903"/>
    <mergeCell ref="A904:A908"/>
    <mergeCell ref="A909:A912"/>
    <mergeCell ref="A913:A916"/>
    <mergeCell ref="A917:A919"/>
    <mergeCell ref="A920:A922"/>
    <mergeCell ref="A923:A926"/>
    <mergeCell ref="A927:A931"/>
    <mergeCell ref="A932:A936"/>
    <mergeCell ref="A937:A939"/>
    <mergeCell ref="A940:A943"/>
    <mergeCell ref="A944:A946"/>
    <mergeCell ref="A947:A950"/>
    <mergeCell ref="A951:A953"/>
    <mergeCell ref="A954:A957"/>
    <mergeCell ref="A958:A961"/>
    <mergeCell ref="A962:A964"/>
    <mergeCell ref="A965:A969"/>
    <mergeCell ref="A970:A972"/>
    <mergeCell ref="A973:A977"/>
    <mergeCell ref="A978:A981"/>
    <mergeCell ref="A982:A985"/>
    <mergeCell ref="A986:A989"/>
    <mergeCell ref="A990:A991"/>
    <mergeCell ref="A992:A993"/>
    <mergeCell ref="A994:A995"/>
    <mergeCell ref="A996:A998"/>
    <mergeCell ref="A999:A1001"/>
    <mergeCell ref="A1002:A1004"/>
    <mergeCell ref="A1005:A1008"/>
    <mergeCell ref="A1009:A1012"/>
    <mergeCell ref="A1013:A1017"/>
    <mergeCell ref="A1018:A1020"/>
    <mergeCell ref="A1021:A1025"/>
    <mergeCell ref="A1026:A1028"/>
    <mergeCell ref="A1029:A1031"/>
    <mergeCell ref="A1032:A1035"/>
    <mergeCell ref="A1036:A1039"/>
    <mergeCell ref="A1040:A1042"/>
    <mergeCell ref="A1043:A1045"/>
    <mergeCell ref="A1046:A1049"/>
    <mergeCell ref="A1050:A1052"/>
    <mergeCell ref="A1053:A1056"/>
    <mergeCell ref="A1057:A1060"/>
    <mergeCell ref="A1061:A1064"/>
    <mergeCell ref="A1065:A1068"/>
    <mergeCell ref="A1069:A1073"/>
    <mergeCell ref="A1074:A1077"/>
    <mergeCell ref="A1078:A1081"/>
    <mergeCell ref="A1082:A1084"/>
    <mergeCell ref="A1085:A1088"/>
    <mergeCell ref="A1089:A1093"/>
    <mergeCell ref="A1094:A1097"/>
    <mergeCell ref="A1098:A1101"/>
    <mergeCell ref="A1102:A1105"/>
    <mergeCell ref="A1106:A1110"/>
    <mergeCell ref="A1111:A1113"/>
    <mergeCell ref="A1114:A1116"/>
    <mergeCell ref="A1117:A1120"/>
    <mergeCell ref="A1121:A1124"/>
    <mergeCell ref="A1125:A1128"/>
    <mergeCell ref="A1129:A1130"/>
    <mergeCell ref="A1131:A1133"/>
    <mergeCell ref="A1134:A1137"/>
    <mergeCell ref="A1138:A1141"/>
    <mergeCell ref="A1142:A1145"/>
    <mergeCell ref="A1146:A1149"/>
    <mergeCell ref="A1150:A1153"/>
    <mergeCell ref="A1154:A1158"/>
    <mergeCell ref="A1159:A1162"/>
    <mergeCell ref="A1163:A1165"/>
    <mergeCell ref="A1166:A1170"/>
    <mergeCell ref="A1171:A1174"/>
    <mergeCell ref="A1175:A1177"/>
    <mergeCell ref="A1178:A1181"/>
    <mergeCell ref="A1182:A1185"/>
    <mergeCell ref="A1186:A1189"/>
    <mergeCell ref="A1190:A1193"/>
    <mergeCell ref="A1194:A1198"/>
    <mergeCell ref="A1199:A1203"/>
    <mergeCell ref="A1205:A1207"/>
    <mergeCell ref="A1208:A1210"/>
    <mergeCell ref="A1211:A1215"/>
    <mergeCell ref="A1216:A1218"/>
    <mergeCell ref="A1219:A1220"/>
    <mergeCell ref="A1221:A1224"/>
    <mergeCell ref="A1225:A1228"/>
    <mergeCell ref="A1229:A1232"/>
    <mergeCell ref="A1233:A1235"/>
    <mergeCell ref="A1236:A1238"/>
    <mergeCell ref="A1239:A1242"/>
    <mergeCell ref="A1243:A1247"/>
    <mergeCell ref="A1248:A1251"/>
    <mergeCell ref="A1252:A1255"/>
    <mergeCell ref="A1256:A1259"/>
    <mergeCell ref="A1260:A1263"/>
    <mergeCell ref="A1264:A1265"/>
    <mergeCell ref="A1266:A1270"/>
    <mergeCell ref="A1271:A1274"/>
    <mergeCell ref="A1275:A1277"/>
    <mergeCell ref="A1278:A1281"/>
    <mergeCell ref="A1282:A1285"/>
    <mergeCell ref="A1286:A1289"/>
    <mergeCell ref="A1290:A1294"/>
    <mergeCell ref="A1295:A1297"/>
    <mergeCell ref="A1298:A1300"/>
    <mergeCell ref="A1301:A1303"/>
    <mergeCell ref="A1304:A1307"/>
    <mergeCell ref="A1308:A1311"/>
    <mergeCell ref="A1312:A1315"/>
    <mergeCell ref="A1316:A1319"/>
    <mergeCell ref="B2:B5"/>
    <mergeCell ref="B6:B9"/>
    <mergeCell ref="B10:B11"/>
    <mergeCell ref="B12:B16"/>
    <mergeCell ref="B19:B22"/>
    <mergeCell ref="B23:B27"/>
    <mergeCell ref="B28:B31"/>
    <mergeCell ref="B32:B35"/>
    <mergeCell ref="B36:B39"/>
    <mergeCell ref="B40:B42"/>
    <mergeCell ref="B43:B45"/>
    <mergeCell ref="B46:B49"/>
    <mergeCell ref="B50:B53"/>
    <mergeCell ref="B55:B58"/>
    <mergeCell ref="B59:B62"/>
    <mergeCell ref="B63:B65"/>
    <mergeCell ref="B66:B69"/>
    <mergeCell ref="B70:B73"/>
    <mergeCell ref="B74:B77"/>
    <mergeCell ref="B78:B82"/>
    <mergeCell ref="B83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6"/>
    <mergeCell ref="B127:B129"/>
    <mergeCell ref="B130:B132"/>
    <mergeCell ref="B133:B135"/>
    <mergeCell ref="B136:B140"/>
    <mergeCell ref="B141:B144"/>
    <mergeCell ref="B145:B146"/>
    <mergeCell ref="B147:B150"/>
    <mergeCell ref="B152:B155"/>
    <mergeCell ref="B156:B159"/>
    <mergeCell ref="B160:B161"/>
    <mergeCell ref="B162:B165"/>
    <mergeCell ref="B166:B169"/>
    <mergeCell ref="B170:B172"/>
    <mergeCell ref="B173:B176"/>
    <mergeCell ref="B177:B180"/>
    <mergeCell ref="B181:B182"/>
    <mergeCell ref="B183:B187"/>
    <mergeCell ref="B188:B190"/>
    <mergeCell ref="B191:B194"/>
    <mergeCell ref="B195:B197"/>
    <mergeCell ref="B198:B201"/>
    <mergeCell ref="B202:B204"/>
    <mergeCell ref="B205:B208"/>
    <mergeCell ref="B209:B211"/>
    <mergeCell ref="B212:B215"/>
    <mergeCell ref="B216:B218"/>
    <mergeCell ref="B219:B221"/>
    <mergeCell ref="B222:B225"/>
    <mergeCell ref="B226:B228"/>
    <mergeCell ref="B229:B232"/>
    <mergeCell ref="B233:B235"/>
    <mergeCell ref="B236:B238"/>
    <mergeCell ref="B239:B242"/>
    <mergeCell ref="B243:B245"/>
    <mergeCell ref="B246:B249"/>
    <mergeCell ref="B250:B253"/>
    <mergeCell ref="B254:B257"/>
    <mergeCell ref="B258:B260"/>
    <mergeCell ref="B261:B264"/>
    <mergeCell ref="B265:B268"/>
    <mergeCell ref="B269:B272"/>
    <mergeCell ref="B273:B276"/>
    <mergeCell ref="B277:B280"/>
    <mergeCell ref="B281:B284"/>
    <mergeCell ref="B285:B288"/>
    <mergeCell ref="B289:B292"/>
    <mergeCell ref="B293:B297"/>
    <mergeCell ref="B298:B301"/>
    <mergeCell ref="B302:B303"/>
    <mergeCell ref="B304:B307"/>
    <mergeCell ref="B308:B311"/>
    <mergeCell ref="B312:B314"/>
    <mergeCell ref="B315:B317"/>
    <mergeCell ref="B318:B322"/>
    <mergeCell ref="B323:B326"/>
    <mergeCell ref="B327:B331"/>
    <mergeCell ref="B332:B334"/>
    <mergeCell ref="B335:B338"/>
    <mergeCell ref="B339:B341"/>
    <mergeCell ref="B342:B344"/>
    <mergeCell ref="B345:B348"/>
    <mergeCell ref="B349:B351"/>
    <mergeCell ref="B352:B355"/>
    <mergeCell ref="B356:B359"/>
    <mergeCell ref="B360:B362"/>
    <mergeCell ref="B363:B364"/>
    <mergeCell ref="B365:B368"/>
    <mergeCell ref="B369:B371"/>
    <mergeCell ref="B372:B376"/>
    <mergeCell ref="B377:B380"/>
    <mergeCell ref="B381:B384"/>
    <mergeCell ref="B385:B388"/>
    <mergeCell ref="B389:B393"/>
    <mergeCell ref="B394:B396"/>
    <mergeCell ref="B397:B398"/>
    <mergeCell ref="B399:B400"/>
    <mergeCell ref="B401:B403"/>
    <mergeCell ref="B404:B405"/>
    <mergeCell ref="B406:B408"/>
    <mergeCell ref="B409:B412"/>
    <mergeCell ref="B413:B415"/>
    <mergeCell ref="B416:B417"/>
    <mergeCell ref="B418:B421"/>
    <mergeCell ref="B422:B425"/>
    <mergeCell ref="B426:B429"/>
    <mergeCell ref="B430:B433"/>
    <mergeCell ref="B434:B435"/>
    <mergeCell ref="B436:B437"/>
    <mergeCell ref="B438:B441"/>
    <mergeCell ref="B442:B445"/>
    <mergeCell ref="B446:B450"/>
    <mergeCell ref="B451:B453"/>
    <mergeCell ref="B454:B457"/>
    <mergeCell ref="B458:B460"/>
    <mergeCell ref="B461:B465"/>
    <mergeCell ref="B466:B468"/>
    <mergeCell ref="B469:B472"/>
    <mergeCell ref="B473:B475"/>
    <mergeCell ref="B476:B479"/>
    <mergeCell ref="B480:B483"/>
    <mergeCell ref="B484:B486"/>
    <mergeCell ref="B487:B489"/>
    <mergeCell ref="B490:B494"/>
    <mergeCell ref="B495:B498"/>
    <mergeCell ref="B499:B502"/>
    <mergeCell ref="B503:B505"/>
    <mergeCell ref="B506:B508"/>
    <mergeCell ref="B509:B511"/>
    <mergeCell ref="B512:B514"/>
    <mergeCell ref="B515:B518"/>
    <mergeCell ref="B519:B522"/>
    <mergeCell ref="B523:B526"/>
    <mergeCell ref="B527:B530"/>
    <mergeCell ref="B531:B535"/>
    <mergeCell ref="B536:B538"/>
    <mergeCell ref="B539:B541"/>
    <mergeCell ref="B542:B545"/>
    <mergeCell ref="B546:B549"/>
    <mergeCell ref="B550:B553"/>
    <mergeCell ref="B554:B556"/>
    <mergeCell ref="B557:B560"/>
    <mergeCell ref="B561:B564"/>
    <mergeCell ref="B565:B568"/>
    <mergeCell ref="B569:B572"/>
    <mergeCell ref="B573:B576"/>
    <mergeCell ref="B577:B580"/>
    <mergeCell ref="B581:B582"/>
    <mergeCell ref="B583:B586"/>
    <mergeCell ref="B587:B590"/>
    <mergeCell ref="B591:B593"/>
    <mergeCell ref="B594:B597"/>
    <mergeCell ref="B598:B602"/>
    <mergeCell ref="B604:B607"/>
    <mergeCell ref="B608:B611"/>
    <mergeCell ref="B612:B615"/>
    <mergeCell ref="B616:B619"/>
    <mergeCell ref="B620:B623"/>
    <mergeCell ref="B624:B628"/>
    <mergeCell ref="B629:B632"/>
    <mergeCell ref="B633:B634"/>
    <mergeCell ref="B635:B638"/>
    <mergeCell ref="B639:B641"/>
    <mergeCell ref="B642:B645"/>
    <mergeCell ref="B646:B649"/>
    <mergeCell ref="B650:B653"/>
    <mergeCell ref="B654:B657"/>
    <mergeCell ref="B658:B660"/>
    <mergeCell ref="B661:B663"/>
    <mergeCell ref="B664:B666"/>
    <mergeCell ref="B667:B670"/>
    <mergeCell ref="B671:B674"/>
    <mergeCell ref="B675:B678"/>
    <mergeCell ref="B679:B681"/>
    <mergeCell ref="B682:B686"/>
    <mergeCell ref="B687:B689"/>
    <mergeCell ref="B690:B692"/>
    <mergeCell ref="B693:B695"/>
    <mergeCell ref="B696:B698"/>
    <mergeCell ref="B699:B701"/>
    <mergeCell ref="B702:B704"/>
    <mergeCell ref="B705:B707"/>
    <mergeCell ref="B708:B710"/>
    <mergeCell ref="B711:B713"/>
    <mergeCell ref="B714:B716"/>
    <mergeCell ref="B717:B719"/>
    <mergeCell ref="B720:B722"/>
    <mergeCell ref="B723:B724"/>
    <mergeCell ref="B725:B727"/>
    <mergeCell ref="B728:B731"/>
    <mergeCell ref="B732:B734"/>
    <mergeCell ref="B735:B737"/>
    <mergeCell ref="B738:B741"/>
    <mergeCell ref="B742:B745"/>
    <mergeCell ref="B746:B748"/>
    <mergeCell ref="B749:B751"/>
    <mergeCell ref="B752:B755"/>
    <mergeCell ref="B756:B757"/>
    <mergeCell ref="B758:B759"/>
    <mergeCell ref="B760:B762"/>
    <mergeCell ref="B763:B765"/>
    <mergeCell ref="B766:B769"/>
    <mergeCell ref="B770:B772"/>
    <mergeCell ref="B773:B777"/>
    <mergeCell ref="B779:B782"/>
    <mergeCell ref="B783:B785"/>
    <mergeCell ref="B786:B787"/>
    <mergeCell ref="B788:B791"/>
    <mergeCell ref="B792:B795"/>
    <mergeCell ref="B796:B799"/>
    <mergeCell ref="B800:B803"/>
    <mergeCell ref="B804:B807"/>
    <mergeCell ref="B808:B810"/>
    <mergeCell ref="B811:B814"/>
    <mergeCell ref="B815:B819"/>
    <mergeCell ref="B820:B823"/>
    <mergeCell ref="B824:B828"/>
    <mergeCell ref="B829:B832"/>
    <mergeCell ref="B833:B837"/>
    <mergeCell ref="B838:B841"/>
    <mergeCell ref="B842:B846"/>
    <mergeCell ref="B847:B850"/>
    <mergeCell ref="B851:B854"/>
    <mergeCell ref="B855:B858"/>
    <mergeCell ref="B859:B861"/>
    <mergeCell ref="B862:B866"/>
    <mergeCell ref="B867:B870"/>
    <mergeCell ref="B871:B872"/>
    <mergeCell ref="B873:B877"/>
    <mergeCell ref="B878:B882"/>
    <mergeCell ref="B883:B885"/>
    <mergeCell ref="B886:B889"/>
    <mergeCell ref="B890:B893"/>
    <mergeCell ref="B894:B897"/>
    <mergeCell ref="B898:B900"/>
    <mergeCell ref="B901:B903"/>
    <mergeCell ref="B904:B908"/>
    <mergeCell ref="B909:B912"/>
    <mergeCell ref="B913:B916"/>
    <mergeCell ref="B917:B919"/>
    <mergeCell ref="B920:B922"/>
    <mergeCell ref="B923:B926"/>
    <mergeCell ref="B927:B931"/>
    <mergeCell ref="B932:B936"/>
    <mergeCell ref="B937:B939"/>
    <mergeCell ref="B940:B943"/>
    <mergeCell ref="B944:B946"/>
    <mergeCell ref="B947:B950"/>
    <mergeCell ref="B951:B953"/>
    <mergeCell ref="B954:B957"/>
    <mergeCell ref="B958:B961"/>
    <mergeCell ref="B962:B964"/>
    <mergeCell ref="B965:B969"/>
    <mergeCell ref="B970:B972"/>
    <mergeCell ref="B973:B977"/>
    <mergeCell ref="B978:B981"/>
    <mergeCell ref="B982:B985"/>
    <mergeCell ref="B986:B989"/>
    <mergeCell ref="B990:B991"/>
    <mergeCell ref="B992:B993"/>
    <mergeCell ref="B994:B995"/>
    <mergeCell ref="B996:B998"/>
    <mergeCell ref="B999:B1001"/>
    <mergeCell ref="B1002:B1004"/>
    <mergeCell ref="B1005:B1008"/>
    <mergeCell ref="B1009:B1012"/>
    <mergeCell ref="B1013:B1017"/>
    <mergeCell ref="B1018:B1020"/>
    <mergeCell ref="B1021:B1025"/>
    <mergeCell ref="B1026:B1028"/>
    <mergeCell ref="B1029:B1031"/>
    <mergeCell ref="B1032:B1035"/>
    <mergeCell ref="B1036:B1039"/>
    <mergeCell ref="B1040:B1042"/>
    <mergeCell ref="B1043:B1045"/>
    <mergeCell ref="B1046:B1049"/>
    <mergeCell ref="B1050:B1052"/>
    <mergeCell ref="B1053:B1056"/>
    <mergeCell ref="B1057:B1060"/>
    <mergeCell ref="B1061:B1064"/>
    <mergeCell ref="B1065:B1068"/>
    <mergeCell ref="B1069:B1073"/>
    <mergeCell ref="B1074:B1077"/>
    <mergeCell ref="B1078:B1081"/>
    <mergeCell ref="B1082:B1084"/>
    <mergeCell ref="B1085:B1088"/>
    <mergeCell ref="B1089:B1093"/>
    <mergeCell ref="B1094:B1097"/>
    <mergeCell ref="B1098:B1101"/>
    <mergeCell ref="B1102:B1105"/>
    <mergeCell ref="B1106:B1110"/>
    <mergeCell ref="B1111:B1113"/>
    <mergeCell ref="B1114:B1116"/>
    <mergeCell ref="B1117:B1120"/>
    <mergeCell ref="B1121:B1124"/>
    <mergeCell ref="B1125:B1128"/>
    <mergeCell ref="B1129:B1130"/>
    <mergeCell ref="B1131:B1133"/>
    <mergeCell ref="B1134:B1137"/>
    <mergeCell ref="B1138:B1141"/>
    <mergeCell ref="B1142:B1145"/>
    <mergeCell ref="B1146:B1149"/>
    <mergeCell ref="B1150:B1153"/>
    <mergeCell ref="B1154:B1158"/>
    <mergeCell ref="B1159:B1162"/>
    <mergeCell ref="B1163:B1165"/>
    <mergeCell ref="B1166:B1170"/>
    <mergeCell ref="B1171:B1174"/>
    <mergeCell ref="B1175:B1177"/>
    <mergeCell ref="B1178:B1181"/>
    <mergeCell ref="B1182:B1185"/>
    <mergeCell ref="B1186:B1189"/>
    <mergeCell ref="B1190:B1193"/>
    <mergeCell ref="B1194:B1198"/>
    <mergeCell ref="B1199:B1203"/>
    <mergeCell ref="B1205:B1207"/>
    <mergeCell ref="B1208:B1210"/>
    <mergeCell ref="B1211:B1215"/>
    <mergeCell ref="B1216:B1218"/>
    <mergeCell ref="B1219:B1220"/>
    <mergeCell ref="B1221:B1224"/>
    <mergeCell ref="B1225:B1228"/>
    <mergeCell ref="B1229:B1232"/>
    <mergeCell ref="B1233:B1235"/>
    <mergeCell ref="B1236:B1238"/>
    <mergeCell ref="B1239:B1242"/>
    <mergeCell ref="B1243:B1247"/>
    <mergeCell ref="B1248:B1251"/>
    <mergeCell ref="B1252:B1255"/>
    <mergeCell ref="B1256:B1259"/>
    <mergeCell ref="B1260:B1263"/>
    <mergeCell ref="B1264:B1265"/>
    <mergeCell ref="B1266:B1270"/>
    <mergeCell ref="B1271:B1274"/>
    <mergeCell ref="B1275:B1277"/>
    <mergeCell ref="B1278:B1281"/>
    <mergeCell ref="B1282:B1285"/>
    <mergeCell ref="B1286:B1289"/>
    <mergeCell ref="B1290:B1294"/>
    <mergeCell ref="B1295:B1297"/>
    <mergeCell ref="B1298:B1300"/>
    <mergeCell ref="B1301:B1303"/>
    <mergeCell ref="B1304:B1307"/>
    <mergeCell ref="B1308:B1311"/>
    <mergeCell ref="B1312:B1315"/>
    <mergeCell ref="B1316:B1319"/>
    <mergeCell ref="C2:C5"/>
    <mergeCell ref="C6:C9"/>
    <mergeCell ref="C10:C11"/>
    <mergeCell ref="C12:C16"/>
    <mergeCell ref="C19:C22"/>
    <mergeCell ref="C23:C27"/>
    <mergeCell ref="C28:C31"/>
    <mergeCell ref="C32:C35"/>
    <mergeCell ref="C36:C39"/>
    <mergeCell ref="C40:C42"/>
    <mergeCell ref="C43:C45"/>
    <mergeCell ref="C46:C49"/>
    <mergeCell ref="C50:C53"/>
    <mergeCell ref="C55:C58"/>
    <mergeCell ref="C59:C62"/>
    <mergeCell ref="C63:C65"/>
    <mergeCell ref="C66:C69"/>
    <mergeCell ref="C70:C73"/>
    <mergeCell ref="C74:C77"/>
    <mergeCell ref="C78:C82"/>
    <mergeCell ref="C83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6"/>
    <mergeCell ref="C127:C129"/>
    <mergeCell ref="C130:C132"/>
    <mergeCell ref="C133:C135"/>
    <mergeCell ref="C136:C140"/>
    <mergeCell ref="C141:C144"/>
    <mergeCell ref="C145:C146"/>
    <mergeCell ref="C147:C150"/>
    <mergeCell ref="C152:C155"/>
    <mergeCell ref="C156:C159"/>
    <mergeCell ref="C160:C161"/>
    <mergeCell ref="C162:C165"/>
    <mergeCell ref="C166:C169"/>
    <mergeCell ref="C170:C172"/>
    <mergeCell ref="C173:C176"/>
    <mergeCell ref="C177:C180"/>
    <mergeCell ref="C181:C182"/>
    <mergeCell ref="C183:C187"/>
    <mergeCell ref="C188:C190"/>
    <mergeCell ref="C191:C194"/>
    <mergeCell ref="C195:C197"/>
    <mergeCell ref="C198:C201"/>
    <mergeCell ref="C202:C204"/>
    <mergeCell ref="C205:C208"/>
    <mergeCell ref="C209:C211"/>
    <mergeCell ref="C212:C215"/>
    <mergeCell ref="C216:C218"/>
    <mergeCell ref="C219:C221"/>
    <mergeCell ref="C222:C225"/>
    <mergeCell ref="C226:C228"/>
    <mergeCell ref="C229:C232"/>
    <mergeCell ref="C233:C235"/>
    <mergeCell ref="C236:C238"/>
    <mergeCell ref="C239:C242"/>
    <mergeCell ref="C243:C245"/>
    <mergeCell ref="C246:C249"/>
    <mergeCell ref="C250:C253"/>
    <mergeCell ref="C254:C257"/>
    <mergeCell ref="C258:C260"/>
    <mergeCell ref="C261:C264"/>
    <mergeCell ref="C265:C268"/>
    <mergeCell ref="C269:C272"/>
    <mergeCell ref="C273:C276"/>
    <mergeCell ref="C277:C280"/>
    <mergeCell ref="C281:C284"/>
    <mergeCell ref="C285:C288"/>
    <mergeCell ref="C289:C292"/>
    <mergeCell ref="C293:C297"/>
    <mergeCell ref="C298:C301"/>
    <mergeCell ref="C302:C303"/>
    <mergeCell ref="C304:C307"/>
    <mergeCell ref="C308:C311"/>
    <mergeCell ref="C312:C314"/>
    <mergeCell ref="C315:C317"/>
    <mergeCell ref="C318:C322"/>
    <mergeCell ref="C323:C326"/>
    <mergeCell ref="C327:C331"/>
    <mergeCell ref="C332:C334"/>
    <mergeCell ref="C335:C338"/>
    <mergeCell ref="C339:C341"/>
    <mergeCell ref="C342:C344"/>
    <mergeCell ref="C345:C348"/>
    <mergeCell ref="C349:C351"/>
    <mergeCell ref="C352:C355"/>
    <mergeCell ref="C356:C359"/>
    <mergeCell ref="C360:C362"/>
    <mergeCell ref="C363:C364"/>
    <mergeCell ref="C365:C368"/>
    <mergeCell ref="C369:C371"/>
    <mergeCell ref="C372:C376"/>
    <mergeCell ref="C377:C380"/>
    <mergeCell ref="C381:C384"/>
    <mergeCell ref="C385:C388"/>
    <mergeCell ref="C389:C393"/>
    <mergeCell ref="C394:C396"/>
    <mergeCell ref="C397:C398"/>
    <mergeCell ref="C399:C400"/>
    <mergeCell ref="C401:C403"/>
    <mergeCell ref="C404:C405"/>
    <mergeCell ref="C406:C408"/>
    <mergeCell ref="C409:C412"/>
    <mergeCell ref="C413:C415"/>
    <mergeCell ref="C416:C417"/>
    <mergeCell ref="C418:C421"/>
    <mergeCell ref="C422:C425"/>
    <mergeCell ref="C426:C429"/>
    <mergeCell ref="C430:C433"/>
    <mergeCell ref="C434:C435"/>
    <mergeCell ref="C436:C437"/>
    <mergeCell ref="C438:C441"/>
    <mergeCell ref="C442:C445"/>
    <mergeCell ref="C446:C450"/>
    <mergeCell ref="C451:C453"/>
    <mergeCell ref="C454:C457"/>
    <mergeCell ref="C458:C460"/>
    <mergeCell ref="C461:C465"/>
    <mergeCell ref="C466:C468"/>
    <mergeCell ref="C469:C472"/>
    <mergeCell ref="C473:C475"/>
    <mergeCell ref="C476:C479"/>
    <mergeCell ref="C480:C483"/>
    <mergeCell ref="C484:C486"/>
    <mergeCell ref="C487:C489"/>
    <mergeCell ref="C490:C494"/>
    <mergeCell ref="C495:C498"/>
    <mergeCell ref="C499:C502"/>
    <mergeCell ref="C503:C505"/>
    <mergeCell ref="C506:C508"/>
    <mergeCell ref="C509:C511"/>
    <mergeCell ref="C512:C514"/>
    <mergeCell ref="C515:C518"/>
    <mergeCell ref="C519:C522"/>
    <mergeCell ref="C523:C526"/>
    <mergeCell ref="C527:C530"/>
    <mergeCell ref="C531:C535"/>
    <mergeCell ref="C536:C538"/>
    <mergeCell ref="C539:C541"/>
    <mergeCell ref="C542:C545"/>
    <mergeCell ref="C546:C549"/>
    <mergeCell ref="C550:C553"/>
    <mergeCell ref="C554:C556"/>
    <mergeCell ref="C557:C560"/>
    <mergeCell ref="C561:C564"/>
    <mergeCell ref="C565:C568"/>
    <mergeCell ref="C569:C572"/>
    <mergeCell ref="C573:C576"/>
    <mergeCell ref="C577:C580"/>
    <mergeCell ref="C581:C582"/>
    <mergeCell ref="C583:C586"/>
    <mergeCell ref="C587:C590"/>
    <mergeCell ref="C591:C593"/>
    <mergeCell ref="C594:C597"/>
    <mergeCell ref="C598:C602"/>
    <mergeCell ref="C604:C607"/>
    <mergeCell ref="C608:C611"/>
    <mergeCell ref="C612:C615"/>
    <mergeCell ref="C616:C619"/>
    <mergeCell ref="C620:C623"/>
    <mergeCell ref="C624:C628"/>
    <mergeCell ref="C629:C632"/>
    <mergeCell ref="C633:C634"/>
    <mergeCell ref="C635:C638"/>
    <mergeCell ref="C639:C641"/>
    <mergeCell ref="C642:C645"/>
    <mergeCell ref="C646:C649"/>
    <mergeCell ref="C650:C653"/>
    <mergeCell ref="C654:C657"/>
    <mergeCell ref="C658:C660"/>
    <mergeCell ref="C661:C663"/>
    <mergeCell ref="C664:C666"/>
    <mergeCell ref="C667:C670"/>
    <mergeCell ref="C671:C674"/>
    <mergeCell ref="C675:C678"/>
    <mergeCell ref="C679:C681"/>
    <mergeCell ref="C682:C686"/>
    <mergeCell ref="C687:C689"/>
    <mergeCell ref="C690:C692"/>
    <mergeCell ref="C693:C695"/>
    <mergeCell ref="C696:C698"/>
    <mergeCell ref="C699:C701"/>
    <mergeCell ref="C702:C704"/>
    <mergeCell ref="C705:C707"/>
    <mergeCell ref="C708:C710"/>
    <mergeCell ref="C711:C713"/>
    <mergeCell ref="C714:C716"/>
    <mergeCell ref="C717:C719"/>
    <mergeCell ref="C720:C722"/>
    <mergeCell ref="C723:C724"/>
    <mergeCell ref="C725:C727"/>
    <mergeCell ref="C728:C731"/>
    <mergeCell ref="C732:C734"/>
    <mergeCell ref="C735:C737"/>
    <mergeCell ref="C738:C741"/>
    <mergeCell ref="C742:C745"/>
    <mergeCell ref="C746:C748"/>
    <mergeCell ref="C749:C751"/>
    <mergeCell ref="C752:C755"/>
    <mergeCell ref="C756:C757"/>
    <mergeCell ref="C758:C759"/>
    <mergeCell ref="C760:C762"/>
    <mergeCell ref="C763:C765"/>
    <mergeCell ref="C766:C769"/>
    <mergeCell ref="C770:C772"/>
    <mergeCell ref="C773:C777"/>
    <mergeCell ref="C779:C782"/>
    <mergeCell ref="C783:C785"/>
    <mergeCell ref="C786:C787"/>
    <mergeCell ref="C788:C791"/>
    <mergeCell ref="C792:C795"/>
    <mergeCell ref="C796:C799"/>
    <mergeCell ref="C800:C803"/>
    <mergeCell ref="C804:C807"/>
    <mergeCell ref="C808:C810"/>
    <mergeCell ref="C811:C814"/>
    <mergeCell ref="C815:C819"/>
    <mergeCell ref="C820:C823"/>
    <mergeCell ref="C824:C828"/>
    <mergeCell ref="C829:C832"/>
    <mergeCell ref="C833:C837"/>
    <mergeCell ref="C838:C841"/>
    <mergeCell ref="C842:C846"/>
    <mergeCell ref="C847:C850"/>
    <mergeCell ref="C851:C854"/>
    <mergeCell ref="C855:C858"/>
    <mergeCell ref="C859:C861"/>
    <mergeCell ref="C862:C866"/>
    <mergeCell ref="C867:C870"/>
    <mergeCell ref="C871:C872"/>
    <mergeCell ref="C873:C877"/>
    <mergeCell ref="C878:C882"/>
    <mergeCell ref="C883:C885"/>
    <mergeCell ref="C886:C889"/>
    <mergeCell ref="C890:C893"/>
    <mergeCell ref="C894:C897"/>
    <mergeCell ref="C898:C900"/>
    <mergeCell ref="C901:C903"/>
    <mergeCell ref="C904:C908"/>
    <mergeCell ref="C909:C912"/>
    <mergeCell ref="C913:C916"/>
    <mergeCell ref="C917:C919"/>
    <mergeCell ref="C920:C922"/>
    <mergeCell ref="C923:C926"/>
    <mergeCell ref="C927:C931"/>
    <mergeCell ref="C932:C936"/>
    <mergeCell ref="C937:C939"/>
    <mergeCell ref="C940:C943"/>
    <mergeCell ref="C944:C946"/>
    <mergeCell ref="C947:C950"/>
    <mergeCell ref="C951:C953"/>
    <mergeCell ref="C954:C957"/>
    <mergeCell ref="C958:C961"/>
    <mergeCell ref="C962:C964"/>
    <mergeCell ref="C965:C969"/>
    <mergeCell ref="C970:C972"/>
    <mergeCell ref="C973:C977"/>
    <mergeCell ref="C978:C981"/>
    <mergeCell ref="C982:C985"/>
    <mergeCell ref="C986:C989"/>
    <mergeCell ref="C990:C991"/>
    <mergeCell ref="C992:C993"/>
    <mergeCell ref="C994:C995"/>
    <mergeCell ref="C996:C998"/>
    <mergeCell ref="C999:C1001"/>
    <mergeCell ref="C1002:C1004"/>
    <mergeCell ref="C1005:C1008"/>
    <mergeCell ref="C1009:C1012"/>
    <mergeCell ref="C1013:C1017"/>
    <mergeCell ref="C1018:C1020"/>
    <mergeCell ref="C1021:C1025"/>
    <mergeCell ref="C1026:C1028"/>
    <mergeCell ref="C1029:C1031"/>
    <mergeCell ref="C1032:C1035"/>
    <mergeCell ref="C1036:C1039"/>
    <mergeCell ref="C1040:C1042"/>
    <mergeCell ref="C1043:C1045"/>
    <mergeCell ref="C1046:C1049"/>
    <mergeCell ref="C1050:C1052"/>
    <mergeCell ref="C1053:C1056"/>
    <mergeCell ref="C1057:C1060"/>
    <mergeCell ref="C1061:C1064"/>
    <mergeCell ref="C1065:C1068"/>
    <mergeCell ref="C1069:C1073"/>
    <mergeCell ref="C1074:C1077"/>
    <mergeCell ref="C1078:C1081"/>
    <mergeCell ref="C1082:C1084"/>
    <mergeCell ref="C1085:C1088"/>
    <mergeCell ref="C1089:C1093"/>
    <mergeCell ref="C1094:C1097"/>
    <mergeCell ref="C1098:C1101"/>
    <mergeCell ref="C1102:C1105"/>
    <mergeCell ref="C1106:C1110"/>
    <mergeCell ref="C1111:C1113"/>
    <mergeCell ref="C1114:C1116"/>
    <mergeCell ref="C1117:C1120"/>
    <mergeCell ref="C1121:C1124"/>
    <mergeCell ref="C1125:C1128"/>
    <mergeCell ref="C1129:C1130"/>
    <mergeCell ref="C1131:C1133"/>
    <mergeCell ref="C1134:C1137"/>
    <mergeCell ref="C1138:C1141"/>
    <mergeCell ref="C1142:C1145"/>
    <mergeCell ref="C1146:C1149"/>
    <mergeCell ref="C1150:C1153"/>
    <mergeCell ref="C1154:C1158"/>
    <mergeCell ref="C1159:C1162"/>
    <mergeCell ref="C1163:C1165"/>
    <mergeCell ref="C1166:C1170"/>
    <mergeCell ref="C1171:C1174"/>
    <mergeCell ref="C1175:C1177"/>
    <mergeCell ref="C1178:C1181"/>
    <mergeCell ref="C1182:C1185"/>
    <mergeCell ref="C1186:C1189"/>
    <mergeCell ref="C1190:C1193"/>
    <mergeCell ref="C1194:C1198"/>
    <mergeCell ref="C1199:C1203"/>
    <mergeCell ref="C1205:C1207"/>
    <mergeCell ref="C1208:C1210"/>
    <mergeCell ref="C1211:C1215"/>
    <mergeCell ref="C1216:C1218"/>
    <mergeCell ref="C1219:C1220"/>
    <mergeCell ref="C1221:C1224"/>
    <mergeCell ref="C1225:C1228"/>
    <mergeCell ref="C1229:C1232"/>
    <mergeCell ref="C1233:C1235"/>
    <mergeCell ref="C1236:C1238"/>
    <mergeCell ref="C1239:C1242"/>
    <mergeCell ref="C1243:C1247"/>
    <mergeCell ref="C1248:C1251"/>
    <mergeCell ref="C1252:C1255"/>
    <mergeCell ref="C1256:C1259"/>
    <mergeCell ref="C1260:C1263"/>
    <mergeCell ref="C1264:C1265"/>
    <mergeCell ref="C1266:C1270"/>
    <mergeCell ref="C1271:C1274"/>
    <mergeCell ref="C1275:C1277"/>
    <mergeCell ref="C1278:C1281"/>
    <mergeCell ref="C1282:C1285"/>
    <mergeCell ref="C1286:C1289"/>
    <mergeCell ref="C1290:C1294"/>
    <mergeCell ref="C1295:C1297"/>
    <mergeCell ref="C1298:C1300"/>
    <mergeCell ref="C1301:C1303"/>
    <mergeCell ref="C1304:C1307"/>
    <mergeCell ref="C1308:C1311"/>
    <mergeCell ref="C1312:C1315"/>
    <mergeCell ref="C1316:C1319"/>
    <mergeCell ref="D2:D5"/>
    <mergeCell ref="D6:D9"/>
    <mergeCell ref="D10:D11"/>
    <mergeCell ref="D12:D16"/>
    <mergeCell ref="D19:D22"/>
    <mergeCell ref="D23:D27"/>
    <mergeCell ref="D28:D31"/>
    <mergeCell ref="D32:D35"/>
    <mergeCell ref="D36:D39"/>
    <mergeCell ref="D40:D42"/>
    <mergeCell ref="D43:D45"/>
    <mergeCell ref="D46:D49"/>
    <mergeCell ref="D50:D53"/>
    <mergeCell ref="D55:D58"/>
    <mergeCell ref="D59:D62"/>
    <mergeCell ref="D63:D65"/>
    <mergeCell ref="D66:D69"/>
    <mergeCell ref="D70:D73"/>
    <mergeCell ref="D74:D77"/>
    <mergeCell ref="D78:D82"/>
    <mergeCell ref="D83:D85"/>
    <mergeCell ref="D86:D89"/>
    <mergeCell ref="D90:D93"/>
    <mergeCell ref="D94:D97"/>
    <mergeCell ref="D98:D101"/>
    <mergeCell ref="D102:D105"/>
    <mergeCell ref="D106:D109"/>
    <mergeCell ref="D110:D113"/>
    <mergeCell ref="D114:D117"/>
    <mergeCell ref="D118:D121"/>
    <mergeCell ref="D122:D126"/>
    <mergeCell ref="D127:D129"/>
    <mergeCell ref="D130:D132"/>
    <mergeCell ref="D133:D135"/>
    <mergeCell ref="D136:D140"/>
    <mergeCell ref="D141:D144"/>
    <mergeCell ref="D145:D146"/>
    <mergeCell ref="D147:D150"/>
    <mergeCell ref="D152:D155"/>
    <mergeCell ref="D156:D159"/>
    <mergeCell ref="D160:D161"/>
    <mergeCell ref="D162:D165"/>
    <mergeCell ref="D166:D169"/>
    <mergeCell ref="D170:D172"/>
    <mergeCell ref="D173:D176"/>
    <mergeCell ref="D177:D180"/>
    <mergeCell ref="D181:D182"/>
    <mergeCell ref="D183:D187"/>
    <mergeCell ref="D188:D190"/>
    <mergeCell ref="D191:D194"/>
    <mergeCell ref="D195:D197"/>
    <mergeCell ref="D198:D201"/>
    <mergeCell ref="D202:D204"/>
    <mergeCell ref="D205:D208"/>
    <mergeCell ref="D209:D211"/>
    <mergeCell ref="D212:D215"/>
    <mergeCell ref="D216:D218"/>
    <mergeCell ref="D219:D221"/>
    <mergeCell ref="D222:D225"/>
    <mergeCell ref="D226:D228"/>
    <mergeCell ref="D229:D232"/>
    <mergeCell ref="D233:D235"/>
    <mergeCell ref="D236:D238"/>
    <mergeCell ref="D239:D242"/>
    <mergeCell ref="D243:D245"/>
    <mergeCell ref="D246:D249"/>
    <mergeCell ref="D250:D253"/>
    <mergeCell ref="D254:D257"/>
    <mergeCell ref="D258:D260"/>
    <mergeCell ref="D261:D264"/>
    <mergeCell ref="D265:D268"/>
    <mergeCell ref="D269:D272"/>
    <mergeCell ref="D273:D276"/>
    <mergeCell ref="D277:D280"/>
    <mergeCell ref="D281:D284"/>
    <mergeCell ref="D285:D288"/>
    <mergeCell ref="D289:D292"/>
    <mergeCell ref="D293:D297"/>
    <mergeCell ref="D298:D301"/>
    <mergeCell ref="D302:D303"/>
    <mergeCell ref="D304:D307"/>
    <mergeCell ref="D308:D311"/>
    <mergeCell ref="D312:D314"/>
    <mergeCell ref="D315:D317"/>
    <mergeCell ref="D318:D322"/>
    <mergeCell ref="D323:D326"/>
    <mergeCell ref="D327:D331"/>
    <mergeCell ref="D332:D334"/>
    <mergeCell ref="D335:D338"/>
    <mergeCell ref="D339:D341"/>
    <mergeCell ref="D342:D344"/>
    <mergeCell ref="D345:D348"/>
    <mergeCell ref="D349:D351"/>
    <mergeCell ref="D352:D355"/>
    <mergeCell ref="D356:D359"/>
    <mergeCell ref="D360:D362"/>
    <mergeCell ref="D363:D364"/>
    <mergeCell ref="D365:D368"/>
    <mergeCell ref="D369:D371"/>
    <mergeCell ref="D372:D376"/>
    <mergeCell ref="D377:D380"/>
    <mergeCell ref="D381:D384"/>
    <mergeCell ref="D385:D388"/>
    <mergeCell ref="D389:D393"/>
    <mergeCell ref="D394:D396"/>
    <mergeCell ref="D397:D398"/>
    <mergeCell ref="D399:D400"/>
    <mergeCell ref="D401:D403"/>
    <mergeCell ref="D404:D405"/>
    <mergeCell ref="D406:D408"/>
    <mergeCell ref="D409:D412"/>
    <mergeCell ref="D413:D415"/>
    <mergeCell ref="D416:D417"/>
    <mergeCell ref="D418:D421"/>
    <mergeCell ref="D422:D425"/>
    <mergeCell ref="D426:D429"/>
    <mergeCell ref="D430:D433"/>
    <mergeCell ref="D434:D435"/>
    <mergeCell ref="D436:D437"/>
    <mergeCell ref="D438:D441"/>
    <mergeCell ref="D442:D445"/>
    <mergeCell ref="D446:D450"/>
    <mergeCell ref="D451:D453"/>
    <mergeCell ref="D454:D457"/>
    <mergeCell ref="D458:D460"/>
    <mergeCell ref="D461:D465"/>
    <mergeCell ref="D466:D468"/>
    <mergeCell ref="D469:D472"/>
    <mergeCell ref="D473:D475"/>
    <mergeCell ref="D476:D479"/>
    <mergeCell ref="D480:D483"/>
    <mergeCell ref="D484:D486"/>
    <mergeCell ref="D487:D489"/>
    <mergeCell ref="D490:D494"/>
    <mergeCell ref="D495:D498"/>
    <mergeCell ref="D499:D502"/>
    <mergeCell ref="D503:D505"/>
    <mergeCell ref="D506:D508"/>
    <mergeCell ref="D509:D511"/>
    <mergeCell ref="D512:D514"/>
    <mergeCell ref="D515:D518"/>
    <mergeCell ref="D519:D522"/>
    <mergeCell ref="D523:D526"/>
    <mergeCell ref="D527:D530"/>
    <mergeCell ref="D531:D535"/>
    <mergeCell ref="D536:D538"/>
    <mergeCell ref="D539:D541"/>
    <mergeCell ref="D542:D545"/>
    <mergeCell ref="D546:D549"/>
    <mergeCell ref="D550:D553"/>
    <mergeCell ref="D554:D556"/>
    <mergeCell ref="D557:D560"/>
    <mergeCell ref="D561:D564"/>
    <mergeCell ref="D565:D568"/>
    <mergeCell ref="D569:D572"/>
    <mergeCell ref="D573:D576"/>
    <mergeCell ref="D577:D580"/>
    <mergeCell ref="D581:D582"/>
    <mergeCell ref="D583:D586"/>
    <mergeCell ref="D587:D590"/>
    <mergeCell ref="D591:D593"/>
    <mergeCell ref="D594:D597"/>
    <mergeCell ref="D598:D602"/>
    <mergeCell ref="D604:D607"/>
    <mergeCell ref="D608:D611"/>
    <mergeCell ref="D612:D615"/>
    <mergeCell ref="D616:D619"/>
    <mergeCell ref="D620:D623"/>
    <mergeCell ref="D624:D628"/>
    <mergeCell ref="D629:D632"/>
    <mergeCell ref="D633:D634"/>
    <mergeCell ref="D635:D638"/>
    <mergeCell ref="D639:D641"/>
    <mergeCell ref="D642:D645"/>
    <mergeCell ref="D646:D649"/>
    <mergeCell ref="D650:D653"/>
    <mergeCell ref="D654:D657"/>
    <mergeCell ref="D658:D660"/>
    <mergeCell ref="D661:D663"/>
    <mergeCell ref="D664:D666"/>
    <mergeCell ref="D667:D670"/>
    <mergeCell ref="D671:D674"/>
    <mergeCell ref="D675:D678"/>
    <mergeCell ref="D679:D681"/>
    <mergeCell ref="D682:D686"/>
    <mergeCell ref="D687:D689"/>
    <mergeCell ref="D690:D692"/>
    <mergeCell ref="D693:D695"/>
    <mergeCell ref="D696:D698"/>
    <mergeCell ref="D699:D701"/>
    <mergeCell ref="D702:D704"/>
    <mergeCell ref="D705:D707"/>
    <mergeCell ref="D708:D710"/>
    <mergeCell ref="D711:D713"/>
    <mergeCell ref="D714:D716"/>
    <mergeCell ref="D717:D719"/>
    <mergeCell ref="D720:D722"/>
    <mergeCell ref="D723:D724"/>
    <mergeCell ref="D725:D727"/>
    <mergeCell ref="D728:D731"/>
    <mergeCell ref="D732:D734"/>
    <mergeCell ref="D735:D737"/>
    <mergeCell ref="D738:D741"/>
    <mergeCell ref="D742:D745"/>
    <mergeCell ref="D746:D748"/>
    <mergeCell ref="D749:D751"/>
    <mergeCell ref="D752:D755"/>
    <mergeCell ref="D756:D757"/>
    <mergeCell ref="D758:D759"/>
    <mergeCell ref="D760:D762"/>
    <mergeCell ref="D763:D765"/>
    <mergeCell ref="D766:D769"/>
    <mergeCell ref="D770:D772"/>
    <mergeCell ref="D773:D777"/>
    <mergeCell ref="D779:D782"/>
    <mergeCell ref="D783:D785"/>
    <mergeCell ref="D786:D787"/>
    <mergeCell ref="D788:D791"/>
    <mergeCell ref="D792:D795"/>
    <mergeCell ref="D796:D799"/>
    <mergeCell ref="D800:D803"/>
    <mergeCell ref="D804:D807"/>
    <mergeCell ref="D808:D810"/>
    <mergeCell ref="D811:D814"/>
    <mergeCell ref="D815:D819"/>
    <mergeCell ref="D820:D823"/>
    <mergeCell ref="D824:D828"/>
    <mergeCell ref="D829:D832"/>
    <mergeCell ref="D833:D837"/>
    <mergeCell ref="D838:D841"/>
    <mergeCell ref="D842:D846"/>
    <mergeCell ref="D847:D850"/>
    <mergeCell ref="D851:D854"/>
    <mergeCell ref="D855:D858"/>
    <mergeCell ref="D859:D861"/>
    <mergeCell ref="D862:D866"/>
    <mergeCell ref="D867:D870"/>
    <mergeCell ref="D871:D872"/>
    <mergeCell ref="D873:D877"/>
    <mergeCell ref="D878:D882"/>
    <mergeCell ref="D883:D885"/>
    <mergeCell ref="D886:D889"/>
    <mergeCell ref="D890:D893"/>
    <mergeCell ref="D894:D897"/>
    <mergeCell ref="D898:D900"/>
    <mergeCell ref="D901:D903"/>
    <mergeCell ref="D904:D908"/>
    <mergeCell ref="D909:D912"/>
    <mergeCell ref="D913:D916"/>
    <mergeCell ref="D917:D919"/>
    <mergeCell ref="D920:D922"/>
    <mergeCell ref="D923:D926"/>
    <mergeCell ref="D927:D931"/>
    <mergeCell ref="D932:D936"/>
    <mergeCell ref="D937:D939"/>
    <mergeCell ref="D940:D943"/>
    <mergeCell ref="D944:D946"/>
    <mergeCell ref="D947:D950"/>
    <mergeCell ref="D951:D953"/>
    <mergeCell ref="D954:D957"/>
    <mergeCell ref="D958:D961"/>
    <mergeCell ref="D962:D964"/>
    <mergeCell ref="D965:D969"/>
    <mergeCell ref="D970:D972"/>
    <mergeCell ref="D973:D977"/>
    <mergeCell ref="D978:D981"/>
    <mergeCell ref="D982:D985"/>
    <mergeCell ref="D986:D989"/>
    <mergeCell ref="D990:D991"/>
    <mergeCell ref="D992:D993"/>
    <mergeCell ref="D994:D995"/>
    <mergeCell ref="D996:D998"/>
    <mergeCell ref="D999:D1001"/>
    <mergeCell ref="D1002:D1004"/>
    <mergeCell ref="D1005:D1008"/>
    <mergeCell ref="D1009:D1012"/>
    <mergeCell ref="D1013:D1017"/>
    <mergeCell ref="D1018:D1020"/>
    <mergeCell ref="D1021:D1025"/>
    <mergeCell ref="D1026:D1028"/>
    <mergeCell ref="D1029:D1031"/>
    <mergeCell ref="D1032:D1035"/>
    <mergeCell ref="D1036:D1039"/>
    <mergeCell ref="D1040:D1042"/>
    <mergeCell ref="D1043:D1045"/>
    <mergeCell ref="D1046:D1049"/>
    <mergeCell ref="D1050:D1052"/>
    <mergeCell ref="D1053:D1056"/>
    <mergeCell ref="D1057:D1060"/>
    <mergeCell ref="D1061:D1064"/>
    <mergeCell ref="D1065:D1068"/>
    <mergeCell ref="D1069:D1073"/>
    <mergeCell ref="D1074:D1077"/>
    <mergeCell ref="D1078:D1081"/>
    <mergeCell ref="D1082:D1084"/>
    <mergeCell ref="D1085:D1088"/>
    <mergeCell ref="D1089:D1093"/>
    <mergeCell ref="D1094:D1097"/>
    <mergeCell ref="D1098:D1101"/>
    <mergeCell ref="D1102:D1105"/>
    <mergeCell ref="D1106:D1110"/>
    <mergeCell ref="D1111:D1113"/>
    <mergeCell ref="D1114:D1116"/>
    <mergeCell ref="D1117:D1120"/>
    <mergeCell ref="D1121:D1124"/>
    <mergeCell ref="D1125:D1128"/>
    <mergeCell ref="D1129:D1130"/>
    <mergeCell ref="D1131:D1133"/>
    <mergeCell ref="D1134:D1137"/>
    <mergeCell ref="D1138:D1141"/>
    <mergeCell ref="D1142:D1145"/>
    <mergeCell ref="D1146:D1149"/>
    <mergeCell ref="D1150:D1153"/>
    <mergeCell ref="D1154:D1158"/>
    <mergeCell ref="D1159:D1162"/>
    <mergeCell ref="D1163:D1165"/>
    <mergeCell ref="D1166:D1170"/>
    <mergeCell ref="D1171:D1174"/>
    <mergeCell ref="D1175:D1177"/>
    <mergeCell ref="D1178:D1181"/>
    <mergeCell ref="D1182:D1185"/>
    <mergeCell ref="D1186:D1189"/>
    <mergeCell ref="D1190:D1193"/>
    <mergeCell ref="D1194:D1198"/>
    <mergeCell ref="D1199:D1203"/>
    <mergeCell ref="D1205:D1207"/>
    <mergeCell ref="D1208:D1210"/>
    <mergeCell ref="D1211:D1215"/>
    <mergeCell ref="D1216:D1218"/>
    <mergeCell ref="D1219:D1220"/>
    <mergeCell ref="D1221:D1224"/>
    <mergeCell ref="D1225:D1228"/>
    <mergeCell ref="D1229:D1232"/>
    <mergeCell ref="D1233:D1235"/>
    <mergeCell ref="D1236:D1238"/>
    <mergeCell ref="D1239:D1242"/>
    <mergeCell ref="D1243:D1247"/>
    <mergeCell ref="D1248:D1251"/>
    <mergeCell ref="D1252:D1255"/>
    <mergeCell ref="D1256:D1259"/>
    <mergeCell ref="D1260:D1263"/>
    <mergeCell ref="D1264:D1265"/>
    <mergeCell ref="D1266:D1270"/>
    <mergeCell ref="D1271:D1274"/>
    <mergeCell ref="D1275:D1277"/>
    <mergeCell ref="D1278:D1281"/>
    <mergeCell ref="D1282:D1285"/>
    <mergeCell ref="D1286:D1289"/>
    <mergeCell ref="D1290:D1294"/>
    <mergeCell ref="D1295:D1297"/>
    <mergeCell ref="D1298:D1300"/>
    <mergeCell ref="D1301:D1303"/>
    <mergeCell ref="D1304:D1307"/>
    <mergeCell ref="D1308:D1311"/>
    <mergeCell ref="D1312:D1315"/>
    <mergeCell ref="D1316:D1319"/>
    <mergeCell ref="E2:E5"/>
    <mergeCell ref="E6:E9"/>
    <mergeCell ref="E10:E11"/>
    <mergeCell ref="E12:E16"/>
    <mergeCell ref="E19:E22"/>
    <mergeCell ref="E23:E27"/>
    <mergeCell ref="E28:E31"/>
    <mergeCell ref="E32:E35"/>
    <mergeCell ref="E36:E39"/>
    <mergeCell ref="E40:E42"/>
    <mergeCell ref="E43:E45"/>
    <mergeCell ref="E46:E49"/>
    <mergeCell ref="E50:E53"/>
    <mergeCell ref="E55:E58"/>
    <mergeCell ref="E59:E62"/>
    <mergeCell ref="E63:E65"/>
    <mergeCell ref="E66:E69"/>
    <mergeCell ref="E70:E73"/>
    <mergeCell ref="E74:E77"/>
    <mergeCell ref="E78:E82"/>
    <mergeCell ref="E83:E85"/>
    <mergeCell ref="E86:E89"/>
    <mergeCell ref="E90:E93"/>
    <mergeCell ref="E94:E97"/>
    <mergeCell ref="E98:E101"/>
    <mergeCell ref="E102:E105"/>
    <mergeCell ref="E106:E109"/>
    <mergeCell ref="E110:E113"/>
    <mergeCell ref="E114:E117"/>
    <mergeCell ref="E118:E121"/>
    <mergeCell ref="E122:E126"/>
    <mergeCell ref="E127:E129"/>
    <mergeCell ref="E130:E132"/>
    <mergeCell ref="E133:E135"/>
    <mergeCell ref="E136:E140"/>
    <mergeCell ref="E141:E144"/>
    <mergeCell ref="E145:E146"/>
    <mergeCell ref="E147:E150"/>
    <mergeCell ref="E152:E155"/>
    <mergeCell ref="E156:E159"/>
    <mergeCell ref="E160:E161"/>
    <mergeCell ref="E162:E165"/>
    <mergeCell ref="E166:E169"/>
    <mergeCell ref="E170:E172"/>
    <mergeCell ref="E173:E176"/>
    <mergeCell ref="E177:E180"/>
    <mergeCell ref="E181:E182"/>
    <mergeCell ref="E183:E187"/>
    <mergeCell ref="E188:E190"/>
    <mergeCell ref="E191:E194"/>
    <mergeCell ref="E195:E197"/>
    <mergeCell ref="E198:E201"/>
    <mergeCell ref="E202:E204"/>
    <mergeCell ref="E205:E208"/>
    <mergeCell ref="E209:E211"/>
    <mergeCell ref="E212:E215"/>
    <mergeCell ref="E216:E218"/>
    <mergeCell ref="E219:E221"/>
    <mergeCell ref="E222:E225"/>
    <mergeCell ref="E226:E228"/>
    <mergeCell ref="E229:E232"/>
    <mergeCell ref="E233:E235"/>
    <mergeCell ref="E236:E238"/>
    <mergeCell ref="E239:E242"/>
    <mergeCell ref="E243:E245"/>
    <mergeCell ref="E246:E249"/>
    <mergeCell ref="E250:E253"/>
    <mergeCell ref="E254:E257"/>
    <mergeCell ref="E258:E260"/>
    <mergeCell ref="E261:E264"/>
    <mergeCell ref="E265:E268"/>
    <mergeCell ref="E269:E272"/>
    <mergeCell ref="E273:E276"/>
    <mergeCell ref="E277:E280"/>
    <mergeCell ref="E281:E284"/>
    <mergeCell ref="E285:E288"/>
    <mergeCell ref="E289:E292"/>
    <mergeCell ref="E293:E297"/>
    <mergeCell ref="E298:E301"/>
    <mergeCell ref="E302:E303"/>
    <mergeCell ref="E304:E307"/>
    <mergeCell ref="E308:E311"/>
    <mergeCell ref="E312:E314"/>
    <mergeCell ref="E315:E317"/>
    <mergeCell ref="E318:E322"/>
    <mergeCell ref="E323:E326"/>
    <mergeCell ref="E327:E331"/>
    <mergeCell ref="E332:E334"/>
    <mergeCell ref="E335:E338"/>
    <mergeCell ref="E339:E341"/>
    <mergeCell ref="E342:E344"/>
    <mergeCell ref="E345:E348"/>
    <mergeCell ref="E349:E351"/>
    <mergeCell ref="E352:E355"/>
    <mergeCell ref="E356:E359"/>
    <mergeCell ref="E360:E362"/>
    <mergeCell ref="E363:E364"/>
    <mergeCell ref="E365:E368"/>
    <mergeCell ref="E369:E371"/>
    <mergeCell ref="E372:E376"/>
    <mergeCell ref="E377:E380"/>
    <mergeCell ref="E381:E384"/>
    <mergeCell ref="E385:E388"/>
    <mergeCell ref="E389:E393"/>
    <mergeCell ref="E394:E396"/>
    <mergeCell ref="E397:E398"/>
    <mergeCell ref="E399:E400"/>
    <mergeCell ref="E401:E403"/>
    <mergeCell ref="E404:E405"/>
    <mergeCell ref="E406:E408"/>
    <mergeCell ref="E409:E412"/>
    <mergeCell ref="E413:E415"/>
    <mergeCell ref="E416:E417"/>
    <mergeCell ref="E418:E421"/>
    <mergeCell ref="E422:E425"/>
    <mergeCell ref="E426:E429"/>
    <mergeCell ref="E430:E433"/>
    <mergeCell ref="E434:E435"/>
    <mergeCell ref="E436:E437"/>
    <mergeCell ref="E438:E441"/>
    <mergeCell ref="E442:E445"/>
    <mergeCell ref="E446:E450"/>
    <mergeCell ref="E451:E453"/>
    <mergeCell ref="E454:E457"/>
    <mergeCell ref="E458:E460"/>
    <mergeCell ref="E461:E465"/>
    <mergeCell ref="E466:E468"/>
    <mergeCell ref="E469:E472"/>
    <mergeCell ref="E473:E475"/>
    <mergeCell ref="E476:E479"/>
    <mergeCell ref="E480:E483"/>
    <mergeCell ref="E484:E486"/>
    <mergeCell ref="E487:E489"/>
    <mergeCell ref="E490:E494"/>
    <mergeCell ref="E495:E498"/>
    <mergeCell ref="E499:E502"/>
    <mergeCell ref="E503:E505"/>
    <mergeCell ref="E506:E508"/>
    <mergeCell ref="E509:E511"/>
    <mergeCell ref="E512:E514"/>
    <mergeCell ref="E515:E518"/>
    <mergeCell ref="E519:E522"/>
    <mergeCell ref="E523:E526"/>
    <mergeCell ref="E527:E530"/>
    <mergeCell ref="E531:E535"/>
    <mergeCell ref="E536:E538"/>
    <mergeCell ref="E539:E541"/>
    <mergeCell ref="E542:E545"/>
    <mergeCell ref="E546:E549"/>
    <mergeCell ref="E550:E553"/>
    <mergeCell ref="E554:E556"/>
    <mergeCell ref="E557:E560"/>
    <mergeCell ref="E561:E564"/>
    <mergeCell ref="E565:E568"/>
    <mergeCell ref="E569:E572"/>
    <mergeCell ref="E573:E576"/>
    <mergeCell ref="E577:E580"/>
    <mergeCell ref="E581:E582"/>
    <mergeCell ref="E583:E586"/>
    <mergeCell ref="E587:E590"/>
    <mergeCell ref="E591:E593"/>
    <mergeCell ref="E594:E597"/>
    <mergeCell ref="E598:E602"/>
    <mergeCell ref="E604:E607"/>
    <mergeCell ref="E608:E611"/>
    <mergeCell ref="E612:E615"/>
    <mergeCell ref="E616:E619"/>
    <mergeCell ref="E620:E623"/>
    <mergeCell ref="E624:E628"/>
    <mergeCell ref="E629:E632"/>
    <mergeCell ref="E633:E634"/>
    <mergeCell ref="E635:E638"/>
    <mergeCell ref="E639:E641"/>
    <mergeCell ref="E642:E645"/>
    <mergeCell ref="E646:E649"/>
    <mergeCell ref="E650:E653"/>
    <mergeCell ref="E654:E657"/>
    <mergeCell ref="E658:E660"/>
    <mergeCell ref="E661:E663"/>
    <mergeCell ref="E664:E666"/>
    <mergeCell ref="E667:E670"/>
    <mergeCell ref="E671:E674"/>
    <mergeCell ref="E675:E678"/>
    <mergeCell ref="E679:E681"/>
    <mergeCell ref="E682:E686"/>
    <mergeCell ref="E687:E689"/>
    <mergeCell ref="E690:E692"/>
    <mergeCell ref="E693:E695"/>
    <mergeCell ref="E696:E698"/>
    <mergeCell ref="E699:E701"/>
    <mergeCell ref="E702:E704"/>
    <mergeCell ref="E705:E707"/>
    <mergeCell ref="E708:E710"/>
    <mergeCell ref="E711:E713"/>
    <mergeCell ref="E714:E716"/>
    <mergeCell ref="E717:E719"/>
    <mergeCell ref="E720:E722"/>
    <mergeCell ref="E723:E724"/>
    <mergeCell ref="E725:E727"/>
    <mergeCell ref="E728:E731"/>
    <mergeCell ref="E732:E734"/>
    <mergeCell ref="E735:E737"/>
    <mergeCell ref="E738:E741"/>
    <mergeCell ref="E742:E745"/>
    <mergeCell ref="E746:E748"/>
    <mergeCell ref="E749:E751"/>
    <mergeCell ref="E752:E755"/>
    <mergeCell ref="E756:E757"/>
    <mergeCell ref="E758:E759"/>
    <mergeCell ref="E760:E762"/>
    <mergeCell ref="E763:E765"/>
    <mergeCell ref="E766:E769"/>
    <mergeCell ref="E770:E772"/>
    <mergeCell ref="E773:E777"/>
    <mergeCell ref="E779:E782"/>
    <mergeCell ref="E783:E785"/>
    <mergeCell ref="E786:E787"/>
    <mergeCell ref="E788:E791"/>
    <mergeCell ref="E792:E795"/>
    <mergeCell ref="E796:E799"/>
    <mergeCell ref="E800:E803"/>
    <mergeCell ref="E804:E807"/>
    <mergeCell ref="E808:E810"/>
    <mergeCell ref="E811:E814"/>
    <mergeCell ref="E815:E819"/>
    <mergeCell ref="E820:E823"/>
    <mergeCell ref="E824:E828"/>
    <mergeCell ref="E829:E832"/>
    <mergeCell ref="E833:E837"/>
    <mergeCell ref="E838:E841"/>
    <mergeCell ref="E842:E846"/>
    <mergeCell ref="E847:E850"/>
    <mergeCell ref="E851:E854"/>
    <mergeCell ref="E855:E858"/>
    <mergeCell ref="E859:E861"/>
    <mergeCell ref="E862:E866"/>
    <mergeCell ref="E867:E870"/>
    <mergeCell ref="E871:E872"/>
    <mergeCell ref="E873:E877"/>
    <mergeCell ref="E878:E882"/>
    <mergeCell ref="E883:E885"/>
    <mergeCell ref="E886:E889"/>
    <mergeCell ref="E890:E893"/>
    <mergeCell ref="E894:E897"/>
    <mergeCell ref="E898:E900"/>
    <mergeCell ref="E901:E903"/>
    <mergeCell ref="E904:E908"/>
    <mergeCell ref="E909:E912"/>
    <mergeCell ref="E913:E916"/>
    <mergeCell ref="E917:E919"/>
    <mergeCell ref="E920:E922"/>
    <mergeCell ref="E923:E926"/>
    <mergeCell ref="E927:E931"/>
    <mergeCell ref="E932:E936"/>
    <mergeCell ref="E937:E939"/>
    <mergeCell ref="E940:E943"/>
    <mergeCell ref="E944:E946"/>
    <mergeCell ref="E947:E950"/>
    <mergeCell ref="E951:E953"/>
    <mergeCell ref="E954:E957"/>
    <mergeCell ref="E958:E961"/>
    <mergeCell ref="E962:E964"/>
    <mergeCell ref="E965:E969"/>
    <mergeCell ref="E970:E972"/>
    <mergeCell ref="E973:E977"/>
    <mergeCell ref="E978:E981"/>
    <mergeCell ref="E982:E985"/>
    <mergeCell ref="E986:E989"/>
    <mergeCell ref="E990:E991"/>
    <mergeCell ref="E992:E993"/>
    <mergeCell ref="E994:E995"/>
    <mergeCell ref="E996:E998"/>
    <mergeCell ref="E999:E1001"/>
    <mergeCell ref="E1002:E1004"/>
    <mergeCell ref="E1005:E1008"/>
    <mergeCell ref="E1009:E1012"/>
    <mergeCell ref="E1013:E1017"/>
    <mergeCell ref="E1018:E1020"/>
    <mergeCell ref="E1021:E1025"/>
    <mergeCell ref="E1026:E1028"/>
    <mergeCell ref="E1029:E1031"/>
    <mergeCell ref="E1032:E1035"/>
    <mergeCell ref="E1036:E1039"/>
    <mergeCell ref="E1040:E1042"/>
    <mergeCell ref="E1043:E1045"/>
    <mergeCell ref="E1046:E1049"/>
    <mergeCell ref="E1050:E1052"/>
    <mergeCell ref="E1053:E1056"/>
    <mergeCell ref="E1057:E1060"/>
    <mergeCell ref="E1061:E1064"/>
    <mergeCell ref="E1065:E1068"/>
    <mergeCell ref="E1069:E1073"/>
    <mergeCell ref="E1074:E1077"/>
    <mergeCell ref="E1078:E1081"/>
    <mergeCell ref="E1082:E1084"/>
    <mergeCell ref="E1085:E1088"/>
    <mergeCell ref="E1089:E1093"/>
    <mergeCell ref="E1094:E1097"/>
    <mergeCell ref="E1098:E1101"/>
    <mergeCell ref="E1102:E1105"/>
    <mergeCell ref="E1106:E1110"/>
    <mergeCell ref="E1111:E1113"/>
    <mergeCell ref="E1114:E1116"/>
    <mergeCell ref="E1117:E1120"/>
    <mergeCell ref="E1121:E1124"/>
    <mergeCell ref="E1125:E1128"/>
    <mergeCell ref="E1129:E1130"/>
    <mergeCell ref="E1131:E1133"/>
    <mergeCell ref="E1134:E1137"/>
    <mergeCell ref="E1138:E1141"/>
    <mergeCell ref="E1142:E1145"/>
    <mergeCell ref="E1146:E1149"/>
    <mergeCell ref="E1150:E1153"/>
    <mergeCell ref="E1154:E1158"/>
    <mergeCell ref="E1159:E1162"/>
    <mergeCell ref="E1163:E1165"/>
    <mergeCell ref="E1166:E1170"/>
    <mergeCell ref="E1171:E1174"/>
    <mergeCell ref="E1175:E1177"/>
    <mergeCell ref="E1178:E1181"/>
    <mergeCell ref="E1182:E1185"/>
    <mergeCell ref="E1186:E1189"/>
    <mergeCell ref="E1190:E1193"/>
    <mergeCell ref="E1194:E1198"/>
    <mergeCell ref="E1199:E1203"/>
    <mergeCell ref="E1205:E1207"/>
    <mergeCell ref="E1208:E1210"/>
    <mergeCell ref="E1211:E1215"/>
    <mergeCell ref="E1216:E1218"/>
    <mergeCell ref="E1219:E1220"/>
    <mergeCell ref="E1221:E1224"/>
    <mergeCell ref="E1225:E1228"/>
    <mergeCell ref="E1229:E1232"/>
    <mergeCell ref="E1233:E1235"/>
    <mergeCell ref="E1236:E1238"/>
    <mergeCell ref="E1239:E1242"/>
    <mergeCell ref="E1243:E1247"/>
    <mergeCell ref="E1248:E1251"/>
    <mergeCell ref="E1252:E1255"/>
    <mergeCell ref="E1256:E1259"/>
    <mergeCell ref="E1260:E1263"/>
    <mergeCell ref="E1264:E1265"/>
    <mergeCell ref="E1266:E1270"/>
    <mergeCell ref="E1271:E1274"/>
    <mergeCell ref="E1275:E1277"/>
    <mergeCell ref="E1278:E1281"/>
    <mergeCell ref="E1282:E1285"/>
    <mergeCell ref="E1286:E1289"/>
    <mergeCell ref="E1290:E1294"/>
    <mergeCell ref="E1295:E1297"/>
    <mergeCell ref="E1298:E1300"/>
    <mergeCell ref="E1301:E1303"/>
    <mergeCell ref="E1304:E1307"/>
    <mergeCell ref="E1308:E1311"/>
    <mergeCell ref="E1312:E1315"/>
    <mergeCell ref="E1316:E1319"/>
    <mergeCell ref="F2:F5"/>
    <mergeCell ref="F6:F9"/>
    <mergeCell ref="F10:F11"/>
    <mergeCell ref="F12:F16"/>
    <mergeCell ref="F19:F22"/>
    <mergeCell ref="F23:F27"/>
    <mergeCell ref="F28:F31"/>
    <mergeCell ref="F32:F35"/>
    <mergeCell ref="F36:F39"/>
    <mergeCell ref="F40:F42"/>
    <mergeCell ref="F43:F45"/>
    <mergeCell ref="F46:F49"/>
    <mergeCell ref="F50:F53"/>
    <mergeCell ref="F55:F58"/>
    <mergeCell ref="F59:F62"/>
    <mergeCell ref="F63:F65"/>
    <mergeCell ref="F66:F69"/>
    <mergeCell ref="F70:F73"/>
    <mergeCell ref="F74:F77"/>
    <mergeCell ref="F78:F82"/>
    <mergeCell ref="F83:F85"/>
    <mergeCell ref="F86:F89"/>
    <mergeCell ref="F90:F93"/>
    <mergeCell ref="F94:F97"/>
    <mergeCell ref="F98:F101"/>
    <mergeCell ref="F102:F105"/>
    <mergeCell ref="F106:F109"/>
    <mergeCell ref="F110:F113"/>
    <mergeCell ref="F114:F117"/>
    <mergeCell ref="F118:F121"/>
    <mergeCell ref="F122:F126"/>
    <mergeCell ref="F127:F129"/>
    <mergeCell ref="F130:F132"/>
    <mergeCell ref="F133:F135"/>
    <mergeCell ref="F136:F140"/>
    <mergeCell ref="F141:F144"/>
    <mergeCell ref="F145:F146"/>
    <mergeCell ref="F147:F150"/>
    <mergeCell ref="F152:F155"/>
    <mergeCell ref="F156:F159"/>
    <mergeCell ref="F160:F161"/>
    <mergeCell ref="F162:F165"/>
    <mergeCell ref="F166:F169"/>
    <mergeCell ref="F170:F172"/>
    <mergeCell ref="F173:F176"/>
    <mergeCell ref="F177:F180"/>
    <mergeCell ref="F181:F182"/>
    <mergeCell ref="F183:F187"/>
    <mergeCell ref="F188:F190"/>
    <mergeCell ref="F191:F194"/>
    <mergeCell ref="F195:F197"/>
    <mergeCell ref="F198:F201"/>
    <mergeCell ref="F202:F204"/>
    <mergeCell ref="F205:F208"/>
    <mergeCell ref="F209:F211"/>
    <mergeCell ref="F212:F215"/>
    <mergeCell ref="F216:F218"/>
    <mergeCell ref="F219:F221"/>
    <mergeCell ref="F222:F225"/>
    <mergeCell ref="F226:F228"/>
    <mergeCell ref="F229:F232"/>
    <mergeCell ref="F233:F235"/>
    <mergeCell ref="F236:F238"/>
    <mergeCell ref="F239:F242"/>
    <mergeCell ref="F243:F245"/>
    <mergeCell ref="F246:F249"/>
    <mergeCell ref="F250:F253"/>
    <mergeCell ref="F254:F257"/>
    <mergeCell ref="F258:F260"/>
    <mergeCell ref="F261:F264"/>
    <mergeCell ref="F265:F268"/>
    <mergeCell ref="F269:F272"/>
    <mergeCell ref="F273:F276"/>
    <mergeCell ref="F277:F280"/>
    <mergeCell ref="F281:F284"/>
    <mergeCell ref="F285:F288"/>
    <mergeCell ref="F289:F292"/>
    <mergeCell ref="F293:F297"/>
    <mergeCell ref="F298:F301"/>
    <mergeCell ref="F302:F303"/>
    <mergeCell ref="F304:F307"/>
    <mergeCell ref="F308:F311"/>
    <mergeCell ref="F312:F314"/>
    <mergeCell ref="F315:F317"/>
    <mergeCell ref="F318:F322"/>
    <mergeCell ref="F323:F326"/>
    <mergeCell ref="F327:F331"/>
    <mergeCell ref="F332:F334"/>
    <mergeCell ref="F335:F338"/>
    <mergeCell ref="F339:F341"/>
    <mergeCell ref="F342:F344"/>
    <mergeCell ref="F345:F348"/>
    <mergeCell ref="F349:F351"/>
    <mergeCell ref="F352:F355"/>
    <mergeCell ref="F356:F359"/>
    <mergeCell ref="F360:F362"/>
    <mergeCell ref="F363:F364"/>
    <mergeCell ref="F365:F368"/>
    <mergeCell ref="F369:F371"/>
    <mergeCell ref="F372:F376"/>
    <mergeCell ref="F377:F380"/>
    <mergeCell ref="F381:F384"/>
    <mergeCell ref="F385:F388"/>
    <mergeCell ref="F389:F393"/>
    <mergeCell ref="F394:F396"/>
    <mergeCell ref="F397:F398"/>
    <mergeCell ref="F399:F400"/>
    <mergeCell ref="F401:F403"/>
    <mergeCell ref="F404:F405"/>
    <mergeCell ref="F406:F408"/>
    <mergeCell ref="F409:F412"/>
    <mergeCell ref="F413:F415"/>
    <mergeCell ref="F416:F417"/>
    <mergeCell ref="F418:F421"/>
    <mergeCell ref="F422:F425"/>
    <mergeCell ref="F426:F429"/>
    <mergeCell ref="F430:F433"/>
    <mergeCell ref="F434:F435"/>
    <mergeCell ref="F436:F437"/>
    <mergeCell ref="F438:F441"/>
    <mergeCell ref="F442:F445"/>
    <mergeCell ref="F446:F450"/>
    <mergeCell ref="F451:F453"/>
    <mergeCell ref="F454:F457"/>
    <mergeCell ref="F458:F460"/>
    <mergeCell ref="F461:F465"/>
    <mergeCell ref="F466:F468"/>
    <mergeCell ref="F469:F472"/>
    <mergeCell ref="F473:F475"/>
    <mergeCell ref="F476:F479"/>
    <mergeCell ref="F480:F483"/>
    <mergeCell ref="F484:F486"/>
    <mergeCell ref="F487:F489"/>
    <mergeCell ref="F490:F494"/>
    <mergeCell ref="F495:F498"/>
    <mergeCell ref="F499:F502"/>
    <mergeCell ref="F503:F505"/>
    <mergeCell ref="F506:F508"/>
    <mergeCell ref="F509:F511"/>
    <mergeCell ref="F512:F514"/>
    <mergeCell ref="F515:F518"/>
    <mergeCell ref="F519:F522"/>
    <mergeCell ref="F523:F526"/>
    <mergeCell ref="F527:F530"/>
    <mergeCell ref="F531:F535"/>
    <mergeCell ref="F536:F538"/>
    <mergeCell ref="F539:F541"/>
    <mergeCell ref="F542:F545"/>
    <mergeCell ref="F546:F549"/>
    <mergeCell ref="F550:F553"/>
    <mergeCell ref="F554:F556"/>
    <mergeCell ref="F557:F560"/>
    <mergeCell ref="F561:F564"/>
    <mergeCell ref="F565:F568"/>
    <mergeCell ref="F569:F572"/>
    <mergeCell ref="F573:F576"/>
    <mergeCell ref="F577:F580"/>
    <mergeCell ref="F581:F582"/>
    <mergeCell ref="F583:F586"/>
    <mergeCell ref="F587:F590"/>
    <mergeCell ref="F591:F593"/>
    <mergeCell ref="F594:F597"/>
    <mergeCell ref="F598:F602"/>
    <mergeCell ref="F604:F607"/>
    <mergeCell ref="F608:F611"/>
    <mergeCell ref="F612:F615"/>
    <mergeCell ref="F616:F619"/>
    <mergeCell ref="F620:F623"/>
    <mergeCell ref="F624:F628"/>
    <mergeCell ref="F629:F632"/>
    <mergeCell ref="F633:F634"/>
    <mergeCell ref="F635:F638"/>
    <mergeCell ref="F639:F641"/>
    <mergeCell ref="F642:F645"/>
    <mergeCell ref="F646:F649"/>
    <mergeCell ref="F650:F653"/>
    <mergeCell ref="F654:F657"/>
    <mergeCell ref="F658:F660"/>
    <mergeCell ref="F661:F663"/>
    <mergeCell ref="F664:F666"/>
    <mergeCell ref="F667:F670"/>
    <mergeCell ref="F671:F674"/>
    <mergeCell ref="F675:F678"/>
    <mergeCell ref="F679:F681"/>
    <mergeCell ref="F682:F686"/>
    <mergeCell ref="F687:F689"/>
    <mergeCell ref="F690:F692"/>
    <mergeCell ref="F693:F695"/>
    <mergeCell ref="F696:F698"/>
    <mergeCell ref="F699:F701"/>
    <mergeCell ref="F702:F704"/>
    <mergeCell ref="F705:F707"/>
    <mergeCell ref="F708:F710"/>
    <mergeCell ref="F711:F713"/>
    <mergeCell ref="F714:F716"/>
    <mergeCell ref="F717:F719"/>
    <mergeCell ref="F720:F722"/>
    <mergeCell ref="F723:F724"/>
    <mergeCell ref="F725:F727"/>
    <mergeCell ref="F728:F731"/>
    <mergeCell ref="F732:F734"/>
    <mergeCell ref="F735:F737"/>
    <mergeCell ref="F738:F741"/>
    <mergeCell ref="F742:F745"/>
    <mergeCell ref="F746:F748"/>
    <mergeCell ref="F749:F751"/>
    <mergeCell ref="F752:F755"/>
    <mergeCell ref="F756:F757"/>
    <mergeCell ref="F758:F759"/>
    <mergeCell ref="F760:F762"/>
    <mergeCell ref="F763:F765"/>
    <mergeCell ref="F766:F769"/>
    <mergeCell ref="F770:F772"/>
    <mergeCell ref="F773:F777"/>
    <mergeCell ref="F779:F782"/>
    <mergeCell ref="F783:F785"/>
    <mergeCell ref="F786:F787"/>
    <mergeCell ref="F788:F791"/>
    <mergeCell ref="F792:F795"/>
    <mergeCell ref="F796:F799"/>
    <mergeCell ref="F800:F803"/>
    <mergeCell ref="F804:F807"/>
    <mergeCell ref="F808:F810"/>
    <mergeCell ref="F811:F814"/>
    <mergeCell ref="F815:F819"/>
    <mergeCell ref="F820:F823"/>
    <mergeCell ref="F824:F828"/>
    <mergeCell ref="F829:F832"/>
    <mergeCell ref="F833:F837"/>
    <mergeCell ref="F838:F841"/>
    <mergeCell ref="F842:F846"/>
    <mergeCell ref="F847:F850"/>
    <mergeCell ref="F851:F854"/>
    <mergeCell ref="F855:F858"/>
    <mergeCell ref="F859:F861"/>
    <mergeCell ref="F862:F866"/>
    <mergeCell ref="F867:F870"/>
    <mergeCell ref="F871:F872"/>
    <mergeCell ref="F873:F877"/>
    <mergeCell ref="F878:F882"/>
    <mergeCell ref="F883:F885"/>
    <mergeCell ref="F886:F889"/>
    <mergeCell ref="F890:F893"/>
    <mergeCell ref="F894:F897"/>
    <mergeCell ref="F898:F900"/>
    <mergeCell ref="F901:F903"/>
    <mergeCell ref="F904:F908"/>
    <mergeCell ref="F909:F912"/>
    <mergeCell ref="F913:F916"/>
    <mergeCell ref="F917:F919"/>
    <mergeCell ref="F920:F922"/>
    <mergeCell ref="F923:F926"/>
    <mergeCell ref="F927:F931"/>
    <mergeCell ref="F932:F936"/>
    <mergeCell ref="F937:F939"/>
    <mergeCell ref="F940:F943"/>
    <mergeCell ref="F944:F946"/>
    <mergeCell ref="F947:F950"/>
    <mergeCell ref="F951:F953"/>
    <mergeCell ref="F954:F957"/>
    <mergeCell ref="F958:F961"/>
    <mergeCell ref="F962:F964"/>
    <mergeCell ref="F965:F969"/>
    <mergeCell ref="F970:F972"/>
    <mergeCell ref="F973:F977"/>
    <mergeCell ref="F978:F981"/>
    <mergeCell ref="F982:F985"/>
    <mergeCell ref="F986:F989"/>
    <mergeCell ref="F990:F991"/>
    <mergeCell ref="F992:F993"/>
    <mergeCell ref="F994:F995"/>
    <mergeCell ref="F996:F998"/>
    <mergeCell ref="F999:F1001"/>
    <mergeCell ref="F1002:F1004"/>
    <mergeCell ref="F1005:F1008"/>
    <mergeCell ref="F1009:F1012"/>
    <mergeCell ref="F1013:F1017"/>
    <mergeCell ref="F1018:F1020"/>
    <mergeCell ref="F1021:F1025"/>
    <mergeCell ref="F1026:F1028"/>
    <mergeCell ref="F1029:F1031"/>
    <mergeCell ref="F1032:F1035"/>
    <mergeCell ref="F1036:F1039"/>
    <mergeCell ref="F1040:F1042"/>
    <mergeCell ref="F1043:F1045"/>
    <mergeCell ref="F1046:F1049"/>
    <mergeCell ref="F1050:F1052"/>
    <mergeCell ref="F1053:F1056"/>
    <mergeCell ref="F1057:F1060"/>
    <mergeCell ref="F1061:F1064"/>
    <mergeCell ref="F1065:F1068"/>
    <mergeCell ref="F1069:F1073"/>
    <mergeCell ref="F1074:F1077"/>
    <mergeCell ref="F1078:F1081"/>
    <mergeCell ref="F1082:F1084"/>
    <mergeCell ref="F1085:F1088"/>
    <mergeCell ref="F1089:F1093"/>
    <mergeCell ref="F1094:F1097"/>
    <mergeCell ref="F1098:F1101"/>
    <mergeCell ref="F1102:F1105"/>
    <mergeCell ref="F1106:F1110"/>
    <mergeCell ref="F1111:F1113"/>
    <mergeCell ref="F1114:F1116"/>
    <mergeCell ref="F1117:F1120"/>
    <mergeCell ref="F1121:F1124"/>
    <mergeCell ref="F1125:F1128"/>
    <mergeCell ref="F1129:F1130"/>
    <mergeCell ref="F1131:F1133"/>
    <mergeCell ref="F1134:F1137"/>
    <mergeCell ref="F1138:F1141"/>
    <mergeCell ref="F1142:F1145"/>
    <mergeCell ref="F1146:F1149"/>
    <mergeCell ref="F1150:F1153"/>
    <mergeCell ref="F1154:F1158"/>
    <mergeCell ref="F1159:F1162"/>
    <mergeCell ref="F1163:F1165"/>
    <mergeCell ref="F1166:F1170"/>
    <mergeCell ref="F1171:F1174"/>
    <mergeCell ref="F1175:F1177"/>
    <mergeCell ref="F1178:F1181"/>
    <mergeCell ref="F1182:F1185"/>
    <mergeCell ref="F1186:F1189"/>
    <mergeCell ref="F1190:F1193"/>
    <mergeCell ref="F1194:F1198"/>
    <mergeCell ref="F1199:F1203"/>
    <mergeCell ref="F1205:F1207"/>
    <mergeCell ref="F1208:F1210"/>
    <mergeCell ref="F1211:F1215"/>
    <mergeCell ref="F1216:F1218"/>
    <mergeCell ref="F1219:F1220"/>
    <mergeCell ref="F1221:F1224"/>
    <mergeCell ref="F1225:F1228"/>
    <mergeCell ref="F1229:F1232"/>
    <mergeCell ref="F1233:F1235"/>
    <mergeCell ref="F1236:F1238"/>
    <mergeCell ref="F1239:F1242"/>
    <mergeCell ref="F1243:F1247"/>
    <mergeCell ref="F1248:F1251"/>
    <mergeCell ref="F1252:F1255"/>
    <mergeCell ref="F1256:F1259"/>
    <mergeCell ref="F1260:F1263"/>
    <mergeCell ref="F1264:F1265"/>
    <mergeCell ref="F1266:F1270"/>
    <mergeCell ref="F1271:F1274"/>
    <mergeCell ref="F1275:F1277"/>
    <mergeCell ref="F1278:F1281"/>
    <mergeCell ref="F1282:F1285"/>
    <mergeCell ref="F1286:F1289"/>
    <mergeCell ref="F1290:F1294"/>
    <mergeCell ref="F1295:F1297"/>
    <mergeCell ref="F1298:F1300"/>
    <mergeCell ref="F1301:F1303"/>
    <mergeCell ref="F1304:F1307"/>
    <mergeCell ref="F1308:F1311"/>
    <mergeCell ref="F1312:F1315"/>
    <mergeCell ref="F1316:F1319"/>
    <mergeCell ref="L2:L5"/>
    <mergeCell ref="L6:L9"/>
    <mergeCell ref="L10:L11"/>
    <mergeCell ref="L12:L16"/>
    <mergeCell ref="L19:L22"/>
    <mergeCell ref="L23:L27"/>
    <mergeCell ref="L28:L31"/>
    <mergeCell ref="L32:L35"/>
    <mergeCell ref="L36:L39"/>
    <mergeCell ref="L40:L42"/>
    <mergeCell ref="L43:L45"/>
    <mergeCell ref="L46:L49"/>
    <mergeCell ref="L50:L53"/>
    <mergeCell ref="L55:L58"/>
    <mergeCell ref="L59:L62"/>
    <mergeCell ref="L63:L65"/>
    <mergeCell ref="L66:L69"/>
    <mergeCell ref="L70:L73"/>
    <mergeCell ref="L74:L77"/>
    <mergeCell ref="L78:L82"/>
    <mergeCell ref="L83:L85"/>
    <mergeCell ref="L86:L89"/>
    <mergeCell ref="L90:L93"/>
    <mergeCell ref="L94:L97"/>
    <mergeCell ref="L98:L101"/>
    <mergeCell ref="L102:L105"/>
    <mergeCell ref="L106:L109"/>
    <mergeCell ref="L110:L113"/>
    <mergeCell ref="L114:L117"/>
    <mergeCell ref="L118:L121"/>
    <mergeCell ref="L122:L126"/>
    <mergeCell ref="L127:L129"/>
    <mergeCell ref="L130:L132"/>
    <mergeCell ref="L133:L135"/>
    <mergeCell ref="L136:L140"/>
    <mergeCell ref="L141:L144"/>
    <mergeCell ref="L145:L146"/>
    <mergeCell ref="L147:L150"/>
    <mergeCell ref="L152:L155"/>
    <mergeCell ref="L156:L159"/>
    <mergeCell ref="L160:L161"/>
    <mergeCell ref="L162:L165"/>
    <mergeCell ref="L166:L169"/>
    <mergeCell ref="L170:L172"/>
    <mergeCell ref="L173:L176"/>
    <mergeCell ref="L177:L180"/>
    <mergeCell ref="L181:L182"/>
    <mergeCell ref="L183:L187"/>
    <mergeCell ref="L188:L190"/>
    <mergeCell ref="L191:L194"/>
    <mergeCell ref="L195:L197"/>
    <mergeCell ref="L198:L201"/>
    <mergeCell ref="L202:L204"/>
    <mergeCell ref="L205:L208"/>
    <mergeCell ref="L209:L211"/>
    <mergeCell ref="L212:L215"/>
    <mergeCell ref="L216:L218"/>
    <mergeCell ref="L219:L221"/>
    <mergeCell ref="L222:L225"/>
    <mergeCell ref="L226:L228"/>
    <mergeCell ref="L229:L232"/>
    <mergeCell ref="L233:L235"/>
    <mergeCell ref="L236:L238"/>
    <mergeCell ref="L239:L242"/>
    <mergeCell ref="L243:L245"/>
    <mergeCell ref="L246:L249"/>
    <mergeCell ref="L250:L253"/>
    <mergeCell ref="L254:L257"/>
    <mergeCell ref="L258:L260"/>
    <mergeCell ref="L261:L264"/>
    <mergeCell ref="L265:L268"/>
    <mergeCell ref="L269:L272"/>
    <mergeCell ref="L273:L276"/>
    <mergeCell ref="L277:L280"/>
    <mergeCell ref="L281:L284"/>
    <mergeCell ref="L285:L288"/>
    <mergeCell ref="L289:L292"/>
    <mergeCell ref="L293:L297"/>
    <mergeCell ref="L298:L301"/>
    <mergeCell ref="L302:L303"/>
    <mergeCell ref="L304:L307"/>
    <mergeCell ref="L308:L311"/>
    <mergeCell ref="L312:L314"/>
    <mergeCell ref="L315:L317"/>
    <mergeCell ref="L318:L322"/>
    <mergeCell ref="L323:L326"/>
    <mergeCell ref="L327:L331"/>
    <mergeCell ref="L332:L334"/>
    <mergeCell ref="L335:L338"/>
    <mergeCell ref="L339:L341"/>
    <mergeCell ref="L342:L344"/>
    <mergeCell ref="L345:L348"/>
    <mergeCell ref="L349:L351"/>
    <mergeCell ref="L352:L355"/>
    <mergeCell ref="L356:L359"/>
    <mergeCell ref="L360:L362"/>
    <mergeCell ref="L363:L364"/>
    <mergeCell ref="L365:L368"/>
    <mergeCell ref="L369:L371"/>
    <mergeCell ref="L372:L376"/>
    <mergeCell ref="L377:L380"/>
    <mergeCell ref="L381:L384"/>
    <mergeCell ref="L385:L388"/>
    <mergeCell ref="L389:L393"/>
    <mergeCell ref="L394:L396"/>
    <mergeCell ref="L397:L398"/>
    <mergeCell ref="L399:L400"/>
    <mergeCell ref="L401:L403"/>
    <mergeCell ref="L404:L405"/>
    <mergeCell ref="L406:L408"/>
    <mergeCell ref="L409:L412"/>
    <mergeCell ref="L413:L415"/>
    <mergeCell ref="L416:L417"/>
    <mergeCell ref="L418:L421"/>
    <mergeCell ref="L422:L425"/>
    <mergeCell ref="L426:L429"/>
    <mergeCell ref="L430:L433"/>
    <mergeCell ref="L434:L435"/>
    <mergeCell ref="L436:L437"/>
    <mergeCell ref="L438:L441"/>
    <mergeCell ref="L442:L445"/>
    <mergeCell ref="L446:L450"/>
    <mergeCell ref="L451:L453"/>
    <mergeCell ref="L454:L457"/>
    <mergeCell ref="L458:L460"/>
    <mergeCell ref="L461:L465"/>
    <mergeCell ref="L466:L468"/>
    <mergeCell ref="L469:L472"/>
    <mergeCell ref="L473:L475"/>
    <mergeCell ref="L476:L479"/>
    <mergeCell ref="L480:L483"/>
    <mergeCell ref="L484:L486"/>
    <mergeCell ref="L487:L489"/>
    <mergeCell ref="L490:L494"/>
    <mergeCell ref="L495:L498"/>
    <mergeCell ref="L499:L502"/>
    <mergeCell ref="L503:L505"/>
    <mergeCell ref="L506:L508"/>
    <mergeCell ref="L509:L511"/>
    <mergeCell ref="L512:L514"/>
    <mergeCell ref="L515:L518"/>
    <mergeCell ref="L519:L522"/>
    <mergeCell ref="L523:L526"/>
    <mergeCell ref="L527:L530"/>
    <mergeCell ref="L531:L535"/>
    <mergeCell ref="L536:L538"/>
    <mergeCell ref="L539:L541"/>
    <mergeCell ref="L542:L545"/>
    <mergeCell ref="L546:L549"/>
    <mergeCell ref="L550:L553"/>
    <mergeCell ref="L554:L556"/>
    <mergeCell ref="L557:L560"/>
    <mergeCell ref="L561:L564"/>
    <mergeCell ref="L565:L568"/>
    <mergeCell ref="L569:L572"/>
    <mergeCell ref="L573:L576"/>
    <mergeCell ref="L577:L580"/>
    <mergeCell ref="L581:L582"/>
    <mergeCell ref="L583:L586"/>
    <mergeCell ref="L587:L590"/>
    <mergeCell ref="L591:L593"/>
    <mergeCell ref="L594:L597"/>
    <mergeCell ref="L598:L602"/>
    <mergeCell ref="L604:L607"/>
    <mergeCell ref="L608:L611"/>
    <mergeCell ref="L612:L615"/>
    <mergeCell ref="L616:L619"/>
    <mergeCell ref="L620:L623"/>
    <mergeCell ref="L624:L628"/>
    <mergeCell ref="L629:L632"/>
    <mergeCell ref="L633:L634"/>
    <mergeCell ref="L635:L638"/>
    <mergeCell ref="L639:L641"/>
    <mergeCell ref="L642:L645"/>
    <mergeCell ref="L646:L649"/>
    <mergeCell ref="L650:L653"/>
    <mergeCell ref="L654:L657"/>
    <mergeCell ref="L658:L660"/>
    <mergeCell ref="L661:L663"/>
    <mergeCell ref="L664:L666"/>
    <mergeCell ref="L667:L670"/>
    <mergeCell ref="L671:L674"/>
    <mergeCell ref="L675:L678"/>
    <mergeCell ref="L679:L681"/>
    <mergeCell ref="L682:L686"/>
    <mergeCell ref="L687:L689"/>
    <mergeCell ref="L690:L692"/>
    <mergeCell ref="L693:L695"/>
    <mergeCell ref="L696:L698"/>
    <mergeCell ref="L699:L701"/>
    <mergeCell ref="L702:L704"/>
    <mergeCell ref="L705:L707"/>
    <mergeCell ref="L708:L710"/>
    <mergeCell ref="L711:L713"/>
    <mergeCell ref="L714:L716"/>
    <mergeCell ref="L717:L719"/>
    <mergeCell ref="L720:L722"/>
    <mergeCell ref="L723:L724"/>
    <mergeCell ref="L725:L727"/>
    <mergeCell ref="L728:L731"/>
    <mergeCell ref="L732:L734"/>
    <mergeCell ref="L735:L737"/>
    <mergeCell ref="L738:L741"/>
    <mergeCell ref="L742:L745"/>
    <mergeCell ref="L746:L748"/>
    <mergeCell ref="L749:L751"/>
    <mergeCell ref="L752:L755"/>
    <mergeCell ref="L756:L757"/>
    <mergeCell ref="L758:L759"/>
    <mergeCell ref="L760:L762"/>
    <mergeCell ref="L763:L765"/>
    <mergeCell ref="L766:L769"/>
    <mergeCell ref="L770:L772"/>
    <mergeCell ref="L773:L777"/>
    <mergeCell ref="L779:L782"/>
    <mergeCell ref="L783:L785"/>
    <mergeCell ref="L786:L787"/>
    <mergeCell ref="L788:L791"/>
    <mergeCell ref="L792:L795"/>
    <mergeCell ref="L796:L799"/>
    <mergeCell ref="L800:L803"/>
    <mergeCell ref="L804:L807"/>
    <mergeCell ref="L808:L810"/>
    <mergeCell ref="L811:L814"/>
    <mergeCell ref="L815:L819"/>
    <mergeCell ref="L820:L823"/>
    <mergeCell ref="L824:L828"/>
    <mergeCell ref="L829:L832"/>
    <mergeCell ref="L833:L837"/>
    <mergeCell ref="L838:L841"/>
    <mergeCell ref="L842:L846"/>
    <mergeCell ref="L847:L850"/>
    <mergeCell ref="L851:L854"/>
    <mergeCell ref="L855:L858"/>
    <mergeCell ref="L859:L861"/>
    <mergeCell ref="L862:L866"/>
    <mergeCell ref="L867:L870"/>
    <mergeCell ref="L871:L872"/>
    <mergeCell ref="L873:L877"/>
    <mergeCell ref="L878:L882"/>
    <mergeCell ref="L883:L885"/>
    <mergeCell ref="L886:L889"/>
    <mergeCell ref="L890:L893"/>
    <mergeCell ref="L894:L897"/>
    <mergeCell ref="L898:L900"/>
    <mergeCell ref="L901:L903"/>
    <mergeCell ref="L904:L908"/>
    <mergeCell ref="L909:L912"/>
    <mergeCell ref="L913:L916"/>
    <mergeCell ref="L917:L919"/>
    <mergeCell ref="L920:L922"/>
    <mergeCell ref="L923:L926"/>
    <mergeCell ref="L927:L931"/>
    <mergeCell ref="L932:L936"/>
    <mergeCell ref="L937:L939"/>
    <mergeCell ref="L940:L943"/>
    <mergeCell ref="L944:L946"/>
    <mergeCell ref="L947:L950"/>
    <mergeCell ref="L951:L953"/>
    <mergeCell ref="L954:L957"/>
    <mergeCell ref="L958:L961"/>
    <mergeCell ref="L962:L964"/>
    <mergeCell ref="L965:L969"/>
    <mergeCell ref="L970:L972"/>
    <mergeCell ref="L973:L977"/>
    <mergeCell ref="L978:L981"/>
    <mergeCell ref="L982:L985"/>
    <mergeCell ref="L986:L989"/>
    <mergeCell ref="L990:L991"/>
    <mergeCell ref="L992:L993"/>
    <mergeCell ref="L994:L995"/>
    <mergeCell ref="L996:L998"/>
    <mergeCell ref="L999:L1001"/>
    <mergeCell ref="L1002:L1004"/>
    <mergeCell ref="L1005:L1008"/>
    <mergeCell ref="L1009:L1012"/>
    <mergeCell ref="L1013:L1017"/>
    <mergeCell ref="L1018:L1020"/>
    <mergeCell ref="L1021:L1025"/>
    <mergeCell ref="L1026:L1028"/>
    <mergeCell ref="L1029:L1031"/>
    <mergeCell ref="L1032:L1035"/>
    <mergeCell ref="L1036:L1039"/>
    <mergeCell ref="L1040:L1042"/>
    <mergeCell ref="L1043:L1045"/>
    <mergeCell ref="L1046:L1049"/>
    <mergeCell ref="L1050:L1052"/>
    <mergeCell ref="L1053:L1056"/>
    <mergeCell ref="L1057:L1060"/>
    <mergeCell ref="L1061:L1064"/>
    <mergeCell ref="L1065:L1068"/>
    <mergeCell ref="L1069:L1073"/>
    <mergeCell ref="L1074:L1077"/>
    <mergeCell ref="L1078:L1081"/>
    <mergeCell ref="L1082:L1084"/>
    <mergeCell ref="L1085:L1088"/>
    <mergeCell ref="L1089:L1093"/>
    <mergeCell ref="L1094:L1097"/>
    <mergeCell ref="L1098:L1101"/>
    <mergeCell ref="L1102:L1105"/>
    <mergeCell ref="L1106:L1110"/>
    <mergeCell ref="L1111:L1113"/>
    <mergeCell ref="L1114:L1116"/>
    <mergeCell ref="L1117:L1120"/>
    <mergeCell ref="L1121:L1124"/>
    <mergeCell ref="L1125:L1128"/>
    <mergeCell ref="L1129:L1130"/>
    <mergeCell ref="L1131:L1133"/>
    <mergeCell ref="L1134:L1137"/>
    <mergeCell ref="L1138:L1141"/>
    <mergeCell ref="L1142:L1145"/>
    <mergeCell ref="L1146:L1149"/>
    <mergeCell ref="L1150:L1153"/>
    <mergeCell ref="L1154:L1158"/>
    <mergeCell ref="L1159:L1162"/>
    <mergeCell ref="L1163:L1165"/>
    <mergeCell ref="L1166:L1170"/>
    <mergeCell ref="L1171:L1174"/>
    <mergeCell ref="L1175:L1177"/>
    <mergeCell ref="L1178:L1181"/>
    <mergeCell ref="L1182:L1185"/>
    <mergeCell ref="L1186:L1189"/>
    <mergeCell ref="L1190:L1193"/>
    <mergeCell ref="L1194:L1198"/>
    <mergeCell ref="L1199:L1203"/>
    <mergeCell ref="L1205:L1207"/>
    <mergeCell ref="L1208:L1210"/>
    <mergeCell ref="L1211:L1215"/>
    <mergeCell ref="L1216:L1218"/>
    <mergeCell ref="L1219:L1220"/>
    <mergeCell ref="L1221:L1224"/>
    <mergeCell ref="L1225:L1228"/>
    <mergeCell ref="L1229:L1232"/>
    <mergeCell ref="L1233:L1235"/>
    <mergeCell ref="L1236:L1238"/>
    <mergeCell ref="L1239:L1242"/>
    <mergeCell ref="L1243:L1247"/>
    <mergeCell ref="L1248:L1251"/>
    <mergeCell ref="L1252:L1255"/>
    <mergeCell ref="L1256:L1259"/>
    <mergeCell ref="L1260:L1263"/>
    <mergeCell ref="L1264:L1265"/>
    <mergeCell ref="L1266:L1270"/>
    <mergeCell ref="L1271:L1274"/>
    <mergeCell ref="L1275:L1277"/>
    <mergeCell ref="L1278:L1281"/>
    <mergeCell ref="L1282:L1285"/>
    <mergeCell ref="L1286:L1289"/>
    <mergeCell ref="L1290:L1294"/>
    <mergeCell ref="L1295:L1297"/>
    <mergeCell ref="L1298:L1300"/>
    <mergeCell ref="L1301:L1303"/>
    <mergeCell ref="L1304:L1307"/>
    <mergeCell ref="L1308:L1311"/>
    <mergeCell ref="L1312:L1315"/>
    <mergeCell ref="L1316:L1319"/>
    <mergeCell ref="M2:M5"/>
    <mergeCell ref="M6:M9"/>
    <mergeCell ref="M10:M11"/>
    <mergeCell ref="M12:M16"/>
    <mergeCell ref="M19:M22"/>
    <mergeCell ref="M23:M27"/>
    <mergeCell ref="M28:M31"/>
    <mergeCell ref="M32:M35"/>
    <mergeCell ref="M36:M39"/>
    <mergeCell ref="M40:M42"/>
    <mergeCell ref="M43:M45"/>
    <mergeCell ref="M46:M49"/>
    <mergeCell ref="M50:M53"/>
    <mergeCell ref="M55:M58"/>
    <mergeCell ref="M59:M62"/>
    <mergeCell ref="M63:M65"/>
    <mergeCell ref="M66:M69"/>
    <mergeCell ref="M70:M73"/>
    <mergeCell ref="M74:M77"/>
    <mergeCell ref="M78:M82"/>
    <mergeCell ref="M83:M85"/>
    <mergeCell ref="M86:M89"/>
    <mergeCell ref="M90:M93"/>
    <mergeCell ref="M94:M97"/>
    <mergeCell ref="M98:M101"/>
    <mergeCell ref="M102:M105"/>
    <mergeCell ref="M106:M109"/>
    <mergeCell ref="M110:M113"/>
    <mergeCell ref="M114:M117"/>
    <mergeCell ref="M118:M121"/>
    <mergeCell ref="M122:M126"/>
    <mergeCell ref="M127:M129"/>
    <mergeCell ref="M130:M132"/>
    <mergeCell ref="M133:M135"/>
    <mergeCell ref="M136:M140"/>
    <mergeCell ref="M141:M144"/>
    <mergeCell ref="M145:M146"/>
    <mergeCell ref="M147:M150"/>
    <mergeCell ref="M152:M155"/>
    <mergeCell ref="M156:M159"/>
    <mergeCell ref="M160:M161"/>
    <mergeCell ref="M162:M165"/>
    <mergeCell ref="M166:M169"/>
    <mergeCell ref="M170:M172"/>
    <mergeCell ref="M173:M176"/>
    <mergeCell ref="M177:M180"/>
    <mergeCell ref="M181:M182"/>
    <mergeCell ref="M183:M187"/>
    <mergeCell ref="M188:M190"/>
    <mergeCell ref="M191:M194"/>
    <mergeCell ref="M195:M197"/>
    <mergeCell ref="M198:M201"/>
    <mergeCell ref="M202:M204"/>
    <mergeCell ref="M205:M208"/>
    <mergeCell ref="M209:M211"/>
    <mergeCell ref="M212:M215"/>
    <mergeCell ref="M216:M218"/>
    <mergeCell ref="M219:M221"/>
    <mergeCell ref="M222:M225"/>
    <mergeCell ref="M226:M228"/>
    <mergeCell ref="M229:M232"/>
    <mergeCell ref="M233:M235"/>
    <mergeCell ref="M236:M238"/>
    <mergeCell ref="M239:M242"/>
    <mergeCell ref="M243:M245"/>
    <mergeCell ref="M246:M249"/>
    <mergeCell ref="M250:M253"/>
    <mergeCell ref="M254:M257"/>
    <mergeCell ref="M258:M260"/>
    <mergeCell ref="M261:M264"/>
    <mergeCell ref="M265:M268"/>
    <mergeCell ref="M269:M272"/>
    <mergeCell ref="M273:M276"/>
    <mergeCell ref="M277:M280"/>
    <mergeCell ref="M281:M284"/>
    <mergeCell ref="M285:M288"/>
    <mergeCell ref="M289:M292"/>
    <mergeCell ref="M293:M297"/>
    <mergeCell ref="M298:M301"/>
    <mergeCell ref="M302:M303"/>
    <mergeCell ref="M304:M307"/>
    <mergeCell ref="M308:M311"/>
    <mergeCell ref="M312:M314"/>
    <mergeCell ref="M315:M317"/>
    <mergeCell ref="M318:M322"/>
    <mergeCell ref="M323:M326"/>
    <mergeCell ref="M327:M331"/>
    <mergeCell ref="M332:M334"/>
    <mergeCell ref="M335:M338"/>
    <mergeCell ref="M339:M341"/>
    <mergeCell ref="M342:M344"/>
    <mergeCell ref="M345:M348"/>
    <mergeCell ref="M349:M351"/>
    <mergeCell ref="M352:M355"/>
    <mergeCell ref="M356:M359"/>
    <mergeCell ref="M360:M362"/>
    <mergeCell ref="M363:M364"/>
    <mergeCell ref="M365:M368"/>
    <mergeCell ref="M369:M371"/>
    <mergeCell ref="M372:M376"/>
    <mergeCell ref="M377:M380"/>
    <mergeCell ref="M381:M384"/>
    <mergeCell ref="M385:M388"/>
    <mergeCell ref="M389:M393"/>
    <mergeCell ref="M394:M396"/>
    <mergeCell ref="M397:M398"/>
    <mergeCell ref="M399:M400"/>
    <mergeCell ref="M401:M403"/>
    <mergeCell ref="M404:M405"/>
    <mergeCell ref="M406:M408"/>
    <mergeCell ref="M409:M412"/>
    <mergeCell ref="M413:M415"/>
    <mergeCell ref="M416:M417"/>
    <mergeCell ref="M418:M421"/>
    <mergeCell ref="M422:M425"/>
    <mergeCell ref="M426:M429"/>
    <mergeCell ref="M430:M433"/>
    <mergeCell ref="M434:M435"/>
    <mergeCell ref="M436:M437"/>
    <mergeCell ref="M438:M441"/>
    <mergeCell ref="M442:M445"/>
    <mergeCell ref="M446:M450"/>
    <mergeCell ref="M451:M453"/>
    <mergeCell ref="M454:M457"/>
    <mergeCell ref="M458:M460"/>
    <mergeCell ref="M461:M465"/>
    <mergeCell ref="M466:M468"/>
    <mergeCell ref="M469:M472"/>
    <mergeCell ref="M473:M475"/>
    <mergeCell ref="M476:M479"/>
    <mergeCell ref="M480:M483"/>
    <mergeCell ref="M484:M486"/>
    <mergeCell ref="M487:M489"/>
    <mergeCell ref="M490:M494"/>
    <mergeCell ref="M495:M498"/>
    <mergeCell ref="M499:M502"/>
    <mergeCell ref="M503:M505"/>
    <mergeCell ref="M506:M508"/>
    <mergeCell ref="M509:M511"/>
    <mergeCell ref="M512:M514"/>
    <mergeCell ref="M515:M518"/>
    <mergeCell ref="M519:M522"/>
    <mergeCell ref="M523:M526"/>
    <mergeCell ref="M527:M530"/>
    <mergeCell ref="M531:M535"/>
    <mergeCell ref="M536:M538"/>
    <mergeCell ref="M539:M541"/>
    <mergeCell ref="M542:M545"/>
    <mergeCell ref="M546:M549"/>
    <mergeCell ref="M550:M553"/>
    <mergeCell ref="M554:M556"/>
    <mergeCell ref="M557:M560"/>
    <mergeCell ref="M561:M564"/>
    <mergeCell ref="M565:M568"/>
    <mergeCell ref="M569:M572"/>
    <mergeCell ref="M573:M576"/>
    <mergeCell ref="M577:M580"/>
    <mergeCell ref="M581:M582"/>
    <mergeCell ref="M583:M586"/>
    <mergeCell ref="M587:M590"/>
    <mergeCell ref="M591:M593"/>
    <mergeCell ref="M594:M597"/>
    <mergeCell ref="M598:M602"/>
    <mergeCell ref="M604:M607"/>
    <mergeCell ref="M608:M611"/>
    <mergeCell ref="M612:M615"/>
    <mergeCell ref="M616:M619"/>
    <mergeCell ref="M620:M623"/>
    <mergeCell ref="M624:M628"/>
    <mergeCell ref="M629:M632"/>
    <mergeCell ref="M633:M634"/>
    <mergeCell ref="M635:M638"/>
    <mergeCell ref="M639:M641"/>
    <mergeCell ref="M642:M645"/>
    <mergeCell ref="M646:M649"/>
    <mergeCell ref="M650:M653"/>
    <mergeCell ref="M654:M657"/>
    <mergeCell ref="M658:M660"/>
    <mergeCell ref="M661:M663"/>
    <mergeCell ref="M664:M666"/>
    <mergeCell ref="M667:M670"/>
    <mergeCell ref="M671:M674"/>
    <mergeCell ref="M675:M678"/>
    <mergeCell ref="M679:M681"/>
    <mergeCell ref="M682:M686"/>
    <mergeCell ref="M687:M689"/>
    <mergeCell ref="M690:M692"/>
    <mergeCell ref="M693:M695"/>
    <mergeCell ref="M696:M698"/>
    <mergeCell ref="M699:M701"/>
    <mergeCell ref="M702:M704"/>
    <mergeCell ref="M705:M707"/>
    <mergeCell ref="M708:M710"/>
    <mergeCell ref="M711:M713"/>
    <mergeCell ref="M714:M716"/>
    <mergeCell ref="M717:M719"/>
    <mergeCell ref="M720:M722"/>
    <mergeCell ref="M723:M724"/>
    <mergeCell ref="M725:M727"/>
    <mergeCell ref="M728:M731"/>
    <mergeCell ref="M732:M734"/>
    <mergeCell ref="M735:M737"/>
    <mergeCell ref="M738:M741"/>
    <mergeCell ref="M742:M745"/>
    <mergeCell ref="M746:M748"/>
    <mergeCell ref="M749:M751"/>
    <mergeCell ref="M752:M755"/>
    <mergeCell ref="M756:M757"/>
    <mergeCell ref="M758:M759"/>
    <mergeCell ref="M760:M762"/>
    <mergeCell ref="M763:M765"/>
    <mergeCell ref="M766:M769"/>
    <mergeCell ref="M770:M772"/>
    <mergeCell ref="M773:M777"/>
    <mergeCell ref="M779:M782"/>
    <mergeCell ref="M783:M785"/>
    <mergeCell ref="M786:M787"/>
    <mergeCell ref="M788:M791"/>
    <mergeCell ref="M792:M795"/>
    <mergeCell ref="M796:M799"/>
    <mergeCell ref="M800:M803"/>
    <mergeCell ref="M804:M807"/>
    <mergeCell ref="M808:M810"/>
    <mergeCell ref="M811:M814"/>
    <mergeCell ref="M815:M819"/>
    <mergeCell ref="M820:M823"/>
    <mergeCell ref="M824:M828"/>
    <mergeCell ref="M829:M832"/>
    <mergeCell ref="M833:M837"/>
    <mergeCell ref="M838:M841"/>
    <mergeCell ref="M842:M846"/>
    <mergeCell ref="M847:M850"/>
    <mergeCell ref="M851:M854"/>
    <mergeCell ref="M855:M858"/>
    <mergeCell ref="M859:M861"/>
    <mergeCell ref="M862:M866"/>
    <mergeCell ref="M867:M870"/>
    <mergeCell ref="M871:M872"/>
    <mergeCell ref="M873:M877"/>
    <mergeCell ref="M878:M882"/>
    <mergeCell ref="M883:M885"/>
    <mergeCell ref="M886:M889"/>
    <mergeCell ref="M890:M893"/>
    <mergeCell ref="M894:M897"/>
    <mergeCell ref="M898:M900"/>
    <mergeCell ref="M901:M903"/>
    <mergeCell ref="M904:M908"/>
    <mergeCell ref="M909:M912"/>
    <mergeCell ref="M913:M916"/>
    <mergeCell ref="M917:M919"/>
    <mergeCell ref="M920:M922"/>
    <mergeCell ref="M923:M926"/>
    <mergeCell ref="M927:M931"/>
    <mergeCell ref="M932:M936"/>
    <mergeCell ref="M937:M939"/>
    <mergeCell ref="M940:M943"/>
    <mergeCell ref="M944:M946"/>
    <mergeCell ref="M947:M950"/>
    <mergeCell ref="M951:M953"/>
    <mergeCell ref="M954:M957"/>
    <mergeCell ref="M958:M961"/>
    <mergeCell ref="M962:M964"/>
    <mergeCell ref="M965:M969"/>
    <mergeCell ref="M970:M972"/>
    <mergeCell ref="M973:M977"/>
    <mergeCell ref="M978:M981"/>
    <mergeCell ref="M982:M985"/>
    <mergeCell ref="M986:M989"/>
    <mergeCell ref="M990:M991"/>
    <mergeCell ref="M992:M993"/>
    <mergeCell ref="M994:M995"/>
    <mergeCell ref="M996:M998"/>
    <mergeCell ref="M999:M1001"/>
    <mergeCell ref="M1002:M1004"/>
    <mergeCell ref="M1005:M1008"/>
    <mergeCell ref="M1009:M1012"/>
    <mergeCell ref="M1013:M1017"/>
    <mergeCell ref="M1018:M1020"/>
    <mergeCell ref="M1021:M1025"/>
    <mergeCell ref="M1026:M1028"/>
    <mergeCell ref="M1029:M1031"/>
    <mergeCell ref="M1032:M1035"/>
    <mergeCell ref="M1036:M1039"/>
    <mergeCell ref="M1040:M1042"/>
    <mergeCell ref="M1043:M1045"/>
    <mergeCell ref="M1046:M1049"/>
    <mergeCell ref="M1050:M1052"/>
    <mergeCell ref="M1053:M1056"/>
    <mergeCell ref="M1057:M1060"/>
    <mergeCell ref="M1061:M1064"/>
    <mergeCell ref="M1065:M1068"/>
    <mergeCell ref="M1069:M1073"/>
    <mergeCell ref="M1074:M1077"/>
    <mergeCell ref="M1078:M1081"/>
    <mergeCell ref="M1082:M1084"/>
    <mergeCell ref="M1085:M1088"/>
    <mergeCell ref="M1089:M1093"/>
    <mergeCell ref="M1094:M1097"/>
    <mergeCell ref="M1098:M1101"/>
    <mergeCell ref="M1102:M1105"/>
    <mergeCell ref="M1106:M1110"/>
    <mergeCell ref="M1111:M1113"/>
    <mergeCell ref="M1114:M1116"/>
    <mergeCell ref="M1117:M1120"/>
    <mergeCell ref="M1121:M1124"/>
    <mergeCell ref="M1125:M1128"/>
    <mergeCell ref="M1129:M1130"/>
    <mergeCell ref="M1131:M1133"/>
    <mergeCell ref="M1134:M1137"/>
    <mergeCell ref="M1138:M1141"/>
    <mergeCell ref="M1142:M1145"/>
    <mergeCell ref="M1146:M1149"/>
    <mergeCell ref="M1150:M1153"/>
    <mergeCell ref="M1154:M1158"/>
    <mergeCell ref="M1159:M1162"/>
    <mergeCell ref="M1163:M1165"/>
    <mergeCell ref="M1166:M1170"/>
    <mergeCell ref="M1171:M1174"/>
    <mergeCell ref="M1175:M1177"/>
    <mergeCell ref="M1178:M1181"/>
    <mergeCell ref="M1182:M1185"/>
    <mergeCell ref="M1186:M1189"/>
    <mergeCell ref="M1190:M1193"/>
    <mergeCell ref="M1194:M1198"/>
    <mergeCell ref="M1199:M1203"/>
    <mergeCell ref="M1205:M1207"/>
    <mergeCell ref="M1208:M1210"/>
    <mergeCell ref="M1211:M1215"/>
    <mergeCell ref="M1216:M1218"/>
    <mergeCell ref="M1219:M1220"/>
    <mergeCell ref="M1221:M1224"/>
    <mergeCell ref="M1225:M1228"/>
    <mergeCell ref="M1229:M1232"/>
    <mergeCell ref="M1233:M1235"/>
    <mergeCell ref="M1236:M1238"/>
    <mergeCell ref="M1239:M1242"/>
    <mergeCell ref="M1243:M1247"/>
    <mergeCell ref="M1248:M1251"/>
    <mergeCell ref="M1252:M1255"/>
    <mergeCell ref="M1256:M1259"/>
    <mergeCell ref="M1260:M1263"/>
    <mergeCell ref="M1264:M1265"/>
    <mergeCell ref="M1266:M1270"/>
    <mergeCell ref="M1271:M1274"/>
    <mergeCell ref="M1275:M1277"/>
    <mergeCell ref="M1278:M1281"/>
    <mergeCell ref="M1282:M1285"/>
    <mergeCell ref="M1286:M1289"/>
    <mergeCell ref="M1290:M1294"/>
    <mergeCell ref="M1295:M1297"/>
    <mergeCell ref="M1298:M1300"/>
    <mergeCell ref="M1301:M1303"/>
    <mergeCell ref="M1304:M1307"/>
    <mergeCell ref="M1308:M1311"/>
    <mergeCell ref="M1312:M1315"/>
    <mergeCell ref="M1316:M131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N836"/>
  <sheetViews>
    <sheetView tabSelected="1" zoomScale="70" zoomScaleNormal="70" workbookViewId="0">
      <pane xSplit="1" ySplit="1" topLeftCell="B798" activePane="bottomRight" state="frozen"/>
      <selection/>
      <selection pane="topRight"/>
      <selection pane="bottomLeft"/>
      <selection pane="bottomRight" activeCell="I806" sqref="I806"/>
    </sheetView>
  </sheetViews>
  <sheetFormatPr defaultColWidth="8.59090909090909" defaultRowHeight="14"/>
  <cols>
    <col min="1" max="1" width="10.4545454545455" style="494" customWidth="1"/>
    <col min="2" max="2" width="32.6090909090909" style="495" customWidth="1"/>
    <col min="3" max="3" width="11.3454545454545" style="496" customWidth="1"/>
    <col min="4" max="5" width="27.6090909090909" style="495" customWidth="1"/>
    <col min="6" max="6" width="15.3909090909091" style="497" customWidth="1"/>
    <col min="7" max="8" width="10.2636363636364" style="498" customWidth="1"/>
    <col min="9" max="9" width="10.2636363636364" style="496" customWidth="1"/>
    <col min="10" max="10" width="10.2636363636364" style="498" customWidth="1"/>
    <col min="11" max="11" width="16.0181818181818" style="497" customWidth="1"/>
    <col min="12" max="12" width="10.1909090909091" style="497" customWidth="1"/>
    <col min="13" max="13" width="8.59090909090909" style="490"/>
    <col min="14" max="14" width="54.4636363636364" style="490" customWidth="1"/>
    <col min="15" max="15" width="8.59090909090909" style="490"/>
    <col min="16" max="16" width="10.9272727272727" style="490"/>
    <col min="17" max="170" width="8.59090909090909" style="490"/>
    <col min="171" max="16384" width="8.59090909090909" style="492"/>
  </cols>
  <sheetData>
    <row r="1" s="490" customFormat="1" ht="28" customHeight="1" spans="1:12">
      <c r="A1" s="499" t="s">
        <v>678</v>
      </c>
      <c r="B1" s="500" t="s">
        <v>679</v>
      </c>
      <c r="C1" s="501" t="s">
        <v>680</v>
      </c>
      <c r="D1" s="500" t="s">
        <v>681</v>
      </c>
      <c r="E1" s="500" t="s">
        <v>682</v>
      </c>
      <c r="F1" s="502" t="s">
        <v>683</v>
      </c>
      <c r="G1" s="503" t="s">
        <v>684</v>
      </c>
      <c r="H1" s="503" t="s">
        <v>680</v>
      </c>
      <c r="I1" s="501" t="s">
        <v>685</v>
      </c>
      <c r="J1" s="501" t="s">
        <v>686</v>
      </c>
      <c r="K1" s="500" t="s">
        <v>687</v>
      </c>
      <c r="L1" s="500" t="s">
        <v>688</v>
      </c>
    </row>
    <row r="2" s="490" customFormat="1" spans="1:12">
      <c r="A2" s="504" t="s">
        <v>689</v>
      </c>
      <c r="B2" s="504" t="s">
        <v>690</v>
      </c>
      <c r="C2" s="505">
        <v>6</v>
      </c>
      <c r="D2" s="504" t="s">
        <v>208</v>
      </c>
      <c r="E2" s="504" t="s">
        <v>208</v>
      </c>
      <c r="F2" s="504" t="s">
        <v>128</v>
      </c>
      <c r="G2" s="505">
        <v>0.76</v>
      </c>
      <c r="H2" s="505">
        <v>5.4</v>
      </c>
      <c r="I2" s="504" t="s">
        <v>17</v>
      </c>
      <c r="J2" s="505">
        <v>1.84</v>
      </c>
      <c r="K2" s="504" t="s">
        <v>603</v>
      </c>
      <c r="L2" s="504" t="s">
        <v>691</v>
      </c>
    </row>
    <row r="3" s="490" customFormat="1" spans="1:12">
      <c r="A3" s="504"/>
      <c r="B3" s="504"/>
      <c r="C3" s="505"/>
      <c r="D3" s="504"/>
      <c r="E3" s="504"/>
      <c r="F3" s="504" t="s">
        <v>131</v>
      </c>
      <c r="G3" s="505">
        <v>1</v>
      </c>
      <c r="H3" s="505">
        <v>0.24</v>
      </c>
      <c r="I3" s="504" t="s">
        <v>22</v>
      </c>
      <c r="J3" s="505">
        <v>1.95</v>
      </c>
      <c r="K3" s="504"/>
      <c r="L3" s="504"/>
    </row>
    <row r="4" s="490" customFormat="1" spans="1:12">
      <c r="A4" s="504"/>
      <c r="B4" s="504"/>
      <c r="C4" s="505"/>
      <c r="D4" s="504"/>
      <c r="E4" s="504"/>
      <c r="F4" s="504" t="s">
        <v>91</v>
      </c>
      <c r="G4" s="505">
        <v>1.5</v>
      </c>
      <c r="H4" s="505">
        <v>0.36</v>
      </c>
      <c r="I4" s="504" t="s">
        <v>24</v>
      </c>
      <c r="J4" s="504" t="s">
        <v>24</v>
      </c>
      <c r="K4" s="504"/>
      <c r="L4" s="504"/>
    </row>
    <row r="5" s="490" customFormat="1" spans="1:12">
      <c r="A5" s="506">
        <v>46036</v>
      </c>
      <c r="B5" s="507" t="s">
        <v>692</v>
      </c>
      <c r="C5" s="508">
        <v>4</v>
      </c>
      <c r="D5" s="509" t="s">
        <v>14</v>
      </c>
      <c r="E5" s="509" t="s">
        <v>14</v>
      </c>
      <c r="F5" s="510" t="s">
        <v>26</v>
      </c>
      <c r="G5" s="503">
        <v>0.953424657534247</v>
      </c>
      <c r="H5" s="503">
        <v>3.35</v>
      </c>
      <c r="I5" s="511" t="s">
        <v>17</v>
      </c>
      <c r="J5" s="503">
        <v>1.9</v>
      </c>
      <c r="K5" s="509" t="s">
        <v>601</v>
      </c>
      <c r="L5" s="509" t="s">
        <v>178</v>
      </c>
    </row>
    <row r="6" s="490" customFormat="1" spans="1:12">
      <c r="A6" s="512"/>
      <c r="B6" s="513"/>
      <c r="C6" s="514"/>
      <c r="D6" s="509"/>
      <c r="E6" s="509"/>
      <c r="F6" s="510" t="s">
        <v>21</v>
      </c>
      <c r="G6" s="503">
        <v>1.03287671232877</v>
      </c>
      <c r="H6" s="503">
        <v>0.21</v>
      </c>
      <c r="I6" s="511" t="s">
        <v>22</v>
      </c>
      <c r="J6" s="503">
        <v>1.9</v>
      </c>
      <c r="K6" s="509"/>
      <c r="L6" s="509"/>
    </row>
    <row r="7" s="490" customFormat="1" spans="1:12">
      <c r="A7" s="512"/>
      <c r="B7" s="513"/>
      <c r="C7" s="514"/>
      <c r="D7" s="509"/>
      <c r="E7" s="509"/>
      <c r="F7" s="515" t="s">
        <v>140</v>
      </c>
      <c r="G7" s="503">
        <v>3.03561643835616</v>
      </c>
      <c r="H7" s="503">
        <v>0.24</v>
      </c>
      <c r="I7" s="501" t="s">
        <v>24</v>
      </c>
      <c r="J7" s="503">
        <v>0</v>
      </c>
      <c r="K7" s="509"/>
      <c r="L7" s="509"/>
    </row>
    <row r="8" s="490" customFormat="1" spans="1:12">
      <c r="A8" s="516"/>
      <c r="B8" s="517"/>
      <c r="C8" s="518"/>
      <c r="D8" s="509"/>
      <c r="E8" s="509"/>
      <c r="F8" s="515" t="s">
        <v>581</v>
      </c>
      <c r="G8" s="503">
        <v>3.03561643835616</v>
      </c>
      <c r="H8" s="503">
        <v>0.2</v>
      </c>
      <c r="I8" s="501" t="s">
        <v>24</v>
      </c>
      <c r="J8" s="503">
        <v>0</v>
      </c>
      <c r="K8" s="509"/>
      <c r="L8" s="509"/>
    </row>
    <row r="9" s="490" customFormat="1" spans="1:12">
      <c r="A9" s="519">
        <v>46038</v>
      </c>
      <c r="B9" s="509" t="s">
        <v>693</v>
      </c>
      <c r="C9" s="520">
        <v>18.8</v>
      </c>
      <c r="D9" s="509" t="s">
        <v>85</v>
      </c>
      <c r="E9" s="509" t="s">
        <v>66</v>
      </c>
      <c r="F9" s="515" t="s">
        <v>220</v>
      </c>
      <c r="G9" s="521">
        <v>1.01</v>
      </c>
      <c r="H9" s="503">
        <v>6</v>
      </c>
      <c r="I9" s="511" t="s">
        <v>17</v>
      </c>
      <c r="J9" s="503">
        <v>1.8</v>
      </c>
      <c r="K9" s="509" t="s">
        <v>630</v>
      </c>
      <c r="L9" s="509" t="s">
        <v>95</v>
      </c>
    </row>
    <row r="10" s="490" customFormat="1" spans="1:12">
      <c r="A10" s="519"/>
      <c r="B10" s="509"/>
      <c r="C10" s="520"/>
      <c r="D10" s="509"/>
      <c r="E10" s="509"/>
      <c r="F10" s="515" t="s">
        <v>221</v>
      </c>
      <c r="G10" s="521">
        <v>1.01</v>
      </c>
      <c r="H10" s="503">
        <v>11.6</v>
      </c>
      <c r="I10" s="511" t="s">
        <v>17</v>
      </c>
      <c r="J10" s="503">
        <v>1.85</v>
      </c>
      <c r="K10" s="509"/>
      <c r="L10" s="509"/>
    </row>
    <row r="11" s="490" customFormat="1" spans="1:12">
      <c r="A11" s="519"/>
      <c r="B11" s="509"/>
      <c r="C11" s="520"/>
      <c r="D11" s="509"/>
      <c r="E11" s="509"/>
      <c r="F11" s="510" t="s">
        <v>21</v>
      </c>
      <c r="G11" s="503">
        <v>1.01</v>
      </c>
      <c r="H11" s="503">
        <v>1.2</v>
      </c>
      <c r="I11" s="511" t="s">
        <v>22</v>
      </c>
      <c r="J11" s="503">
        <v>2.05</v>
      </c>
      <c r="K11" s="509"/>
      <c r="L11" s="509"/>
    </row>
    <row r="12" s="490" customFormat="1" spans="1:12">
      <c r="A12" s="519">
        <v>46038</v>
      </c>
      <c r="B12" s="509" t="s">
        <v>694</v>
      </c>
      <c r="C12" s="520">
        <v>9.3</v>
      </c>
      <c r="D12" s="509" t="s">
        <v>33</v>
      </c>
      <c r="E12" s="509" t="s">
        <v>72</v>
      </c>
      <c r="F12" s="510" t="s">
        <v>26</v>
      </c>
      <c r="G12" s="503">
        <v>0.92</v>
      </c>
      <c r="H12" s="503">
        <v>9</v>
      </c>
      <c r="I12" s="511" t="s">
        <v>17</v>
      </c>
      <c r="J12" s="503">
        <v>1.89</v>
      </c>
      <c r="K12" s="509" t="s">
        <v>607</v>
      </c>
      <c r="L12" s="509" t="s">
        <v>36</v>
      </c>
    </row>
    <row r="13" s="490" customFormat="1" spans="1:12">
      <c r="A13" s="519"/>
      <c r="B13" s="509"/>
      <c r="C13" s="520"/>
      <c r="D13" s="509"/>
      <c r="E13" s="509"/>
      <c r="F13" s="510" t="s">
        <v>21</v>
      </c>
      <c r="G13" s="503">
        <v>0.92</v>
      </c>
      <c r="H13" s="503">
        <v>0.3</v>
      </c>
      <c r="I13" s="511" t="s">
        <v>22</v>
      </c>
      <c r="J13" s="503">
        <v>2.2</v>
      </c>
      <c r="K13" s="509"/>
      <c r="L13" s="509"/>
    </row>
    <row r="14" s="490" customFormat="1" spans="1:12">
      <c r="A14" s="522">
        <v>46038</v>
      </c>
      <c r="B14" s="507" t="s">
        <v>695</v>
      </c>
      <c r="C14" s="523">
        <v>3</v>
      </c>
      <c r="D14" s="507" t="s">
        <v>72</v>
      </c>
      <c r="E14" s="507" t="s">
        <v>72</v>
      </c>
      <c r="F14" s="524" t="s">
        <v>26</v>
      </c>
      <c r="G14" s="521">
        <v>1.03</v>
      </c>
      <c r="H14" s="521">
        <v>2.64</v>
      </c>
      <c r="I14" s="525" t="s">
        <v>17</v>
      </c>
      <c r="J14" s="521">
        <v>1.9</v>
      </c>
      <c r="K14" s="526" t="s">
        <v>601</v>
      </c>
      <c r="L14" s="527" t="s">
        <v>28</v>
      </c>
    </row>
    <row r="15" s="490" customFormat="1" spans="1:12">
      <c r="A15" s="528"/>
      <c r="B15" s="513"/>
      <c r="C15" s="529"/>
      <c r="D15" s="513"/>
      <c r="E15" s="513"/>
      <c r="F15" s="524" t="s">
        <v>21</v>
      </c>
      <c r="G15" s="521">
        <v>1.03</v>
      </c>
      <c r="H15" s="521">
        <v>0.14</v>
      </c>
      <c r="I15" s="530" t="s">
        <v>22</v>
      </c>
      <c r="J15" s="521">
        <v>1.9</v>
      </c>
      <c r="K15" s="531"/>
      <c r="L15" s="527"/>
    </row>
    <row r="16" s="490" customFormat="1" spans="1:12">
      <c r="A16" s="528"/>
      <c r="B16" s="513"/>
      <c r="C16" s="529"/>
      <c r="D16" s="513"/>
      <c r="E16" s="513"/>
      <c r="F16" s="524" t="s">
        <v>54</v>
      </c>
      <c r="G16" s="521">
        <v>1.11</v>
      </c>
      <c r="H16" s="521">
        <v>0.07</v>
      </c>
      <c r="I16" s="530" t="s">
        <v>22</v>
      </c>
      <c r="J16" s="521">
        <v>3.3</v>
      </c>
      <c r="K16" s="531"/>
      <c r="L16" s="527"/>
    </row>
    <row r="17" s="490" customFormat="1" spans="1:170">
      <c r="A17" s="532"/>
      <c r="B17" s="517"/>
      <c r="C17" s="533"/>
      <c r="D17" s="517"/>
      <c r="E17" s="517"/>
      <c r="F17" s="524" t="s">
        <v>23</v>
      </c>
      <c r="G17" s="521">
        <v>1.11</v>
      </c>
      <c r="H17" s="521">
        <v>0.15</v>
      </c>
      <c r="I17" s="530" t="s">
        <v>24</v>
      </c>
      <c r="J17" s="521" t="s">
        <v>24</v>
      </c>
      <c r="K17" s="534"/>
      <c r="L17" s="527"/>
    </row>
    <row r="18" s="490" customFormat="1" spans="1:170">
      <c r="A18" s="522">
        <v>46038</v>
      </c>
      <c r="B18" s="507" t="s">
        <v>696</v>
      </c>
      <c r="C18" s="523">
        <v>12</v>
      </c>
      <c r="D18" s="507" t="s">
        <v>177</v>
      </c>
      <c r="E18" s="507" t="s">
        <v>14</v>
      </c>
      <c r="F18" s="524" t="s">
        <v>26</v>
      </c>
      <c r="G18" s="521">
        <v>1.03</v>
      </c>
      <c r="H18" s="521">
        <v>10.44</v>
      </c>
      <c r="I18" s="525" t="s">
        <v>17</v>
      </c>
      <c r="J18" s="521">
        <v>1.84</v>
      </c>
      <c r="K18" s="526" t="s">
        <v>601</v>
      </c>
      <c r="L18" s="527" t="s">
        <v>89</v>
      </c>
    </row>
    <row r="19" s="490" customFormat="1" spans="1:170">
      <c r="A19" s="528"/>
      <c r="B19" s="513"/>
      <c r="C19" s="529"/>
      <c r="D19" s="513"/>
      <c r="E19" s="513"/>
      <c r="F19" s="524" t="s">
        <v>21</v>
      </c>
      <c r="G19" s="521">
        <v>1.03</v>
      </c>
      <c r="H19" s="521">
        <v>0.6</v>
      </c>
      <c r="I19" s="530" t="s">
        <v>22</v>
      </c>
      <c r="J19" s="521">
        <v>1.9</v>
      </c>
      <c r="K19" s="531"/>
      <c r="L19" s="527"/>
    </row>
    <row r="20" s="490" customFormat="1" spans="1:170">
      <c r="A20" s="528"/>
      <c r="B20" s="513"/>
      <c r="C20" s="529"/>
      <c r="D20" s="513"/>
      <c r="E20" s="513"/>
      <c r="F20" s="535" t="s">
        <v>23</v>
      </c>
      <c r="G20" s="536">
        <v>1.86</v>
      </c>
      <c r="H20" s="536">
        <v>0.96</v>
      </c>
      <c r="I20" s="537" t="s">
        <v>24</v>
      </c>
      <c r="J20" s="521" t="s">
        <v>24</v>
      </c>
      <c r="K20" s="531"/>
      <c r="L20" s="527"/>
    </row>
    <row r="21" s="491" customFormat="1" spans="1:170">
      <c r="A21" s="522">
        <v>46038</v>
      </c>
      <c r="B21" s="507" t="s">
        <v>697</v>
      </c>
      <c r="C21" s="523">
        <v>10</v>
      </c>
      <c r="D21" s="507" t="s">
        <v>698</v>
      </c>
      <c r="E21" s="507" t="s">
        <v>72</v>
      </c>
      <c r="F21" s="524" t="s">
        <v>47</v>
      </c>
      <c r="G21" s="538">
        <v>1</v>
      </c>
      <c r="H21" s="521">
        <v>8.9</v>
      </c>
      <c r="I21" s="538" t="s">
        <v>17</v>
      </c>
      <c r="J21" s="521">
        <v>1.8</v>
      </c>
      <c r="K21" s="526" t="s">
        <v>603</v>
      </c>
      <c r="L21" s="527" t="s">
        <v>130</v>
      </c>
      <c r="M21" s="490"/>
      <c r="N21" s="490"/>
      <c r="O21" s="490"/>
      <c r="P21" s="490"/>
      <c r="Q21" s="490"/>
      <c r="R21" s="490"/>
      <c r="S21" s="490"/>
      <c r="T21" s="490"/>
      <c r="U21" s="490"/>
      <c r="V21" s="490"/>
      <c r="W21" s="490"/>
      <c r="X21" s="490"/>
      <c r="Y21" s="490"/>
      <c r="Z21" s="490"/>
      <c r="AA21" s="490"/>
      <c r="AB21" s="490"/>
      <c r="AC21" s="490"/>
      <c r="AD21" s="490"/>
      <c r="AE21" s="490"/>
      <c r="AF21" s="490"/>
      <c r="AG21" s="490"/>
      <c r="AH21" s="490"/>
      <c r="AI21" s="490"/>
      <c r="AJ21" s="490"/>
      <c r="AK21" s="490"/>
      <c r="AL21" s="490"/>
      <c r="AM21" s="490"/>
      <c r="AN21" s="490"/>
      <c r="AO21" s="490"/>
      <c r="AP21" s="490"/>
      <c r="AQ21" s="490"/>
      <c r="AR21" s="490"/>
      <c r="AS21" s="490"/>
      <c r="AT21" s="490"/>
      <c r="AU21" s="490"/>
      <c r="AV21" s="490"/>
      <c r="AW21" s="490"/>
      <c r="AX21" s="490"/>
      <c r="AY21" s="490"/>
      <c r="AZ21" s="490"/>
      <c r="BA21" s="490"/>
      <c r="BB21" s="490"/>
      <c r="BC21" s="490"/>
      <c r="BD21" s="490"/>
      <c r="BE21" s="490"/>
      <c r="BF21" s="490"/>
      <c r="BG21" s="490"/>
      <c r="BH21" s="490"/>
      <c r="BI21" s="490"/>
      <c r="BJ21" s="490"/>
      <c r="BK21" s="490"/>
      <c r="BL21" s="490"/>
      <c r="BM21" s="490"/>
      <c r="BN21" s="490"/>
      <c r="BO21" s="490"/>
      <c r="BP21" s="490"/>
      <c r="BQ21" s="490"/>
      <c r="BR21" s="490"/>
      <c r="BS21" s="490"/>
      <c r="BT21" s="490"/>
      <c r="BU21" s="490"/>
      <c r="BV21" s="490"/>
      <c r="BW21" s="490"/>
      <c r="BX21" s="490"/>
      <c r="BY21" s="490"/>
      <c r="BZ21" s="490"/>
      <c r="CA21" s="490"/>
      <c r="CB21" s="490"/>
      <c r="CC21" s="490"/>
      <c r="CD21" s="490"/>
      <c r="CE21" s="490"/>
      <c r="CF21" s="490"/>
      <c r="CG21" s="490"/>
      <c r="CH21" s="490"/>
      <c r="CI21" s="490"/>
      <c r="CJ21" s="490"/>
      <c r="CK21" s="490"/>
      <c r="CL21" s="490"/>
      <c r="CM21" s="490"/>
      <c r="CN21" s="490"/>
      <c r="CO21" s="490"/>
      <c r="CP21" s="490"/>
      <c r="CQ21" s="490"/>
      <c r="CR21" s="490"/>
      <c r="CS21" s="490"/>
      <c r="CT21" s="490"/>
      <c r="CU21" s="490"/>
      <c r="CV21" s="490"/>
      <c r="CW21" s="490"/>
      <c r="CX21" s="490"/>
      <c r="CY21" s="490"/>
      <c r="CZ21" s="490"/>
      <c r="DA21" s="490"/>
      <c r="DB21" s="490"/>
      <c r="DC21" s="490"/>
      <c r="DD21" s="490"/>
      <c r="DE21" s="490"/>
      <c r="DF21" s="490"/>
      <c r="DG21" s="490"/>
      <c r="DH21" s="490"/>
      <c r="DI21" s="490"/>
      <c r="DJ21" s="490"/>
      <c r="DK21" s="490"/>
      <c r="DL21" s="490"/>
      <c r="DM21" s="490"/>
      <c r="DN21" s="490"/>
      <c r="DO21" s="490"/>
      <c r="DP21" s="490"/>
      <c r="DQ21" s="490"/>
      <c r="DR21" s="490"/>
      <c r="DS21" s="490"/>
      <c r="DT21" s="490"/>
      <c r="DU21" s="490"/>
      <c r="DV21" s="490"/>
      <c r="DW21" s="490"/>
      <c r="DX21" s="490"/>
      <c r="DY21" s="490"/>
      <c r="DZ21" s="490"/>
      <c r="EA21" s="490"/>
      <c r="EB21" s="490"/>
      <c r="EC21" s="490"/>
      <c r="ED21" s="490"/>
      <c r="EE21" s="490"/>
      <c r="EF21" s="490"/>
      <c r="EG21" s="490"/>
      <c r="EH21" s="490"/>
      <c r="EI21" s="490"/>
      <c r="EJ21" s="490"/>
      <c r="EK21" s="490"/>
      <c r="EL21" s="490"/>
      <c r="EM21" s="490"/>
      <c r="EN21" s="490"/>
      <c r="EO21" s="490"/>
      <c r="EP21" s="490"/>
      <c r="EQ21" s="490"/>
      <c r="ER21" s="490"/>
      <c r="ES21" s="490"/>
      <c r="ET21" s="490"/>
      <c r="EU21" s="490"/>
      <c r="EV21" s="490"/>
      <c r="EW21" s="490"/>
      <c r="EX21" s="490"/>
      <c r="EY21" s="490"/>
      <c r="EZ21" s="490"/>
      <c r="FA21" s="490"/>
      <c r="FB21" s="490"/>
      <c r="FC21" s="490"/>
      <c r="FD21" s="490"/>
      <c r="FE21" s="490"/>
      <c r="FF21" s="490"/>
      <c r="FG21" s="490"/>
      <c r="FH21" s="490"/>
      <c r="FI21" s="490"/>
      <c r="FJ21" s="490"/>
      <c r="FK21" s="490"/>
      <c r="FL21" s="490"/>
      <c r="FM21" s="490"/>
      <c r="FN21" s="490"/>
    </row>
    <row r="22" s="491" customFormat="1" spans="1:170">
      <c r="A22" s="528"/>
      <c r="B22" s="513"/>
      <c r="C22" s="529"/>
      <c r="D22" s="513"/>
      <c r="E22" s="513"/>
      <c r="F22" s="524" t="s">
        <v>493</v>
      </c>
      <c r="G22" s="538">
        <v>1.15</v>
      </c>
      <c r="H22" s="521">
        <v>0.5</v>
      </c>
      <c r="I22" s="538" t="s">
        <v>22</v>
      </c>
      <c r="J22" s="538">
        <v>1.9</v>
      </c>
      <c r="K22" s="531"/>
      <c r="L22" s="527"/>
      <c r="M22" s="490"/>
      <c r="N22" s="490"/>
      <c r="O22" s="490"/>
      <c r="P22" s="490"/>
      <c r="Q22" s="490"/>
      <c r="R22" s="490"/>
      <c r="S22" s="490"/>
      <c r="T22" s="490"/>
      <c r="U22" s="490"/>
      <c r="V22" s="490"/>
      <c r="W22" s="490"/>
      <c r="X22" s="490"/>
      <c r="Y22" s="490"/>
      <c r="Z22" s="490"/>
      <c r="AA22" s="490"/>
      <c r="AB22" s="490"/>
      <c r="AC22" s="490"/>
      <c r="AD22" s="490"/>
      <c r="AE22" s="490"/>
      <c r="AF22" s="490"/>
      <c r="AG22" s="490"/>
      <c r="AH22" s="490"/>
      <c r="AI22" s="490"/>
      <c r="AJ22" s="490"/>
      <c r="AK22" s="490"/>
      <c r="AL22" s="490"/>
      <c r="AM22" s="490"/>
      <c r="AN22" s="490"/>
      <c r="AO22" s="490"/>
      <c r="AP22" s="490"/>
      <c r="AQ22" s="490"/>
      <c r="AR22" s="490"/>
      <c r="AS22" s="490"/>
      <c r="AT22" s="490"/>
      <c r="AU22" s="490"/>
      <c r="AV22" s="490"/>
      <c r="AW22" s="490"/>
      <c r="AX22" s="490"/>
      <c r="AY22" s="490"/>
      <c r="AZ22" s="490"/>
      <c r="BA22" s="490"/>
      <c r="BB22" s="490"/>
      <c r="BC22" s="490"/>
      <c r="BD22" s="490"/>
      <c r="BE22" s="490"/>
      <c r="BF22" s="490"/>
      <c r="BG22" s="490"/>
      <c r="BH22" s="490"/>
      <c r="BI22" s="490"/>
      <c r="BJ22" s="490"/>
      <c r="BK22" s="490"/>
      <c r="BL22" s="490"/>
      <c r="BM22" s="490"/>
      <c r="BN22" s="490"/>
      <c r="BO22" s="490"/>
      <c r="BP22" s="490"/>
      <c r="BQ22" s="490"/>
      <c r="BR22" s="490"/>
      <c r="BS22" s="490"/>
      <c r="BT22" s="490"/>
      <c r="BU22" s="490"/>
      <c r="BV22" s="490"/>
      <c r="BW22" s="490"/>
      <c r="BX22" s="490"/>
      <c r="BY22" s="490"/>
      <c r="BZ22" s="490"/>
      <c r="CA22" s="490"/>
      <c r="CB22" s="490"/>
      <c r="CC22" s="490"/>
      <c r="CD22" s="490"/>
      <c r="CE22" s="490"/>
      <c r="CF22" s="490"/>
      <c r="CG22" s="490"/>
      <c r="CH22" s="490"/>
      <c r="CI22" s="490"/>
      <c r="CJ22" s="490"/>
      <c r="CK22" s="490"/>
      <c r="CL22" s="490"/>
      <c r="CM22" s="490"/>
      <c r="CN22" s="490"/>
      <c r="CO22" s="490"/>
      <c r="CP22" s="490"/>
      <c r="CQ22" s="490"/>
      <c r="CR22" s="490"/>
      <c r="CS22" s="490"/>
      <c r="CT22" s="490"/>
      <c r="CU22" s="490"/>
      <c r="CV22" s="490"/>
      <c r="CW22" s="490"/>
      <c r="CX22" s="490"/>
      <c r="CY22" s="490"/>
      <c r="CZ22" s="490"/>
      <c r="DA22" s="490"/>
      <c r="DB22" s="490"/>
      <c r="DC22" s="490"/>
      <c r="DD22" s="490"/>
      <c r="DE22" s="490"/>
      <c r="DF22" s="490"/>
      <c r="DG22" s="490"/>
      <c r="DH22" s="490"/>
      <c r="DI22" s="490"/>
      <c r="DJ22" s="490"/>
      <c r="DK22" s="490"/>
      <c r="DL22" s="490"/>
      <c r="DM22" s="490"/>
      <c r="DN22" s="490"/>
      <c r="DO22" s="490"/>
      <c r="DP22" s="490"/>
      <c r="DQ22" s="490"/>
      <c r="DR22" s="490"/>
      <c r="DS22" s="490"/>
      <c r="DT22" s="490"/>
      <c r="DU22" s="490"/>
      <c r="DV22" s="490"/>
      <c r="DW22" s="490"/>
      <c r="DX22" s="490"/>
      <c r="DY22" s="490"/>
      <c r="DZ22" s="490"/>
      <c r="EA22" s="490"/>
      <c r="EB22" s="490"/>
      <c r="EC22" s="490"/>
      <c r="ED22" s="490"/>
      <c r="EE22" s="490"/>
      <c r="EF22" s="490"/>
      <c r="EG22" s="490"/>
      <c r="EH22" s="490"/>
      <c r="EI22" s="490"/>
      <c r="EJ22" s="490"/>
      <c r="EK22" s="490"/>
      <c r="EL22" s="490"/>
      <c r="EM22" s="490"/>
      <c r="EN22" s="490"/>
      <c r="EO22" s="490"/>
      <c r="EP22" s="490"/>
      <c r="EQ22" s="490"/>
      <c r="ER22" s="490"/>
      <c r="ES22" s="490"/>
      <c r="ET22" s="490"/>
      <c r="EU22" s="490"/>
      <c r="EV22" s="490"/>
      <c r="EW22" s="490"/>
      <c r="EX22" s="490"/>
      <c r="EY22" s="490"/>
      <c r="EZ22" s="490"/>
      <c r="FA22" s="490"/>
      <c r="FB22" s="490"/>
      <c r="FC22" s="490"/>
      <c r="FD22" s="490"/>
      <c r="FE22" s="490"/>
      <c r="FF22" s="490"/>
      <c r="FG22" s="490"/>
      <c r="FH22" s="490"/>
      <c r="FI22" s="490"/>
      <c r="FJ22" s="490"/>
      <c r="FK22" s="490"/>
      <c r="FL22" s="490"/>
      <c r="FM22" s="490"/>
      <c r="FN22" s="490"/>
    </row>
    <row r="23" s="491" customFormat="1" spans="1:170">
      <c r="A23" s="532"/>
      <c r="B23" s="517"/>
      <c r="C23" s="533"/>
      <c r="D23" s="517"/>
      <c r="E23" s="517"/>
      <c r="F23" s="527" t="s">
        <v>91</v>
      </c>
      <c r="G23" s="538">
        <v>1.75</v>
      </c>
      <c r="H23" s="521">
        <v>0.6</v>
      </c>
      <c r="I23" s="538" t="s">
        <v>24</v>
      </c>
      <c r="J23" s="538" t="s">
        <v>24</v>
      </c>
      <c r="K23" s="534"/>
      <c r="L23" s="527"/>
      <c r="M23" s="490"/>
      <c r="N23" s="490"/>
      <c r="O23" s="490"/>
      <c r="P23" s="490"/>
      <c r="Q23" s="490"/>
      <c r="R23" s="490"/>
      <c r="S23" s="490"/>
      <c r="T23" s="490"/>
      <c r="U23" s="490"/>
      <c r="V23" s="490"/>
      <c r="W23" s="490"/>
      <c r="X23" s="490"/>
      <c r="Y23" s="490"/>
      <c r="Z23" s="490"/>
      <c r="AA23" s="490"/>
      <c r="AB23" s="490"/>
      <c r="AC23" s="490"/>
      <c r="AD23" s="490"/>
      <c r="AE23" s="490"/>
      <c r="AF23" s="490"/>
      <c r="AG23" s="490"/>
      <c r="AH23" s="490"/>
      <c r="AI23" s="490"/>
      <c r="AJ23" s="490"/>
      <c r="AK23" s="490"/>
      <c r="AL23" s="490"/>
      <c r="AM23" s="490"/>
      <c r="AN23" s="490"/>
      <c r="AO23" s="490"/>
      <c r="AP23" s="490"/>
      <c r="AQ23" s="490"/>
      <c r="AR23" s="490"/>
      <c r="AS23" s="490"/>
      <c r="AT23" s="490"/>
      <c r="AU23" s="490"/>
      <c r="AV23" s="490"/>
      <c r="AW23" s="490"/>
      <c r="AX23" s="490"/>
      <c r="AY23" s="490"/>
      <c r="AZ23" s="490"/>
      <c r="BA23" s="490"/>
      <c r="BB23" s="490"/>
      <c r="BC23" s="490"/>
      <c r="BD23" s="490"/>
      <c r="BE23" s="490"/>
      <c r="BF23" s="490"/>
      <c r="BG23" s="490"/>
      <c r="BH23" s="490"/>
      <c r="BI23" s="490"/>
      <c r="BJ23" s="490"/>
      <c r="BK23" s="490"/>
      <c r="BL23" s="490"/>
      <c r="BM23" s="490"/>
      <c r="BN23" s="490"/>
      <c r="BO23" s="490"/>
      <c r="BP23" s="490"/>
      <c r="BQ23" s="490"/>
      <c r="BR23" s="490"/>
      <c r="BS23" s="490"/>
      <c r="BT23" s="490"/>
      <c r="BU23" s="490"/>
      <c r="BV23" s="490"/>
      <c r="BW23" s="490"/>
      <c r="BX23" s="490"/>
      <c r="BY23" s="490"/>
      <c r="BZ23" s="490"/>
      <c r="CA23" s="490"/>
      <c r="CB23" s="490"/>
      <c r="CC23" s="490"/>
      <c r="CD23" s="490"/>
      <c r="CE23" s="490"/>
      <c r="CF23" s="490"/>
      <c r="CG23" s="490"/>
      <c r="CH23" s="490"/>
      <c r="CI23" s="490"/>
      <c r="CJ23" s="490"/>
      <c r="CK23" s="490"/>
      <c r="CL23" s="490"/>
      <c r="CM23" s="490"/>
      <c r="CN23" s="490"/>
      <c r="CO23" s="490"/>
      <c r="CP23" s="490"/>
      <c r="CQ23" s="490"/>
      <c r="CR23" s="490"/>
      <c r="CS23" s="490"/>
      <c r="CT23" s="490"/>
      <c r="CU23" s="490"/>
      <c r="CV23" s="490"/>
      <c r="CW23" s="490"/>
      <c r="CX23" s="490"/>
      <c r="CY23" s="490"/>
      <c r="CZ23" s="490"/>
      <c r="DA23" s="490"/>
      <c r="DB23" s="490"/>
      <c r="DC23" s="490"/>
      <c r="DD23" s="490"/>
      <c r="DE23" s="490"/>
      <c r="DF23" s="490"/>
      <c r="DG23" s="490"/>
      <c r="DH23" s="490"/>
      <c r="DI23" s="490"/>
      <c r="DJ23" s="490"/>
      <c r="DK23" s="490"/>
      <c r="DL23" s="490"/>
      <c r="DM23" s="490"/>
      <c r="DN23" s="490"/>
      <c r="DO23" s="490"/>
      <c r="DP23" s="490"/>
      <c r="DQ23" s="490"/>
      <c r="DR23" s="490"/>
      <c r="DS23" s="490"/>
      <c r="DT23" s="490"/>
      <c r="DU23" s="490"/>
      <c r="DV23" s="490"/>
      <c r="DW23" s="490"/>
      <c r="DX23" s="490"/>
      <c r="DY23" s="490"/>
      <c r="DZ23" s="490"/>
      <c r="EA23" s="490"/>
      <c r="EB23" s="490"/>
      <c r="EC23" s="490"/>
      <c r="ED23" s="490"/>
      <c r="EE23" s="490"/>
      <c r="EF23" s="490"/>
      <c r="EG23" s="490"/>
      <c r="EH23" s="490"/>
      <c r="EI23" s="490"/>
      <c r="EJ23" s="490"/>
      <c r="EK23" s="490"/>
      <c r="EL23" s="490"/>
      <c r="EM23" s="490"/>
      <c r="EN23" s="490"/>
      <c r="EO23" s="490"/>
      <c r="EP23" s="490"/>
      <c r="EQ23" s="490"/>
      <c r="ER23" s="490"/>
      <c r="ES23" s="490"/>
      <c r="ET23" s="490"/>
      <c r="EU23" s="490"/>
      <c r="EV23" s="490"/>
      <c r="EW23" s="490"/>
      <c r="EX23" s="490"/>
      <c r="EY23" s="490"/>
      <c r="EZ23" s="490"/>
      <c r="FA23" s="490"/>
      <c r="FB23" s="490"/>
      <c r="FC23" s="490"/>
      <c r="FD23" s="490"/>
      <c r="FE23" s="490"/>
      <c r="FF23" s="490"/>
      <c r="FG23" s="490"/>
      <c r="FH23" s="490"/>
      <c r="FI23" s="490"/>
      <c r="FJ23" s="490"/>
      <c r="FK23" s="490"/>
      <c r="FL23" s="490"/>
      <c r="FM23" s="490"/>
      <c r="FN23" s="490"/>
    </row>
    <row r="24" s="491" customFormat="1" spans="1:170">
      <c r="A24" s="539">
        <v>46038</v>
      </c>
      <c r="B24" s="509" t="s">
        <v>699</v>
      </c>
      <c r="C24" s="538">
        <v>2</v>
      </c>
      <c r="D24" s="509" t="s">
        <v>33</v>
      </c>
      <c r="E24" s="509" t="s">
        <v>700</v>
      </c>
      <c r="F24" s="527" t="s">
        <v>73</v>
      </c>
      <c r="G24" s="538">
        <v>1.48</v>
      </c>
      <c r="H24" s="521">
        <v>1.66</v>
      </c>
      <c r="I24" s="538" t="s">
        <v>17</v>
      </c>
      <c r="J24" s="538">
        <v>2.65</v>
      </c>
      <c r="K24" s="527" t="s">
        <v>701</v>
      </c>
      <c r="L24" s="527"/>
      <c r="M24" s="490"/>
      <c r="N24" s="490"/>
      <c r="O24" s="490"/>
      <c r="P24" s="490"/>
      <c r="Q24" s="490"/>
      <c r="R24" s="490"/>
      <c r="S24" s="490"/>
      <c r="T24" s="490"/>
      <c r="U24" s="490"/>
      <c r="V24" s="490"/>
      <c r="W24" s="490"/>
      <c r="X24" s="490"/>
      <c r="Y24" s="490"/>
      <c r="Z24" s="490"/>
      <c r="AA24" s="490"/>
      <c r="AB24" s="490"/>
      <c r="AC24" s="490"/>
      <c r="AD24" s="490"/>
      <c r="AE24" s="490"/>
      <c r="AF24" s="490"/>
      <c r="AG24" s="490"/>
      <c r="AH24" s="490"/>
      <c r="AI24" s="490"/>
      <c r="AJ24" s="490"/>
      <c r="AK24" s="490"/>
      <c r="AL24" s="490"/>
      <c r="AM24" s="490"/>
      <c r="AN24" s="490"/>
      <c r="AO24" s="490"/>
      <c r="AP24" s="490"/>
      <c r="AQ24" s="490"/>
      <c r="AR24" s="490"/>
      <c r="AS24" s="490"/>
      <c r="AT24" s="490"/>
      <c r="AU24" s="490"/>
      <c r="AV24" s="490"/>
      <c r="AW24" s="490"/>
      <c r="AX24" s="490"/>
      <c r="AY24" s="490"/>
      <c r="AZ24" s="490"/>
      <c r="BA24" s="490"/>
      <c r="BB24" s="490"/>
      <c r="BC24" s="490"/>
      <c r="BD24" s="490"/>
      <c r="BE24" s="490"/>
      <c r="BF24" s="490"/>
      <c r="BG24" s="490"/>
      <c r="BH24" s="490"/>
      <c r="BI24" s="490"/>
      <c r="BJ24" s="490"/>
      <c r="BK24" s="490"/>
      <c r="BL24" s="490"/>
      <c r="BM24" s="490"/>
      <c r="BN24" s="490"/>
      <c r="BO24" s="490"/>
      <c r="BP24" s="490"/>
      <c r="BQ24" s="490"/>
      <c r="BR24" s="490"/>
      <c r="BS24" s="490"/>
      <c r="BT24" s="490"/>
      <c r="BU24" s="490"/>
      <c r="BV24" s="490"/>
      <c r="BW24" s="490"/>
      <c r="BX24" s="490"/>
      <c r="BY24" s="490"/>
      <c r="BZ24" s="490"/>
      <c r="CA24" s="490"/>
      <c r="CB24" s="490"/>
      <c r="CC24" s="490"/>
      <c r="CD24" s="490"/>
      <c r="CE24" s="490"/>
      <c r="CF24" s="490"/>
      <c r="CG24" s="490"/>
      <c r="CH24" s="490"/>
      <c r="CI24" s="490"/>
      <c r="CJ24" s="490"/>
      <c r="CK24" s="490"/>
      <c r="CL24" s="490"/>
      <c r="CM24" s="490"/>
      <c r="CN24" s="490"/>
      <c r="CO24" s="490"/>
      <c r="CP24" s="490"/>
      <c r="CQ24" s="490"/>
      <c r="CR24" s="490"/>
      <c r="CS24" s="490"/>
      <c r="CT24" s="490"/>
      <c r="CU24" s="490"/>
      <c r="CV24" s="490"/>
      <c r="CW24" s="490"/>
      <c r="CX24" s="490"/>
      <c r="CY24" s="490"/>
      <c r="CZ24" s="490"/>
      <c r="DA24" s="490"/>
      <c r="DB24" s="490"/>
      <c r="DC24" s="490"/>
      <c r="DD24" s="490"/>
      <c r="DE24" s="490"/>
      <c r="DF24" s="490"/>
      <c r="DG24" s="490"/>
      <c r="DH24" s="490"/>
      <c r="DI24" s="490"/>
      <c r="DJ24" s="490"/>
      <c r="DK24" s="490"/>
      <c r="DL24" s="490"/>
      <c r="DM24" s="490"/>
      <c r="DN24" s="490"/>
      <c r="DO24" s="490"/>
      <c r="DP24" s="490"/>
      <c r="DQ24" s="490"/>
      <c r="DR24" s="490"/>
      <c r="DS24" s="490"/>
      <c r="DT24" s="490"/>
      <c r="DU24" s="490"/>
      <c r="DV24" s="490"/>
      <c r="DW24" s="490"/>
      <c r="DX24" s="490"/>
      <c r="DY24" s="490"/>
      <c r="DZ24" s="490"/>
      <c r="EA24" s="490"/>
      <c r="EB24" s="490"/>
      <c r="EC24" s="490"/>
      <c r="ED24" s="490"/>
      <c r="EE24" s="490"/>
      <c r="EF24" s="490"/>
      <c r="EG24" s="490"/>
      <c r="EH24" s="490"/>
      <c r="EI24" s="490"/>
      <c r="EJ24" s="490"/>
      <c r="EK24" s="490"/>
      <c r="EL24" s="490"/>
      <c r="EM24" s="490"/>
      <c r="EN24" s="490"/>
      <c r="EO24" s="490"/>
      <c r="EP24" s="490"/>
      <c r="EQ24" s="490"/>
      <c r="ER24" s="490"/>
      <c r="ES24" s="490"/>
      <c r="ET24" s="490"/>
      <c r="EU24" s="490"/>
      <c r="EV24" s="490"/>
      <c r="EW24" s="490"/>
      <c r="EX24" s="490"/>
      <c r="EY24" s="490"/>
      <c r="EZ24" s="490"/>
      <c r="FA24" s="490"/>
      <c r="FB24" s="490"/>
      <c r="FC24" s="490"/>
      <c r="FD24" s="490"/>
      <c r="FE24" s="490"/>
      <c r="FF24" s="490"/>
      <c r="FG24" s="490"/>
      <c r="FH24" s="490"/>
      <c r="FI24" s="490"/>
      <c r="FJ24" s="490"/>
      <c r="FK24" s="490"/>
      <c r="FL24" s="490"/>
      <c r="FM24" s="490"/>
      <c r="FN24" s="490"/>
    </row>
    <row r="25" s="492" customFormat="1" spans="1:170">
      <c r="A25" s="539"/>
      <c r="B25" s="509"/>
      <c r="C25" s="538"/>
      <c r="D25" s="509"/>
      <c r="E25" s="509"/>
      <c r="F25" s="524" t="s">
        <v>21</v>
      </c>
      <c r="G25" s="538">
        <v>1.56</v>
      </c>
      <c r="H25" s="521">
        <v>0.16</v>
      </c>
      <c r="I25" s="538" t="s">
        <v>22</v>
      </c>
      <c r="J25" s="538">
        <v>3.2</v>
      </c>
      <c r="K25" s="527"/>
      <c r="L25" s="527"/>
      <c r="M25" s="490"/>
      <c r="N25" s="490"/>
      <c r="O25" s="490"/>
      <c r="P25" s="490"/>
      <c r="Q25" s="490"/>
      <c r="R25" s="490"/>
      <c r="S25" s="490"/>
      <c r="T25" s="490"/>
      <c r="U25" s="490"/>
      <c r="V25" s="490"/>
      <c r="W25" s="490"/>
      <c r="X25" s="490"/>
      <c r="Y25" s="490"/>
      <c r="Z25" s="490"/>
      <c r="AA25" s="490"/>
      <c r="AB25" s="490"/>
      <c r="AC25" s="490"/>
      <c r="AD25" s="490"/>
      <c r="AE25" s="490"/>
      <c r="AF25" s="490"/>
      <c r="AG25" s="490"/>
      <c r="AH25" s="490"/>
      <c r="AI25" s="490"/>
      <c r="AJ25" s="490"/>
      <c r="AK25" s="490"/>
      <c r="AL25" s="490"/>
      <c r="AM25" s="490"/>
      <c r="AN25" s="490"/>
      <c r="AO25" s="490"/>
      <c r="AP25" s="490"/>
      <c r="AQ25" s="490"/>
      <c r="AR25" s="490"/>
      <c r="AS25" s="490"/>
      <c r="AT25" s="490"/>
      <c r="AU25" s="490"/>
      <c r="AV25" s="490"/>
      <c r="AW25" s="490"/>
      <c r="AX25" s="490"/>
      <c r="AY25" s="490"/>
      <c r="AZ25" s="490"/>
      <c r="BA25" s="490"/>
      <c r="BB25" s="490"/>
      <c r="BC25" s="490"/>
      <c r="BD25" s="490"/>
      <c r="BE25" s="490"/>
      <c r="BF25" s="490"/>
      <c r="BG25" s="490"/>
      <c r="BH25" s="490"/>
      <c r="BI25" s="490"/>
      <c r="BJ25" s="490"/>
      <c r="BK25" s="490"/>
      <c r="BL25" s="490"/>
      <c r="BM25" s="490"/>
      <c r="BN25" s="490"/>
      <c r="BO25" s="490"/>
      <c r="BP25" s="490"/>
      <c r="BQ25" s="490"/>
      <c r="BR25" s="490"/>
      <c r="BS25" s="490"/>
      <c r="BT25" s="490"/>
      <c r="BU25" s="490"/>
      <c r="BV25" s="490"/>
      <c r="BW25" s="490"/>
      <c r="BX25" s="490"/>
      <c r="BY25" s="490"/>
      <c r="BZ25" s="490"/>
      <c r="CA25" s="490"/>
      <c r="CB25" s="490"/>
      <c r="CC25" s="490"/>
      <c r="CD25" s="490"/>
      <c r="CE25" s="490"/>
      <c r="CF25" s="490"/>
      <c r="CG25" s="490"/>
      <c r="CH25" s="490"/>
      <c r="CI25" s="490"/>
      <c r="CJ25" s="490"/>
      <c r="CK25" s="490"/>
      <c r="CL25" s="490"/>
      <c r="CM25" s="490"/>
      <c r="CN25" s="490"/>
      <c r="CO25" s="490"/>
      <c r="CP25" s="490"/>
      <c r="CQ25" s="490"/>
      <c r="CR25" s="490"/>
      <c r="CS25" s="490"/>
      <c r="CT25" s="490"/>
      <c r="CU25" s="490"/>
      <c r="CV25" s="490"/>
      <c r="CW25" s="490"/>
      <c r="CX25" s="490"/>
      <c r="CY25" s="490"/>
      <c r="CZ25" s="490"/>
      <c r="DA25" s="490"/>
      <c r="DB25" s="490"/>
      <c r="DC25" s="490"/>
      <c r="DD25" s="490"/>
      <c r="DE25" s="490"/>
      <c r="DF25" s="490"/>
      <c r="DG25" s="490"/>
      <c r="DH25" s="490"/>
      <c r="DI25" s="490"/>
      <c r="DJ25" s="490"/>
      <c r="DK25" s="490"/>
      <c r="DL25" s="490"/>
      <c r="DM25" s="490"/>
      <c r="DN25" s="490"/>
      <c r="DO25" s="490"/>
      <c r="DP25" s="490"/>
      <c r="DQ25" s="490"/>
      <c r="DR25" s="490"/>
      <c r="DS25" s="490"/>
      <c r="DT25" s="490"/>
      <c r="DU25" s="490"/>
      <c r="DV25" s="490"/>
      <c r="DW25" s="490"/>
      <c r="DX25" s="490"/>
      <c r="DY25" s="490"/>
      <c r="DZ25" s="490"/>
      <c r="EA25" s="490"/>
      <c r="EB25" s="490"/>
      <c r="EC25" s="490"/>
      <c r="ED25" s="490"/>
      <c r="EE25" s="490"/>
      <c r="EF25" s="490"/>
      <c r="EG25" s="490"/>
      <c r="EH25" s="490"/>
      <c r="EI25" s="490"/>
      <c r="EJ25" s="490"/>
      <c r="EK25" s="490"/>
      <c r="EL25" s="490"/>
      <c r="EM25" s="490"/>
      <c r="EN25" s="490"/>
      <c r="EO25" s="490"/>
      <c r="EP25" s="490"/>
      <c r="EQ25" s="490"/>
      <c r="ER25" s="490"/>
      <c r="ES25" s="490"/>
      <c r="ET25" s="490"/>
      <c r="EU25" s="490"/>
      <c r="EV25" s="490"/>
      <c r="EW25" s="490"/>
      <c r="EX25" s="490"/>
      <c r="EY25" s="490"/>
      <c r="EZ25" s="490"/>
      <c r="FA25" s="490"/>
      <c r="FB25" s="490"/>
      <c r="FC25" s="490"/>
      <c r="FD25" s="490"/>
      <c r="FE25" s="490"/>
      <c r="FF25" s="490"/>
      <c r="FG25" s="490"/>
      <c r="FH25" s="490"/>
      <c r="FI25" s="490"/>
      <c r="FJ25" s="490"/>
      <c r="FK25" s="490"/>
      <c r="FL25" s="490"/>
      <c r="FM25" s="490"/>
      <c r="FN25" s="490"/>
    </row>
    <row r="26" s="492" customFormat="1" spans="1:170">
      <c r="A26" s="539"/>
      <c r="B26" s="509"/>
      <c r="C26" s="538"/>
      <c r="D26" s="509"/>
      <c r="E26" s="509"/>
      <c r="F26" s="524" t="s">
        <v>43</v>
      </c>
      <c r="G26" s="538">
        <v>1.65</v>
      </c>
      <c r="H26" s="521">
        <v>0.08</v>
      </c>
      <c r="I26" s="538" t="s">
        <v>702</v>
      </c>
      <c r="J26" s="538">
        <v>4.5</v>
      </c>
      <c r="K26" s="527"/>
      <c r="L26" s="527"/>
      <c r="M26" s="490"/>
      <c r="N26" s="490"/>
      <c r="O26" s="490"/>
      <c r="P26" s="490"/>
      <c r="Q26" s="490"/>
      <c r="R26" s="490"/>
      <c r="S26" s="490"/>
      <c r="T26" s="490"/>
      <c r="U26" s="490"/>
      <c r="V26" s="490"/>
      <c r="W26" s="490"/>
      <c r="X26" s="490"/>
      <c r="Y26" s="490"/>
      <c r="Z26" s="490"/>
      <c r="AA26" s="490"/>
      <c r="AB26" s="490"/>
      <c r="AC26" s="490"/>
      <c r="AD26" s="490"/>
      <c r="AE26" s="490"/>
      <c r="AF26" s="490"/>
      <c r="AG26" s="490"/>
      <c r="AH26" s="490"/>
      <c r="AI26" s="490"/>
      <c r="AJ26" s="490"/>
      <c r="AK26" s="490"/>
      <c r="AL26" s="490"/>
      <c r="AM26" s="490"/>
      <c r="AN26" s="490"/>
      <c r="AO26" s="490"/>
      <c r="AP26" s="490"/>
      <c r="AQ26" s="490"/>
      <c r="AR26" s="490"/>
      <c r="AS26" s="490"/>
      <c r="AT26" s="490"/>
      <c r="AU26" s="490"/>
      <c r="AV26" s="490"/>
      <c r="AW26" s="490"/>
      <c r="AX26" s="490"/>
      <c r="AY26" s="490"/>
      <c r="AZ26" s="490"/>
      <c r="BA26" s="490"/>
      <c r="BB26" s="490"/>
      <c r="BC26" s="490"/>
      <c r="BD26" s="490"/>
      <c r="BE26" s="490"/>
      <c r="BF26" s="490"/>
      <c r="BG26" s="490"/>
      <c r="BH26" s="490"/>
      <c r="BI26" s="490"/>
      <c r="BJ26" s="490"/>
      <c r="BK26" s="490"/>
      <c r="BL26" s="490"/>
      <c r="BM26" s="490"/>
      <c r="BN26" s="490"/>
      <c r="BO26" s="490"/>
      <c r="BP26" s="490"/>
      <c r="BQ26" s="490"/>
      <c r="BR26" s="490"/>
      <c r="BS26" s="490"/>
      <c r="BT26" s="490"/>
      <c r="BU26" s="490"/>
      <c r="BV26" s="490"/>
      <c r="BW26" s="490"/>
      <c r="BX26" s="490"/>
      <c r="BY26" s="490"/>
      <c r="BZ26" s="490"/>
      <c r="CA26" s="490"/>
      <c r="CB26" s="490"/>
      <c r="CC26" s="490"/>
      <c r="CD26" s="490"/>
      <c r="CE26" s="490"/>
      <c r="CF26" s="490"/>
      <c r="CG26" s="490"/>
      <c r="CH26" s="490"/>
      <c r="CI26" s="490"/>
      <c r="CJ26" s="490"/>
      <c r="CK26" s="490"/>
      <c r="CL26" s="490"/>
      <c r="CM26" s="490"/>
      <c r="CN26" s="490"/>
      <c r="CO26" s="490"/>
      <c r="CP26" s="490"/>
      <c r="CQ26" s="490"/>
      <c r="CR26" s="490"/>
      <c r="CS26" s="490"/>
      <c r="CT26" s="490"/>
      <c r="CU26" s="490"/>
      <c r="CV26" s="490"/>
      <c r="CW26" s="490"/>
      <c r="CX26" s="490"/>
      <c r="CY26" s="490"/>
      <c r="CZ26" s="490"/>
      <c r="DA26" s="490"/>
      <c r="DB26" s="490"/>
      <c r="DC26" s="490"/>
      <c r="DD26" s="490"/>
      <c r="DE26" s="490"/>
      <c r="DF26" s="490"/>
      <c r="DG26" s="490"/>
      <c r="DH26" s="490"/>
      <c r="DI26" s="490"/>
      <c r="DJ26" s="490"/>
      <c r="DK26" s="490"/>
      <c r="DL26" s="490"/>
      <c r="DM26" s="490"/>
      <c r="DN26" s="490"/>
      <c r="DO26" s="490"/>
      <c r="DP26" s="490"/>
      <c r="DQ26" s="490"/>
      <c r="DR26" s="490"/>
      <c r="DS26" s="490"/>
      <c r="DT26" s="490"/>
      <c r="DU26" s="490"/>
      <c r="DV26" s="490"/>
      <c r="DW26" s="490"/>
      <c r="DX26" s="490"/>
      <c r="DY26" s="490"/>
      <c r="DZ26" s="490"/>
      <c r="EA26" s="490"/>
      <c r="EB26" s="490"/>
      <c r="EC26" s="490"/>
      <c r="ED26" s="490"/>
      <c r="EE26" s="490"/>
      <c r="EF26" s="490"/>
      <c r="EG26" s="490"/>
      <c r="EH26" s="490"/>
      <c r="EI26" s="490"/>
      <c r="EJ26" s="490"/>
      <c r="EK26" s="490"/>
      <c r="EL26" s="490"/>
      <c r="EM26" s="490"/>
      <c r="EN26" s="490"/>
      <c r="EO26" s="490"/>
      <c r="EP26" s="490"/>
      <c r="EQ26" s="490"/>
      <c r="ER26" s="490"/>
      <c r="ES26" s="490"/>
      <c r="ET26" s="490"/>
      <c r="EU26" s="490"/>
      <c r="EV26" s="490"/>
      <c r="EW26" s="490"/>
      <c r="EX26" s="490"/>
      <c r="EY26" s="490"/>
      <c r="EZ26" s="490"/>
      <c r="FA26" s="490"/>
      <c r="FB26" s="490"/>
      <c r="FC26" s="490"/>
      <c r="FD26" s="490"/>
      <c r="FE26" s="490"/>
      <c r="FF26" s="490"/>
      <c r="FG26" s="490"/>
      <c r="FH26" s="490"/>
      <c r="FI26" s="490"/>
      <c r="FJ26" s="490"/>
      <c r="FK26" s="490"/>
      <c r="FL26" s="490"/>
      <c r="FM26" s="490"/>
      <c r="FN26" s="490"/>
    </row>
    <row r="27" s="492" customFormat="1" spans="1:170">
      <c r="A27" s="522"/>
      <c r="B27" s="507"/>
      <c r="C27" s="523"/>
      <c r="D27" s="507"/>
      <c r="E27" s="507"/>
      <c r="F27" s="535" t="s">
        <v>23</v>
      </c>
      <c r="G27" s="523">
        <v>1.98</v>
      </c>
      <c r="H27" s="536">
        <v>0.1</v>
      </c>
      <c r="I27" s="523" t="s">
        <v>24</v>
      </c>
      <c r="J27" s="523" t="s">
        <v>24</v>
      </c>
      <c r="K27" s="526"/>
      <c r="L27" s="527"/>
      <c r="M27" s="490"/>
      <c r="N27" s="490"/>
      <c r="O27" s="490"/>
      <c r="P27" s="490"/>
      <c r="Q27" s="490"/>
      <c r="R27" s="490"/>
      <c r="S27" s="490"/>
      <c r="T27" s="490"/>
      <c r="U27" s="490"/>
      <c r="V27" s="490"/>
      <c r="W27" s="490"/>
      <c r="X27" s="490"/>
      <c r="Y27" s="490"/>
      <c r="Z27" s="490"/>
      <c r="AA27" s="490"/>
      <c r="AB27" s="490"/>
      <c r="AC27" s="490"/>
      <c r="AD27" s="490"/>
      <c r="AE27" s="490"/>
      <c r="AF27" s="490"/>
      <c r="AG27" s="490"/>
      <c r="AH27" s="490"/>
      <c r="AI27" s="490"/>
      <c r="AJ27" s="490"/>
      <c r="AK27" s="490"/>
      <c r="AL27" s="490"/>
      <c r="AM27" s="490"/>
      <c r="AN27" s="490"/>
      <c r="AO27" s="490"/>
      <c r="AP27" s="490"/>
      <c r="AQ27" s="490"/>
      <c r="AR27" s="490"/>
      <c r="AS27" s="490"/>
      <c r="AT27" s="490"/>
      <c r="AU27" s="490"/>
      <c r="AV27" s="490"/>
      <c r="AW27" s="490"/>
      <c r="AX27" s="490"/>
      <c r="AY27" s="490"/>
      <c r="AZ27" s="490"/>
      <c r="BA27" s="490"/>
      <c r="BB27" s="490"/>
      <c r="BC27" s="490"/>
      <c r="BD27" s="490"/>
      <c r="BE27" s="490"/>
      <c r="BF27" s="490"/>
      <c r="BG27" s="490"/>
      <c r="BH27" s="490"/>
      <c r="BI27" s="490"/>
      <c r="BJ27" s="490"/>
      <c r="BK27" s="490"/>
      <c r="BL27" s="490"/>
      <c r="BM27" s="490"/>
      <c r="BN27" s="490"/>
      <c r="BO27" s="490"/>
      <c r="BP27" s="490"/>
      <c r="BQ27" s="490"/>
      <c r="BR27" s="490"/>
      <c r="BS27" s="490"/>
      <c r="BT27" s="490"/>
      <c r="BU27" s="490"/>
      <c r="BV27" s="490"/>
      <c r="BW27" s="490"/>
      <c r="BX27" s="490"/>
      <c r="BY27" s="490"/>
      <c r="BZ27" s="490"/>
      <c r="CA27" s="490"/>
      <c r="CB27" s="490"/>
      <c r="CC27" s="490"/>
      <c r="CD27" s="490"/>
      <c r="CE27" s="490"/>
      <c r="CF27" s="490"/>
      <c r="CG27" s="490"/>
      <c r="CH27" s="490"/>
      <c r="CI27" s="490"/>
      <c r="CJ27" s="490"/>
      <c r="CK27" s="490"/>
      <c r="CL27" s="490"/>
      <c r="CM27" s="490"/>
      <c r="CN27" s="490"/>
      <c r="CO27" s="490"/>
      <c r="CP27" s="490"/>
      <c r="CQ27" s="490"/>
      <c r="CR27" s="490"/>
      <c r="CS27" s="490"/>
      <c r="CT27" s="490"/>
      <c r="CU27" s="490"/>
      <c r="CV27" s="490"/>
      <c r="CW27" s="490"/>
      <c r="CX27" s="490"/>
      <c r="CY27" s="490"/>
      <c r="CZ27" s="490"/>
      <c r="DA27" s="490"/>
      <c r="DB27" s="490"/>
      <c r="DC27" s="490"/>
      <c r="DD27" s="490"/>
      <c r="DE27" s="490"/>
      <c r="DF27" s="490"/>
      <c r="DG27" s="490"/>
      <c r="DH27" s="490"/>
      <c r="DI27" s="490"/>
      <c r="DJ27" s="490"/>
      <c r="DK27" s="490"/>
      <c r="DL27" s="490"/>
      <c r="DM27" s="490"/>
      <c r="DN27" s="490"/>
      <c r="DO27" s="490"/>
      <c r="DP27" s="490"/>
      <c r="DQ27" s="490"/>
      <c r="DR27" s="490"/>
      <c r="DS27" s="490"/>
      <c r="DT27" s="490"/>
      <c r="DU27" s="490"/>
      <c r="DV27" s="490"/>
      <c r="DW27" s="490"/>
      <c r="DX27" s="490"/>
      <c r="DY27" s="490"/>
      <c r="DZ27" s="490"/>
      <c r="EA27" s="490"/>
      <c r="EB27" s="490"/>
      <c r="EC27" s="490"/>
      <c r="ED27" s="490"/>
      <c r="EE27" s="490"/>
      <c r="EF27" s="490"/>
      <c r="EG27" s="490"/>
      <c r="EH27" s="490"/>
      <c r="EI27" s="490"/>
      <c r="EJ27" s="490"/>
      <c r="EK27" s="490"/>
      <c r="EL27" s="490"/>
      <c r="EM27" s="490"/>
      <c r="EN27" s="490"/>
      <c r="EO27" s="490"/>
      <c r="EP27" s="490"/>
      <c r="EQ27" s="490"/>
      <c r="ER27" s="490"/>
      <c r="ES27" s="490"/>
      <c r="ET27" s="490"/>
      <c r="EU27" s="490"/>
      <c r="EV27" s="490"/>
      <c r="EW27" s="490"/>
      <c r="EX27" s="490"/>
      <c r="EY27" s="490"/>
      <c r="EZ27" s="490"/>
      <c r="FA27" s="490"/>
      <c r="FB27" s="490"/>
      <c r="FC27" s="490"/>
      <c r="FD27" s="490"/>
      <c r="FE27" s="490"/>
      <c r="FF27" s="490"/>
      <c r="FG27" s="490"/>
      <c r="FH27" s="490"/>
      <c r="FI27" s="490"/>
      <c r="FJ27" s="490"/>
      <c r="FK27" s="490"/>
      <c r="FL27" s="490"/>
      <c r="FM27" s="490"/>
      <c r="FN27" s="490"/>
    </row>
    <row r="28" s="491" customFormat="1" spans="1:170">
      <c r="A28" s="522">
        <v>46042</v>
      </c>
      <c r="B28" s="507" t="s">
        <v>703</v>
      </c>
      <c r="C28" s="523">
        <v>5</v>
      </c>
      <c r="D28" s="507" t="s">
        <v>704</v>
      </c>
      <c r="E28" s="507" t="s">
        <v>705</v>
      </c>
      <c r="F28" s="524" t="s">
        <v>26</v>
      </c>
      <c r="G28" s="521">
        <v>1.41</v>
      </c>
      <c r="H28" s="521">
        <v>4.06</v>
      </c>
      <c r="I28" s="530" t="s">
        <v>17</v>
      </c>
      <c r="J28" s="521">
        <v>1.95</v>
      </c>
      <c r="K28" s="526" t="s">
        <v>706</v>
      </c>
      <c r="L28" s="527"/>
      <c r="M28" s="490"/>
      <c r="N28" s="490"/>
      <c r="O28" s="490"/>
      <c r="P28" s="490"/>
      <c r="Q28" s="490"/>
      <c r="R28" s="490"/>
      <c r="S28" s="490"/>
      <c r="T28" s="490"/>
      <c r="U28" s="490"/>
      <c r="V28" s="490"/>
      <c r="W28" s="490"/>
      <c r="X28" s="490"/>
      <c r="Y28" s="490"/>
      <c r="Z28" s="490"/>
      <c r="AA28" s="490"/>
      <c r="AB28" s="490"/>
      <c r="AC28" s="490"/>
      <c r="AD28" s="490"/>
      <c r="AE28" s="490"/>
      <c r="AF28" s="490"/>
      <c r="AG28" s="490"/>
      <c r="AH28" s="490"/>
      <c r="AI28" s="490"/>
      <c r="AJ28" s="490"/>
      <c r="AK28" s="490"/>
      <c r="AL28" s="490"/>
      <c r="AM28" s="490"/>
      <c r="AN28" s="490"/>
      <c r="AO28" s="490"/>
      <c r="AP28" s="490"/>
      <c r="AQ28" s="490"/>
      <c r="AR28" s="490"/>
      <c r="AS28" s="490"/>
      <c r="AT28" s="490"/>
      <c r="AU28" s="490"/>
      <c r="AV28" s="490"/>
      <c r="AW28" s="490"/>
      <c r="AX28" s="490"/>
      <c r="AY28" s="490"/>
      <c r="AZ28" s="490"/>
      <c r="BA28" s="490"/>
      <c r="BB28" s="490"/>
      <c r="BC28" s="490"/>
      <c r="BD28" s="490"/>
      <c r="BE28" s="490"/>
      <c r="BF28" s="490"/>
      <c r="BG28" s="490"/>
      <c r="BH28" s="490"/>
      <c r="BI28" s="490"/>
      <c r="BJ28" s="490"/>
      <c r="BK28" s="490"/>
      <c r="BL28" s="490"/>
      <c r="BM28" s="490"/>
      <c r="BN28" s="490"/>
      <c r="BO28" s="490"/>
      <c r="BP28" s="490"/>
      <c r="BQ28" s="490"/>
      <c r="BR28" s="490"/>
      <c r="BS28" s="490"/>
      <c r="BT28" s="490"/>
      <c r="BU28" s="490"/>
      <c r="BV28" s="490"/>
      <c r="BW28" s="490"/>
      <c r="BX28" s="490"/>
      <c r="BY28" s="490"/>
      <c r="BZ28" s="490"/>
      <c r="CA28" s="490"/>
      <c r="CB28" s="490"/>
      <c r="CC28" s="490"/>
      <c r="CD28" s="490"/>
      <c r="CE28" s="490"/>
      <c r="CF28" s="490"/>
      <c r="CG28" s="490"/>
      <c r="CH28" s="490"/>
      <c r="CI28" s="490"/>
      <c r="CJ28" s="490"/>
      <c r="CK28" s="490"/>
      <c r="CL28" s="490"/>
      <c r="CM28" s="490"/>
      <c r="CN28" s="490"/>
      <c r="CO28" s="490"/>
      <c r="CP28" s="490"/>
      <c r="CQ28" s="490"/>
      <c r="CR28" s="490"/>
      <c r="CS28" s="490"/>
      <c r="CT28" s="490"/>
      <c r="CU28" s="490"/>
      <c r="CV28" s="490"/>
      <c r="CW28" s="490"/>
      <c r="CX28" s="490"/>
      <c r="CY28" s="490"/>
      <c r="CZ28" s="490"/>
      <c r="DA28" s="490"/>
      <c r="DB28" s="490"/>
      <c r="DC28" s="490"/>
      <c r="DD28" s="490"/>
      <c r="DE28" s="490"/>
      <c r="DF28" s="490"/>
      <c r="DG28" s="490"/>
      <c r="DH28" s="490"/>
      <c r="DI28" s="490"/>
      <c r="DJ28" s="490"/>
      <c r="DK28" s="490"/>
      <c r="DL28" s="490"/>
      <c r="DM28" s="490"/>
      <c r="DN28" s="490"/>
      <c r="DO28" s="490"/>
      <c r="DP28" s="490"/>
      <c r="DQ28" s="490"/>
      <c r="DR28" s="490"/>
      <c r="DS28" s="490"/>
      <c r="DT28" s="490"/>
      <c r="DU28" s="490"/>
      <c r="DV28" s="490"/>
      <c r="DW28" s="490"/>
      <c r="DX28" s="490"/>
      <c r="DY28" s="490"/>
      <c r="DZ28" s="490"/>
      <c r="EA28" s="490"/>
      <c r="EB28" s="490"/>
      <c r="EC28" s="490"/>
      <c r="ED28" s="490"/>
      <c r="EE28" s="490"/>
      <c r="EF28" s="490"/>
      <c r="EG28" s="490"/>
      <c r="EH28" s="490"/>
      <c r="EI28" s="490"/>
      <c r="EJ28" s="490"/>
      <c r="EK28" s="490"/>
      <c r="EL28" s="490"/>
      <c r="EM28" s="490"/>
      <c r="EN28" s="490"/>
      <c r="EO28" s="490"/>
      <c r="EP28" s="490"/>
      <c r="EQ28" s="490"/>
      <c r="ER28" s="490"/>
      <c r="ES28" s="490"/>
      <c r="ET28" s="490"/>
      <c r="EU28" s="490"/>
      <c r="EV28" s="490"/>
      <c r="EW28" s="490"/>
      <c r="EX28" s="490"/>
      <c r="EY28" s="490"/>
      <c r="EZ28" s="490"/>
      <c r="FA28" s="490"/>
      <c r="FB28" s="490"/>
      <c r="FC28" s="490"/>
      <c r="FD28" s="490"/>
      <c r="FE28" s="490"/>
      <c r="FF28" s="490"/>
      <c r="FG28" s="490"/>
      <c r="FH28" s="490"/>
      <c r="FI28" s="490"/>
      <c r="FJ28" s="490"/>
      <c r="FK28" s="490"/>
      <c r="FL28" s="490"/>
      <c r="FM28" s="490"/>
      <c r="FN28" s="490"/>
    </row>
    <row r="29" s="491" customFormat="1" spans="1:170">
      <c r="A29" s="528"/>
      <c r="B29" s="513"/>
      <c r="C29" s="529"/>
      <c r="D29" s="513"/>
      <c r="E29" s="513"/>
      <c r="F29" s="524" t="s">
        <v>21</v>
      </c>
      <c r="G29" s="521">
        <v>1.41</v>
      </c>
      <c r="H29" s="521">
        <v>0.2</v>
      </c>
      <c r="I29" s="530" t="s">
        <v>22</v>
      </c>
      <c r="J29" s="521">
        <v>2.05</v>
      </c>
      <c r="K29" s="531"/>
      <c r="L29" s="527"/>
      <c r="M29" s="490"/>
      <c r="N29" s="490"/>
      <c r="O29" s="490"/>
      <c r="P29" s="490"/>
      <c r="Q29" s="490"/>
      <c r="R29" s="490"/>
      <c r="S29" s="490"/>
      <c r="T29" s="490"/>
      <c r="U29" s="490"/>
      <c r="V29" s="490"/>
      <c r="W29" s="490"/>
      <c r="X29" s="490"/>
      <c r="Y29" s="490"/>
      <c r="Z29" s="490"/>
      <c r="AA29" s="490"/>
      <c r="AB29" s="490"/>
      <c r="AC29" s="490"/>
      <c r="AD29" s="490"/>
      <c r="AE29" s="490"/>
      <c r="AF29" s="490"/>
      <c r="AG29" s="490"/>
      <c r="AH29" s="490"/>
      <c r="AI29" s="490"/>
      <c r="AJ29" s="490"/>
      <c r="AK29" s="490"/>
      <c r="AL29" s="490"/>
      <c r="AM29" s="490"/>
      <c r="AN29" s="490"/>
      <c r="AO29" s="490"/>
      <c r="AP29" s="490"/>
      <c r="AQ29" s="490"/>
      <c r="AR29" s="490"/>
      <c r="AS29" s="490"/>
      <c r="AT29" s="490"/>
      <c r="AU29" s="490"/>
      <c r="AV29" s="490"/>
      <c r="AW29" s="490"/>
      <c r="AX29" s="490"/>
      <c r="AY29" s="490"/>
      <c r="AZ29" s="490"/>
      <c r="BA29" s="490"/>
      <c r="BB29" s="490"/>
      <c r="BC29" s="490"/>
      <c r="BD29" s="490"/>
      <c r="BE29" s="490"/>
      <c r="BF29" s="490"/>
      <c r="BG29" s="490"/>
      <c r="BH29" s="490"/>
      <c r="BI29" s="490"/>
      <c r="BJ29" s="490"/>
      <c r="BK29" s="490"/>
      <c r="BL29" s="490"/>
      <c r="BM29" s="490"/>
      <c r="BN29" s="490"/>
      <c r="BO29" s="490"/>
      <c r="BP29" s="490"/>
      <c r="BQ29" s="490"/>
      <c r="BR29" s="490"/>
      <c r="BS29" s="490"/>
      <c r="BT29" s="490"/>
      <c r="BU29" s="490"/>
      <c r="BV29" s="490"/>
      <c r="BW29" s="490"/>
      <c r="BX29" s="490"/>
      <c r="BY29" s="490"/>
      <c r="BZ29" s="490"/>
      <c r="CA29" s="490"/>
      <c r="CB29" s="490"/>
      <c r="CC29" s="490"/>
      <c r="CD29" s="490"/>
      <c r="CE29" s="490"/>
      <c r="CF29" s="490"/>
      <c r="CG29" s="490"/>
      <c r="CH29" s="490"/>
      <c r="CI29" s="490"/>
      <c r="CJ29" s="490"/>
      <c r="CK29" s="490"/>
      <c r="CL29" s="490"/>
      <c r="CM29" s="490"/>
      <c r="CN29" s="490"/>
      <c r="CO29" s="490"/>
      <c r="CP29" s="490"/>
      <c r="CQ29" s="490"/>
      <c r="CR29" s="490"/>
      <c r="CS29" s="490"/>
      <c r="CT29" s="490"/>
      <c r="CU29" s="490"/>
      <c r="CV29" s="490"/>
      <c r="CW29" s="490"/>
      <c r="CX29" s="490"/>
      <c r="CY29" s="490"/>
      <c r="CZ29" s="490"/>
      <c r="DA29" s="490"/>
      <c r="DB29" s="490"/>
      <c r="DC29" s="490"/>
      <c r="DD29" s="490"/>
      <c r="DE29" s="490"/>
      <c r="DF29" s="490"/>
      <c r="DG29" s="490"/>
      <c r="DH29" s="490"/>
      <c r="DI29" s="490"/>
      <c r="DJ29" s="490"/>
      <c r="DK29" s="490"/>
      <c r="DL29" s="490"/>
      <c r="DM29" s="490"/>
      <c r="DN29" s="490"/>
      <c r="DO29" s="490"/>
      <c r="DP29" s="490"/>
      <c r="DQ29" s="490"/>
      <c r="DR29" s="490"/>
      <c r="DS29" s="490"/>
      <c r="DT29" s="490"/>
      <c r="DU29" s="490"/>
      <c r="DV29" s="490"/>
      <c r="DW29" s="490"/>
      <c r="DX29" s="490"/>
      <c r="DY29" s="490"/>
      <c r="DZ29" s="490"/>
      <c r="EA29" s="490"/>
      <c r="EB29" s="490"/>
      <c r="EC29" s="490"/>
      <c r="ED29" s="490"/>
      <c r="EE29" s="490"/>
      <c r="EF29" s="490"/>
      <c r="EG29" s="490"/>
      <c r="EH29" s="490"/>
      <c r="EI29" s="490"/>
      <c r="EJ29" s="490"/>
      <c r="EK29" s="490"/>
      <c r="EL29" s="490"/>
      <c r="EM29" s="490"/>
      <c r="EN29" s="490"/>
      <c r="EO29" s="490"/>
      <c r="EP29" s="490"/>
      <c r="EQ29" s="490"/>
      <c r="ER29" s="490"/>
      <c r="ES29" s="490"/>
      <c r="ET29" s="490"/>
      <c r="EU29" s="490"/>
      <c r="EV29" s="490"/>
      <c r="EW29" s="490"/>
      <c r="EX29" s="490"/>
      <c r="EY29" s="490"/>
      <c r="EZ29" s="490"/>
      <c r="FA29" s="490"/>
      <c r="FB29" s="490"/>
      <c r="FC29" s="490"/>
      <c r="FD29" s="490"/>
      <c r="FE29" s="490"/>
      <c r="FF29" s="490"/>
      <c r="FG29" s="490"/>
      <c r="FH29" s="490"/>
      <c r="FI29" s="490"/>
      <c r="FJ29" s="490"/>
      <c r="FK29" s="490"/>
      <c r="FL29" s="490"/>
      <c r="FM29" s="490"/>
      <c r="FN29" s="490"/>
    </row>
    <row r="30" s="491" customFormat="1" spans="1:170">
      <c r="A30" s="528"/>
      <c r="B30" s="513"/>
      <c r="C30" s="529"/>
      <c r="D30" s="513"/>
      <c r="E30" s="513"/>
      <c r="F30" s="524" t="s">
        <v>43</v>
      </c>
      <c r="G30" s="521">
        <v>1.5</v>
      </c>
      <c r="H30" s="521">
        <v>0.24</v>
      </c>
      <c r="I30" s="530" t="s">
        <v>44</v>
      </c>
      <c r="J30" s="521">
        <v>3.3</v>
      </c>
      <c r="K30" s="531"/>
      <c r="L30" s="527"/>
      <c r="M30" s="490"/>
      <c r="N30" s="490"/>
      <c r="O30" s="490"/>
      <c r="P30" s="490"/>
      <c r="Q30" s="490"/>
      <c r="R30" s="490"/>
      <c r="S30" s="490"/>
      <c r="T30" s="490"/>
      <c r="U30" s="490"/>
      <c r="V30" s="490"/>
      <c r="W30" s="490"/>
      <c r="X30" s="490"/>
      <c r="Y30" s="490"/>
      <c r="Z30" s="490"/>
      <c r="AA30" s="490"/>
      <c r="AB30" s="490"/>
      <c r="AC30" s="490"/>
      <c r="AD30" s="490"/>
      <c r="AE30" s="490"/>
      <c r="AF30" s="490"/>
      <c r="AG30" s="490"/>
      <c r="AH30" s="490"/>
      <c r="AI30" s="490"/>
      <c r="AJ30" s="490"/>
      <c r="AK30" s="490"/>
      <c r="AL30" s="490"/>
      <c r="AM30" s="490"/>
      <c r="AN30" s="490"/>
      <c r="AO30" s="490"/>
      <c r="AP30" s="490"/>
      <c r="AQ30" s="490"/>
      <c r="AR30" s="490"/>
      <c r="AS30" s="490"/>
      <c r="AT30" s="490"/>
      <c r="AU30" s="490"/>
      <c r="AV30" s="490"/>
      <c r="AW30" s="490"/>
      <c r="AX30" s="490"/>
      <c r="AY30" s="490"/>
      <c r="AZ30" s="490"/>
      <c r="BA30" s="490"/>
      <c r="BB30" s="490"/>
      <c r="BC30" s="490"/>
      <c r="BD30" s="490"/>
      <c r="BE30" s="490"/>
      <c r="BF30" s="490"/>
      <c r="BG30" s="490"/>
      <c r="BH30" s="490"/>
      <c r="BI30" s="490"/>
      <c r="BJ30" s="490"/>
      <c r="BK30" s="490"/>
      <c r="BL30" s="490"/>
      <c r="BM30" s="490"/>
      <c r="BN30" s="490"/>
      <c r="BO30" s="490"/>
      <c r="BP30" s="490"/>
      <c r="BQ30" s="490"/>
      <c r="BR30" s="490"/>
      <c r="BS30" s="490"/>
      <c r="BT30" s="490"/>
      <c r="BU30" s="490"/>
      <c r="BV30" s="490"/>
      <c r="BW30" s="490"/>
      <c r="BX30" s="490"/>
      <c r="BY30" s="490"/>
      <c r="BZ30" s="490"/>
      <c r="CA30" s="490"/>
      <c r="CB30" s="490"/>
      <c r="CC30" s="490"/>
      <c r="CD30" s="490"/>
      <c r="CE30" s="490"/>
      <c r="CF30" s="490"/>
      <c r="CG30" s="490"/>
      <c r="CH30" s="490"/>
      <c r="CI30" s="490"/>
      <c r="CJ30" s="490"/>
      <c r="CK30" s="490"/>
      <c r="CL30" s="490"/>
      <c r="CM30" s="490"/>
      <c r="CN30" s="490"/>
      <c r="CO30" s="490"/>
      <c r="CP30" s="490"/>
      <c r="CQ30" s="490"/>
      <c r="CR30" s="490"/>
      <c r="CS30" s="490"/>
      <c r="CT30" s="490"/>
      <c r="CU30" s="490"/>
      <c r="CV30" s="490"/>
      <c r="CW30" s="490"/>
      <c r="CX30" s="490"/>
      <c r="CY30" s="490"/>
      <c r="CZ30" s="490"/>
      <c r="DA30" s="490"/>
      <c r="DB30" s="490"/>
      <c r="DC30" s="490"/>
      <c r="DD30" s="490"/>
      <c r="DE30" s="490"/>
      <c r="DF30" s="490"/>
      <c r="DG30" s="490"/>
      <c r="DH30" s="490"/>
      <c r="DI30" s="490"/>
      <c r="DJ30" s="490"/>
      <c r="DK30" s="490"/>
      <c r="DL30" s="490"/>
      <c r="DM30" s="490"/>
      <c r="DN30" s="490"/>
      <c r="DO30" s="490"/>
      <c r="DP30" s="490"/>
      <c r="DQ30" s="490"/>
      <c r="DR30" s="490"/>
      <c r="DS30" s="490"/>
      <c r="DT30" s="490"/>
      <c r="DU30" s="490"/>
      <c r="DV30" s="490"/>
      <c r="DW30" s="490"/>
      <c r="DX30" s="490"/>
      <c r="DY30" s="490"/>
      <c r="DZ30" s="490"/>
      <c r="EA30" s="490"/>
      <c r="EB30" s="490"/>
      <c r="EC30" s="490"/>
      <c r="ED30" s="490"/>
      <c r="EE30" s="490"/>
      <c r="EF30" s="490"/>
      <c r="EG30" s="490"/>
      <c r="EH30" s="490"/>
      <c r="EI30" s="490"/>
      <c r="EJ30" s="490"/>
      <c r="EK30" s="490"/>
      <c r="EL30" s="490"/>
      <c r="EM30" s="490"/>
      <c r="EN30" s="490"/>
      <c r="EO30" s="490"/>
      <c r="EP30" s="490"/>
      <c r="EQ30" s="490"/>
      <c r="ER30" s="490"/>
      <c r="ES30" s="490"/>
      <c r="ET30" s="490"/>
      <c r="EU30" s="490"/>
      <c r="EV30" s="490"/>
      <c r="EW30" s="490"/>
      <c r="EX30" s="490"/>
      <c r="EY30" s="490"/>
      <c r="EZ30" s="490"/>
      <c r="FA30" s="490"/>
      <c r="FB30" s="490"/>
      <c r="FC30" s="490"/>
      <c r="FD30" s="490"/>
      <c r="FE30" s="490"/>
      <c r="FF30" s="490"/>
      <c r="FG30" s="490"/>
      <c r="FH30" s="490"/>
      <c r="FI30" s="490"/>
      <c r="FJ30" s="490"/>
      <c r="FK30" s="490"/>
      <c r="FL30" s="490"/>
      <c r="FM30" s="490"/>
      <c r="FN30" s="490"/>
    </row>
    <row r="31" s="491" customFormat="1" spans="1:170">
      <c r="A31" s="532"/>
      <c r="B31" s="517"/>
      <c r="C31" s="533"/>
      <c r="D31" s="517"/>
      <c r="E31" s="517"/>
      <c r="F31" s="524" t="s">
        <v>23</v>
      </c>
      <c r="G31" s="521">
        <v>2</v>
      </c>
      <c r="H31" s="521">
        <v>0.5</v>
      </c>
      <c r="I31" s="530" t="s">
        <v>24</v>
      </c>
      <c r="J31" s="521" t="s">
        <v>24</v>
      </c>
      <c r="K31" s="534"/>
      <c r="L31" s="527"/>
      <c r="M31" s="490"/>
      <c r="N31" s="490"/>
      <c r="O31" s="490"/>
      <c r="P31" s="490"/>
      <c r="Q31" s="490"/>
      <c r="R31" s="490"/>
      <c r="S31" s="490"/>
      <c r="T31" s="490"/>
      <c r="U31" s="490"/>
      <c r="V31" s="490"/>
      <c r="W31" s="490"/>
      <c r="X31" s="490"/>
      <c r="Y31" s="490"/>
      <c r="Z31" s="490"/>
      <c r="AA31" s="490"/>
      <c r="AB31" s="490"/>
      <c r="AC31" s="490"/>
      <c r="AD31" s="490"/>
      <c r="AE31" s="490"/>
      <c r="AF31" s="490"/>
      <c r="AG31" s="490"/>
      <c r="AH31" s="490"/>
      <c r="AI31" s="490"/>
      <c r="AJ31" s="490"/>
      <c r="AK31" s="490"/>
      <c r="AL31" s="490"/>
      <c r="AM31" s="490"/>
      <c r="AN31" s="490"/>
      <c r="AO31" s="490"/>
      <c r="AP31" s="490"/>
      <c r="AQ31" s="490"/>
      <c r="AR31" s="490"/>
      <c r="AS31" s="490"/>
      <c r="AT31" s="490"/>
      <c r="AU31" s="490"/>
      <c r="AV31" s="490"/>
      <c r="AW31" s="490"/>
      <c r="AX31" s="490"/>
      <c r="AY31" s="490"/>
      <c r="AZ31" s="490"/>
      <c r="BA31" s="490"/>
      <c r="BB31" s="490"/>
      <c r="BC31" s="490"/>
      <c r="BD31" s="490"/>
      <c r="BE31" s="490"/>
      <c r="BF31" s="490"/>
      <c r="BG31" s="490"/>
      <c r="BH31" s="490"/>
      <c r="BI31" s="490"/>
      <c r="BJ31" s="490"/>
      <c r="BK31" s="490"/>
      <c r="BL31" s="490"/>
      <c r="BM31" s="490"/>
      <c r="BN31" s="490"/>
      <c r="BO31" s="490"/>
      <c r="BP31" s="490"/>
      <c r="BQ31" s="490"/>
      <c r="BR31" s="490"/>
      <c r="BS31" s="490"/>
      <c r="BT31" s="490"/>
      <c r="BU31" s="490"/>
      <c r="BV31" s="490"/>
      <c r="BW31" s="490"/>
      <c r="BX31" s="490"/>
      <c r="BY31" s="490"/>
      <c r="BZ31" s="490"/>
      <c r="CA31" s="490"/>
      <c r="CB31" s="490"/>
      <c r="CC31" s="490"/>
      <c r="CD31" s="490"/>
      <c r="CE31" s="490"/>
      <c r="CF31" s="490"/>
      <c r="CG31" s="490"/>
      <c r="CH31" s="490"/>
      <c r="CI31" s="490"/>
      <c r="CJ31" s="490"/>
      <c r="CK31" s="490"/>
      <c r="CL31" s="490"/>
      <c r="CM31" s="490"/>
      <c r="CN31" s="490"/>
      <c r="CO31" s="490"/>
      <c r="CP31" s="490"/>
      <c r="CQ31" s="490"/>
      <c r="CR31" s="490"/>
      <c r="CS31" s="490"/>
      <c r="CT31" s="490"/>
      <c r="CU31" s="490"/>
      <c r="CV31" s="490"/>
      <c r="CW31" s="490"/>
      <c r="CX31" s="490"/>
      <c r="CY31" s="490"/>
      <c r="CZ31" s="490"/>
      <c r="DA31" s="490"/>
      <c r="DB31" s="490"/>
      <c r="DC31" s="490"/>
      <c r="DD31" s="490"/>
      <c r="DE31" s="490"/>
      <c r="DF31" s="490"/>
      <c r="DG31" s="490"/>
      <c r="DH31" s="490"/>
      <c r="DI31" s="490"/>
      <c r="DJ31" s="490"/>
      <c r="DK31" s="490"/>
      <c r="DL31" s="490"/>
      <c r="DM31" s="490"/>
      <c r="DN31" s="490"/>
      <c r="DO31" s="490"/>
      <c r="DP31" s="490"/>
      <c r="DQ31" s="490"/>
      <c r="DR31" s="490"/>
      <c r="DS31" s="490"/>
      <c r="DT31" s="490"/>
      <c r="DU31" s="490"/>
      <c r="DV31" s="490"/>
      <c r="DW31" s="490"/>
      <c r="DX31" s="490"/>
      <c r="DY31" s="490"/>
      <c r="DZ31" s="490"/>
      <c r="EA31" s="490"/>
      <c r="EB31" s="490"/>
      <c r="EC31" s="490"/>
      <c r="ED31" s="490"/>
      <c r="EE31" s="490"/>
      <c r="EF31" s="490"/>
      <c r="EG31" s="490"/>
      <c r="EH31" s="490"/>
      <c r="EI31" s="490"/>
      <c r="EJ31" s="490"/>
      <c r="EK31" s="490"/>
      <c r="EL31" s="490"/>
      <c r="EM31" s="490"/>
      <c r="EN31" s="490"/>
      <c r="EO31" s="490"/>
      <c r="EP31" s="490"/>
      <c r="EQ31" s="490"/>
      <c r="ER31" s="490"/>
      <c r="ES31" s="490"/>
      <c r="ET31" s="490"/>
      <c r="EU31" s="490"/>
      <c r="EV31" s="490"/>
      <c r="EW31" s="490"/>
      <c r="EX31" s="490"/>
      <c r="EY31" s="490"/>
      <c r="EZ31" s="490"/>
      <c r="FA31" s="490"/>
      <c r="FB31" s="490"/>
      <c r="FC31" s="490"/>
      <c r="FD31" s="490"/>
      <c r="FE31" s="490"/>
      <c r="FF31" s="490"/>
      <c r="FG31" s="490"/>
      <c r="FH31" s="490"/>
      <c r="FI31" s="490"/>
      <c r="FJ31" s="490"/>
      <c r="FK31" s="490"/>
      <c r="FL31" s="490"/>
      <c r="FM31" s="490"/>
      <c r="FN31" s="490"/>
    </row>
    <row r="32" s="491" customFormat="1" spans="1:170">
      <c r="A32" s="522">
        <v>46042</v>
      </c>
      <c r="B32" s="507" t="s">
        <v>707</v>
      </c>
      <c r="C32" s="523">
        <v>4</v>
      </c>
      <c r="D32" s="507" t="s">
        <v>33</v>
      </c>
      <c r="E32" s="507" t="s">
        <v>14</v>
      </c>
      <c r="F32" s="524" t="s">
        <v>26</v>
      </c>
      <c r="G32" s="538">
        <v>1.42</v>
      </c>
      <c r="H32" s="521">
        <v>3.36</v>
      </c>
      <c r="I32" s="538" t="s">
        <v>17</v>
      </c>
      <c r="J32" s="521">
        <v>2.2</v>
      </c>
      <c r="K32" s="526" t="s">
        <v>633</v>
      </c>
      <c r="L32" s="527"/>
      <c r="M32" s="490"/>
      <c r="N32" s="490"/>
      <c r="O32" s="490"/>
      <c r="P32" s="490"/>
      <c r="Q32" s="490"/>
      <c r="R32" s="490"/>
      <c r="S32" s="490"/>
      <c r="T32" s="490"/>
      <c r="U32" s="490"/>
      <c r="V32" s="490"/>
      <c r="W32" s="490"/>
      <c r="X32" s="490"/>
      <c r="Y32" s="490"/>
      <c r="Z32" s="490"/>
      <c r="AA32" s="490"/>
      <c r="AB32" s="490"/>
      <c r="AC32" s="490"/>
      <c r="AD32" s="490"/>
      <c r="AE32" s="490"/>
      <c r="AF32" s="490"/>
      <c r="AG32" s="490"/>
      <c r="AH32" s="490"/>
      <c r="AI32" s="490"/>
      <c r="AJ32" s="490"/>
      <c r="AK32" s="490"/>
      <c r="AL32" s="490"/>
      <c r="AM32" s="490"/>
      <c r="AN32" s="490"/>
      <c r="AO32" s="490"/>
      <c r="AP32" s="490"/>
      <c r="AQ32" s="490"/>
      <c r="AR32" s="490"/>
      <c r="AS32" s="490"/>
      <c r="AT32" s="490"/>
      <c r="AU32" s="490"/>
      <c r="AV32" s="490"/>
      <c r="AW32" s="490"/>
      <c r="AX32" s="490"/>
      <c r="AY32" s="490"/>
      <c r="AZ32" s="490"/>
      <c r="BA32" s="490"/>
      <c r="BB32" s="490"/>
      <c r="BC32" s="490"/>
      <c r="BD32" s="490"/>
      <c r="BE32" s="490"/>
      <c r="BF32" s="490"/>
      <c r="BG32" s="490"/>
      <c r="BH32" s="490"/>
      <c r="BI32" s="490"/>
      <c r="BJ32" s="490"/>
      <c r="BK32" s="490"/>
      <c r="BL32" s="490"/>
      <c r="BM32" s="490"/>
      <c r="BN32" s="490"/>
      <c r="BO32" s="490"/>
      <c r="BP32" s="490"/>
      <c r="BQ32" s="490"/>
      <c r="BR32" s="490"/>
      <c r="BS32" s="490"/>
      <c r="BT32" s="490"/>
      <c r="BU32" s="490"/>
      <c r="BV32" s="490"/>
      <c r="BW32" s="490"/>
      <c r="BX32" s="490"/>
      <c r="BY32" s="490"/>
      <c r="BZ32" s="490"/>
      <c r="CA32" s="490"/>
      <c r="CB32" s="490"/>
      <c r="CC32" s="490"/>
      <c r="CD32" s="490"/>
      <c r="CE32" s="490"/>
      <c r="CF32" s="490"/>
      <c r="CG32" s="490"/>
      <c r="CH32" s="490"/>
      <c r="CI32" s="490"/>
      <c r="CJ32" s="490"/>
      <c r="CK32" s="490"/>
      <c r="CL32" s="490"/>
      <c r="CM32" s="490"/>
      <c r="CN32" s="490"/>
      <c r="CO32" s="490"/>
      <c r="CP32" s="490"/>
      <c r="CQ32" s="490"/>
      <c r="CR32" s="490"/>
      <c r="CS32" s="490"/>
      <c r="CT32" s="490"/>
      <c r="CU32" s="490"/>
      <c r="CV32" s="490"/>
      <c r="CW32" s="490"/>
      <c r="CX32" s="490"/>
      <c r="CY32" s="490"/>
      <c r="CZ32" s="490"/>
      <c r="DA32" s="490"/>
      <c r="DB32" s="490"/>
      <c r="DC32" s="490"/>
      <c r="DD32" s="490"/>
      <c r="DE32" s="490"/>
      <c r="DF32" s="490"/>
      <c r="DG32" s="490"/>
      <c r="DH32" s="490"/>
      <c r="DI32" s="490"/>
      <c r="DJ32" s="490"/>
      <c r="DK32" s="490"/>
      <c r="DL32" s="490"/>
      <c r="DM32" s="490"/>
      <c r="DN32" s="490"/>
      <c r="DO32" s="490"/>
      <c r="DP32" s="490"/>
      <c r="DQ32" s="490"/>
      <c r="DR32" s="490"/>
      <c r="DS32" s="490"/>
      <c r="DT32" s="490"/>
      <c r="DU32" s="490"/>
      <c r="DV32" s="490"/>
      <c r="DW32" s="490"/>
      <c r="DX32" s="490"/>
      <c r="DY32" s="490"/>
      <c r="DZ32" s="490"/>
      <c r="EA32" s="490"/>
      <c r="EB32" s="490"/>
      <c r="EC32" s="490"/>
      <c r="ED32" s="490"/>
      <c r="EE32" s="490"/>
      <c r="EF32" s="490"/>
      <c r="EG32" s="490"/>
      <c r="EH32" s="490"/>
      <c r="EI32" s="490"/>
      <c r="EJ32" s="490"/>
      <c r="EK32" s="490"/>
      <c r="EL32" s="490"/>
      <c r="EM32" s="490"/>
      <c r="EN32" s="490"/>
      <c r="EO32" s="490"/>
      <c r="EP32" s="490"/>
      <c r="EQ32" s="490"/>
      <c r="ER32" s="490"/>
      <c r="ES32" s="490"/>
      <c r="ET32" s="490"/>
      <c r="EU32" s="490"/>
      <c r="EV32" s="490"/>
      <c r="EW32" s="490"/>
      <c r="EX32" s="490"/>
      <c r="EY32" s="490"/>
      <c r="EZ32" s="490"/>
      <c r="FA32" s="490"/>
      <c r="FB32" s="490"/>
      <c r="FC32" s="490"/>
      <c r="FD32" s="490"/>
      <c r="FE32" s="490"/>
      <c r="FF32" s="490"/>
      <c r="FG32" s="490"/>
      <c r="FH32" s="490"/>
      <c r="FI32" s="490"/>
      <c r="FJ32" s="490"/>
      <c r="FK32" s="490"/>
      <c r="FL32" s="490"/>
      <c r="FM32" s="490"/>
      <c r="FN32" s="490"/>
    </row>
    <row r="33" s="491" customFormat="1" spans="1:170">
      <c r="A33" s="528"/>
      <c r="B33" s="513"/>
      <c r="C33" s="529"/>
      <c r="D33" s="513"/>
      <c r="E33" s="513"/>
      <c r="F33" s="524" t="s">
        <v>21</v>
      </c>
      <c r="G33" s="538">
        <v>1.5</v>
      </c>
      <c r="H33" s="521">
        <v>0.16</v>
      </c>
      <c r="I33" s="538" t="s">
        <v>22</v>
      </c>
      <c r="J33" s="521">
        <v>2.7</v>
      </c>
      <c r="K33" s="531"/>
      <c r="L33" s="527"/>
      <c r="M33" s="490"/>
      <c r="N33" s="490"/>
      <c r="O33" s="490"/>
      <c r="P33" s="490"/>
      <c r="Q33" s="490"/>
      <c r="R33" s="490"/>
      <c r="S33" s="490"/>
      <c r="T33" s="490"/>
      <c r="U33" s="490"/>
      <c r="V33" s="490"/>
      <c r="W33" s="490"/>
      <c r="X33" s="490"/>
      <c r="Y33" s="490"/>
      <c r="Z33" s="490"/>
      <c r="AA33" s="490"/>
      <c r="AB33" s="490"/>
      <c r="AC33" s="490"/>
      <c r="AD33" s="490"/>
      <c r="AE33" s="490"/>
      <c r="AF33" s="490"/>
      <c r="AG33" s="490"/>
      <c r="AH33" s="490"/>
      <c r="AI33" s="490"/>
      <c r="AJ33" s="490"/>
      <c r="AK33" s="490"/>
      <c r="AL33" s="490"/>
      <c r="AM33" s="490"/>
      <c r="AN33" s="490"/>
      <c r="AO33" s="490"/>
      <c r="AP33" s="490"/>
      <c r="AQ33" s="490"/>
      <c r="AR33" s="490"/>
      <c r="AS33" s="490"/>
      <c r="AT33" s="490"/>
      <c r="AU33" s="490"/>
      <c r="AV33" s="490"/>
      <c r="AW33" s="490"/>
      <c r="AX33" s="490"/>
      <c r="AY33" s="490"/>
      <c r="AZ33" s="490"/>
      <c r="BA33" s="490"/>
      <c r="BB33" s="490"/>
      <c r="BC33" s="490"/>
      <c r="BD33" s="490"/>
      <c r="BE33" s="490"/>
      <c r="BF33" s="490"/>
      <c r="BG33" s="490"/>
      <c r="BH33" s="490"/>
      <c r="BI33" s="490"/>
      <c r="BJ33" s="490"/>
      <c r="BK33" s="490"/>
      <c r="BL33" s="490"/>
      <c r="BM33" s="490"/>
      <c r="BN33" s="490"/>
      <c r="BO33" s="490"/>
      <c r="BP33" s="490"/>
      <c r="BQ33" s="490"/>
      <c r="BR33" s="490"/>
      <c r="BS33" s="490"/>
      <c r="BT33" s="490"/>
      <c r="BU33" s="490"/>
      <c r="BV33" s="490"/>
      <c r="BW33" s="490"/>
      <c r="BX33" s="490"/>
      <c r="BY33" s="490"/>
      <c r="BZ33" s="490"/>
      <c r="CA33" s="490"/>
      <c r="CB33" s="490"/>
      <c r="CC33" s="490"/>
      <c r="CD33" s="490"/>
      <c r="CE33" s="490"/>
      <c r="CF33" s="490"/>
      <c r="CG33" s="490"/>
      <c r="CH33" s="490"/>
      <c r="CI33" s="490"/>
      <c r="CJ33" s="490"/>
      <c r="CK33" s="490"/>
      <c r="CL33" s="490"/>
      <c r="CM33" s="490"/>
      <c r="CN33" s="490"/>
      <c r="CO33" s="490"/>
      <c r="CP33" s="490"/>
      <c r="CQ33" s="490"/>
      <c r="CR33" s="490"/>
      <c r="CS33" s="490"/>
      <c r="CT33" s="490"/>
      <c r="CU33" s="490"/>
      <c r="CV33" s="490"/>
      <c r="CW33" s="490"/>
      <c r="CX33" s="490"/>
      <c r="CY33" s="490"/>
      <c r="CZ33" s="490"/>
      <c r="DA33" s="490"/>
      <c r="DB33" s="490"/>
      <c r="DC33" s="490"/>
      <c r="DD33" s="490"/>
      <c r="DE33" s="490"/>
      <c r="DF33" s="490"/>
      <c r="DG33" s="490"/>
      <c r="DH33" s="490"/>
      <c r="DI33" s="490"/>
      <c r="DJ33" s="490"/>
      <c r="DK33" s="490"/>
      <c r="DL33" s="490"/>
      <c r="DM33" s="490"/>
      <c r="DN33" s="490"/>
      <c r="DO33" s="490"/>
      <c r="DP33" s="490"/>
      <c r="DQ33" s="490"/>
      <c r="DR33" s="490"/>
      <c r="DS33" s="490"/>
      <c r="DT33" s="490"/>
      <c r="DU33" s="490"/>
      <c r="DV33" s="490"/>
      <c r="DW33" s="490"/>
      <c r="DX33" s="490"/>
      <c r="DY33" s="490"/>
      <c r="DZ33" s="490"/>
      <c r="EA33" s="490"/>
      <c r="EB33" s="490"/>
      <c r="EC33" s="490"/>
      <c r="ED33" s="490"/>
      <c r="EE33" s="490"/>
      <c r="EF33" s="490"/>
      <c r="EG33" s="490"/>
      <c r="EH33" s="490"/>
      <c r="EI33" s="490"/>
      <c r="EJ33" s="490"/>
      <c r="EK33" s="490"/>
      <c r="EL33" s="490"/>
      <c r="EM33" s="490"/>
      <c r="EN33" s="490"/>
      <c r="EO33" s="490"/>
      <c r="EP33" s="490"/>
      <c r="EQ33" s="490"/>
      <c r="ER33" s="490"/>
      <c r="ES33" s="490"/>
      <c r="ET33" s="490"/>
      <c r="EU33" s="490"/>
      <c r="EV33" s="490"/>
      <c r="EW33" s="490"/>
      <c r="EX33" s="490"/>
      <c r="EY33" s="490"/>
      <c r="EZ33" s="490"/>
      <c r="FA33" s="490"/>
      <c r="FB33" s="490"/>
      <c r="FC33" s="490"/>
      <c r="FD33" s="490"/>
      <c r="FE33" s="490"/>
      <c r="FF33" s="490"/>
      <c r="FG33" s="490"/>
      <c r="FH33" s="490"/>
      <c r="FI33" s="490"/>
      <c r="FJ33" s="490"/>
      <c r="FK33" s="490"/>
      <c r="FL33" s="490"/>
      <c r="FM33" s="490"/>
      <c r="FN33" s="490"/>
    </row>
    <row r="34" s="491" customFormat="1" spans="1:170">
      <c r="A34" s="532"/>
      <c r="B34" s="517"/>
      <c r="C34" s="533"/>
      <c r="D34" s="517"/>
      <c r="E34" s="517"/>
      <c r="F34" s="524" t="s">
        <v>23</v>
      </c>
      <c r="G34" s="538">
        <v>2.58</v>
      </c>
      <c r="H34" s="521">
        <v>0.48</v>
      </c>
      <c r="I34" s="538" t="s">
        <v>24</v>
      </c>
      <c r="J34" s="521" t="s">
        <v>24</v>
      </c>
      <c r="K34" s="534"/>
      <c r="L34" s="527"/>
      <c r="M34" s="490"/>
      <c r="N34" s="490"/>
      <c r="O34" s="490"/>
      <c r="P34" s="490"/>
      <c r="Q34" s="490"/>
      <c r="R34" s="490"/>
      <c r="S34" s="490"/>
      <c r="T34" s="490"/>
      <c r="U34" s="490"/>
      <c r="V34" s="490"/>
      <c r="W34" s="490"/>
      <c r="X34" s="490"/>
      <c r="Y34" s="490"/>
      <c r="Z34" s="490"/>
      <c r="AA34" s="490"/>
      <c r="AB34" s="490"/>
      <c r="AC34" s="490"/>
      <c r="AD34" s="490"/>
      <c r="AE34" s="490"/>
      <c r="AF34" s="490"/>
      <c r="AG34" s="490"/>
      <c r="AH34" s="490"/>
      <c r="AI34" s="490"/>
      <c r="AJ34" s="490"/>
      <c r="AK34" s="490"/>
      <c r="AL34" s="490"/>
      <c r="AM34" s="490"/>
      <c r="AN34" s="490"/>
      <c r="AO34" s="490"/>
      <c r="AP34" s="490"/>
      <c r="AQ34" s="490"/>
      <c r="AR34" s="490"/>
      <c r="AS34" s="490"/>
      <c r="AT34" s="490"/>
      <c r="AU34" s="490"/>
      <c r="AV34" s="490"/>
      <c r="AW34" s="490"/>
      <c r="AX34" s="490"/>
      <c r="AY34" s="490"/>
      <c r="AZ34" s="490"/>
      <c r="BA34" s="490"/>
      <c r="BB34" s="490"/>
      <c r="BC34" s="490"/>
      <c r="BD34" s="490"/>
      <c r="BE34" s="490"/>
      <c r="BF34" s="490"/>
      <c r="BG34" s="490"/>
      <c r="BH34" s="490"/>
      <c r="BI34" s="490"/>
      <c r="BJ34" s="490"/>
      <c r="BK34" s="490"/>
      <c r="BL34" s="490"/>
      <c r="BM34" s="490"/>
      <c r="BN34" s="490"/>
      <c r="BO34" s="490"/>
      <c r="BP34" s="490"/>
      <c r="BQ34" s="490"/>
      <c r="BR34" s="490"/>
      <c r="BS34" s="490"/>
      <c r="BT34" s="490"/>
      <c r="BU34" s="490"/>
      <c r="BV34" s="490"/>
      <c r="BW34" s="490"/>
      <c r="BX34" s="490"/>
      <c r="BY34" s="490"/>
      <c r="BZ34" s="490"/>
      <c r="CA34" s="490"/>
      <c r="CB34" s="490"/>
      <c r="CC34" s="490"/>
      <c r="CD34" s="490"/>
      <c r="CE34" s="490"/>
      <c r="CF34" s="490"/>
      <c r="CG34" s="490"/>
      <c r="CH34" s="490"/>
      <c r="CI34" s="490"/>
      <c r="CJ34" s="490"/>
      <c r="CK34" s="490"/>
      <c r="CL34" s="490"/>
      <c r="CM34" s="490"/>
      <c r="CN34" s="490"/>
      <c r="CO34" s="490"/>
      <c r="CP34" s="490"/>
      <c r="CQ34" s="490"/>
      <c r="CR34" s="490"/>
      <c r="CS34" s="490"/>
      <c r="CT34" s="490"/>
      <c r="CU34" s="490"/>
      <c r="CV34" s="490"/>
      <c r="CW34" s="490"/>
      <c r="CX34" s="490"/>
      <c r="CY34" s="490"/>
      <c r="CZ34" s="490"/>
      <c r="DA34" s="490"/>
      <c r="DB34" s="490"/>
      <c r="DC34" s="490"/>
      <c r="DD34" s="490"/>
      <c r="DE34" s="490"/>
      <c r="DF34" s="490"/>
      <c r="DG34" s="490"/>
      <c r="DH34" s="490"/>
      <c r="DI34" s="490"/>
      <c r="DJ34" s="490"/>
      <c r="DK34" s="490"/>
      <c r="DL34" s="490"/>
      <c r="DM34" s="490"/>
      <c r="DN34" s="490"/>
      <c r="DO34" s="490"/>
      <c r="DP34" s="490"/>
      <c r="DQ34" s="490"/>
      <c r="DR34" s="490"/>
      <c r="DS34" s="490"/>
      <c r="DT34" s="490"/>
      <c r="DU34" s="490"/>
      <c r="DV34" s="490"/>
      <c r="DW34" s="490"/>
      <c r="DX34" s="490"/>
      <c r="DY34" s="490"/>
      <c r="DZ34" s="490"/>
      <c r="EA34" s="490"/>
      <c r="EB34" s="490"/>
      <c r="EC34" s="490"/>
      <c r="ED34" s="490"/>
      <c r="EE34" s="490"/>
      <c r="EF34" s="490"/>
      <c r="EG34" s="490"/>
      <c r="EH34" s="490"/>
      <c r="EI34" s="490"/>
      <c r="EJ34" s="490"/>
      <c r="EK34" s="490"/>
      <c r="EL34" s="490"/>
      <c r="EM34" s="490"/>
      <c r="EN34" s="490"/>
      <c r="EO34" s="490"/>
      <c r="EP34" s="490"/>
      <c r="EQ34" s="490"/>
      <c r="ER34" s="490"/>
      <c r="ES34" s="490"/>
      <c r="ET34" s="490"/>
      <c r="EU34" s="490"/>
      <c r="EV34" s="490"/>
      <c r="EW34" s="490"/>
      <c r="EX34" s="490"/>
      <c r="EY34" s="490"/>
      <c r="EZ34" s="490"/>
      <c r="FA34" s="490"/>
      <c r="FB34" s="490"/>
      <c r="FC34" s="490"/>
      <c r="FD34" s="490"/>
      <c r="FE34" s="490"/>
      <c r="FF34" s="490"/>
      <c r="FG34" s="490"/>
      <c r="FH34" s="490"/>
      <c r="FI34" s="490"/>
      <c r="FJ34" s="490"/>
      <c r="FK34" s="490"/>
      <c r="FL34" s="490"/>
      <c r="FM34" s="490"/>
      <c r="FN34" s="490"/>
    </row>
    <row r="35" s="491" customFormat="1" spans="1:170">
      <c r="A35" s="522">
        <v>46042</v>
      </c>
      <c r="B35" s="507" t="s">
        <v>708</v>
      </c>
      <c r="C35" s="523">
        <v>10</v>
      </c>
      <c r="D35" s="507" t="s">
        <v>177</v>
      </c>
      <c r="E35" s="507" t="s">
        <v>14</v>
      </c>
      <c r="F35" s="524" t="s">
        <v>26</v>
      </c>
      <c r="G35" s="538">
        <v>1.02</v>
      </c>
      <c r="H35" s="521">
        <v>8.7</v>
      </c>
      <c r="I35" s="538" t="s">
        <v>17</v>
      </c>
      <c r="J35" s="538">
        <v>1.84</v>
      </c>
      <c r="K35" s="526" t="s">
        <v>601</v>
      </c>
      <c r="L35" s="527" t="s">
        <v>89</v>
      </c>
      <c r="M35" s="490"/>
      <c r="N35" s="490"/>
      <c r="O35" s="490"/>
      <c r="P35" s="490"/>
      <c r="Q35" s="490"/>
      <c r="R35" s="490"/>
      <c r="S35" s="490"/>
      <c r="T35" s="490"/>
      <c r="U35" s="490"/>
      <c r="V35" s="490"/>
      <c r="W35" s="490"/>
      <c r="X35" s="490"/>
      <c r="Y35" s="490"/>
      <c r="Z35" s="490"/>
      <c r="AA35" s="490"/>
      <c r="AB35" s="490"/>
      <c r="AC35" s="490"/>
      <c r="AD35" s="490"/>
      <c r="AE35" s="490"/>
      <c r="AF35" s="490"/>
      <c r="AG35" s="490"/>
      <c r="AH35" s="490"/>
      <c r="AI35" s="490"/>
      <c r="AJ35" s="490"/>
      <c r="AK35" s="490"/>
      <c r="AL35" s="490"/>
      <c r="AM35" s="490"/>
      <c r="AN35" s="490"/>
      <c r="AO35" s="490"/>
      <c r="AP35" s="490"/>
      <c r="AQ35" s="490"/>
      <c r="AR35" s="490"/>
      <c r="AS35" s="490"/>
      <c r="AT35" s="490"/>
      <c r="AU35" s="490"/>
      <c r="AV35" s="490"/>
      <c r="AW35" s="490"/>
      <c r="AX35" s="490"/>
      <c r="AY35" s="490"/>
      <c r="AZ35" s="490"/>
      <c r="BA35" s="490"/>
      <c r="BB35" s="490"/>
      <c r="BC35" s="490"/>
      <c r="BD35" s="490"/>
      <c r="BE35" s="490"/>
      <c r="BF35" s="490"/>
      <c r="BG35" s="490"/>
      <c r="BH35" s="490"/>
      <c r="BI35" s="490"/>
      <c r="BJ35" s="490"/>
      <c r="BK35" s="490"/>
      <c r="BL35" s="490"/>
      <c r="BM35" s="490"/>
      <c r="BN35" s="490"/>
      <c r="BO35" s="490"/>
      <c r="BP35" s="490"/>
      <c r="BQ35" s="490"/>
      <c r="BR35" s="490"/>
      <c r="BS35" s="490"/>
      <c r="BT35" s="490"/>
      <c r="BU35" s="490"/>
      <c r="BV35" s="490"/>
      <c r="BW35" s="490"/>
      <c r="BX35" s="490"/>
      <c r="BY35" s="490"/>
      <c r="BZ35" s="490"/>
      <c r="CA35" s="490"/>
      <c r="CB35" s="490"/>
      <c r="CC35" s="490"/>
      <c r="CD35" s="490"/>
      <c r="CE35" s="490"/>
      <c r="CF35" s="490"/>
      <c r="CG35" s="490"/>
      <c r="CH35" s="490"/>
      <c r="CI35" s="490"/>
      <c r="CJ35" s="490"/>
      <c r="CK35" s="490"/>
      <c r="CL35" s="490"/>
      <c r="CM35" s="490"/>
      <c r="CN35" s="490"/>
      <c r="CO35" s="490"/>
      <c r="CP35" s="490"/>
      <c r="CQ35" s="490"/>
      <c r="CR35" s="490"/>
      <c r="CS35" s="490"/>
      <c r="CT35" s="490"/>
      <c r="CU35" s="490"/>
      <c r="CV35" s="490"/>
      <c r="CW35" s="490"/>
      <c r="CX35" s="490"/>
      <c r="CY35" s="490"/>
      <c r="CZ35" s="490"/>
      <c r="DA35" s="490"/>
      <c r="DB35" s="490"/>
      <c r="DC35" s="490"/>
      <c r="DD35" s="490"/>
      <c r="DE35" s="490"/>
      <c r="DF35" s="490"/>
      <c r="DG35" s="490"/>
      <c r="DH35" s="490"/>
      <c r="DI35" s="490"/>
      <c r="DJ35" s="490"/>
      <c r="DK35" s="490"/>
      <c r="DL35" s="490"/>
      <c r="DM35" s="490"/>
      <c r="DN35" s="490"/>
      <c r="DO35" s="490"/>
      <c r="DP35" s="490"/>
      <c r="DQ35" s="490"/>
      <c r="DR35" s="490"/>
      <c r="DS35" s="490"/>
      <c r="DT35" s="490"/>
      <c r="DU35" s="490"/>
      <c r="DV35" s="490"/>
      <c r="DW35" s="490"/>
      <c r="DX35" s="490"/>
      <c r="DY35" s="490"/>
      <c r="DZ35" s="490"/>
      <c r="EA35" s="490"/>
      <c r="EB35" s="490"/>
      <c r="EC35" s="490"/>
      <c r="ED35" s="490"/>
      <c r="EE35" s="490"/>
      <c r="EF35" s="490"/>
      <c r="EG35" s="490"/>
      <c r="EH35" s="490"/>
      <c r="EI35" s="490"/>
      <c r="EJ35" s="490"/>
      <c r="EK35" s="490"/>
      <c r="EL35" s="490"/>
      <c r="EM35" s="490"/>
      <c r="EN35" s="490"/>
      <c r="EO35" s="490"/>
      <c r="EP35" s="490"/>
      <c r="EQ35" s="490"/>
      <c r="ER35" s="490"/>
      <c r="ES35" s="490"/>
      <c r="ET35" s="490"/>
      <c r="EU35" s="490"/>
      <c r="EV35" s="490"/>
      <c r="EW35" s="490"/>
      <c r="EX35" s="490"/>
      <c r="EY35" s="490"/>
      <c r="EZ35" s="490"/>
      <c r="FA35" s="490"/>
      <c r="FB35" s="490"/>
      <c r="FC35" s="490"/>
      <c r="FD35" s="490"/>
      <c r="FE35" s="490"/>
      <c r="FF35" s="490"/>
      <c r="FG35" s="490"/>
      <c r="FH35" s="490"/>
      <c r="FI35" s="490"/>
      <c r="FJ35" s="490"/>
      <c r="FK35" s="490"/>
      <c r="FL35" s="490"/>
      <c r="FM35" s="490"/>
      <c r="FN35" s="490"/>
    </row>
    <row r="36" s="491" customFormat="1" spans="1:170">
      <c r="A36" s="528"/>
      <c r="B36" s="513"/>
      <c r="C36" s="529"/>
      <c r="D36" s="513"/>
      <c r="E36" s="513"/>
      <c r="F36" s="524" t="s">
        <v>21</v>
      </c>
      <c r="G36" s="538">
        <v>1.02</v>
      </c>
      <c r="H36" s="521">
        <v>0.5</v>
      </c>
      <c r="I36" s="538" t="s">
        <v>22</v>
      </c>
      <c r="J36" s="538">
        <v>1.86</v>
      </c>
      <c r="K36" s="531"/>
      <c r="L36" s="527"/>
      <c r="M36" s="490"/>
      <c r="N36" s="490"/>
      <c r="O36" s="490"/>
      <c r="P36" s="490"/>
      <c r="Q36" s="490"/>
      <c r="R36" s="490"/>
      <c r="S36" s="490"/>
      <c r="T36" s="490"/>
      <c r="U36" s="490"/>
      <c r="V36" s="490"/>
      <c r="W36" s="490"/>
      <c r="X36" s="490"/>
      <c r="Y36" s="490"/>
      <c r="Z36" s="490"/>
      <c r="AA36" s="490"/>
      <c r="AB36" s="490"/>
      <c r="AC36" s="490"/>
      <c r="AD36" s="490"/>
      <c r="AE36" s="490"/>
      <c r="AF36" s="490"/>
      <c r="AG36" s="490"/>
      <c r="AH36" s="490"/>
      <c r="AI36" s="490"/>
      <c r="AJ36" s="490"/>
      <c r="AK36" s="490"/>
      <c r="AL36" s="490"/>
      <c r="AM36" s="490"/>
      <c r="AN36" s="490"/>
      <c r="AO36" s="490"/>
      <c r="AP36" s="490"/>
      <c r="AQ36" s="490"/>
      <c r="AR36" s="490"/>
      <c r="AS36" s="490"/>
      <c r="AT36" s="490"/>
      <c r="AU36" s="490"/>
      <c r="AV36" s="490"/>
      <c r="AW36" s="490"/>
      <c r="AX36" s="490"/>
      <c r="AY36" s="490"/>
      <c r="AZ36" s="490"/>
      <c r="BA36" s="490"/>
      <c r="BB36" s="490"/>
      <c r="BC36" s="490"/>
      <c r="BD36" s="490"/>
      <c r="BE36" s="490"/>
      <c r="BF36" s="490"/>
      <c r="BG36" s="490"/>
      <c r="BH36" s="490"/>
      <c r="BI36" s="490"/>
      <c r="BJ36" s="490"/>
      <c r="BK36" s="490"/>
      <c r="BL36" s="490"/>
      <c r="BM36" s="490"/>
      <c r="BN36" s="490"/>
      <c r="BO36" s="490"/>
      <c r="BP36" s="490"/>
      <c r="BQ36" s="490"/>
      <c r="BR36" s="490"/>
      <c r="BS36" s="490"/>
      <c r="BT36" s="490"/>
      <c r="BU36" s="490"/>
      <c r="BV36" s="490"/>
      <c r="BW36" s="490"/>
      <c r="BX36" s="490"/>
      <c r="BY36" s="490"/>
      <c r="BZ36" s="490"/>
      <c r="CA36" s="490"/>
      <c r="CB36" s="490"/>
      <c r="CC36" s="490"/>
      <c r="CD36" s="490"/>
      <c r="CE36" s="490"/>
      <c r="CF36" s="490"/>
      <c r="CG36" s="490"/>
      <c r="CH36" s="490"/>
      <c r="CI36" s="490"/>
      <c r="CJ36" s="490"/>
      <c r="CK36" s="490"/>
      <c r="CL36" s="490"/>
      <c r="CM36" s="490"/>
      <c r="CN36" s="490"/>
      <c r="CO36" s="490"/>
      <c r="CP36" s="490"/>
      <c r="CQ36" s="490"/>
      <c r="CR36" s="490"/>
      <c r="CS36" s="490"/>
      <c r="CT36" s="490"/>
      <c r="CU36" s="490"/>
      <c r="CV36" s="490"/>
      <c r="CW36" s="490"/>
      <c r="CX36" s="490"/>
      <c r="CY36" s="490"/>
      <c r="CZ36" s="490"/>
      <c r="DA36" s="490"/>
      <c r="DB36" s="490"/>
      <c r="DC36" s="490"/>
      <c r="DD36" s="490"/>
      <c r="DE36" s="490"/>
      <c r="DF36" s="490"/>
      <c r="DG36" s="490"/>
      <c r="DH36" s="490"/>
      <c r="DI36" s="490"/>
      <c r="DJ36" s="490"/>
      <c r="DK36" s="490"/>
      <c r="DL36" s="490"/>
      <c r="DM36" s="490"/>
      <c r="DN36" s="490"/>
      <c r="DO36" s="490"/>
      <c r="DP36" s="490"/>
      <c r="DQ36" s="490"/>
      <c r="DR36" s="490"/>
      <c r="DS36" s="490"/>
      <c r="DT36" s="490"/>
      <c r="DU36" s="490"/>
      <c r="DV36" s="490"/>
      <c r="DW36" s="490"/>
      <c r="DX36" s="490"/>
      <c r="DY36" s="490"/>
      <c r="DZ36" s="490"/>
      <c r="EA36" s="490"/>
      <c r="EB36" s="490"/>
      <c r="EC36" s="490"/>
      <c r="ED36" s="490"/>
      <c r="EE36" s="490"/>
      <c r="EF36" s="490"/>
      <c r="EG36" s="490"/>
      <c r="EH36" s="490"/>
      <c r="EI36" s="490"/>
      <c r="EJ36" s="490"/>
      <c r="EK36" s="490"/>
      <c r="EL36" s="490"/>
      <c r="EM36" s="490"/>
      <c r="EN36" s="490"/>
      <c r="EO36" s="490"/>
      <c r="EP36" s="490"/>
      <c r="EQ36" s="490"/>
      <c r="ER36" s="490"/>
      <c r="ES36" s="490"/>
      <c r="ET36" s="490"/>
      <c r="EU36" s="490"/>
      <c r="EV36" s="490"/>
      <c r="EW36" s="490"/>
      <c r="EX36" s="490"/>
      <c r="EY36" s="490"/>
      <c r="EZ36" s="490"/>
      <c r="FA36" s="490"/>
      <c r="FB36" s="490"/>
      <c r="FC36" s="490"/>
      <c r="FD36" s="490"/>
      <c r="FE36" s="490"/>
      <c r="FF36" s="490"/>
      <c r="FG36" s="490"/>
      <c r="FH36" s="490"/>
      <c r="FI36" s="490"/>
      <c r="FJ36" s="490"/>
      <c r="FK36" s="490"/>
      <c r="FL36" s="490"/>
      <c r="FM36" s="490"/>
      <c r="FN36" s="490"/>
    </row>
    <row r="37" s="491" customFormat="1" spans="1:170">
      <c r="A37" s="532"/>
      <c r="B37" s="517"/>
      <c r="C37" s="533"/>
      <c r="D37" s="517"/>
      <c r="E37" s="517"/>
      <c r="F37" s="524" t="s">
        <v>23</v>
      </c>
      <c r="G37" s="538">
        <v>1.85</v>
      </c>
      <c r="H37" s="521">
        <v>0.8</v>
      </c>
      <c r="I37" s="538" t="s">
        <v>24</v>
      </c>
      <c r="J37" s="538" t="s">
        <v>24</v>
      </c>
      <c r="K37" s="534"/>
      <c r="L37" s="527"/>
      <c r="M37" s="490"/>
      <c r="N37" s="490"/>
      <c r="O37" s="490"/>
      <c r="P37" s="490"/>
      <c r="Q37" s="490"/>
      <c r="R37" s="490"/>
      <c r="S37" s="490"/>
      <c r="T37" s="490"/>
      <c r="U37" s="490"/>
      <c r="V37" s="490"/>
      <c r="W37" s="490"/>
      <c r="X37" s="490"/>
      <c r="Y37" s="490"/>
      <c r="Z37" s="490"/>
      <c r="AA37" s="490"/>
      <c r="AB37" s="490"/>
      <c r="AC37" s="490"/>
      <c r="AD37" s="490"/>
      <c r="AE37" s="490"/>
      <c r="AF37" s="490"/>
      <c r="AG37" s="490"/>
      <c r="AH37" s="490"/>
      <c r="AI37" s="490"/>
      <c r="AJ37" s="490"/>
      <c r="AK37" s="490"/>
      <c r="AL37" s="490"/>
      <c r="AM37" s="490"/>
      <c r="AN37" s="490"/>
      <c r="AO37" s="490"/>
      <c r="AP37" s="490"/>
      <c r="AQ37" s="490"/>
      <c r="AR37" s="490"/>
      <c r="AS37" s="490"/>
      <c r="AT37" s="490"/>
      <c r="AU37" s="490"/>
      <c r="AV37" s="490"/>
      <c r="AW37" s="490"/>
      <c r="AX37" s="490"/>
      <c r="AY37" s="490"/>
      <c r="AZ37" s="490"/>
      <c r="BA37" s="490"/>
      <c r="BB37" s="490"/>
      <c r="BC37" s="490"/>
      <c r="BD37" s="490"/>
      <c r="BE37" s="490"/>
      <c r="BF37" s="490"/>
      <c r="BG37" s="490"/>
      <c r="BH37" s="490"/>
      <c r="BI37" s="490"/>
      <c r="BJ37" s="490"/>
      <c r="BK37" s="490"/>
      <c r="BL37" s="490"/>
      <c r="BM37" s="490"/>
      <c r="BN37" s="490"/>
      <c r="BO37" s="490"/>
      <c r="BP37" s="490"/>
      <c r="BQ37" s="490"/>
      <c r="BR37" s="490"/>
      <c r="BS37" s="490"/>
      <c r="BT37" s="490"/>
      <c r="BU37" s="490"/>
      <c r="BV37" s="490"/>
      <c r="BW37" s="490"/>
      <c r="BX37" s="490"/>
      <c r="BY37" s="490"/>
      <c r="BZ37" s="490"/>
      <c r="CA37" s="490"/>
      <c r="CB37" s="490"/>
      <c r="CC37" s="490"/>
      <c r="CD37" s="490"/>
      <c r="CE37" s="490"/>
      <c r="CF37" s="490"/>
      <c r="CG37" s="490"/>
      <c r="CH37" s="490"/>
      <c r="CI37" s="490"/>
      <c r="CJ37" s="490"/>
      <c r="CK37" s="490"/>
      <c r="CL37" s="490"/>
      <c r="CM37" s="490"/>
      <c r="CN37" s="490"/>
      <c r="CO37" s="490"/>
      <c r="CP37" s="490"/>
      <c r="CQ37" s="490"/>
      <c r="CR37" s="490"/>
      <c r="CS37" s="490"/>
      <c r="CT37" s="490"/>
      <c r="CU37" s="490"/>
      <c r="CV37" s="490"/>
      <c r="CW37" s="490"/>
      <c r="CX37" s="490"/>
      <c r="CY37" s="490"/>
      <c r="CZ37" s="490"/>
      <c r="DA37" s="490"/>
      <c r="DB37" s="490"/>
      <c r="DC37" s="490"/>
      <c r="DD37" s="490"/>
      <c r="DE37" s="490"/>
      <c r="DF37" s="490"/>
      <c r="DG37" s="490"/>
      <c r="DH37" s="490"/>
      <c r="DI37" s="490"/>
      <c r="DJ37" s="490"/>
      <c r="DK37" s="490"/>
      <c r="DL37" s="490"/>
      <c r="DM37" s="490"/>
      <c r="DN37" s="490"/>
      <c r="DO37" s="490"/>
      <c r="DP37" s="490"/>
      <c r="DQ37" s="490"/>
      <c r="DR37" s="490"/>
      <c r="DS37" s="490"/>
      <c r="DT37" s="490"/>
      <c r="DU37" s="490"/>
      <c r="DV37" s="490"/>
      <c r="DW37" s="490"/>
      <c r="DX37" s="490"/>
      <c r="DY37" s="490"/>
      <c r="DZ37" s="490"/>
      <c r="EA37" s="490"/>
      <c r="EB37" s="490"/>
      <c r="EC37" s="490"/>
      <c r="ED37" s="490"/>
      <c r="EE37" s="490"/>
      <c r="EF37" s="490"/>
      <c r="EG37" s="490"/>
      <c r="EH37" s="490"/>
      <c r="EI37" s="490"/>
      <c r="EJ37" s="490"/>
      <c r="EK37" s="490"/>
      <c r="EL37" s="490"/>
      <c r="EM37" s="490"/>
      <c r="EN37" s="490"/>
      <c r="EO37" s="490"/>
      <c r="EP37" s="490"/>
      <c r="EQ37" s="490"/>
      <c r="ER37" s="490"/>
      <c r="ES37" s="490"/>
      <c r="ET37" s="490"/>
      <c r="EU37" s="490"/>
      <c r="EV37" s="490"/>
      <c r="EW37" s="490"/>
      <c r="EX37" s="490"/>
      <c r="EY37" s="490"/>
      <c r="EZ37" s="490"/>
      <c r="FA37" s="490"/>
      <c r="FB37" s="490"/>
      <c r="FC37" s="490"/>
      <c r="FD37" s="490"/>
      <c r="FE37" s="490"/>
      <c r="FF37" s="490"/>
      <c r="FG37" s="490"/>
      <c r="FH37" s="490"/>
      <c r="FI37" s="490"/>
      <c r="FJ37" s="490"/>
      <c r="FK37" s="490"/>
      <c r="FL37" s="490"/>
      <c r="FM37" s="490"/>
      <c r="FN37" s="490"/>
    </row>
    <row r="38" s="491" customFormat="1" spans="1:170">
      <c r="A38" s="522">
        <v>46044</v>
      </c>
      <c r="B38" s="507" t="s">
        <v>709</v>
      </c>
      <c r="C38" s="523">
        <v>7.52</v>
      </c>
      <c r="D38" s="507" t="s">
        <v>66</v>
      </c>
      <c r="E38" s="507" t="s">
        <v>14</v>
      </c>
      <c r="F38" s="524" t="s">
        <v>26</v>
      </c>
      <c r="G38" s="538">
        <v>1.01</v>
      </c>
      <c r="H38" s="521">
        <v>7.04</v>
      </c>
      <c r="I38" s="538" t="s">
        <v>17</v>
      </c>
      <c r="J38" s="521">
        <v>1.85</v>
      </c>
      <c r="K38" s="526" t="s">
        <v>630</v>
      </c>
      <c r="L38" s="527" t="s">
        <v>95</v>
      </c>
      <c r="M38" s="490"/>
      <c r="N38" s="490"/>
      <c r="O38" s="490"/>
      <c r="P38" s="490"/>
      <c r="Q38" s="490"/>
      <c r="R38" s="490"/>
      <c r="S38" s="490"/>
      <c r="T38" s="490"/>
      <c r="U38" s="490"/>
      <c r="V38" s="490"/>
      <c r="W38" s="490"/>
      <c r="X38" s="490"/>
      <c r="Y38" s="490"/>
      <c r="Z38" s="490"/>
      <c r="AA38" s="490"/>
      <c r="AB38" s="490"/>
      <c r="AC38" s="490"/>
      <c r="AD38" s="490"/>
      <c r="AE38" s="490"/>
      <c r="AF38" s="490"/>
      <c r="AG38" s="490"/>
      <c r="AH38" s="490"/>
      <c r="AI38" s="490"/>
      <c r="AJ38" s="490"/>
      <c r="AK38" s="490"/>
      <c r="AL38" s="490"/>
      <c r="AM38" s="490"/>
      <c r="AN38" s="490"/>
      <c r="AO38" s="490"/>
      <c r="AP38" s="490"/>
      <c r="AQ38" s="490"/>
      <c r="AR38" s="490"/>
      <c r="AS38" s="490"/>
      <c r="AT38" s="490"/>
      <c r="AU38" s="490"/>
      <c r="AV38" s="490"/>
      <c r="AW38" s="490"/>
      <c r="AX38" s="490"/>
      <c r="AY38" s="490"/>
      <c r="AZ38" s="490"/>
      <c r="BA38" s="490"/>
      <c r="BB38" s="490"/>
      <c r="BC38" s="490"/>
      <c r="BD38" s="490"/>
      <c r="BE38" s="490"/>
      <c r="BF38" s="490"/>
      <c r="BG38" s="490"/>
      <c r="BH38" s="490"/>
      <c r="BI38" s="490"/>
      <c r="BJ38" s="490"/>
      <c r="BK38" s="490"/>
      <c r="BL38" s="490"/>
      <c r="BM38" s="490"/>
      <c r="BN38" s="490"/>
      <c r="BO38" s="490"/>
      <c r="BP38" s="490"/>
      <c r="BQ38" s="490"/>
      <c r="BR38" s="490"/>
      <c r="BS38" s="490"/>
      <c r="BT38" s="490"/>
      <c r="BU38" s="490"/>
      <c r="BV38" s="490"/>
      <c r="BW38" s="490"/>
      <c r="BX38" s="490"/>
      <c r="BY38" s="490"/>
      <c r="BZ38" s="490"/>
      <c r="CA38" s="490"/>
      <c r="CB38" s="490"/>
      <c r="CC38" s="490"/>
      <c r="CD38" s="490"/>
      <c r="CE38" s="490"/>
      <c r="CF38" s="490"/>
      <c r="CG38" s="490"/>
      <c r="CH38" s="490"/>
      <c r="CI38" s="490"/>
      <c r="CJ38" s="490"/>
      <c r="CK38" s="490"/>
      <c r="CL38" s="490"/>
      <c r="CM38" s="490"/>
      <c r="CN38" s="490"/>
      <c r="CO38" s="490"/>
      <c r="CP38" s="490"/>
      <c r="CQ38" s="490"/>
      <c r="CR38" s="490"/>
      <c r="CS38" s="490"/>
      <c r="CT38" s="490"/>
      <c r="CU38" s="490"/>
      <c r="CV38" s="490"/>
      <c r="CW38" s="490"/>
      <c r="CX38" s="490"/>
      <c r="CY38" s="490"/>
      <c r="CZ38" s="490"/>
      <c r="DA38" s="490"/>
      <c r="DB38" s="490"/>
      <c r="DC38" s="490"/>
      <c r="DD38" s="490"/>
      <c r="DE38" s="490"/>
      <c r="DF38" s="490"/>
      <c r="DG38" s="490"/>
      <c r="DH38" s="490"/>
      <c r="DI38" s="490"/>
      <c r="DJ38" s="490"/>
      <c r="DK38" s="490"/>
      <c r="DL38" s="490"/>
      <c r="DM38" s="490"/>
      <c r="DN38" s="490"/>
      <c r="DO38" s="490"/>
      <c r="DP38" s="490"/>
      <c r="DQ38" s="490"/>
      <c r="DR38" s="490"/>
      <c r="DS38" s="490"/>
      <c r="DT38" s="490"/>
      <c r="DU38" s="490"/>
      <c r="DV38" s="490"/>
      <c r="DW38" s="490"/>
      <c r="DX38" s="490"/>
      <c r="DY38" s="490"/>
      <c r="DZ38" s="490"/>
      <c r="EA38" s="490"/>
      <c r="EB38" s="490"/>
      <c r="EC38" s="490"/>
      <c r="ED38" s="490"/>
      <c r="EE38" s="490"/>
      <c r="EF38" s="490"/>
      <c r="EG38" s="490"/>
      <c r="EH38" s="490"/>
      <c r="EI38" s="490"/>
      <c r="EJ38" s="490"/>
      <c r="EK38" s="490"/>
      <c r="EL38" s="490"/>
      <c r="EM38" s="490"/>
      <c r="EN38" s="490"/>
      <c r="EO38" s="490"/>
      <c r="EP38" s="490"/>
      <c r="EQ38" s="490"/>
      <c r="ER38" s="490"/>
      <c r="ES38" s="490"/>
      <c r="ET38" s="490"/>
      <c r="EU38" s="490"/>
      <c r="EV38" s="490"/>
      <c r="EW38" s="490"/>
      <c r="EX38" s="490"/>
      <c r="EY38" s="490"/>
      <c r="EZ38" s="490"/>
      <c r="FA38" s="490"/>
      <c r="FB38" s="490"/>
      <c r="FC38" s="490"/>
      <c r="FD38" s="490"/>
      <c r="FE38" s="490"/>
      <c r="FF38" s="490"/>
      <c r="FG38" s="490"/>
      <c r="FH38" s="490"/>
      <c r="FI38" s="490"/>
      <c r="FJ38" s="490"/>
      <c r="FK38" s="490"/>
      <c r="FL38" s="490"/>
      <c r="FM38" s="490"/>
      <c r="FN38" s="490"/>
    </row>
    <row r="39" s="491" customFormat="1" spans="1:170">
      <c r="A39" s="528"/>
      <c r="B39" s="513"/>
      <c r="C39" s="529"/>
      <c r="D39" s="513"/>
      <c r="E39" s="513"/>
      <c r="F39" s="524" t="s">
        <v>21</v>
      </c>
      <c r="G39" s="538">
        <v>1.01</v>
      </c>
      <c r="H39" s="521">
        <v>0.48</v>
      </c>
      <c r="I39" s="538" t="s">
        <v>22</v>
      </c>
      <c r="J39" s="521">
        <v>2.04</v>
      </c>
      <c r="K39" s="531"/>
      <c r="L39" s="527"/>
      <c r="M39" s="490"/>
      <c r="N39" s="490"/>
      <c r="O39" s="490"/>
      <c r="P39" s="490"/>
      <c r="Q39" s="490"/>
      <c r="R39" s="490"/>
      <c r="S39" s="490"/>
      <c r="T39" s="490"/>
      <c r="U39" s="490"/>
      <c r="V39" s="490"/>
      <c r="W39" s="490"/>
      <c r="X39" s="490"/>
      <c r="Y39" s="490"/>
      <c r="Z39" s="490"/>
      <c r="AA39" s="490"/>
      <c r="AB39" s="490"/>
      <c r="AC39" s="490"/>
      <c r="AD39" s="490"/>
      <c r="AE39" s="490"/>
      <c r="AF39" s="490"/>
      <c r="AG39" s="490"/>
      <c r="AH39" s="490"/>
      <c r="AI39" s="490"/>
      <c r="AJ39" s="490"/>
      <c r="AK39" s="490"/>
      <c r="AL39" s="490"/>
      <c r="AM39" s="490"/>
      <c r="AN39" s="490"/>
      <c r="AO39" s="490"/>
      <c r="AP39" s="490"/>
      <c r="AQ39" s="490"/>
      <c r="AR39" s="490"/>
      <c r="AS39" s="490"/>
      <c r="AT39" s="490"/>
      <c r="AU39" s="490"/>
      <c r="AV39" s="490"/>
      <c r="AW39" s="490"/>
      <c r="AX39" s="490"/>
      <c r="AY39" s="490"/>
      <c r="AZ39" s="490"/>
      <c r="BA39" s="490"/>
      <c r="BB39" s="490"/>
      <c r="BC39" s="490"/>
      <c r="BD39" s="490"/>
      <c r="BE39" s="490"/>
      <c r="BF39" s="490"/>
      <c r="BG39" s="490"/>
      <c r="BH39" s="490"/>
      <c r="BI39" s="490"/>
      <c r="BJ39" s="490"/>
      <c r="BK39" s="490"/>
      <c r="BL39" s="490"/>
      <c r="BM39" s="490"/>
      <c r="BN39" s="490"/>
      <c r="BO39" s="490"/>
      <c r="BP39" s="490"/>
      <c r="BQ39" s="490"/>
      <c r="BR39" s="490"/>
      <c r="BS39" s="490"/>
      <c r="BT39" s="490"/>
      <c r="BU39" s="490"/>
      <c r="BV39" s="490"/>
      <c r="BW39" s="490"/>
      <c r="BX39" s="490"/>
      <c r="BY39" s="490"/>
      <c r="BZ39" s="490"/>
      <c r="CA39" s="490"/>
      <c r="CB39" s="490"/>
      <c r="CC39" s="490"/>
      <c r="CD39" s="490"/>
      <c r="CE39" s="490"/>
      <c r="CF39" s="490"/>
      <c r="CG39" s="490"/>
      <c r="CH39" s="490"/>
      <c r="CI39" s="490"/>
      <c r="CJ39" s="490"/>
      <c r="CK39" s="490"/>
      <c r="CL39" s="490"/>
      <c r="CM39" s="490"/>
      <c r="CN39" s="490"/>
      <c r="CO39" s="490"/>
      <c r="CP39" s="490"/>
      <c r="CQ39" s="490"/>
      <c r="CR39" s="490"/>
      <c r="CS39" s="490"/>
      <c r="CT39" s="490"/>
      <c r="CU39" s="490"/>
      <c r="CV39" s="490"/>
      <c r="CW39" s="490"/>
      <c r="CX39" s="490"/>
      <c r="CY39" s="490"/>
      <c r="CZ39" s="490"/>
      <c r="DA39" s="490"/>
      <c r="DB39" s="490"/>
      <c r="DC39" s="490"/>
      <c r="DD39" s="490"/>
      <c r="DE39" s="490"/>
      <c r="DF39" s="490"/>
      <c r="DG39" s="490"/>
      <c r="DH39" s="490"/>
      <c r="DI39" s="490"/>
      <c r="DJ39" s="490"/>
      <c r="DK39" s="490"/>
      <c r="DL39" s="490"/>
      <c r="DM39" s="490"/>
      <c r="DN39" s="490"/>
      <c r="DO39" s="490"/>
      <c r="DP39" s="490"/>
      <c r="DQ39" s="490"/>
      <c r="DR39" s="490"/>
      <c r="DS39" s="490"/>
      <c r="DT39" s="490"/>
      <c r="DU39" s="490"/>
      <c r="DV39" s="490"/>
      <c r="DW39" s="490"/>
      <c r="DX39" s="490"/>
      <c r="DY39" s="490"/>
      <c r="DZ39" s="490"/>
      <c r="EA39" s="490"/>
      <c r="EB39" s="490"/>
      <c r="EC39" s="490"/>
      <c r="ED39" s="490"/>
      <c r="EE39" s="490"/>
      <c r="EF39" s="490"/>
      <c r="EG39" s="490"/>
      <c r="EH39" s="490"/>
      <c r="EI39" s="490"/>
      <c r="EJ39" s="490"/>
      <c r="EK39" s="490"/>
      <c r="EL39" s="490"/>
      <c r="EM39" s="490"/>
      <c r="EN39" s="490"/>
      <c r="EO39" s="490"/>
      <c r="EP39" s="490"/>
      <c r="EQ39" s="490"/>
      <c r="ER39" s="490"/>
      <c r="ES39" s="490"/>
      <c r="ET39" s="490"/>
      <c r="EU39" s="490"/>
      <c r="EV39" s="490"/>
      <c r="EW39" s="490"/>
      <c r="EX39" s="490"/>
      <c r="EY39" s="490"/>
      <c r="EZ39" s="490"/>
      <c r="FA39" s="490"/>
      <c r="FB39" s="490"/>
      <c r="FC39" s="490"/>
      <c r="FD39" s="490"/>
      <c r="FE39" s="490"/>
      <c r="FF39" s="490"/>
      <c r="FG39" s="490"/>
      <c r="FH39" s="490"/>
      <c r="FI39" s="490"/>
      <c r="FJ39" s="490"/>
      <c r="FK39" s="490"/>
      <c r="FL39" s="490"/>
      <c r="FM39" s="490"/>
      <c r="FN39" s="490"/>
    </row>
    <row r="40" s="490" customFormat="1" spans="1:170">
      <c r="A40" s="522">
        <v>46044</v>
      </c>
      <c r="B40" s="509" t="s">
        <v>710</v>
      </c>
      <c r="C40" s="538">
        <v>10</v>
      </c>
      <c r="D40" s="509" t="s">
        <v>66</v>
      </c>
      <c r="E40" s="509" t="s">
        <v>208</v>
      </c>
      <c r="F40" s="524" t="s">
        <v>47</v>
      </c>
      <c r="G40" s="521">
        <v>1</v>
      </c>
      <c r="H40" s="521">
        <v>8.8</v>
      </c>
      <c r="I40" s="530" t="s">
        <v>17</v>
      </c>
      <c r="J40" s="521">
        <v>1.82</v>
      </c>
      <c r="K40" s="527" t="s">
        <v>603</v>
      </c>
      <c r="L40" s="527" t="s">
        <v>577</v>
      </c>
    </row>
    <row r="41" s="490" customFormat="1" spans="1:170">
      <c r="A41" s="528"/>
      <c r="B41" s="509"/>
      <c r="C41" s="538"/>
      <c r="D41" s="509"/>
      <c r="E41" s="509"/>
      <c r="F41" s="524" t="s">
        <v>493</v>
      </c>
      <c r="G41" s="521">
        <v>1.08</v>
      </c>
      <c r="H41" s="521">
        <v>0.6</v>
      </c>
      <c r="I41" s="530" t="s">
        <v>22</v>
      </c>
      <c r="J41" s="521">
        <v>1.9</v>
      </c>
      <c r="K41" s="527"/>
      <c r="L41" s="527"/>
    </row>
    <row r="42" s="491" customFormat="1" spans="1:170">
      <c r="A42" s="528"/>
      <c r="B42" s="509"/>
      <c r="C42" s="538"/>
      <c r="D42" s="509"/>
      <c r="E42" s="509"/>
      <c r="F42" s="524" t="s">
        <v>23</v>
      </c>
      <c r="G42" s="521">
        <v>1.67</v>
      </c>
      <c r="H42" s="521">
        <v>0.6</v>
      </c>
      <c r="I42" s="530" t="s">
        <v>24</v>
      </c>
      <c r="J42" s="521" t="s">
        <v>24</v>
      </c>
      <c r="K42" s="527"/>
      <c r="L42" s="527"/>
      <c r="M42" s="490"/>
      <c r="N42" s="490"/>
      <c r="O42" s="490"/>
      <c r="P42" s="490"/>
      <c r="Q42" s="490"/>
      <c r="R42" s="490"/>
      <c r="S42" s="490"/>
      <c r="T42" s="490"/>
      <c r="U42" s="490"/>
      <c r="V42" s="490"/>
      <c r="W42" s="490"/>
      <c r="X42" s="490"/>
      <c r="Y42" s="490"/>
      <c r="Z42" s="490"/>
      <c r="AA42" s="490"/>
      <c r="AB42" s="490"/>
      <c r="AC42" s="490"/>
      <c r="AD42" s="490"/>
      <c r="AE42" s="490"/>
      <c r="AF42" s="490"/>
      <c r="AG42" s="490"/>
      <c r="AH42" s="490"/>
      <c r="AI42" s="490"/>
      <c r="AJ42" s="490"/>
      <c r="AK42" s="490"/>
      <c r="AL42" s="490"/>
      <c r="AM42" s="490"/>
      <c r="AN42" s="490"/>
      <c r="AO42" s="490"/>
      <c r="AP42" s="490"/>
      <c r="AQ42" s="490"/>
      <c r="AR42" s="490"/>
      <c r="AS42" s="490"/>
      <c r="AT42" s="490"/>
      <c r="AU42" s="490"/>
      <c r="AV42" s="490"/>
      <c r="AW42" s="490"/>
      <c r="AX42" s="490"/>
      <c r="AY42" s="490"/>
      <c r="AZ42" s="490"/>
      <c r="BA42" s="490"/>
      <c r="BB42" s="490"/>
      <c r="BC42" s="490"/>
      <c r="BD42" s="490"/>
      <c r="BE42" s="490"/>
      <c r="BF42" s="490"/>
      <c r="BG42" s="490"/>
      <c r="BH42" s="490"/>
      <c r="BI42" s="490"/>
      <c r="BJ42" s="490"/>
      <c r="BK42" s="490"/>
      <c r="BL42" s="490"/>
      <c r="BM42" s="490"/>
      <c r="BN42" s="490"/>
      <c r="BO42" s="490"/>
      <c r="BP42" s="490"/>
      <c r="BQ42" s="490"/>
      <c r="BR42" s="490"/>
      <c r="BS42" s="490"/>
      <c r="BT42" s="490"/>
      <c r="BU42" s="490"/>
      <c r="BV42" s="490"/>
      <c r="BW42" s="490"/>
      <c r="BX42" s="490"/>
      <c r="BY42" s="490"/>
      <c r="BZ42" s="490"/>
      <c r="CA42" s="490"/>
      <c r="CB42" s="490"/>
      <c r="CC42" s="490"/>
      <c r="CD42" s="490"/>
      <c r="CE42" s="490"/>
      <c r="CF42" s="490"/>
      <c r="CG42" s="490"/>
      <c r="CH42" s="490"/>
      <c r="CI42" s="490"/>
      <c r="CJ42" s="490"/>
      <c r="CK42" s="490"/>
      <c r="CL42" s="490"/>
      <c r="CM42" s="490"/>
      <c r="CN42" s="490"/>
      <c r="CO42" s="490"/>
      <c r="CP42" s="490"/>
      <c r="CQ42" s="490"/>
      <c r="CR42" s="490"/>
      <c r="CS42" s="490"/>
      <c r="CT42" s="490"/>
      <c r="CU42" s="490"/>
      <c r="CV42" s="490"/>
      <c r="CW42" s="490"/>
      <c r="CX42" s="490"/>
      <c r="CY42" s="490"/>
      <c r="CZ42" s="490"/>
      <c r="DA42" s="490"/>
      <c r="DB42" s="490"/>
      <c r="DC42" s="490"/>
      <c r="DD42" s="490"/>
      <c r="DE42" s="490"/>
      <c r="DF42" s="490"/>
      <c r="DG42" s="490"/>
      <c r="DH42" s="490"/>
      <c r="DI42" s="490"/>
      <c r="DJ42" s="490"/>
      <c r="DK42" s="490"/>
      <c r="DL42" s="490"/>
      <c r="DM42" s="490"/>
      <c r="DN42" s="490"/>
      <c r="DO42" s="490"/>
      <c r="DP42" s="490"/>
      <c r="DQ42" s="490"/>
      <c r="DR42" s="490"/>
      <c r="DS42" s="490"/>
      <c r="DT42" s="490"/>
      <c r="DU42" s="490"/>
      <c r="DV42" s="490"/>
      <c r="DW42" s="490"/>
      <c r="DX42" s="490"/>
      <c r="DY42" s="490"/>
      <c r="DZ42" s="490"/>
      <c r="EA42" s="490"/>
      <c r="EB42" s="490"/>
      <c r="EC42" s="490"/>
      <c r="ED42" s="490"/>
      <c r="EE42" s="490"/>
      <c r="EF42" s="490"/>
      <c r="EG42" s="490"/>
      <c r="EH42" s="490"/>
      <c r="EI42" s="490"/>
      <c r="EJ42" s="490"/>
      <c r="EK42" s="490"/>
      <c r="EL42" s="490"/>
      <c r="EM42" s="490"/>
      <c r="EN42" s="490"/>
      <c r="EO42" s="490"/>
      <c r="EP42" s="490"/>
      <c r="EQ42" s="490"/>
      <c r="ER42" s="490"/>
      <c r="ES42" s="490"/>
      <c r="ET42" s="490"/>
      <c r="EU42" s="490"/>
      <c r="EV42" s="490"/>
      <c r="EW42" s="490"/>
      <c r="EX42" s="490"/>
      <c r="EY42" s="490"/>
      <c r="EZ42" s="490"/>
      <c r="FA42" s="490"/>
      <c r="FB42" s="490"/>
      <c r="FC42" s="490"/>
      <c r="FD42" s="490"/>
      <c r="FE42" s="490"/>
      <c r="FF42" s="490"/>
      <c r="FG42" s="490"/>
      <c r="FH42" s="490"/>
      <c r="FI42" s="490"/>
      <c r="FJ42" s="490"/>
      <c r="FK42" s="490"/>
      <c r="FL42" s="490"/>
      <c r="FM42" s="490"/>
      <c r="FN42" s="490"/>
    </row>
    <row r="43" s="491" customFormat="1" spans="1:170">
      <c r="A43" s="539">
        <v>46045</v>
      </c>
      <c r="B43" s="509" t="s">
        <v>711</v>
      </c>
      <c r="C43" s="538">
        <v>10</v>
      </c>
      <c r="D43" s="509" t="s">
        <v>72</v>
      </c>
      <c r="E43" s="509" t="s">
        <v>712</v>
      </c>
      <c r="F43" s="524" t="s">
        <v>26</v>
      </c>
      <c r="G43" s="538">
        <v>0.98</v>
      </c>
      <c r="H43" s="521">
        <v>9</v>
      </c>
      <c r="I43" s="538" t="s">
        <v>17</v>
      </c>
      <c r="J43" s="521">
        <v>1.79</v>
      </c>
      <c r="K43" s="526" t="s">
        <v>713</v>
      </c>
      <c r="L43" s="527"/>
      <c r="M43" s="490"/>
      <c r="N43" s="490"/>
      <c r="O43" s="490"/>
      <c r="P43" s="490"/>
      <c r="Q43" s="490"/>
      <c r="R43" s="490"/>
      <c r="S43" s="490"/>
      <c r="T43" s="490"/>
      <c r="U43" s="490"/>
      <c r="V43" s="490"/>
      <c r="W43" s="490"/>
      <c r="X43" s="490"/>
      <c r="Y43" s="490"/>
      <c r="Z43" s="490"/>
      <c r="AA43" s="490"/>
      <c r="AB43" s="490"/>
      <c r="AC43" s="490"/>
      <c r="AD43" s="490"/>
      <c r="AE43" s="490"/>
      <c r="AF43" s="490"/>
      <c r="AG43" s="490"/>
      <c r="AH43" s="490"/>
      <c r="AI43" s="490"/>
      <c r="AJ43" s="490"/>
      <c r="AK43" s="490"/>
      <c r="AL43" s="490"/>
      <c r="AM43" s="490"/>
      <c r="AN43" s="490"/>
      <c r="AO43" s="490"/>
      <c r="AP43" s="490"/>
      <c r="AQ43" s="490"/>
      <c r="AR43" s="490"/>
      <c r="AS43" s="490"/>
      <c r="AT43" s="490"/>
      <c r="AU43" s="490"/>
      <c r="AV43" s="490"/>
      <c r="AW43" s="490"/>
      <c r="AX43" s="490"/>
      <c r="AY43" s="490"/>
      <c r="AZ43" s="490"/>
      <c r="BA43" s="490"/>
      <c r="BB43" s="490"/>
      <c r="BC43" s="490"/>
      <c r="BD43" s="490"/>
      <c r="BE43" s="490"/>
      <c r="BF43" s="490"/>
      <c r="BG43" s="490"/>
      <c r="BH43" s="490"/>
      <c r="BI43" s="490"/>
      <c r="BJ43" s="490"/>
      <c r="BK43" s="490"/>
      <c r="BL43" s="490"/>
      <c r="BM43" s="490"/>
      <c r="BN43" s="490"/>
      <c r="BO43" s="490"/>
      <c r="BP43" s="490"/>
      <c r="BQ43" s="490"/>
      <c r="BR43" s="490"/>
      <c r="BS43" s="490"/>
      <c r="BT43" s="490"/>
      <c r="BU43" s="490"/>
      <c r="BV43" s="490"/>
      <c r="BW43" s="490"/>
      <c r="BX43" s="490"/>
      <c r="BY43" s="490"/>
      <c r="BZ43" s="490"/>
      <c r="CA43" s="490"/>
      <c r="CB43" s="490"/>
      <c r="CC43" s="490"/>
      <c r="CD43" s="490"/>
      <c r="CE43" s="490"/>
      <c r="CF43" s="490"/>
      <c r="CG43" s="490"/>
      <c r="CH43" s="490"/>
      <c r="CI43" s="490"/>
      <c r="CJ43" s="490"/>
      <c r="CK43" s="490"/>
      <c r="CL43" s="490"/>
      <c r="CM43" s="490"/>
      <c r="CN43" s="490"/>
      <c r="CO43" s="490"/>
      <c r="CP43" s="490"/>
      <c r="CQ43" s="490"/>
      <c r="CR43" s="490"/>
      <c r="CS43" s="490"/>
      <c r="CT43" s="490"/>
      <c r="CU43" s="490"/>
      <c r="CV43" s="490"/>
      <c r="CW43" s="490"/>
      <c r="CX43" s="490"/>
      <c r="CY43" s="490"/>
      <c r="CZ43" s="490"/>
      <c r="DA43" s="490"/>
      <c r="DB43" s="490"/>
      <c r="DC43" s="490"/>
      <c r="DD43" s="490"/>
      <c r="DE43" s="490"/>
      <c r="DF43" s="490"/>
      <c r="DG43" s="490"/>
      <c r="DH43" s="490"/>
      <c r="DI43" s="490"/>
      <c r="DJ43" s="490"/>
      <c r="DK43" s="490"/>
      <c r="DL43" s="490"/>
      <c r="DM43" s="490"/>
      <c r="DN43" s="490"/>
      <c r="DO43" s="490"/>
      <c r="DP43" s="490"/>
      <c r="DQ43" s="490"/>
      <c r="DR43" s="490"/>
      <c r="DS43" s="490"/>
      <c r="DT43" s="490"/>
      <c r="DU43" s="490"/>
      <c r="DV43" s="490"/>
      <c r="DW43" s="490"/>
      <c r="DX43" s="490"/>
      <c r="DY43" s="490"/>
      <c r="DZ43" s="490"/>
      <c r="EA43" s="490"/>
      <c r="EB43" s="490"/>
      <c r="EC43" s="490"/>
      <c r="ED43" s="490"/>
      <c r="EE43" s="490"/>
      <c r="EF43" s="490"/>
      <c r="EG43" s="490"/>
      <c r="EH43" s="490"/>
      <c r="EI43" s="490"/>
      <c r="EJ43" s="490"/>
      <c r="EK43" s="490"/>
      <c r="EL43" s="490"/>
      <c r="EM43" s="490"/>
      <c r="EN43" s="490"/>
      <c r="EO43" s="490"/>
      <c r="EP43" s="490"/>
      <c r="EQ43" s="490"/>
      <c r="ER43" s="490"/>
      <c r="ES43" s="490"/>
      <c r="ET43" s="490"/>
      <c r="EU43" s="490"/>
      <c r="EV43" s="490"/>
      <c r="EW43" s="490"/>
      <c r="EX43" s="490"/>
      <c r="EY43" s="490"/>
      <c r="EZ43" s="490"/>
      <c r="FA43" s="490"/>
      <c r="FB43" s="490"/>
      <c r="FC43" s="490"/>
      <c r="FD43" s="490"/>
      <c r="FE43" s="490"/>
      <c r="FF43" s="490"/>
      <c r="FG43" s="490"/>
      <c r="FH43" s="490"/>
      <c r="FI43" s="490"/>
      <c r="FJ43" s="490"/>
      <c r="FK43" s="490"/>
      <c r="FL43" s="490"/>
      <c r="FM43" s="490"/>
      <c r="FN43" s="490"/>
    </row>
    <row r="44" s="491" customFormat="1" spans="1:170">
      <c r="A44" s="539"/>
      <c r="B44" s="509"/>
      <c r="C44" s="538"/>
      <c r="D44" s="509"/>
      <c r="E44" s="509"/>
      <c r="F44" s="524" t="s">
        <v>21</v>
      </c>
      <c r="G44" s="538">
        <v>1.22</v>
      </c>
      <c r="H44" s="521">
        <v>0.3</v>
      </c>
      <c r="I44" s="538" t="s">
        <v>22</v>
      </c>
      <c r="J44" s="521">
        <v>1.9</v>
      </c>
      <c r="K44" s="531"/>
      <c r="L44" s="527"/>
      <c r="M44" s="490"/>
      <c r="N44" s="490"/>
      <c r="O44" s="490"/>
      <c r="P44" s="490"/>
      <c r="Q44" s="490"/>
      <c r="R44" s="490"/>
      <c r="S44" s="490"/>
      <c r="T44" s="490"/>
      <c r="U44" s="490"/>
      <c r="V44" s="490"/>
      <c r="W44" s="490"/>
      <c r="X44" s="490"/>
      <c r="Y44" s="490"/>
      <c r="Z44" s="490"/>
      <c r="AA44" s="490"/>
      <c r="AB44" s="490"/>
      <c r="AC44" s="490"/>
      <c r="AD44" s="490"/>
      <c r="AE44" s="490"/>
      <c r="AF44" s="490"/>
      <c r="AG44" s="490"/>
      <c r="AH44" s="490"/>
      <c r="AI44" s="490"/>
      <c r="AJ44" s="490"/>
      <c r="AK44" s="490"/>
      <c r="AL44" s="490"/>
      <c r="AM44" s="490"/>
      <c r="AN44" s="490"/>
      <c r="AO44" s="490"/>
      <c r="AP44" s="490"/>
      <c r="AQ44" s="490"/>
      <c r="AR44" s="490"/>
      <c r="AS44" s="490"/>
      <c r="AT44" s="490"/>
      <c r="AU44" s="490"/>
      <c r="AV44" s="490"/>
      <c r="AW44" s="490"/>
      <c r="AX44" s="490"/>
      <c r="AY44" s="490"/>
      <c r="AZ44" s="490"/>
      <c r="BA44" s="490"/>
      <c r="BB44" s="490"/>
      <c r="BC44" s="490"/>
      <c r="BD44" s="490"/>
      <c r="BE44" s="490"/>
      <c r="BF44" s="490"/>
      <c r="BG44" s="490"/>
      <c r="BH44" s="490"/>
      <c r="BI44" s="490"/>
      <c r="BJ44" s="490"/>
      <c r="BK44" s="490"/>
      <c r="BL44" s="490"/>
      <c r="BM44" s="490"/>
      <c r="BN44" s="490"/>
      <c r="BO44" s="490"/>
      <c r="BP44" s="490"/>
      <c r="BQ44" s="490"/>
      <c r="BR44" s="490"/>
      <c r="BS44" s="490"/>
      <c r="BT44" s="490"/>
      <c r="BU44" s="490"/>
      <c r="BV44" s="490"/>
      <c r="BW44" s="490"/>
      <c r="BX44" s="490"/>
      <c r="BY44" s="490"/>
      <c r="BZ44" s="490"/>
      <c r="CA44" s="490"/>
      <c r="CB44" s="490"/>
      <c r="CC44" s="490"/>
      <c r="CD44" s="490"/>
      <c r="CE44" s="490"/>
      <c r="CF44" s="490"/>
      <c r="CG44" s="490"/>
      <c r="CH44" s="490"/>
      <c r="CI44" s="490"/>
      <c r="CJ44" s="490"/>
      <c r="CK44" s="490"/>
      <c r="CL44" s="490"/>
      <c r="CM44" s="490"/>
      <c r="CN44" s="490"/>
      <c r="CO44" s="490"/>
      <c r="CP44" s="490"/>
      <c r="CQ44" s="490"/>
      <c r="CR44" s="490"/>
      <c r="CS44" s="490"/>
      <c r="CT44" s="490"/>
      <c r="CU44" s="490"/>
      <c r="CV44" s="490"/>
      <c r="CW44" s="490"/>
      <c r="CX44" s="490"/>
      <c r="CY44" s="490"/>
      <c r="CZ44" s="490"/>
      <c r="DA44" s="490"/>
      <c r="DB44" s="490"/>
      <c r="DC44" s="490"/>
      <c r="DD44" s="490"/>
      <c r="DE44" s="490"/>
      <c r="DF44" s="490"/>
      <c r="DG44" s="490"/>
      <c r="DH44" s="490"/>
      <c r="DI44" s="490"/>
      <c r="DJ44" s="490"/>
      <c r="DK44" s="490"/>
      <c r="DL44" s="490"/>
      <c r="DM44" s="490"/>
      <c r="DN44" s="490"/>
      <c r="DO44" s="490"/>
      <c r="DP44" s="490"/>
      <c r="DQ44" s="490"/>
      <c r="DR44" s="490"/>
      <c r="DS44" s="490"/>
      <c r="DT44" s="490"/>
      <c r="DU44" s="490"/>
      <c r="DV44" s="490"/>
      <c r="DW44" s="490"/>
      <c r="DX44" s="490"/>
      <c r="DY44" s="490"/>
      <c r="DZ44" s="490"/>
      <c r="EA44" s="490"/>
      <c r="EB44" s="490"/>
      <c r="EC44" s="490"/>
      <c r="ED44" s="490"/>
      <c r="EE44" s="490"/>
      <c r="EF44" s="490"/>
      <c r="EG44" s="490"/>
      <c r="EH44" s="490"/>
      <c r="EI44" s="490"/>
      <c r="EJ44" s="490"/>
      <c r="EK44" s="490"/>
      <c r="EL44" s="490"/>
      <c r="EM44" s="490"/>
      <c r="EN44" s="490"/>
      <c r="EO44" s="490"/>
      <c r="EP44" s="490"/>
      <c r="EQ44" s="490"/>
      <c r="ER44" s="490"/>
      <c r="ES44" s="490"/>
      <c r="ET44" s="490"/>
      <c r="EU44" s="490"/>
      <c r="EV44" s="490"/>
      <c r="EW44" s="490"/>
      <c r="EX44" s="490"/>
      <c r="EY44" s="490"/>
      <c r="EZ44" s="490"/>
      <c r="FA44" s="490"/>
      <c r="FB44" s="490"/>
      <c r="FC44" s="490"/>
      <c r="FD44" s="490"/>
      <c r="FE44" s="490"/>
      <c r="FF44" s="490"/>
      <c r="FG44" s="490"/>
      <c r="FH44" s="490"/>
      <c r="FI44" s="490"/>
      <c r="FJ44" s="490"/>
      <c r="FK44" s="490"/>
      <c r="FL44" s="490"/>
      <c r="FM44" s="490"/>
      <c r="FN44" s="490"/>
    </row>
    <row r="45" s="491" customFormat="1" spans="1:170">
      <c r="A45" s="539"/>
      <c r="B45" s="509"/>
      <c r="C45" s="538"/>
      <c r="D45" s="509"/>
      <c r="E45" s="509"/>
      <c r="F45" s="524" t="s">
        <v>23</v>
      </c>
      <c r="G45" s="538">
        <v>1.74</v>
      </c>
      <c r="H45" s="521">
        <v>0.7</v>
      </c>
      <c r="I45" s="538" t="s">
        <v>24</v>
      </c>
      <c r="J45" s="521" t="s">
        <v>24</v>
      </c>
      <c r="K45" s="534"/>
      <c r="L45" s="527"/>
      <c r="M45" s="490"/>
      <c r="N45" s="490"/>
      <c r="O45" s="490"/>
      <c r="P45" s="490"/>
      <c r="Q45" s="490"/>
      <c r="R45" s="490"/>
      <c r="S45" s="490"/>
      <c r="T45" s="490"/>
      <c r="U45" s="490"/>
      <c r="V45" s="490"/>
      <c r="W45" s="490"/>
      <c r="X45" s="490"/>
      <c r="Y45" s="490"/>
      <c r="Z45" s="490"/>
      <c r="AA45" s="490"/>
      <c r="AB45" s="490"/>
      <c r="AC45" s="490"/>
      <c r="AD45" s="490"/>
      <c r="AE45" s="490"/>
      <c r="AF45" s="490"/>
      <c r="AG45" s="490"/>
      <c r="AH45" s="490"/>
      <c r="AI45" s="490"/>
      <c r="AJ45" s="490"/>
      <c r="AK45" s="490"/>
      <c r="AL45" s="490"/>
      <c r="AM45" s="490"/>
      <c r="AN45" s="490"/>
      <c r="AO45" s="490"/>
      <c r="AP45" s="490"/>
      <c r="AQ45" s="490"/>
      <c r="AR45" s="490"/>
      <c r="AS45" s="490"/>
      <c r="AT45" s="490"/>
      <c r="AU45" s="490"/>
      <c r="AV45" s="490"/>
      <c r="AW45" s="490"/>
      <c r="AX45" s="490"/>
      <c r="AY45" s="490"/>
      <c r="AZ45" s="490"/>
      <c r="BA45" s="490"/>
      <c r="BB45" s="490"/>
      <c r="BC45" s="490"/>
      <c r="BD45" s="490"/>
      <c r="BE45" s="490"/>
      <c r="BF45" s="490"/>
      <c r="BG45" s="490"/>
      <c r="BH45" s="490"/>
      <c r="BI45" s="490"/>
      <c r="BJ45" s="490"/>
      <c r="BK45" s="490"/>
      <c r="BL45" s="490"/>
      <c r="BM45" s="490"/>
      <c r="BN45" s="490"/>
      <c r="BO45" s="490"/>
      <c r="BP45" s="490"/>
      <c r="BQ45" s="490"/>
      <c r="BR45" s="490"/>
      <c r="BS45" s="490"/>
      <c r="BT45" s="490"/>
      <c r="BU45" s="490"/>
      <c r="BV45" s="490"/>
      <c r="BW45" s="490"/>
      <c r="BX45" s="490"/>
      <c r="BY45" s="490"/>
      <c r="BZ45" s="490"/>
      <c r="CA45" s="490"/>
      <c r="CB45" s="490"/>
      <c r="CC45" s="490"/>
      <c r="CD45" s="490"/>
      <c r="CE45" s="490"/>
      <c r="CF45" s="490"/>
      <c r="CG45" s="490"/>
      <c r="CH45" s="490"/>
      <c r="CI45" s="490"/>
      <c r="CJ45" s="490"/>
      <c r="CK45" s="490"/>
      <c r="CL45" s="490"/>
      <c r="CM45" s="490"/>
      <c r="CN45" s="490"/>
      <c r="CO45" s="490"/>
      <c r="CP45" s="490"/>
      <c r="CQ45" s="490"/>
      <c r="CR45" s="490"/>
      <c r="CS45" s="490"/>
      <c r="CT45" s="490"/>
      <c r="CU45" s="490"/>
      <c r="CV45" s="490"/>
      <c r="CW45" s="490"/>
      <c r="CX45" s="490"/>
      <c r="CY45" s="490"/>
      <c r="CZ45" s="490"/>
      <c r="DA45" s="490"/>
      <c r="DB45" s="490"/>
      <c r="DC45" s="490"/>
      <c r="DD45" s="490"/>
      <c r="DE45" s="490"/>
      <c r="DF45" s="490"/>
      <c r="DG45" s="490"/>
      <c r="DH45" s="490"/>
      <c r="DI45" s="490"/>
      <c r="DJ45" s="490"/>
      <c r="DK45" s="490"/>
      <c r="DL45" s="490"/>
      <c r="DM45" s="490"/>
      <c r="DN45" s="490"/>
      <c r="DO45" s="490"/>
      <c r="DP45" s="490"/>
      <c r="DQ45" s="490"/>
      <c r="DR45" s="490"/>
      <c r="DS45" s="490"/>
      <c r="DT45" s="490"/>
      <c r="DU45" s="490"/>
      <c r="DV45" s="490"/>
      <c r="DW45" s="490"/>
      <c r="DX45" s="490"/>
      <c r="DY45" s="490"/>
      <c r="DZ45" s="490"/>
      <c r="EA45" s="490"/>
      <c r="EB45" s="490"/>
      <c r="EC45" s="490"/>
      <c r="ED45" s="490"/>
      <c r="EE45" s="490"/>
      <c r="EF45" s="490"/>
      <c r="EG45" s="490"/>
      <c r="EH45" s="490"/>
      <c r="EI45" s="490"/>
      <c r="EJ45" s="490"/>
      <c r="EK45" s="490"/>
      <c r="EL45" s="490"/>
      <c r="EM45" s="490"/>
      <c r="EN45" s="490"/>
      <c r="EO45" s="490"/>
      <c r="EP45" s="490"/>
      <c r="EQ45" s="490"/>
      <c r="ER45" s="490"/>
      <c r="ES45" s="490"/>
      <c r="ET45" s="490"/>
      <c r="EU45" s="490"/>
      <c r="EV45" s="490"/>
      <c r="EW45" s="490"/>
      <c r="EX45" s="490"/>
      <c r="EY45" s="490"/>
      <c r="EZ45" s="490"/>
      <c r="FA45" s="490"/>
      <c r="FB45" s="490"/>
      <c r="FC45" s="490"/>
      <c r="FD45" s="490"/>
      <c r="FE45" s="490"/>
      <c r="FF45" s="490"/>
      <c r="FG45" s="490"/>
      <c r="FH45" s="490"/>
      <c r="FI45" s="490"/>
      <c r="FJ45" s="490"/>
      <c r="FK45" s="490"/>
      <c r="FL45" s="490"/>
      <c r="FM45" s="490"/>
      <c r="FN45" s="490"/>
    </row>
    <row r="46" s="492" customFormat="1" spans="1:170">
      <c r="A46" s="540">
        <v>46045</v>
      </c>
      <c r="B46" s="515" t="s">
        <v>714</v>
      </c>
      <c r="C46" s="541">
        <v>2</v>
      </c>
      <c r="D46" s="515" t="s">
        <v>715</v>
      </c>
      <c r="E46" s="515" t="s">
        <v>700</v>
      </c>
      <c r="F46" s="515" t="s">
        <v>73</v>
      </c>
      <c r="G46" s="541">
        <v>1.46</v>
      </c>
      <c r="H46" s="541">
        <v>1.74</v>
      </c>
      <c r="I46" s="541" t="s">
        <v>17</v>
      </c>
      <c r="J46" s="541">
        <v>2.6</v>
      </c>
      <c r="K46" s="515" t="s">
        <v>701</v>
      </c>
      <c r="L46" s="515"/>
      <c r="M46" s="490"/>
      <c r="N46" s="490"/>
      <c r="O46" s="490"/>
      <c r="P46" s="490"/>
      <c r="Q46" s="490"/>
      <c r="R46" s="490"/>
      <c r="S46" s="490"/>
      <c r="T46" s="490"/>
      <c r="U46" s="490"/>
      <c r="V46" s="490"/>
      <c r="W46" s="490"/>
      <c r="X46" s="490"/>
      <c r="Y46" s="490"/>
      <c r="Z46" s="490"/>
      <c r="AA46" s="490"/>
      <c r="AB46" s="490"/>
      <c r="AC46" s="490"/>
      <c r="AD46" s="490"/>
      <c r="AE46" s="490"/>
      <c r="AF46" s="490"/>
      <c r="AG46" s="490"/>
      <c r="AH46" s="490"/>
      <c r="AI46" s="490"/>
      <c r="AJ46" s="490"/>
      <c r="AK46" s="490"/>
      <c r="AL46" s="490"/>
      <c r="AM46" s="490"/>
      <c r="AN46" s="490"/>
      <c r="AO46" s="490"/>
      <c r="AP46" s="490"/>
      <c r="AQ46" s="490"/>
      <c r="AR46" s="490"/>
      <c r="AS46" s="490"/>
      <c r="AT46" s="490"/>
      <c r="AU46" s="490"/>
      <c r="AV46" s="490"/>
      <c r="AW46" s="490"/>
      <c r="AX46" s="490"/>
      <c r="AY46" s="490"/>
      <c r="AZ46" s="490"/>
      <c r="BA46" s="490"/>
      <c r="BB46" s="490"/>
      <c r="BC46" s="490"/>
      <c r="BD46" s="490"/>
      <c r="BE46" s="490"/>
      <c r="BF46" s="490"/>
      <c r="BG46" s="490"/>
      <c r="BH46" s="490"/>
      <c r="BI46" s="490"/>
      <c r="BJ46" s="490"/>
      <c r="BK46" s="490"/>
      <c r="BL46" s="490"/>
      <c r="BM46" s="490"/>
      <c r="BN46" s="490"/>
      <c r="BO46" s="490"/>
      <c r="BP46" s="490"/>
      <c r="BQ46" s="490"/>
      <c r="BR46" s="490"/>
      <c r="BS46" s="490"/>
      <c r="BT46" s="490"/>
      <c r="BU46" s="490"/>
      <c r="BV46" s="490"/>
      <c r="BW46" s="490"/>
      <c r="BX46" s="490"/>
      <c r="BY46" s="490"/>
      <c r="BZ46" s="490"/>
      <c r="CA46" s="490"/>
      <c r="CB46" s="490"/>
      <c r="CC46" s="490"/>
      <c r="CD46" s="490"/>
      <c r="CE46" s="490"/>
      <c r="CF46" s="490"/>
      <c r="CG46" s="490"/>
      <c r="CH46" s="490"/>
      <c r="CI46" s="490"/>
      <c r="CJ46" s="490"/>
      <c r="CK46" s="490"/>
      <c r="CL46" s="490"/>
      <c r="CM46" s="490"/>
      <c r="CN46" s="490"/>
      <c r="CO46" s="490"/>
      <c r="CP46" s="490"/>
      <c r="CQ46" s="490"/>
      <c r="CR46" s="490"/>
      <c r="CS46" s="490"/>
      <c r="CT46" s="490"/>
      <c r="CU46" s="490"/>
      <c r="CV46" s="490"/>
      <c r="CW46" s="490"/>
      <c r="CX46" s="490"/>
      <c r="CY46" s="490"/>
      <c r="CZ46" s="490"/>
      <c r="DA46" s="490"/>
      <c r="DB46" s="490"/>
      <c r="DC46" s="490"/>
      <c r="DD46" s="490"/>
      <c r="DE46" s="490"/>
      <c r="DF46" s="490"/>
      <c r="DG46" s="490"/>
      <c r="DH46" s="490"/>
      <c r="DI46" s="490"/>
      <c r="DJ46" s="490"/>
      <c r="DK46" s="490"/>
      <c r="DL46" s="490"/>
      <c r="DM46" s="490"/>
      <c r="DN46" s="490"/>
      <c r="DO46" s="490"/>
      <c r="DP46" s="490"/>
      <c r="DQ46" s="490"/>
      <c r="DR46" s="490"/>
      <c r="DS46" s="490"/>
      <c r="DT46" s="490"/>
      <c r="DU46" s="490"/>
      <c r="DV46" s="490"/>
      <c r="DW46" s="490"/>
      <c r="DX46" s="490"/>
      <c r="DY46" s="490"/>
      <c r="DZ46" s="490"/>
      <c r="EA46" s="490"/>
      <c r="EB46" s="490"/>
      <c r="EC46" s="490"/>
      <c r="ED46" s="490"/>
      <c r="EE46" s="490"/>
      <c r="EF46" s="490"/>
      <c r="EG46" s="490"/>
      <c r="EH46" s="490"/>
      <c r="EI46" s="490"/>
      <c r="EJ46" s="490"/>
      <c r="EK46" s="490"/>
      <c r="EL46" s="490"/>
      <c r="EM46" s="490"/>
      <c r="EN46" s="490"/>
      <c r="EO46" s="490"/>
      <c r="EP46" s="490"/>
      <c r="EQ46" s="490"/>
      <c r="ER46" s="490"/>
      <c r="ES46" s="490"/>
      <c r="ET46" s="490"/>
      <c r="EU46" s="490"/>
      <c r="EV46" s="490"/>
      <c r="EW46" s="490"/>
      <c r="EX46" s="490"/>
      <c r="EY46" s="490"/>
      <c r="EZ46" s="490"/>
      <c r="FA46" s="490"/>
      <c r="FB46" s="490"/>
      <c r="FC46" s="490"/>
      <c r="FD46" s="490"/>
      <c r="FE46" s="490"/>
      <c r="FF46" s="490"/>
      <c r="FG46" s="490"/>
      <c r="FH46" s="490"/>
      <c r="FI46" s="490"/>
      <c r="FJ46" s="490"/>
      <c r="FK46" s="490"/>
      <c r="FL46" s="490"/>
      <c r="FM46" s="490"/>
      <c r="FN46" s="490"/>
    </row>
    <row r="47" s="492" customFormat="1" spans="1:170">
      <c r="A47" s="540"/>
      <c r="B47" s="515"/>
      <c r="C47" s="541"/>
      <c r="D47" s="515"/>
      <c r="E47" s="515"/>
      <c r="F47" s="515" t="s">
        <v>75</v>
      </c>
      <c r="G47" s="541">
        <v>1.55</v>
      </c>
      <c r="H47" s="541">
        <v>0.08</v>
      </c>
      <c r="I47" s="541" t="s">
        <v>22</v>
      </c>
      <c r="J47" s="541">
        <v>3.2</v>
      </c>
      <c r="K47" s="515"/>
      <c r="L47" s="515"/>
      <c r="M47" s="490"/>
      <c r="N47" s="490"/>
      <c r="O47" s="490"/>
      <c r="P47" s="490"/>
      <c r="Q47" s="490"/>
      <c r="R47" s="490"/>
      <c r="S47" s="490"/>
      <c r="T47" s="490"/>
      <c r="U47" s="490"/>
      <c r="V47" s="490"/>
      <c r="W47" s="490"/>
      <c r="X47" s="490"/>
      <c r="Y47" s="490"/>
      <c r="Z47" s="490"/>
      <c r="AA47" s="490"/>
      <c r="AB47" s="490"/>
      <c r="AC47" s="490"/>
      <c r="AD47" s="490"/>
      <c r="AE47" s="490"/>
      <c r="AF47" s="490"/>
      <c r="AG47" s="490"/>
      <c r="AH47" s="490"/>
      <c r="AI47" s="490"/>
      <c r="AJ47" s="490"/>
      <c r="AK47" s="490"/>
      <c r="AL47" s="490"/>
      <c r="AM47" s="490"/>
      <c r="AN47" s="490"/>
      <c r="AO47" s="490"/>
      <c r="AP47" s="490"/>
      <c r="AQ47" s="490"/>
      <c r="AR47" s="490"/>
      <c r="AS47" s="490"/>
      <c r="AT47" s="490"/>
      <c r="AU47" s="490"/>
      <c r="AV47" s="490"/>
      <c r="AW47" s="490"/>
      <c r="AX47" s="490"/>
      <c r="AY47" s="490"/>
      <c r="AZ47" s="490"/>
      <c r="BA47" s="490"/>
      <c r="BB47" s="490"/>
      <c r="BC47" s="490"/>
      <c r="BD47" s="490"/>
      <c r="BE47" s="490"/>
      <c r="BF47" s="490"/>
      <c r="BG47" s="490"/>
      <c r="BH47" s="490"/>
      <c r="BI47" s="490"/>
      <c r="BJ47" s="490"/>
      <c r="BK47" s="490"/>
      <c r="BL47" s="490"/>
      <c r="BM47" s="490"/>
      <c r="BN47" s="490"/>
      <c r="BO47" s="490"/>
      <c r="BP47" s="490"/>
      <c r="BQ47" s="490"/>
      <c r="BR47" s="490"/>
      <c r="BS47" s="490"/>
      <c r="BT47" s="490"/>
      <c r="BU47" s="490"/>
      <c r="BV47" s="490"/>
      <c r="BW47" s="490"/>
      <c r="BX47" s="490"/>
      <c r="BY47" s="490"/>
      <c r="BZ47" s="490"/>
      <c r="CA47" s="490"/>
      <c r="CB47" s="490"/>
      <c r="CC47" s="490"/>
      <c r="CD47" s="490"/>
      <c r="CE47" s="490"/>
      <c r="CF47" s="490"/>
      <c r="CG47" s="490"/>
      <c r="CH47" s="490"/>
      <c r="CI47" s="490"/>
      <c r="CJ47" s="490"/>
      <c r="CK47" s="490"/>
      <c r="CL47" s="490"/>
      <c r="CM47" s="490"/>
      <c r="CN47" s="490"/>
      <c r="CO47" s="490"/>
      <c r="CP47" s="490"/>
      <c r="CQ47" s="490"/>
      <c r="CR47" s="490"/>
      <c r="CS47" s="490"/>
      <c r="CT47" s="490"/>
      <c r="CU47" s="490"/>
      <c r="CV47" s="490"/>
      <c r="CW47" s="490"/>
      <c r="CX47" s="490"/>
      <c r="CY47" s="490"/>
      <c r="CZ47" s="490"/>
      <c r="DA47" s="490"/>
      <c r="DB47" s="490"/>
      <c r="DC47" s="490"/>
      <c r="DD47" s="490"/>
      <c r="DE47" s="490"/>
      <c r="DF47" s="490"/>
      <c r="DG47" s="490"/>
      <c r="DH47" s="490"/>
      <c r="DI47" s="490"/>
      <c r="DJ47" s="490"/>
      <c r="DK47" s="490"/>
      <c r="DL47" s="490"/>
      <c r="DM47" s="490"/>
      <c r="DN47" s="490"/>
      <c r="DO47" s="490"/>
      <c r="DP47" s="490"/>
      <c r="DQ47" s="490"/>
      <c r="DR47" s="490"/>
      <c r="DS47" s="490"/>
      <c r="DT47" s="490"/>
      <c r="DU47" s="490"/>
      <c r="DV47" s="490"/>
      <c r="DW47" s="490"/>
      <c r="DX47" s="490"/>
      <c r="DY47" s="490"/>
      <c r="DZ47" s="490"/>
      <c r="EA47" s="490"/>
      <c r="EB47" s="490"/>
      <c r="EC47" s="490"/>
      <c r="ED47" s="490"/>
      <c r="EE47" s="490"/>
      <c r="EF47" s="490"/>
      <c r="EG47" s="490"/>
      <c r="EH47" s="490"/>
      <c r="EI47" s="490"/>
      <c r="EJ47" s="490"/>
      <c r="EK47" s="490"/>
      <c r="EL47" s="490"/>
      <c r="EM47" s="490"/>
      <c r="EN47" s="490"/>
      <c r="EO47" s="490"/>
      <c r="EP47" s="490"/>
      <c r="EQ47" s="490"/>
      <c r="ER47" s="490"/>
      <c r="ES47" s="490"/>
      <c r="ET47" s="490"/>
      <c r="EU47" s="490"/>
      <c r="EV47" s="490"/>
      <c r="EW47" s="490"/>
      <c r="EX47" s="490"/>
      <c r="EY47" s="490"/>
      <c r="EZ47" s="490"/>
      <c r="FA47" s="490"/>
      <c r="FB47" s="490"/>
      <c r="FC47" s="490"/>
      <c r="FD47" s="490"/>
      <c r="FE47" s="490"/>
      <c r="FF47" s="490"/>
      <c r="FG47" s="490"/>
      <c r="FH47" s="490"/>
      <c r="FI47" s="490"/>
      <c r="FJ47" s="490"/>
      <c r="FK47" s="490"/>
      <c r="FL47" s="490"/>
      <c r="FM47" s="490"/>
      <c r="FN47" s="490"/>
    </row>
    <row r="48" s="492" customFormat="1" spans="1:170">
      <c r="A48" s="540"/>
      <c r="B48" s="515"/>
      <c r="C48" s="541"/>
      <c r="D48" s="515"/>
      <c r="E48" s="515"/>
      <c r="F48" s="515" t="s">
        <v>91</v>
      </c>
      <c r="G48" s="541">
        <v>1.97</v>
      </c>
      <c r="H48" s="541">
        <v>0.18</v>
      </c>
      <c r="I48" s="541" t="s">
        <v>24</v>
      </c>
      <c r="J48" s="541" t="s">
        <v>24</v>
      </c>
      <c r="K48" s="515"/>
      <c r="L48" s="515"/>
      <c r="M48" s="490"/>
      <c r="N48" s="490"/>
      <c r="O48" s="490"/>
      <c r="P48" s="490"/>
      <c r="Q48" s="490"/>
      <c r="R48" s="490"/>
      <c r="S48" s="490"/>
      <c r="T48" s="490"/>
      <c r="U48" s="490"/>
      <c r="V48" s="490"/>
      <c r="W48" s="490"/>
      <c r="X48" s="490"/>
      <c r="Y48" s="490"/>
      <c r="Z48" s="490"/>
      <c r="AA48" s="490"/>
      <c r="AB48" s="490"/>
      <c r="AC48" s="490"/>
      <c r="AD48" s="490"/>
      <c r="AE48" s="490"/>
      <c r="AF48" s="490"/>
      <c r="AG48" s="490"/>
      <c r="AH48" s="490"/>
      <c r="AI48" s="490"/>
      <c r="AJ48" s="490"/>
      <c r="AK48" s="490"/>
      <c r="AL48" s="490"/>
      <c r="AM48" s="490"/>
      <c r="AN48" s="490"/>
      <c r="AO48" s="490"/>
      <c r="AP48" s="490"/>
      <c r="AQ48" s="490"/>
      <c r="AR48" s="490"/>
      <c r="AS48" s="490"/>
      <c r="AT48" s="490"/>
      <c r="AU48" s="490"/>
      <c r="AV48" s="490"/>
      <c r="AW48" s="490"/>
      <c r="AX48" s="490"/>
      <c r="AY48" s="490"/>
      <c r="AZ48" s="490"/>
      <c r="BA48" s="490"/>
      <c r="BB48" s="490"/>
      <c r="BC48" s="490"/>
      <c r="BD48" s="490"/>
      <c r="BE48" s="490"/>
      <c r="BF48" s="490"/>
      <c r="BG48" s="490"/>
      <c r="BH48" s="490"/>
      <c r="BI48" s="490"/>
      <c r="BJ48" s="490"/>
      <c r="BK48" s="490"/>
      <c r="BL48" s="490"/>
      <c r="BM48" s="490"/>
      <c r="BN48" s="490"/>
      <c r="BO48" s="490"/>
      <c r="BP48" s="490"/>
      <c r="BQ48" s="490"/>
      <c r="BR48" s="490"/>
      <c r="BS48" s="490"/>
      <c r="BT48" s="490"/>
      <c r="BU48" s="490"/>
      <c r="BV48" s="490"/>
      <c r="BW48" s="490"/>
      <c r="BX48" s="490"/>
      <c r="BY48" s="490"/>
      <c r="BZ48" s="490"/>
      <c r="CA48" s="490"/>
      <c r="CB48" s="490"/>
      <c r="CC48" s="490"/>
      <c r="CD48" s="490"/>
      <c r="CE48" s="490"/>
      <c r="CF48" s="490"/>
      <c r="CG48" s="490"/>
      <c r="CH48" s="490"/>
      <c r="CI48" s="490"/>
      <c r="CJ48" s="490"/>
      <c r="CK48" s="490"/>
      <c r="CL48" s="490"/>
      <c r="CM48" s="490"/>
      <c r="CN48" s="490"/>
      <c r="CO48" s="490"/>
      <c r="CP48" s="490"/>
      <c r="CQ48" s="490"/>
      <c r="CR48" s="490"/>
      <c r="CS48" s="490"/>
      <c r="CT48" s="490"/>
      <c r="CU48" s="490"/>
      <c r="CV48" s="490"/>
      <c r="CW48" s="490"/>
      <c r="CX48" s="490"/>
      <c r="CY48" s="490"/>
      <c r="CZ48" s="490"/>
      <c r="DA48" s="490"/>
      <c r="DB48" s="490"/>
      <c r="DC48" s="490"/>
      <c r="DD48" s="490"/>
      <c r="DE48" s="490"/>
      <c r="DF48" s="490"/>
      <c r="DG48" s="490"/>
      <c r="DH48" s="490"/>
      <c r="DI48" s="490"/>
      <c r="DJ48" s="490"/>
      <c r="DK48" s="490"/>
      <c r="DL48" s="490"/>
      <c r="DM48" s="490"/>
      <c r="DN48" s="490"/>
      <c r="DO48" s="490"/>
      <c r="DP48" s="490"/>
      <c r="DQ48" s="490"/>
      <c r="DR48" s="490"/>
      <c r="DS48" s="490"/>
      <c r="DT48" s="490"/>
      <c r="DU48" s="490"/>
      <c r="DV48" s="490"/>
      <c r="DW48" s="490"/>
      <c r="DX48" s="490"/>
      <c r="DY48" s="490"/>
      <c r="DZ48" s="490"/>
      <c r="EA48" s="490"/>
      <c r="EB48" s="490"/>
      <c r="EC48" s="490"/>
      <c r="ED48" s="490"/>
      <c r="EE48" s="490"/>
      <c r="EF48" s="490"/>
      <c r="EG48" s="490"/>
      <c r="EH48" s="490"/>
      <c r="EI48" s="490"/>
      <c r="EJ48" s="490"/>
      <c r="EK48" s="490"/>
      <c r="EL48" s="490"/>
      <c r="EM48" s="490"/>
      <c r="EN48" s="490"/>
      <c r="EO48" s="490"/>
      <c r="EP48" s="490"/>
      <c r="EQ48" s="490"/>
      <c r="ER48" s="490"/>
      <c r="ES48" s="490"/>
      <c r="ET48" s="490"/>
      <c r="EU48" s="490"/>
      <c r="EV48" s="490"/>
      <c r="EW48" s="490"/>
      <c r="EX48" s="490"/>
      <c r="EY48" s="490"/>
      <c r="EZ48" s="490"/>
      <c r="FA48" s="490"/>
      <c r="FB48" s="490"/>
      <c r="FC48" s="490"/>
      <c r="FD48" s="490"/>
      <c r="FE48" s="490"/>
      <c r="FF48" s="490"/>
      <c r="FG48" s="490"/>
      <c r="FH48" s="490"/>
      <c r="FI48" s="490"/>
      <c r="FJ48" s="490"/>
      <c r="FK48" s="490"/>
      <c r="FL48" s="490"/>
      <c r="FM48" s="490"/>
      <c r="FN48" s="490"/>
    </row>
    <row r="49" s="491" customFormat="1" spans="1:170">
      <c r="A49" s="539">
        <v>46048</v>
      </c>
      <c r="B49" s="509" t="s">
        <v>716</v>
      </c>
      <c r="C49" s="538">
        <v>5.64</v>
      </c>
      <c r="D49" s="509" t="s">
        <v>14</v>
      </c>
      <c r="E49" s="509" t="s">
        <v>66</v>
      </c>
      <c r="F49" s="524" t="s">
        <v>26</v>
      </c>
      <c r="G49" s="521">
        <v>1.02</v>
      </c>
      <c r="H49" s="521">
        <v>5.28</v>
      </c>
      <c r="I49" s="530" t="s">
        <v>17</v>
      </c>
      <c r="J49" s="521">
        <v>1.85</v>
      </c>
      <c r="K49" s="527" t="s">
        <v>630</v>
      </c>
      <c r="L49" s="527" t="s">
        <v>95</v>
      </c>
      <c r="M49" s="490"/>
      <c r="N49" s="490"/>
      <c r="O49" s="490"/>
      <c r="P49" s="490"/>
      <c r="Q49" s="490"/>
      <c r="R49" s="490"/>
      <c r="S49" s="490"/>
      <c r="T49" s="490"/>
      <c r="U49" s="490"/>
      <c r="V49" s="490"/>
      <c r="W49" s="490"/>
      <c r="X49" s="490"/>
      <c r="Y49" s="490"/>
      <c r="Z49" s="490"/>
      <c r="AA49" s="490"/>
      <c r="AB49" s="490"/>
      <c r="AC49" s="490"/>
      <c r="AD49" s="490"/>
      <c r="AE49" s="490"/>
      <c r="AF49" s="490"/>
      <c r="AG49" s="490"/>
      <c r="AH49" s="490"/>
      <c r="AI49" s="490"/>
      <c r="AJ49" s="490"/>
      <c r="AK49" s="490"/>
      <c r="AL49" s="490"/>
      <c r="AM49" s="490"/>
      <c r="AN49" s="490"/>
      <c r="AO49" s="490"/>
      <c r="AP49" s="490"/>
      <c r="AQ49" s="490"/>
      <c r="AR49" s="490"/>
      <c r="AS49" s="490"/>
      <c r="AT49" s="490"/>
      <c r="AU49" s="490"/>
      <c r="AV49" s="490"/>
      <c r="AW49" s="490"/>
      <c r="AX49" s="490"/>
      <c r="AY49" s="490"/>
      <c r="AZ49" s="490"/>
      <c r="BA49" s="490"/>
      <c r="BB49" s="490"/>
      <c r="BC49" s="490"/>
      <c r="BD49" s="490"/>
      <c r="BE49" s="490"/>
      <c r="BF49" s="490"/>
      <c r="BG49" s="490"/>
      <c r="BH49" s="490"/>
      <c r="BI49" s="490"/>
      <c r="BJ49" s="490"/>
      <c r="BK49" s="490"/>
      <c r="BL49" s="490"/>
      <c r="BM49" s="490"/>
      <c r="BN49" s="490"/>
      <c r="BO49" s="490"/>
      <c r="BP49" s="490"/>
      <c r="BQ49" s="490"/>
      <c r="BR49" s="490"/>
      <c r="BS49" s="490"/>
      <c r="BT49" s="490"/>
      <c r="BU49" s="490"/>
      <c r="BV49" s="490"/>
      <c r="BW49" s="490"/>
      <c r="BX49" s="490"/>
      <c r="BY49" s="490"/>
      <c r="BZ49" s="490"/>
      <c r="CA49" s="490"/>
      <c r="CB49" s="490"/>
      <c r="CC49" s="490"/>
      <c r="CD49" s="490"/>
      <c r="CE49" s="490"/>
      <c r="CF49" s="490"/>
      <c r="CG49" s="490"/>
      <c r="CH49" s="490"/>
      <c r="CI49" s="490"/>
      <c r="CJ49" s="490"/>
      <c r="CK49" s="490"/>
      <c r="CL49" s="490"/>
      <c r="CM49" s="490"/>
      <c r="CN49" s="490"/>
      <c r="CO49" s="490"/>
      <c r="CP49" s="490"/>
      <c r="CQ49" s="490"/>
      <c r="CR49" s="490"/>
      <c r="CS49" s="490"/>
      <c r="CT49" s="490"/>
      <c r="CU49" s="490"/>
      <c r="CV49" s="490"/>
      <c r="CW49" s="490"/>
      <c r="CX49" s="490"/>
      <c r="CY49" s="490"/>
      <c r="CZ49" s="490"/>
      <c r="DA49" s="490"/>
      <c r="DB49" s="490"/>
      <c r="DC49" s="490"/>
      <c r="DD49" s="490"/>
      <c r="DE49" s="490"/>
      <c r="DF49" s="490"/>
      <c r="DG49" s="490"/>
      <c r="DH49" s="490"/>
      <c r="DI49" s="490"/>
      <c r="DJ49" s="490"/>
      <c r="DK49" s="490"/>
      <c r="DL49" s="490"/>
      <c r="DM49" s="490"/>
      <c r="DN49" s="490"/>
      <c r="DO49" s="490"/>
      <c r="DP49" s="490"/>
      <c r="DQ49" s="490"/>
      <c r="DR49" s="490"/>
      <c r="DS49" s="490"/>
      <c r="DT49" s="490"/>
      <c r="DU49" s="490"/>
      <c r="DV49" s="490"/>
      <c r="DW49" s="490"/>
      <c r="DX49" s="490"/>
      <c r="DY49" s="490"/>
      <c r="DZ49" s="490"/>
      <c r="EA49" s="490"/>
      <c r="EB49" s="490"/>
      <c r="EC49" s="490"/>
      <c r="ED49" s="490"/>
      <c r="EE49" s="490"/>
      <c r="EF49" s="490"/>
      <c r="EG49" s="490"/>
      <c r="EH49" s="490"/>
      <c r="EI49" s="490"/>
      <c r="EJ49" s="490"/>
      <c r="EK49" s="490"/>
      <c r="EL49" s="490"/>
      <c r="EM49" s="490"/>
      <c r="EN49" s="490"/>
      <c r="EO49" s="490"/>
      <c r="EP49" s="490"/>
      <c r="EQ49" s="490"/>
      <c r="ER49" s="490"/>
      <c r="ES49" s="490"/>
      <c r="ET49" s="490"/>
      <c r="EU49" s="490"/>
      <c r="EV49" s="490"/>
      <c r="EW49" s="490"/>
      <c r="EX49" s="490"/>
      <c r="EY49" s="490"/>
      <c r="EZ49" s="490"/>
      <c r="FA49" s="490"/>
      <c r="FB49" s="490"/>
      <c r="FC49" s="490"/>
      <c r="FD49" s="490"/>
      <c r="FE49" s="490"/>
      <c r="FF49" s="490"/>
      <c r="FG49" s="490"/>
      <c r="FH49" s="490"/>
      <c r="FI49" s="490"/>
      <c r="FJ49" s="490"/>
      <c r="FK49" s="490"/>
      <c r="FL49" s="490"/>
      <c r="FM49" s="490"/>
      <c r="FN49" s="490"/>
    </row>
    <row r="50" s="491" customFormat="1" spans="1:170">
      <c r="A50" s="539"/>
      <c r="B50" s="509"/>
      <c r="C50" s="538"/>
      <c r="D50" s="509"/>
      <c r="E50" s="509"/>
      <c r="F50" s="524" t="s">
        <v>21</v>
      </c>
      <c r="G50" s="521">
        <v>1.02</v>
      </c>
      <c r="H50" s="521">
        <v>0.36</v>
      </c>
      <c r="I50" s="530" t="s">
        <v>17</v>
      </c>
      <c r="J50" s="521">
        <v>2</v>
      </c>
      <c r="K50" s="527"/>
      <c r="L50" s="527"/>
      <c r="M50" s="490"/>
      <c r="N50" s="490"/>
      <c r="O50" s="490"/>
      <c r="P50" s="490"/>
      <c r="Q50" s="490"/>
      <c r="R50" s="490"/>
      <c r="S50" s="490"/>
      <c r="T50" s="490"/>
      <c r="U50" s="490"/>
      <c r="V50" s="490"/>
      <c r="W50" s="490"/>
      <c r="X50" s="490"/>
      <c r="Y50" s="490"/>
      <c r="Z50" s="490"/>
      <c r="AA50" s="490"/>
      <c r="AB50" s="490"/>
      <c r="AC50" s="490"/>
      <c r="AD50" s="490"/>
      <c r="AE50" s="490"/>
      <c r="AF50" s="490"/>
      <c r="AG50" s="490"/>
      <c r="AH50" s="490"/>
      <c r="AI50" s="490"/>
      <c r="AJ50" s="490"/>
      <c r="AK50" s="490"/>
      <c r="AL50" s="490"/>
      <c r="AM50" s="490"/>
      <c r="AN50" s="490"/>
      <c r="AO50" s="490"/>
      <c r="AP50" s="490"/>
      <c r="AQ50" s="490"/>
      <c r="AR50" s="490"/>
      <c r="AS50" s="490"/>
      <c r="AT50" s="490"/>
      <c r="AU50" s="490"/>
      <c r="AV50" s="490"/>
      <c r="AW50" s="490"/>
      <c r="AX50" s="490"/>
      <c r="AY50" s="490"/>
      <c r="AZ50" s="490"/>
      <c r="BA50" s="490"/>
      <c r="BB50" s="490"/>
      <c r="BC50" s="490"/>
      <c r="BD50" s="490"/>
      <c r="BE50" s="490"/>
      <c r="BF50" s="490"/>
      <c r="BG50" s="490"/>
      <c r="BH50" s="490"/>
      <c r="BI50" s="490"/>
      <c r="BJ50" s="490"/>
      <c r="BK50" s="490"/>
      <c r="BL50" s="490"/>
      <c r="BM50" s="490"/>
      <c r="BN50" s="490"/>
      <c r="BO50" s="490"/>
      <c r="BP50" s="490"/>
      <c r="BQ50" s="490"/>
      <c r="BR50" s="490"/>
      <c r="BS50" s="490"/>
      <c r="BT50" s="490"/>
      <c r="BU50" s="490"/>
      <c r="BV50" s="490"/>
      <c r="BW50" s="490"/>
      <c r="BX50" s="490"/>
      <c r="BY50" s="490"/>
      <c r="BZ50" s="490"/>
      <c r="CA50" s="490"/>
      <c r="CB50" s="490"/>
      <c r="CC50" s="490"/>
      <c r="CD50" s="490"/>
      <c r="CE50" s="490"/>
      <c r="CF50" s="490"/>
      <c r="CG50" s="490"/>
      <c r="CH50" s="490"/>
      <c r="CI50" s="490"/>
      <c r="CJ50" s="490"/>
      <c r="CK50" s="490"/>
      <c r="CL50" s="490"/>
      <c r="CM50" s="490"/>
      <c r="CN50" s="490"/>
      <c r="CO50" s="490"/>
      <c r="CP50" s="490"/>
      <c r="CQ50" s="490"/>
      <c r="CR50" s="490"/>
      <c r="CS50" s="490"/>
      <c r="CT50" s="490"/>
      <c r="CU50" s="490"/>
      <c r="CV50" s="490"/>
      <c r="CW50" s="490"/>
      <c r="CX50" s="490"/>
      <c r="CY50" s="490"/>
      <c r="CZ50" s="490"/>
      <c r="DA50" s="490"/>
      <c r="DB50" s="490"/>
      <c r="DC50" s="490"/>
      <c r="DD50" s="490"/>
      <c r="DE50" s="490"/>
      <c r="DF50" s="490"/>
      <c r="DG50" s="490"/>
      <c r="DH50" s="490"/>
      <c r="DI50" s="490"/>
      <c r="DJ50" s="490"/>
      <c r="DK50" s="490"/>
      <c r="DL50" s="490"/>
      <c r="DM50" s="490"/>
      <c r="DN50" s="490"/>
      <c r="DO50" s="490"/>
      <c r="DP50" s="490"/>
      <c r="DQ50" s="490"/>
      <c r="DR50" s="490"/>
      <c r="DS50" s="490"/>
      <c r="DT50" s="490"/>
      <c r="DU50" s="490"/>
      <c r="DV50" s="490"/>
      <c r="DW50" s="490"/>
      <c r="DX50" s="490"/>
      <c r="DY50" s="490"/>
      <c r="DZ50" s="490"/>
      <c r="EA50" s="490"/>
      <c r="EB50" s="490"/>
      <c r="EC50" s="490"/>
      <c r="ED50" s="490"/>
      <c r="EE50" s="490"/>
      <c r="EF50" s="490"/>
      <c r="EG50" s="490"/>
      <c r="EH50" s="490"/>
      <c r="EI50" s="490"/>
      <c r="EJ50" s="490"/>
      <c r="EK50" s="490"/>
      <c r="EL50" s="490"/>
      <c r="EM50" s="490"/>
      <c r="EN50" s="490"/>
      <c r="EO50" s="490"/>
      <c r="EP50" s="490"/>
      <c r="EQ50" s="490"/>
      <c r="ER50" s="490"/>
      <c r="ES50" s="490"/>
      <c r="ET50" s="490"/>
      <c r="EU50" s="490"/>
      <c r="EV50" s="490"/>
      <c r="EW50" s="490"/>
      <c r="EX50" s="490"/>
      <c r="EY50" s="490"/>
      <c r="EZ50" s="490"/>
      <c r="FA50" s="490"/>
      <c r="FB50" s="490"/>
      <c r="FC50" s="490"/>
      <c r="FD50" s="490"/>
      <c r="FE50" s="490"/>
      <c r="FF50" s="490"/>
      <c r="FG50" s="490"/>
      <c r="FH50" s="490"/>
      <c r="FI50" s="490"/>
      <c r="FJ50" s="490"/>
      <c r="FK50" s="490"/>
      <c r="FL50" s="490"/>
      <c r="FM50" s="490"/>
      <c r="FN50" s="490"/>
    </row>
    <row r="51" s="492" customFormat="1" spans="1:170">
      <c r="A51" s="540">
        <v>46048</v>
      </c>
      <c r="B51" s="515" t="s">
        <v>717</v>
      </c>
      <c r="C51" s="541">
        <v>7.52</v>
      </c>
      <c r="D51" s="515" t="s">
        <v>66</v>
      </c>
      <c r="E51" s="515" t="s">
        <v>14</v>
      </c>
      <c r="F51" s="515" t="s">
        <v>73</v>
      </c>
      <c r="G51" s="541">
        <v>1</v>
      </c>
      <c r="H51" s="541">
        <v>7.04</v>
      </c>
      <c r="I51" s="541" t="s">
        <v>17</v>
      </c>
      <c r="J51" s="541">
        <v>1.85</v>
      </c>
      <c r="K51" s="515" t="s">
        <v>630</v>
      </c>
      <c r="L51" s="515" t="s">
        <v>95</v>
      </c>
      <c r="M51" s="490"/>
      <c r="N51" s="490"/>
      <c r="O51" s="490"/>
      <c r="P51" s="490"/>
      <c r="Q51" s="490"/>
      <c r="R51" s="490"/>
      <c r="S51" s="490"/>
      <c r="T51" s="490"/>
      <c r="U51" s="490"/>
      <c r="V51" s="490"/>
      <c r="W51" s="490"/>
      <c r="X51" s="490"/>
      <c r="Y51" s="490"/>
      <c r="Z51" s="490"/>
      <c r="AA51" s="490"/>
      <c r="AB51" s="490"/>
      <c r="AC51" s="490"/>
      <c r="AD51" s="490"/>
      <c r="AE51" s="490"/>
      <c r="AF51" s="490"/>
      <c r="AG51" s="490"/>
      <c r="AH51" s="490"/>
      <c r="AI51" s="490"/>
      <c r="AJ51" s="490"/>
      <c r="AK51" s="490"/>
      <c r="AL51" s="490"/>
      <c r="AM51" s="490"/>
      <c r="AN51" s="490"/>
      <c r="AO51" s="490"/>
      <c r="AP51" s="490"/>
      <c r="AQ51" s="490"/>
      <c r="AR51" s="490"/>
      <c r="AS51" s="490"/>
      <c r="AT51" s="490"/>
      <c r="AU51" s="490"/>
      <c r="AV51" s="490"/>
      <c r="AW51" s="490"/>
      <c r="AX51" s="490"/>
      <c r="AY51" s="490"/>
      <c r="AZ51" s="490"/>
      <c r="BA51" s="490"/>
      <c r="BB51" s="490"/>
      <c r="BC51" s="490"/>
      <c r="BD51" s="490"/>
      <c r="BE51" s="490"/>
      <c r="BF51" s="490"/>
      <c r="BG51" s="490"/>
      <c r="BH51" s="490"/>
      <c r="BI51" s="490"/>
      <c r="BJ51" s="490"/>
      <c r="BK51" s="490"/>
      <c r="BL51" s="490"/>
      <c r="BM51" s="490"/>
      <c r="BN51" s="490"/>
      <c r="BO51" s="490"/>
      <c r="BP51" s="490"/>
      <c r="BQ51" s="490"/>
      <c r="BR51" s="490"/>
      <c r="BS51" s="490"/>
      <c r="BT51" s="490"/>
      <c r="BU51" s="490"/>
      <c r="BV51" s="490"/>
      <c r="BW51" s="490"/>
      <c r="BX51" s="490"/>
      <c r="BY51" s="490"/>
      <c r="BZ51" s="490"/>
      <c r="CA51" s="490"/>
      <c r="CB51" s="490"/>
      <c r="CC51" s="490"/>
      <c r="CD51" s="490"/>
      <c r="CE51" s="490"/>
      <c r="CF51" s="490"/>
      <c r="CG51" s="490"/>
      <c r="CH51" s="490"/>
      <c r="CI51" s="490"/>
      <c r="CJ51" s="490"/>
      <c r="CK51" s="490"/>
      <c r="CL51" s="490"/>
      <c r="CM51" s="490"/>
      <c r="CN51" s="490"/>
      <c r="CO51" s="490"/>
      <c r="CP51" s="490"/>
      <c r="CQ51" s="490"/>
      <c r="CR51" s="490"/>
      <c r="CS51" s="490"/>
      <c r="CT51" s="490"/>
      <c r="CU51" s="490"/>
      <c r="CV51" s="490"/>
      <c r="CW51" s="490"/>
      <c r="CX51" s="490"/>
      <c r="CY51" s="490"/>
      <c r="CZ51" s="490"/>
      <c r="DA51" s="490"/>
      <c r="DB51" s="490"/>
      <c r="DC51" s="490"/>
      <c r="DD51" s="490"/>
      <c r="DE51" s="490"/>
      <c r="DF51" s="490"/>
      <c r="DG51" s="490"/>
      <c r="DH51" s="490"/>
      <c r="DI51" s="490"/>
      <c r="DJ51" s="490"/>
      <c r="DK51" s="490"/>
      <c r="DL51" s="490"/>
      <c r="DM51" s="490"/>
      <c r="DN51" s="490"/>
      <c r="DO51" s="490"/>
      <c r="DP51" s="490"/>
      <c r="DQ51" s="490"/>
      <c r="DR51" s="490"/>
      <c r="DS51" s="490"/>
      <c r="DT51" s="490"/>
      <c r="DU51" s="490"/>
      <c r="DV51" s="490"/>
      <c r="DW51" s="490"/>
      <c r="DX51" s="490"/>
      <c r="DY51" s="490"/>
      <c r="DZ51" s="490"/>
      <c r="EA51" s="490"/>
      <c r="EB51" s="490"/>
      <c r="EC51" s="490"/>
      <c r="ED51" s="490"/>
      <c r="EE51" s="490"/>
      <c r="EF51" s="490"/>
      <c r="EG51" s="490"/>
      <c r="EH51" s="490"/>
      <c r="EI51" s="490"/>
      <c r="EJ51" s="490"/>
      <c r="EK51" s="490"/>
      <c r="EL51" s="490"/>
      <c r="EM51" s="490"/>
      <c r="EN51" s="490"/>
      <c r="EO51" s="490"/>
      <c r="EP51" s="490"/>
      <c r="EQ51" s="490"/>
      <c r="ER51" s="490"/>
      <c r="ES51" s="490"/>
      <c r="ET51" s="490"/>
      <c r="EU51" s="490"/>
      <c r="EV51" s="490"/>
      <c r="EW51" s="490"/>
      <c r="EX51" s="490"/>
      <c r="EY51" s="490"/>
      <c r="EZ51" s="490"/>
      <c r="FA51" s="490"/>
      <c r="FB51" s="490"/>
      <c r="FC51" s="490"/>
      <c r="FD51" s="490"/>
      <c r="FE51" s="490"/>
      <c r="FF51" s="490"/>
      <c r="FG51" s="490"/>
      <c r="FH51" s="490"/>
      <c r="FI51" s="490"/>
      <c r="FJ51" s="490"/>
      <c r="FK51" s="490"/>
      <c r="FL51" s="490"/>
      <c r="FM51" s="490"/>
      <c r="FN51" s="490"/>
    </row>
    <row r="52" s="492" customFormat="1" spans="1:170">
      <c r="A52" s="540"/>
      <c r="B52" s="515"/>
      <c r="C52" s="541"/>
      <c r="D52" s="515"/>
      <c r="E52" s="515"/>
      <c r="F52" s="515" t="s">
        <v>75</v>
      </c>
      <c r="G52" s="541">
        <v>1</v>
      </c>
      <c r="H52" s="541">
        <v>0.48</v>
      </c>
      <c r="I52" s="541" t="s">
        <v>22</v>
      </c>
      <c r="J52" s="541">
        <v>2</v>
      </c>
      <c r="K52" s="515"/>
      <c r="L52" s="515"/>
      <c r="M52" s="490"/>
      <c r="N52" s="490"/>
      <c r="O52" s="490"/>
      <c r="P52" s="490"/>
      <c r="Q52" s="490"/>
      <c r="R52" s="490"/>
      <c r="S52" s="490"/>
      <c r="T52" s="490"/>
      <c r="U52" s="490"/>
      <c r="V52" s="490"/>
      <c r="W52" s="490"/>
      <c r="X52" s="490"/>
      <c r="Y52" s="490"/>
      <c r="Z52" s="490"/>
      <c r="AA52" s="490"/>
      <c r="AB52" s="490"/>
      <c r="AC52" s="490"/>
      <c r="AD52" s="490"/>
      <c r="AE52" s="490"/>
      <c r="AF52" s="490"/>
      <c r="AG52" s="490"/>
      <c r="AH52" s="490"/>
      <c r="AI52" s="490"/>
      <c r="AJ52" s="490"/>
      <c r="AK52" s="490"/>
      <c r="AL52" s="490"/>
      <c r="AM52" s="490"/>
      <c r="AN52" s="490"/>
      <c r="AO52" s="490"/>
      <c r="AP52" s="490"/>
      <c r="AQ52" s="490"/>
      <c r="AR52" s="490"/>
      <c r="AS52" s="490"/>
      <c r="AT52" s="490"/>
      <c r="AU52" s="490"/>
      <c r="AV52" s="490"/>
      <c r="AW52" s="490"/>
      <c r="AX52" s="490"/>
      <c r="AY52" s="490"/>
      <c r="AZ52" s="490"/>
      <c r="BA52" s="490"/>
      <c r="BB52" s="490"/>
      <c r="BC52" s="490"/>
      <c r="BD52" s="490"/>
      <c r="BE52" s="490"/>
      <c r="BF52" s="490"/>
      <c r="BG52" s="490"/>
      <c r="BH52" s="490"/>
      <c r="BI52" s="490"/>
      <c r="BJ52" s="490"/>
      <c r="BK52" s="490"/>
      <c r="BL52" s="490"/>
      <c r="BM52" s="490"/>
      <c r="BN52" s="490"/>
      <c r="BO52" s="490"/>
      <c r="BP52" s="490"/>
      <c r="BQ52" s="490"/>
      <c r="BR52" s="490"/>
      <c r="BS52" s="490"/>
      <c r="BT52" s="490"/>
      <c r="BU52" s="490"/>
      <c r="BV52" s="490"/>
      <c r="BW52" s="490"/>
      <c r="BX52" s="490"/>
      <c r="BY52" s="490"/>
      <c r="BZ52" s="490"/>
      <c r="CA52" s="490"/>
      <c r="CB52" s="490"/>
      <c r="CC52" s="490"/>
      <c r="CD52" s="490"/>
      <c r="CE52" s="490"/>
      <c r="CF52" s="490"/>
      <c r="CG52" s="490"/>
      <c r="CH52" s="490"/>
      <c r="CI52" s="490"/>
      <c r="CJ52" s="490"/>
      <c r="CK52" s="490"/>
      <c r="CL52" s="490"/>
      <c r="CM52" s="490"/>
      <c r="CN52" s="490"/>
      <c r="CO52" s="490"/>
      <c r="CP52" s="490"/>
      <c r="CQ52" s="490"/>
      <c r="CR52" s="490"/>
      <c r="CS52" s="490"/>
      <c r="CT52" s="490"/>
      <c r="CU52" s="490"/>
      <c r="CV52" s="490"/>
      <c r="CW52" s="490"/>
      <c r="CX52" s="490"/>
      <c r="CY52" s="490"/>
      <c r="CZ52" s="490"/>
      <c r="DA52" s="490"/>
      <c r="DB52" s="490"/>
      <c r="DC52" s="490"/>
      <c r="DD52" s="490"/>
      <c r="DE52" s="490"/>
      <c r="DF52" s="490"/>
      <c r="DG52" s="490"/>
      <c r="DH52" s="490"/>
      <c r="DI52" s="490"/>
      <c r="DJ52" s="490"/>
      <c r="DK52" s="490"/>
      <c r="DL52" s="490"/>
      <c r="DM52" s="490"/>
      <c r="DN52" s="490"/>
      <c r="DO52" s="490"/>
      <c r="DP52" s="490"/>
      <c r="DQ52" s="490"/>
      <c r="DR52" s="490"/>
      <c r="DS52" s="490"/>
      <c r="DT52" s="490"/>
      <c r="DU52" s="490"/>
      <c r="DV52" s="490"/>
      <c r="DW52" s="490"/>
      <c r="DX52" s="490"/>
      <c r="DY52" s="490"/>
      <c r="DZ52" s="490"/>
      <c r="EA52" s="490"/>
      <c r="EB52" s="490"/>
      <c r="EC52" s="490"/>
      <c r="ED52" s="490"/>
      <c r="EE52" s="490"/>
      <c r="EF52" s="490"/>
      <c r="EG52" s="490"/>
      <c r="EH52" s="490"/>
      <c r="EI52" s="490"/>
      <c r="EJ52" s="490"/>
      <c r="EK52" s="490"/>
      <c r="EL52" s="490"/>
      <c r="EM52" s="490"/>
      <c r="EN52" s="490"/>
      <c r="EO52" s="490"/>
      <c r="EP52" s="490"/>
      <c r="EQ52" s="490"/>
      <c r="ER52" s="490"/>
      <c r="ES52" s="490"/>
      <c r="ET52" s="490"/>
      <c r="EU52" s="490"/>
      <c r="EV52" s="490"/>
      <c r="EW52" s="490"/>
      <c r="EX52" s="490"/>
      <c r="EY52" s="490"/>
      <c r="EZ52" s="490"/>
      <c r="FA52" s="490"/>
      <c r="FB52" s="490"/>
      <c r="FC52" s="490"/>
      <c r="FD52" s="490"/>
      <c r="FE52" s="490"/>
      <c r="FF52" s="490"/>
      <c r="FG52" s="490"/>
      <c r="FH52" s="490"/>
      <c r="FI52" s="490"/>
      <c r="FJ52" s="490"/>
      <c r="FK52" s="490"/>
      <c r="FL52" s="490"/>
      <c r="FM52" s="490"/>
      <c r="FN52" s="490"/>
    </row>
    <row r="53" s="492" customFormat="1" spans="1:170">
      <c r="A53" s="540">
        <v>46048</v>
      </c>
      <c r="B53" s="515" t="s">
        <v>718</v>
      </c>
      <c r="C53" s="541">
        <v>7.52</v>
      </c>
      <c r="D53" s="515" t="s">
        <v>66</v>
      </c>
      <c r="E53" s="515" t="s">
        <v>14</v>
      </c>
      <c r="F53" s="515" t="s">
        <v>73</v>
      </c>
      <c r="G53" s="541">
        <v>1</v>
      </c>
      <c r="H53" s="541">
        <v>7.04</v>
      </c>
      <c r="I53" s="541" t="s">
        <v>17</v>
      </c>
      <c r="J53" s="541">
        <v>1.85</v>
      </c>
      <c r="K53" s="515" t="s">
        <v>630</v>
      </c>
      <c r="L53" s="515" t="s">
        <v>95</v>
      </c>
      <c r="M53" s="490"/>
      <c r="N53" s="490"/>
      <c r="O53" s="490"/>
      <c r="P53" s="490"/>
      <c r="Q53" s="490"/>
      <c r="R53" s="490"/>
      <c r="S53" s="490"/>
      <c r="T53" s="490"/>
      <c r="U53" s="490"/>
      <c r="V53" s="490"/>
      <c r="W53" s="490"/>
      <c r="X53" s="490"/>
      <c r="Y53" s="490"/>
      <c r="Z53" s="490"/>
      <c r="AA53" s="490"/>
      <c r="AB53" s="490"/>
      <c r="AC53" s="490"/>
      <c r="AD53" s="490"/>
      <c r="AE53" s="490"/>
      <c r="AF53" s="490"/>
      <c r="AG53" s="490"/>
      <c r="AH53" s="490"/>
      <c r="AI53" s="490"/>
      <c r="AJ53" s="490"/>
      <c r="AK53" s="490"/>
      <c r="AL53" s="490"/>
      <c r="AM53" s="490"/>
      <c r="AN53" s="490"/>
      <c r="AO53" s="490"/>
      <c r="AP53" s="490"/>
      <c r="AQ53" s="490"/>
      <c r="AR53" s="490"/>
      <c r="AS53" s="490"/>
      <c r="AT53" s="490"/>
      <c r="AU53" s="490"/>
      <c r="AV53" s="490"/>
      <c r="AW53" s="490"/>
      <c r="AX53" s="490"/>
      <c r="AY53" s="490"/>
      <c r="AZ53" s="490"/>
      <c r="BA53" s="490"/>
      <c r="BB53" s="490"/>
      <c r="BC53" s="490"/>
      <c r="BD53" s="490"/>
      <c r="BE53" s="490"/>
      <c r="BF53" s="490"/>
      <c r="BG53" s="490"/>
      <c r="BH53" s="490"/>
      <c r="BI53" s="490"/>
      <c r="BJ53" s="490"/>
      <c r="BK53" s="490"/>
      <c r="BL53" s="490"/>
      <c r="BM53" s="490"/>
      <c r="BN53" s="490"/>
      <c r="BO53" s="490"/>
      <c r="BP53" s="490"/>
      <c r="BQ53" s="490"/>
      <c r="BR53" s="490"/>
      <c r="BS53" s="490"/>
      <c r="BT53" s="490"/>
      <c r="BU53" s="490"/>
      <c r="BV53" s="490"/>
      <c r="BW53" s="490"/>
      <c r="BX53" s="490"/>
      <c r="BY53" s="490"/>
      <c r="BZ53" s="490"/>
      <c r="CA53" s="490"/>
      <c r="CB53" s="490"/>
      <c r="CC53" s="490"/>
      <c r="CD53" s="490"/>
      <c r="CE53" s="490"/>
      <c r="CF53" s="490"/>
      <c r="CG53" s="490"/>
      <c r="CH53" s="490"/>
      <c r="CI53" s="490"/>
      <c r="CJ53" s="490"/>
      <c r="CK53" s="490"/>
      <c r="CL53" s="490"/>
      <c r="CM53" s="490"/>
      <c r="CN53" s="490"/>
      <c r="CO53" s="490"/>
      <c r="CP53" s="490"/>
      <c r="CQ53" s="490"/>
      <c r="CR53" s="490"/>
      <c r="CS53" s="490"/>
      <c r="CT53" s="490"/>
      <c r="CU53" s="490"/>
      <c r="CV53" s="490"/>
      <c r="CW53" s="490"/>
      <c r="CX53" s="490"/>
      <c r="CY53" s="490"/>
      <c r="CZ53" s="490"/>
      <c r="DA53" s="490"/>
      <c r="DB53" s="490"/>
      <c r="DC53" s="490"/>
      <c r="DD53" s="490"/>
      <c r="DE53" s="490"/>
      <c r="DF53" s="490"/>
      <c r="DG53" s="490"/>
      <c r="DH53" s="490"/>
      <c r="DI53" s="490"/>
      <c r="DJ53" s="490"/>
      <c r="DK53" s="490"/>
      <c r="DL53" s="490"/>
      <c r="DM53" s="490"/>
      <c r="DN53" s="490"/>
      <c r="DO53" s="490"/>
      <c r="DP53" s="490"/>
      <c r="DQ53" s="490"/>
      <c r="DR53" s="490"/>
      <c r="DS53" s="490"/>
      <c r="DT53" s="490"/>
      <c r="DU53" s="490"/>
      <c r="DV53" s="490"/>
      <c r="DW53" s="490"/>
      <c r="DX53" s="490"/>
      <c r="DY53" s="490"/>
      <c r="DZ53" s="490"/>
      <c r="EA53" s="490"/>
      <c r="EB53" s="490"/>
      <c r="EC53" s="490"/>
      <c r="ED53" s="490"/>
      <c r="EE53" s="490"/>
      <c r="EF53" s="490"/>
      <c r="EG53" s="490"/>
      <c r="EH53" s="490"/>
      <c r="EI53" s="490"/>
      <c r="EJ53" s="490"/>
      <c r="EK53" s="490"/>
      <c r="EL53" s="490"/>
      <c r="EM53" s="490"/>
      <c r="EN53" s="490"/>
      <c r="EO53" s="490"/>
      <c r="EP53" s="490"/>
      <c r="EQ53" s="490"/>
      <c r="ER53" s="490"/>
      <c r="ES53" s="490"/>
      <c r="ET53" s="490"/>
      <c r="EU53" s="490"/>
      <c r="EV53" s="490"/>
      <c r="EW53" s="490"/>
      <c r="EX53" s="490"/>
      <c r="EY53" s="490"/>
      <c r="EZ53" s="490"/>
      <c r="FA53" s="490"/>
      <c r="FB53" s="490"/>
      <c r="FC53" s="490"/>
      <c r="FD53" s="490"/>
      <c r="FE53" s="490"/>
      <c r="FF53" s="490"/>
      <c r="FG53" s="490"/>
      <c r="FH53" s="490"/>
      <c r="FI53" s="490"/>
      <c r="FJ53" s="490"/>
      <c r="FK53" s="490"/>
      <c r="FL53" s="490"/>
      <c r="FM53" s="490"/>
      <c r="FN53" s="490"/>
    </row>
    <row r="54" s="492" customFormat="1" spans="1:170">
      <c r="A54" s="540"/>
      <c r="B54" s="515"/>
      <c r="C54" s="541"/>
      <c r="D54" s="515"/>
      <c r="E54" s="515"/>
      <c r="F54" s="515" t="s">
        <v>75</v>
      </c>
      <c r="G54" s="541">
        <v>1</v>
      </c>
      <c r="H54" s="541">
        <v>0.48</v>
      </c>
      <c r="I54" s="541" t="s">
        <v>22</v>
      </c>
      <c r="J54" s="541">
        <v>1.95</v>
      </c>
      <c r="K54" s="515"/>
      <c r="L54" s="515"/>
      <c r="M54" s="490"/>
      <c r="N54" s="490"/>
      <c r="O54" s="490"/>
      <c r="P54" s="490"/>
      <c r="Q54" s="490"/>
      <c r="R54" s="490"/>
      <c r="S54" s="490"/>
      <c r="T54" s="490"/>
      <c r="U54" s="490"/>
      <c r="V54" s="490"/>
      <c r="W54" s="490"/>
      <c r="X54" s="490"/>
      <c r="Y54" s="490"/>
      <c r="Z54" s="490"/>
      <c r="AA54" s="490"/>
      <c r="AB54" s="490"/>
      <c r="AC54" s="490"/>
      <c r="AD54" s="490"/>
      <c r="AE54" s="490"/>
      <c r="AF54" s="490"/>
      <c r="AG54" s="490"/>
      <c r="AH54" s="490"/>
      <c r="AI54" s="490"/>
      <c r="AJ54" s="490"/>
      <c r="AK54" s="490"/>
      <c r="AL54" s="490"/>
      <c r="AM54" s="490"/>
      <c r="AN54" s="490"/>
      <c r="AO54" s="490"/>
      <c r="AP54" s="490"/>
      <c r="AQ54" s="490"/>
      <c r="AR54" s="490"/>
      <c r="AS54" s="490"/>
      <c r="AT54" s="490"/>
      <c r="AU54" s="490"/>
      <c r="AV54" s="490"/>
      <c r="AW54" s="490"/>
      <c r="AX54" s="490"/>
      <c r="AY54" s="490"/>
      <c r="AZ54" s="490"/>
      <c r="BA54" s="490"/>
      <c r="BB54" s="490"/>
      <c r="BC54" s="490"/>
      <c r="BD54" s="490"/>
      <c r="BE54" s="490"/>
      <c r="BF54" s="490"/>
      <c r="BG54" s="490"/>
      <c r="BH54" s="490"/>
      <c r="BI54" s="490"/>
      <c r="BJ54" s="490"/>
      <c r="BK54" s="490"/>
      <c r="BL54" s="490"/>
      <c r="BM54" s="490"/>
      <c r="BN54" s="490"/>
      <c r="BO54" s="490"/>
      <c r="BP54" s="490"/>
      <c r="BQ54" s="490"/>
      <c r="BR54" s="490"/>
      <c r="BS54" s="490"/>
      <c r="BT54" s="490"/>
      <c r="BU54" s="490"/>
      <c r="BV54" s="490"/>
      <c r="BW54" s="490"/>
      <c r="BX54" s="490"/>
      <c r="BY54" s="490"/>
      <c r="BZ54" s="490"/>
      <c r="CA54" s="490"/>
      <c r="CB54" s="490"/>
      <c r="CC54" s="490"/>
      <c r="CD54" s="490"/>
      <c r="CE54" s="490"/>
      <c r="CF54" s="490"/>
      <c r="CG54" s="490"/>
      <c r="CH54" s="490"/>
      <c r="CI54" s="490"/>
      <c r="CJ54" s="490"/>
      <c r="CK54" s="490"/>
      <c r="CL54" s="490"/>
      <c r="CM54" s="490"/>
      <c r="CN54" s="490"/>
      <c r="CO54" s="490"/>
      <c r="CP54" s="490"/>
      <c r="CQ54" s="490"/>
      <c r="CR54" s="490"/>
      <c r="CS54" s="490"/>
      <c r="CT54" s="490"/>
      <c r="CU54" s="490"/>
      <c r="CV54" s="490"/>
      <c r="CW54" s="490"/>
      <c r="CX54" s="490"/>
      <c r="CY54" s="490"/>
      <c r="CZ54" s="490"/>
      <c r="DA54" s="490"/>
      <c r="DB54" s="490"/>
      <c r="DC54" s="490"/>
      <c r="DD54" s="490"/>
      <c r="DE54" s="490"/>
      <c r="DF54" s="490"/>
      <c r="DG54" s="490"/>
      <c r="DH54" s="490"/>
      <c r="DI54" s="490"/>
      <c r="DJ54" s="490"/>
      <c r="DK54" s="490"/>
      <c r="DL54" s="490"/>
      <c r="DM54" s="490"/>
      <c r="DN54" s="490"/>
      <c r="DO54" s="490"/>
      <c r="DP54" s="490"/>
      <c r="DQ54" s="490"/>
      <c r="DR54" s="490"/>
      <c r="DS54" s="490"/>
      <c r="DT54" s="490"/>
      <c r="DU54" s="490"/>
      <c r="DV54" s="490"/>
      <c r="DW54" s="490"/>
      <c r="DX54" s="490"/>
      <c r="DY54" s="490"/>
      <c r="DZ54" s="490"/>
      <c r="EA54" s="490"/>
      <c r="EB54" s="490"/>
      <c r="EC54" s="490"/>
      <c r="ED54" s="490"/>
      <c r="EE54" s="490"/>
      <c r="EF54" s="490"/>
      <c r="EG54" s="490"/>
      <c r="EH54" s="490"/>
      <c r="EI54" s="490"/>
      <c r="EJ54" s="490"/>
      <c r="EK54" s="490"/>
      <c r="EL54" s="490"/>
      <c r="EM54" s="490"/>
      <c r="EN54" s="490"/>
      <c r="EO54" s="490"/>
      <c r="EP54" s="490"/>
      <c r="EQ54" s="490"/>
      <c r="ER54" s="490"/>
      <c r="ES54" s="490"/>
      <c r="ET54" s="490"/>
      <c r="EU54" s="490"/>
      <c r="EV54" s="490"/>
      <c r="EW54" s="490"/>
      <c r="EX54" s="490"/>
      <c r="EY54" s="490"/>
      <c r="EZ54" s="490"/>
      <c r="FA54" s="490"/>
      <c r="FB54" s="490"/>
      <c r="FC54" s="490"/>
      <c r="FD54" s="490"/>
      <c r="FE54" s="490"/>
      <c r="FF54" s="490"/>
      <c r="FG54" s="490"/>
      <c r="FH54" s="490"/>
      <c r="FI54" s="490"/>
      <c r="FJ54" s="490"/>
      <c r="FK54" s="490"/>
      <c r="FL54" s="490"/>
      <c r="FM54" s="490"/>
      <c r="FN54" s="490"/>
    </row>
    <row r="55" s="492" customFormat="1" spans="1:170">
      <c r="A55" s="540">
        <v>46049</v>
      </c>
      <c r="B55" s="515" t="s">
        <v>719</v>
      </c>
      <c r="C55" s="541">
        <v>10</v>
      </c>
      <c r="D55" s="515" t="s">
        <v>698</v>
      </c>
      <c r="E55" s="515" t="s">
        <v>698</v>
      </c>
      <c r="F55" s="515" t="s">
        <v>128</v>
      </c>
      <c r="G55" s="541">
        <v>1</v>
      </c>
      <c r="H55" s="541">
        <v>8.9</v>
      </c>
      <c r="I55" s="541" t="s">
        <v>17</v>
      </c>
      <c r="J55" s="541">
        <v>1.8</v>
      </c>
      <c r="K55" s="515" t="s">
        <v>603</v>
      </c>
      <c r="L55" s="515" t="s">
        <v>130</v>
      </c>
      <c r="M55" s="490"/>
      <c r="N55" s="490"/>
      <c r="O55" s="490"/>
      <c r="P55" s="490"/>
      <c r="Q55" s="490"/>
      <c r="R55" s="490"/>
      <c r="S55" s="490"/>
      <c r="T55" s="490"/>
      <c r="U55" s="490"/>
      <c r="V55" s="490"/>
      <c r="W55" s="490"/>
      <c r="X55" s="490"/>
      <c r="Y55" s="490"/>
      <c r="Z55" s="490"/>
      <c r="AA55" s="490"/>
      <c r="AB55" s="490"/>
      <c r="AC55" s="490"/>
      <c r="AD55" s="490"/>
      <c r="AE55" s="490"/>
      <c r="AF55" s="490"/>
      <c r="AG55" s="490"/>
      <c r="AH55" s="490"/>
      <c r="AI55" s="490"/>
      <c r="AJ55" s="490"/>
      <c r="AK55" s="490"/>
      <c r="AL55" s="490"/>
      <c r="AM55" s="490"/>
      <c r="AN55" s="490"/>
      <c r="AO55" s="490"/>
      <c r="AP55" s="490"/>
      <c r="AQ55" s="490"/>
      <c r="AR55" s="490"/>
      <c r="AS55" s="490"/>
      <c r="AT55" s="490"/>
      <c r="AU55" s="490"/>
      <c r="AV55" s="490"/>
      <c r="AW55" s="490"/>
      <c r="AX55" s="490"/>
      <c r="AY55" s="490"/>
      <c r="AZ55" s="490"/>
      <c r="BA55" s="490"/>
      <c r="BB55" s="490"/>
      <c r="BC55" s="490"/>
      <c r="BD55" s="490"/>
      <c r="BE55" s="490"/>
      <c r="BF55" s="490"/>
      <c r="BG55" s="490"/>
      <c r="BH55" s="490"/>
      <c r="BI55" s="490"/>
      <c r="BJ55" s="490"/>
      <c r="BK55" s="490"/>
      <c r="BL55" s="490"/>
      <c r="BM55" s="490"/>
      <c r="BN55" s="490"/>
      <c r="BO55" s="490"/>
      <c r="BP55" s="490"/>
      <c r="BQ55" s="490"/>
      <c r="BR55" s="490"/>
      <c r="BS55" s="490"/>
      <c r="BT55" s="490"/>
      <c r="BU55" s="490"/>
      <c r="BV55" s="490"/>
      <c r="BW55" s="490"/>
      <c r="BX55" s="490"/>
      <c r="BY55" s="490"/>
      <c r="BZ55" s="490"/>
      <c r="CA55" s="490"/>
      <c r="CB55" s="490"/>
      <c r="CC55" s="490"/>
      <c r="CD55" s="490"/>
      <c r="CE55" s="490"/>
      <c r="CF55" s="490"/>
      <c r="CG55" s="490"/>
      <c r="CH55" s="490"/>
      <c r="CI55" s="490"/>
      <c r="CJ55" s="490"/>
      <c r="CK55" s="490"/>
      <c r="CL55" s="490"/>
      <c r="CM55" s="490"/>
      <c r="CN55" s="490"/>
      <c r="CO55" s="490"/>
      <c r="CP55" s="490"/>
      <c r="CQ55" s="490"/>
      <c r="CR55" s="490"/>
      <c r="CS55" s="490"/>
      <c r="CT55" s="490"/>
      <c r="CU55" s="490"/>
      <c r="CV55" s="490"/>
      <c r="CW55" s="490"/>
      <c r="CX55" s="490"/>
      <c r="CY55" s="490"/>
      <c r="CZ55" s="490"/>
      <c r="DA55" s="490"/>
      <c r="DB55" s="490"/>
      <c r="DC55" s="490"/>
      <c r="DD55" s="490"/>
      <c r="DE55" s="490"/>
      <c r="DF55" s="490"/>
      <c r="DG55" s="490"/>
      <c r="DH55" s="490"/>
      <c r="DI55" s="490"/>
      <c r="DJ55" s="490"/>
      <c r="DK55" s="490"/>
      <c r="DL55" s="490"/>
      <c r="DM55" s="490"/>
      <c r="DN55" s="490"/>
      <c r="DO55" s="490"/>
      <c r="DP55" s="490"/>
      <c r="DQ55" s="490"/>
      <c r="DR55" s="490"/>
      <c r="DS55" s="490"/>
      <c r="DT55" s="490"/>
      <c r="DU55" s="490"/>
      <c r="DV55" s="490"/>
      <c r="DW55" s="490"/>
      <c r="DX55" s="490"/>
      <c r="DY55" s="490"/>
      <c r="DZ55" s="490"/>
      <c r="EA55" s="490"/>
      <c r="EB55" s="490"/>
      <c r="EC55" s="490"/>
      <c r="ED55" s="490"/>
      <c r="EE55" s="490"/>
      <c r="EF55" s="490"/>
      <c r="EG55" s="490"/>
      <c r="EH55" s="490"/>
      <c r="EI55" s="490"/>
      <c r="EJ55" s="490"/>
      <c r="EK55" s="490"/>
      <c r="EL55" s="490"/>
      <c r="EM55" s="490"/>
      <c r="EN55" s="490"/>
      <c r="EO55" s="490"/>
      <c r="EP55" s="490"/>
      <c r="EQ55" s="490"/>
      <c r="ER55" s="490"/>
      <c r="ES55" s="490"/>
      <c r="ET55" s="490"/>
      <c r="EU55" s="490"/>
      <c r="EV55" s="490"/>
      <c r="EW55" s="490"/>
      <c r="EX55" s="490"/>
      <c r="EY55" s="490"/>
      <c r="EZ55" s="490"/>
      <c r="FA55" s="490"/>
      <c r="FB55" s="490"/>
      <c r="FC55" s="490"/>
      <c r="FD55" s="490"/>
      <c r="FE55" s="490"/>
      <c r="FF55" s="490"/>
      <c r="FG55" s="490"/>
      <c r="FH55" s="490"/>
      <c r="FI55" s="490"/>
      <c r="FJ55" s="490"/>
      <c r="FK55" s="490"/>
      <c r="FL55" s="490"/>
      <c r="FM55" s="490"/>
      <c r="FN55" s="490"/>
    </row>
    <row r="56" s="492" customFormat="1" spans="1:170">
      <c r="A56" s="540"/>
      <c r="B56" s="515"/>
      <c r="C56" s="541"/>
      <c r="D56" s="515"/>
      <c r="E56" s="515"/>
      <c r="F56" s="515" t="s">
        <v>131</v>
      </c>
      <c r="G56" s="541">
        <v>1.17</v>
      </c>
      <c r="H56" s="541">
        <v>0.5</v>
      </c>
      <c r="I56" s="541" t="s">
        <v>22</v>
      </c>
      <c r="J56" s="541">
        <v>1.9</v>
      </c>
      <c r="K56" s="515"/>
      <c r="L56" s="515"/>
      <c r="M56" s="490"/>
      <c r="N56" s="490"/>
      <c r="O56" s="490"/>
      <c r="P56" s="490"/>
      <c r="Q56" s="490"/>
      <c r="R56" s="490"/>
      <c r="S56" s="490"/>
      <c r="T56" s="490"/>
      <c r="U56" s="490"/>
      <c r="V56" s="490"/>
      <c r="W56" s="490"/>
      <c r="X56" s="490"/>
      <c r="Y56" s="490"/>
      <c r="Z56" s="490"/>
      <c r="AA56" s="490"/>
      <c r="AB56" s="490"/>
      <c r="AC56" s="490"/>
      <c r="AD56" s="490"/>
      <c r="AE56" s="490"/>
      <c r="AF56" s="490"/>
      <c r="AG56" s="490"/>
      <c r="AH56" s="490"/>
      <c r="AI56" s="490"/>
      <c r="AJ56" s="490"/>
      <c r="AK56" s="490"/>
      <c r="AL56" s="490"/>
      <c r="AM56" s="490"/>
      <c r="AN56" s="490"/>
      <c r="AO56" s="490"/>
      <c r="AP56" s="490"/>
      <c r="AQ56" s="490"/>
      <c r="AR56" s="490"/>
      <c r="AS56" s="490"/>
      <c r="AT56" s="490"/>
      <c r="AU56" s="490"/>
      <c r="AV56" s="490"/>
      <c r="AW56" s="490"/>
      <c r="AX56" s="490"/>
      <c r="AY56" s="490"/>
      <c r="AZ56" s="490"/>
      <c r="BA56" s="490"/>
      <c r="BB56" s="490"/>
      <c r="BC56" s="490"/>
      <c r="BD56" s="490"/>
      <c r="BE56" s="490"/>
      <c r="BF56" s="490"/>
      <c r="BG56" s="490"/>
      <c r="BH56" s="490"/>
      <c r="BI56" s="490"/>
      <c r="BJ56" s="490"/>
      <c r="BK56" s="490"/>
      <c r="BL56" s="490"/>
      <c r="BM56" s="490"/>
      <c r="BN56" s="490"/>
      <c r="BO56" s="490"/>
      <c r="BP56" s="490"/>
      <c r="BQ56" s="490"/>
      <c r="BR56" s="490"/>
      <c r="BS56" s="490"/>
      <c r="BT56" s="490"/>
      <c r="BU56" s="490"/>
      <c r="BV56" s="490"/>
      <c r="BW56" s="490"/>
      <c r="BX56" s="490"/>
      <c r="BY56" s="490"/>
      <c r="BZ56" s="490"/>
      <c r="CA56" s="490"/>
      <c r="CB56" s="490"/>
      <c r="CC56" s="490"/>
      <c r="CD56" s="490"/>
      <c r="CE56" s="490"/>
      <c r="CF56" s="490"/>
      <c r="CG56" s="490"/>
      <c r="CH56" s="490"/>
      <c r="CI56" s="490"/>
      <c r="CJ56" s="490"/>
      <c r="CK56" s="490"/>
      <c r="CL56" s="490"/>
      <c r="CM56" s="490"/>
      <c r="CN56" s="490"/>
      <c r="CO56" s="490"/>
      <c r="CP56" s="490"/>
      <c r="CQ56" s="490"/>
      <c r="CR56" s="490"/>
      <c r="CS56" s="490"/>
      <c r="CT56" s="490"/>
      <c r="CU56" s="490"/>
      <c r="CV56" s="490"/>
      <c r="CW56" s="490"/>
      <c r="CX56" s="490"/>
      <c r="CY56" s="490"/>
      <c r="CZ56" s="490"/>
      <c r="DA56" s="490"/>
      <c r="DB56" s="490"/>
      <c r="DC56" s="490"/>
      <c r="DD56" s="490"/>
      <c r="DE56" s="490"/>
      <c r="DF56" s="490"/>
      <c r="DG56" s="490"/>
      <c r="DH56" s="490"/>
      <c r="DI56" s="490"/>
      <c r="DJ56" s="490"/>
      <c r="DK56" s="490"/>
      <c r="DL56" s="490"/>
      <c r="DM56" s="490"/>
      <c r="DN56" s="490"/>
      <c r="DO56" s="490"/>
      <c r="DP56" s="490"/>
      <c r="DQ56" s="490"/>
      <c r="DR56" s="490"/>
      <c r="DS56" s="490"/>
      <c r="DT56" s="490"/>
      <c r="DU56" s="490"/>
      <c r="DV56" s="490"/>
      <c r="DW56" s="490"/>
      <c r="DX56" s="490"/>
      <c r="DY56" s="490"/>
      <c r="DZ56" s="490"/>
      <c r="EA56" s="490"/>
      <c r="EB56" s="490"/>
      <c r="EC56" s="490"/>
      <c r="ED56" s="490"/>
      <c r="EE56" s="490"/>
      <c r="EF56" s="490"/>
      <c r="EG56" s="490"/>
      <c r="EH56" s="490"/>
      <c r="EI56" s="490"/>
      <c r="EJ56" s="490"/>
      <c r="EK56" s="490"/>
      <c r="EL56" s="490"/>
      <c r="EM56" s="490"/>
      <c r="EN56" s="490"/>
      <c r="EO56" s="490"/>
      <c r="EP56" s="490"/>
      <c r="EQ56" s="490"/>
      <c r="ER56" s="490"/>
      <c r="ES56" s="490"/>
      <c r="ET56" s="490"/>
      <c r="EU56" s="490"/>
      <c r="EV56" s="490"/>
      <c r="EW56" s="490"/>
      <c r="EX56" s="490"/>
      <c r="EY56" s="490"/>
      <c r="EZ56" s="490"/>
      <c r="FA56" s="490"/>
      <c r="FB56" s="490"/>
      <c r="FC56" s="490"/>
      <c r="FD56" s="490"/>
      <c r="FE56" s="490"/>
      <c r="FF56" s="490"/>
      <c r="FG56" s="490"/>
      <c r="FH56" s="490"/>
      <c r="FI56" s="490"/>
      <c r="FJ56" s="490"/>
      <c r="FK56" s="490"/>
      <c r="FL56" s="490"/>
      <c r="FM56" s="490"/>
      <c r="FN56" s="490"/>
    </row>
    <row r="57" s="492" customFormat="1" spans="1:170">
      <c r="A57" s="540"/>
      <c r="B57" s="515"/>
      <c r="C57" s="541"/>
      <c r="D57" s="515"/>
      <c r="E57" s="515"/>
      <c r="F57" s="515" t="s">
        <v>91</v>
      </c>
      <c r="G57" s="541">
        <v>1.75</v>
      </c>
      <c r="H57" s="541">
        <v>0.6</v>
      </c>
      <c r="I57" s="541" t="s">
        <v>24</v>
      </c>
      <c r="J57" s="541" t="s">
        <v>24</v>
      </c>
      <c r="K57" s="515"/>
      <c r="L57" s="515"/>
      <c r="M57" s="490"/>
      <c r="N57" s="490"/>
      <c r="O57" s="490"/>
      <c r="P57" s="490"/>
      <c r="Q57" s="490"/>
      <c r="R57" s="490"/>
      <c r="S57" s="490"/>
      <c r="T57" s="490"/>
      <c r="U57" s="490"/>
      <c r="V57" s="490"/>
      <c r="W57" s="490"/>
      <c r="X57" s="490"/>
      <c r="Y57" s="490"/>
      <c r="Z57" s="490"/>
      <c r="AA57" s="490"/>
      <c r="AB57" s="490"/>
      <c r="AC57" s="490"/>
      <c r="AD57" s="490"/>
      <c r="AE57" s="490"/>
      <c r="AF57" s="490"/>
      <c r="AG57" s="490"/>
      <c r="AH57" s="490"/>
      <c r="AI57" s="490"/>
      <c r="AJ57" s="490"/>
      <c r="AK57" s="490"/>
      <c r="AL57" s="490"/>
      <c r="AM57" s="490"/>
      <c r="AN57" s="490"/>
      <c r="AO57" s="490"/>
      <c r="AP57" s="490"/>
      <c r="AQ57" s="490"/>
      <c r="AR57" s="490"/>
      <c r="AS57" s="490"/>
      <c r="AT57" s="490"/>
      <c r="AU57" s="490"/>
      <c r="AV57" s="490"/>
      <c r="AW57" s="490"/>
      <c r="AX57" s="490"/>
      <c r="AY57" s="490"/>
      <c r="AZ57" s="490"/>
      <c r="BA57" s="490"/>
      <c r="BB57" s="490"/>
      <c r="BC57" s="490"/>
      <c r="BD57" s="490"/>
      <c r="BE57" s="490"/>
      <c r="BF57" s="490"/>
      <c r="BG57" s="490"/>
      <c r="BH57" s="490"/>
      <c r="BI57" s="490"/>
      <c r="BJ57" s="490"/>
      <c r="BK57" s="490"/>
      <c r="BL57" s="490"/>
      <c r="BM57" s="490"/>
      <c r="BN57" s="490"/>
      <c r="BO57" s="490"/>
      <c r="BP57" s="490"/>
      <c r="BQ57" s="490"/>
      <c r="BR57" s="490"/>
      <c r="BS57" s="490"/>
      <c r="BT57" s="490"/>
      <c r="BU57" s="490"/>
      <c r="BV57" s="490"/>
      <c r="BW57" s="490"/>
      <c r="BX57" s="490"/>
      <c r="BY57" s="490"/>
      <c r="BZ57" s="490"/>
      <c r="CA57" s="490"/>
      <c r="CB57" s="490"/>
      <c r="CC57" s="490"/>
      <c r="CD57" s="490"/>
      <c r="CE57" s="490"/>
      <c r="CF57" s="490"/>
      <c r="CG57" s="490"/>
      <c r="CH57" s="490"/>
      <c r="CI57" s="490"/>
      <c r="CJ57" s="490"/>
      <c r="CK57" s="490"/>
      <c r="CL57" s="490"/>
      <c r="CM57" s="490"/>
      <c r="CN57" s="490"/>
      <c r="CO57" s="490"/>
      <c r="CP57" s="490"/>
      <c r="CQ57" s="490"/>
      <c r="CR57" s="490"/>
      <c r="CS57" s="490"/>
      <c r="CT57" s="490"/>
      <c r="CU57" s="490"/>
      <c r="CV57" s="490"/>
      <c r="CW57" s="490"/>
      <c r="CX57" s="490"/>
      <c r="CY57" s="490"/>
      <c r="CZ57" s="490"/>
      <c r="DA57" s="490"/>
      <c r="DB57" s="490"/>
      <c r="DC57" s="490"/>
      <c r="DD57" s="490"/>
      <c r="DE57" s="490"/>
      <c r="DF57" s="490"/>
      <c r="DG57" s="490"/>
      <c r="DH57" s="490"/>
      <c r="DI57" s="490"/>
      <c r="DJ57" s="490"/>
      <c r="DK57" s="490"/>
      <c r="DL57" s="490"/>
      <c r="DM57" s="490"/>
      <c r="DN57" s="490"/>
      <c r="DO57" s="490"/>
      <c r="DP57" s="490"/>
      <c r="DQ57" s="490"/>
      <c r="DR57" s="490"/>
      <c r="DS57" s="490"/>
      <c r="DT57" s="490"/>
      <c r="DU57" s="490"/>
      <c r="DV57" s="490"/>
      <c r="DW57" s="490"/>
      <c r="DX57" s="490"/>
      <c r="DY57" s="490"/>
      <c r="DZ57" s="490"/>
      <c r="EA57" s="490"/>
      <c r="EB57" s="490"/>
      <c r="EC57" s="490"/>
      <c r="ED57" s="490"/>
      <c r="EE57" s="490"/>
      <c r="EF57" s="490"/>
      <c r="EG57" s="490"/>
      <c r="EH57" s="490"/>
      <c r="EI57" s="490"/>
      <c r="EJ57" s="490"/>
      <c r="EK57" s="490"/>
      <c r="EL57" s="490"/>
      <c r="EM57" s="490"/>
      <c r="EN57" s="490"/>
      <c r="EO57" s="490"/>
      <c r="EP57" s="490"/>
      <c r="EQ57" s="490"/>
      <c r="ER57" s="490"/>
      <c r="ES57" s="490"/>
      <c r="ET57" s="490"/>
      <c r="EU57" s="490"/>
      <c r="EV57" s="490"/>
      <c r="EW57" s="490"/>
      <c r="EX57" s="490"/>
      <c r="EY57" s="490"/>
      <c r="EZ57" s="490"/>
      <c r="FA57" s="490"/>
      <c r="FB57" s="490"/>
      <c r="FC57" s="490"/>
      <c r="FD57" s="490"/>
      <c r="FE57" s="490"/>
      <c r="FF57" s="490"/>
      <c r="FG57" s="490"/>
      <c r="FH57" s="490"/>
      <c r="FI57" s="490"/>
      <c r="FJ57" s="490"/>
      <c r="FK57" s="490"/>
      <c r="FL57" s="490"/>
      <c r="FM57" s="490"/>
      <c r="FN57" s="490"/>
    </row>
    <row r="58" s="492" customFormat="1" spans="1:170">
      <c r="A58" s="540">
        <v>46049</v>
      </c>
      <c r="B58" s="515" t="s">
        <v>720</v>
      </c>
      <c r="C58" s="541">
        <v>7</v>
      </c>
      <c r="D58" s="515" t="s">
        <v>33</v>
      </c>
      <c r="E58" s="515" t="s">
        <v>33</v>
      </c>
      <c r="F58" s="515" t="s">
        <v>73</v>
      </c>
      <c r="G58" s="541">
        <v>1.25</v>
      </c>
      <c r="H58" s="541">
        <v>5.8</v>
      </c>
      <c r="I58" s="541" t="s">
        <v>17</v>
      </c>
      <c r="J58" s="541">
        <v>2.45</v>
      </c>
      <c r="K58" s="515" t="s">
        <v>597</v>
      </c>
      <c r="L58" s="515"/>
      <c r="M58" s="490"/>
      <c r="N58" s="490"/>
      <c r="O58" s="490"/>
      <c r="P58" s="490"/>
      <c r="Q58" s="490"/>
      <c r="R58" s="490"/>
      <c r="S58" s="490"/>
      <c r="T58" s="490"/>
      <c r="U58" s="490"/>
      <c r="V58" s="490"/>
      <c r="W58" s="490"/>
      <c r="X58" s="490"/>
      <c r="Y58" s="490"/>
      <c r="Z58" s="490"/>
      <c r="AA58" s="490"/>
      <c r="AB58" s="490"/>
      <c r="AC58" s="490"/>
      <c r="AD58" s="490"/>
      <c r="AE58" s="490"/>
      <c r="AF58" s="490"/>
      <c r="AG58" s="490"/>
      <c r="AH58" s="490"/>
      <c r="AI58" s="490"/>
      <c r="AJ58" s="490"/>
      <c r="AK58" s="490"/>
      <c r="AL58" s="490"/>
      <c r="AM58" s="490"/>
      <c r="AN58" s="490"/>
      <c r="AO58" s="490"/>
      <c r="AP58" s="490"/>
      <c r="AQ58" s="490"/>
      <c r="AR58" s="490"/>
      <c r="AS58" s="490"/>
      <c r="AT58" s="490"/>
      <c r="AU58" s="490"/>
      <c r="AV58" s="490"/>
      <c r="AW58" s="490"/>
      <c r="AX58" s="490"/>
      <c r="AY58" s="490"/>
      <c r="AZ58" s="490"/>
      <c r="BA58" s="490"/>
      <c r="BB58" s="490"/>
      <c r="BC58" s="490"/>
      <c r="BD58" s="490"/>
      <c r="BE58" s="490"/>
      <c r="BF58" s="490"/>
      <c r="BG58" s="490"/>
      <c r="BH58" s="490"/>
      <c r="BI58" s="490"/>
      <c r="BJ58" s="490"/>
      <c r="BK58" s="490"/>
      <c r="BL58" s="490"/>
      <c r="BM58" s="490"/>
      <c r="BN58" s="490"/>
      <c r="BO58" s="490"/>
      <c r="BP58" s="490"/>
      <c r="BQ58" s="490"/>
      <c r="BR58" s="490"/>
      <c r="BS58" s="490"/>
      <c r="BT58" s="490"/>
      <c r="BU58" s="490"/>
      <c r="BV58" s="490"/>
      <c r="BW58" s="490"/>
      <c r="BX58" s="490"/>
      <c r="BY58" s="490"/>
      <c r="BZ58" s="490"/>
      <c r="CA58" s="490"/>
      <c r="CB58" s="490"/>
      <c r="CC58" s="490"/>
      <c r="CD58" s="490"/>
      <c r="CE58" s="490"/>
      <c r="CF58" s="490"/>
      <c r="CG58" s="490"/>
      <c r="CH58" s="490"/>
      <c r="CI58" s="490"/>
      <c r="CJ58" s="490"/>
      <c r="CK58" s="490"/>
      <c r="CL58" s="490"/>
      <c r="CM58" s="490"/>
      <c r="CN58" s="490"/>
      <c r="CO58" s="490"/>
      <c r="CP58" s="490"/>
      <c r="CQ58" s="490"/>
      <c r="CR58" s="490"/>
      <c r="CS58" s="490"/>
      <c r="CT58" s="490"/>
      <c r="CU58" s="490"/>
      <c r="CV58" s="490"/>
      <c r="CW58" s="490"/>
      <c r="CX58" s="490"/>
      <c r="CY58" s="490"/>
      <c r="CZ58" s="490"/>
      <c r="DA58" s="490"/>
      <c r="DB58" s="490"/>
      <c r="DC58" s="490"/>
      <c r="DD58" s="490"/>
      <c r="DE58" s="490"/>
      <c r="DF58" s="490"/>
      <c r="DG58" s="490"/>
      <c r="DH58" s="490"/>
      <c r="DI58" s="490"/>
      <c r="DJ58" s="490"/>
      <c r="DK58" s="490"/>
      <c r="DL58" s="490"/>
      <c r="DM58" s="490"/>
      <c r="DN58" s="490"/>
      <c r="DO58" s="490"/>
      <c r="DP58" s="490"/>
      <c r="DQ58" s="490"/>
      <c r="DR58" s="490"/>
      <c r="DS58" s="490"/>
      <c r="DT58" s="490"/>
      <c r="DU58" s="490"/>
      <c r="DV58" s="490"/>
      <c r="DW58" s="490"/>
      <c r="DX58" s="490"/>
      <c r="DY58" s="490"/>
      <c r="DZ58" s="490"/>
      <c r="EA58" s="490"/>
      <c r="EB58" s="490"/>
      <c r="EC58" s="490"/>
      <c r="ED58" s="490"/>
      <c r="EE58" s="490"/>
      <c r="EF58" s="490"/>
      <c r="EG58" s="490"/>
      <c r="EH58" s="490"/>
      <c r="EI58" s="490"/>
      <c r="EJ58" s="490"/>
      <c r="EK58" s="490"/>
      <c r="EL58" s="490"/>
      <c r="EM58" s="490"/>
      <c r="EN58" s="490"/>
      <c r="EO58" s="490"/>
      <c r="EP58" s="490"/>
      <c r="EQ58" s="490"/>
      <c r="ER58" s="490"/>
      <c r="ES58" s="490"/>
      <c r="ET58" s="490"/>
      <c r="EU58" s="490"/>
      <c r="EV58" s="490"/>
      <c r="EW58" s="490"/>
      <c r="EX58" s="490"/>
      <c r="EY58" s="490"/>
      <c r="EZ58" s="490"/>
      <c r="FA58" s="490"/>
      <c r="FB58" s="490"/>
      <c r="FC58" s="490"/>
      <c r="FD58" s="490"/>
      <c r="FE58" s="490"/>
      <c r="FF58" s="490"/>
      <c r="FG58" s="490"/>
      <c r="FH58" s="490"/>
      <c r="FI58" s="490"/>
      <c r="FJ58" s="490"/>
      <c r="FK58" s="490"/>
      <c r="FL58" s="490"/>
      <c r="FM58" s="490"/>
      <c r="FN58" s="490"/>
    </row>
    <row r="59" s="492" customFormat="1" spans="1:170">
      <c r="A59" s="540"/>
      <c r="B59" s="515"/>
      <c r="C59" s="541"/>
      <c r="D59" s="515"/>
      <c r="E59" s="515"/>
      <c r="F59" s="515" t="s">
        <v>75</v>
      </c>
      <c r="G59" s="541">
        <v>1.25</v>
      </c>
      <c r="H59" s="541">
        <v>0.4</v>
      </c>
      <c r="I59" s="541" t="s">
        <v>22</v>
      </c>
      <c r="J59" s="541">
        <v>2.79</v>
      </c>
      <c r="K59" s="515"/>
      <c r="L59" s="515"/>
      <c r="M59" s="490"/>
      <c r="N59" s="490"/>
      <c r="O59" s="490"/>
      <c r="P59" s="490"/>
      <c r="Q59" s="490"/>
      <c r="R59" s="490"/>
      <c r="S59" s="490"/>
      <c r="T59" s="490"/>
      <c r="U59" s="490"/>
      <c r="V59" s="490"/>
      <c r="W59" s="490"/>
      <c r="X59" s="490"/>
      <c r="Y59" s="490"/>
      <c r="Z59" s="490"/>
      <c r="AA59" s="490"/>
      <c r="AB59" s="490"/>
      <c r="AC59" s="490"/>
      <c r="AD59" s="490"/>
      <c r="AE59" s="490"/>
      <c r="AF59" s="490"/>
      <c r="AG59" s="490"/>
      <c r="AH59" s="490"/>
      <c r="AI59" s="490"/>
      <c r="AJ59" s="490"/>
      <c r="AK59" s="490"/>
      <c r="AL59" s="490"/>
      <c r="AM59" s="490"/>
      <c r="AN59" s="490"/>
      <c r="AO59" s="490"/>
      <c r="AP59" s="490"/>
      <c r="AQ59" s="490"/>
      <c r="AR59" s="490"/>
      <c r="AS59" s="490"/>
      <c r="AT59" s="490"/>
      <c r="AU59" s="490"/>
      <c r="AV59" s="490"/>
      <c r="AW59" s="490"/>
      <c r="AX59" s="490"/>
      <c r="AY59" s="490"/>
      <c r="AZ59" s="490"/>
      <c r="BA59" s="490"/>
      <c r="BB59" s="490"/>
      <c r="BC59" s="490"/>
      <c r="BD59" s="490"/>
      <c r="BE59" s="490"/>
      <c r="BF59" s="490"/>
      <c r="BG59" s="490"/>
      <c r="BH59" s="490"/>
      <c r="BI59" s="490"/>
      <c r="BJ59" s="490"/>
      <c r="BK59" s="490"/>
      <c r="BL59" s="490"/>
      <c r="BM59" s="490"/>
      <c r="BN59" s="490"/>
      <c r="BO59" s="490"/>
      <c r="BP59" s="490"/>
      <c r="BQ59" s="490"/>
      <c r="BR59" s="490"/>
      <c r="BS59" s="490"/>
      <c r="BT59" s="490"/>
      <c r="BU59" s="490"/>
      <c r="BV59" s="490"/>
      <c r="BW59" s="490"/>
      <c r="BX59" s="490"/>
      <c r="BY59" s="490"/>
      <c r="BZ59" s="490"/>
      <c r="CA59" s="490"/>
      <c r="CB59" s="490"/>
      <c r="CC59" s="490"/>
      <c r="CD59" s="490"/>
      <c r="CE59" s="490"/>
      <c r="CF59" s="490"/>
      <c r="CG59" s="490"/>
      <c r="CH59" s="490"/>
      <c r="CI59" s="490"/>
      <c r="CJ59" s="490"/>
      <c r="CK59" s="490"/>
      <c r="CL59" s="490"/>
      <c r="CM59" s="490"/>
      <c r="CN59" s="490"/>
      <c r="CO59" s="490"/>
      <c r="CP59" s="490"/>
      <c r="CQ59" s="490"/>
      <c r="CR59" s="490"/>
      <c r="CS59" s="490"/>
      <c r="CT59" s="490"/>
      <c r="CU59" s="490"/>
      <c r="CV59" s="490"/>
      <c r="CW59" s="490"/>
      <c r="CX59" s="490"/>
      <c r="CY59" s="490"/>
      <c r="CZ59" s="490"/>
      <c r="DA59" s="490"/>
      <c r="DB59" s="490"/>
      <c r="DC59" s="490"/>
      <c r="DD59" s="490"/>
      <c r="DE59" s="490"/>
      <c r="DF59" s="490"/>
      <c r="DG59" s="490"/>
      <c r="DH59" s="490"/>
      <c r="DI59" s="490"/>
      <c r="DJ59" s="490"/>
      <c r="DK59" s="490"/>
      <c r="DL59" s="490"/>
      <c r="DM59" s="490"/>
      <c r="DN59" s="490"/>
      <c r="DO59" s="490"/>
      <c r="DP59" s="490"/>
      <c r="DQ59" s="490"/>
      <c r="DR59" s="490"/>
      <c r="DS59" s="490"/>
      <c r="DT59" s="490"/>
      <c r="DU59" s="490"/>
      <c r="DV59" s="490"/>
      <c r="DW59" s="490"/>
      <c r="DX59" s="490"/>
      <c r="DY59" s="490"/>
      <c r="DZ59" s="490"/>
      <c r="EA59" s="490"/>
      <c r="EB59" s="490"/>
      <c r="EC59" s="490"/>
      <c r="ED59" s="490"/>
      <c r="EE59" s="490"/>
      <c r="EF59" s="490"/>
      <c r="EG59" s="490"/>
      <c r="EH59" s="490"/>
      <c r="EI59" s="490"/>
      <c r="EJ59" s="490"/>
      <c r="EK59" s="490"/>
      <c r="EL59" s="490"/>
      <c r="EM59" s="490"/>
      <c r="EN59" s="490"/>
      <c r="EO59" s="490"/>
      <c r="EP59" s="490"/>
      <c r="EQ59" s="490"/>
      <c r="ER59" s="490"/>
      <c r="ES59" s="490"/>
      <c r="ET59" s="490"/>
      <c r="EU59" s="490"/>
      <c r="EV59" s="490"/>
      <c r="EW59" s="490"/>
      <c r="EX59" s="490"/>
      <c r="EY59" s="490"/>
      <c r="EZ59" s="490"/>
      <c r="FA59" s="490"/>
      <c r="FB59" s="490"/>
      <c r="FC59" s="490"/>
      <c r="FD59" s="490"/>
      <c r="FE59" s="490"/>
      <c r="FF59" s="490"/>
      <c r="FG59" s="490"/>
      <c r="FH59" s="490"/>
      <c r="FI59" s="490"/>
      <c r="FJ59" s="490"/>
      <c r="FK59" s="490"/>
      <c r="FL59" s="490"/>
      <c r="FM59" s="490"/>
      <c r="FN59" s="490"/>
    </row>
    <row r="60" s="492" customFormat="1" spans="1:170">
      <c r="A60" s="540"/>
      <c r="B60" s="515"/>
      <c r="C60" s="541"/>
      <c r="D60" s="515"/>
      <c r="E60" s="515"/>
      <c r="F60" s="515" t="s">
        <v>90</v>
      </c>
      <c r="G60" s="541">
        <v>1.25</v>
      </c>
      <c r="H60" s="541">
        <v>0.31</v>
      </c>
      <c r="I60" s="541" t="s">
        <v>44</v>
      </c>
      <c r="J60" s="541">
        <v>4</v>
      </c>
      <c r="K60" s="515"/>
      <c r="L60" s="515"/>
      <c r="M60" s="490"/>
      <c r="N60" s="490"/>
      <c r="O60" s="490"/>
      <c r="P60" s="490"/>
      <c r="Q60" s="490"/>
      <c r="R60" s="490"/>
      <c r="S60" s="490"/>
      <c r="T60" s="490"/>
      <c r="U60" s="490"/>
      <c r="V60" s="490"/>
      <c r="W60" s="490"/>
      <c r="X60" s="490"/>
      <c r="Y60" s="490"/>
      <c r="Z60" s="490"/>
      <c r="AA60" s="490"/>
      <c r="AB60" s="490"/>
      <c r="AC60" s="490"/>
      <c r="AD60" s="490"/>
      <c r="AE60" s="490"/>
      <c r="AF60" s="490"/>
      <c r="AG60" s="490"/>
      <c r="AH60" s="490"/>
      <c r="AI60" s="490"/>
      <c r="AJ60" s="490"/>
      <c r="AK60" s="490"/>
      <c r="AL60" s="490"/>
      <c r="AM60" s="490"/>
      <c r="AN60" s="490"/>
      <c r="AO60" s="490"/>
      <c r="AP60" s="490"/>
      <c r="AQ60" s="490"/>
      <c r="AR60" s="490"/>
      <c r="AS60" s="490"/>
      <c r="AT60" s="490"/>
      <c r="AU60" s="490"/>
      <c r="AV60" s="490"/>
      <c r="AW60" s="490"/>
      <c r="AX60" s="490"/>
      <c r="AY60" s="490"/>
      <c r="AZ60" s="490"/>
      <c r="BA60" s="490"/>
      <c r="BB60" s="490"/>
      <c r="BC60" s="490"/>
      <c r="BD60" s="490"/>
      <c r="BE60" s="490"/>
      <c r="BF60" s="490"/>
      <c r="BG60" s="490"/>
      <c r="BH60" s="490"/>
      <c r="BI60" s="490"/>
      <c r="BJ60" s="490"/>
      <c r="BK60" s="490"/>
      <c r="BL60" s="490"/>
      <c r="BM60" s="490"/>
      <c r="BN60" s="490"/>
      <c r="BO60" s="490"/>
      <c r="BP60" s="490"/>
      <c r="BQ60" s="490"/>
      <c r="BR60" s="490"/>
      <c r="BS60" s="490"/>
      <c r="BT60" s="490"/>
      <c r="BU60" s="490"/>
      <c r="BV60" s="490"/>
      <c r="BW60" s="490"/>
      <c r="BX60" s="490"/>
      <c r="BY60" s="490"/>
      <c r="BZ60" s="490"/>
      <c r="CA60" s="490"/>
      <c r="CB60" s="490"/>
      <c r="CC60" s="490"/>
      <c r="CD60" s="490"/>
      <c r="CE60" s="490"/>
      <c r="CF60" s="490"/>
      <c r="CG60" s="490"/>
      <c r="CH60" s="490"/>
      <c r="CI60" s="490"/>
      <c r="CJ60" s="490"/>
      <c r="CK60" s="490"/>
      <c r="CL60" s="490"/>
      <c r="CM60" s="490"/>
      <c r="CN60" s="490"/>
      <c r="CO60" s="490"/>
      <c r="CP60" s="490"/>
      <c r="CQ60" s="490"/>
      <c r="CR60" s="490"/>
      <c r="CS60" s="490"/>
      <c r="CT60" s="490"/>
      <c r="CU60" s="490"/>
      <c r="CV60" s="490"/>
      <c r="CW60" s="490"/>
      <c r="CX60" s="490"/>
      <c r="CY60" s="490"/>
      <c r="CZ60" s="490"/>
      <c r="DA60" s="490"/>
      <c r="DB60" s="490"/>
      <c r="DC60" s="490"/>
      <c r="DD60" s="490"/>
      <c r="DE60" s="490"/>
      <c r="DF60" s="490"/>
      <c r="DG60" s="490"/>
      <c r="DH60" s="490"/>
      <c r="DI60" s="490"/>
      <c r="DJ60" s="490"/>
      <c r="DK60" s="490"/>
      <c r="DL60" s="490"/>
      <c r="DM60" s="490"/>
      <c r="DN60" s="490"/>
      <c r="DO60" s="490"/>
      <c r="DP60" s="490"/>
      <c r="DQ60" s="490"/>
      <c r="DR60" s="490"/>
      <c r="DS60" s="490"/>
      <c r="DT60" s="490"/>
      <c r="DU60" s="490"/>
      <c r="DV60" s="490"/>
      <c r="DW60" s="490"/>
      <c r="DX60" s="490"/>
      <c r="DY60" s="490"/>
      <c r="DZ60" s="490"/>
      <c r="EA60" s="490"/>
      <c r="EB60" s="490"/>
      <c r="EC60" s="490"/>
      <c r="ED60" s="490"/>
      <c r="EE60" s="490"/>
      <c r="EF60" s="490"/>
      <c r="EG60" s="490"/>
      <c r="EH60" s="490"/>
      <c r="EI60" s="490"/>
      <c r="EJ60" s="490"/>
      <c r="EK60" s="490"/>
      <c r="EL60" s="490"/>
      <c r="EM60" s="490"/>
      <c r="EN60" s="490"/>
      <c r="EO60" s="490"/>
      <c r="EP60" s="490"/>
      <c r="EQ60" s="490"/>
      <c r="ER60" s="490"/>
      <c r="ES60" s="490"/>
      <c r="ET60" s="490"/>
      <c r="EU60" s="490"/>
      <c r="EV60" s="490"/>
      <c r="EW60" s="490"/>
      <c r="EX60" s="490"/>
      <c r="EY60" s="490"/>
      <c r="EZ60" s="490"/>
      <c r="FA60" s="490"/>
      <c r="FB60" s="490"/>
      <c r="FC60" s="490"/>
      <c r="FD60" s="490"/>
      <c r="FE60" s="490"/>
      <c r="FF60" s="490"/>
      <c r="FG60" s="490"/>
      <c r="FH60" s="490"/>
      <c r="FI60" s="490"/>
      <c r="FJ60" s="490"/>
      <c r="FK60" s="490"/>
      <c r="FL60" s="490"/>
      <c r="FM60" s="490"/>
      <c r="FN60" s="490"/>
    </row>
    <row r="61" s="492" customFormat="1" spans="1:170">
      <c r="A61" s="540"/>
      <c r="B61" s="515"/>
      <c r="C61" s="541"/>
      <c r="D61" s="515"/>
      <c r="E61" s="515"/>
      <c r="F61" s="515" t="s">
        <v>91</v>
      </c>
      <c r="G61" s="541">
        <v>1.25</v>
      </c>
      <c r="H61" s="541">
        <v>0.49</v>
      </c>
      <c r="I61" s="541" t="s">
        <v>24</v>
      </c>
      <c r="J61" s="541" t="s">
        <v>24</v>
      </c>
      <c r="K61" s="515"/>
      <c r="L61" s="515"/>
      <c r="M61" s="490"/>
      <c r="N61" s="490"/>
      <c r="O61" s="490"/>
      <c r="P61" s="490"/>
      <c r="Q61" s="490"/>
      <c r="R61" s="490"/>
      <c r="S61" s="490"/>
      <c r="T61" s="490"/>
      <c r="U61" s="490"/>
      <c r="V61" s="490"/>
      <c r="W61" s="490"/>
      <c r="X61" s="490"/>
      <c r="Y61" s="490"/>
      <c r="Z61" s="490"/>
      <c r="AA61" s="490"/>
      <c r="AB61" s="490"/>
      <c r="AC61" s="490"/>
      <c r="AD61" s="490"/>
      <c r="AE61" s="490"/>
      <c r="AF61" s="490"/>
      <c r="AG61" s="490"/>
      <c r="AH61" s="490"/>
      <c r="AI61" s="490"/>
      <c r="AJ61" s="490"/>
      <c r="AK61" s="490"/>
      <c r="AL61" s="490"/>
      <c r="AM61" s="490"/>
      <c r="AN61" s="490"/>
      <c r="AO61" s="490"/>
      <c r="AP61" s="490"/>
      <c r="AQ61" s="490"/>
      <c r="AR61" s="490"/>
      <c r="AS61" s="490"/>
      <c r="AT61" s="490"/>
      <c r="AU61" s="490"/>
      <c r="AV61" s="490"/>
      <c r="AW61" s="490"/>
      <c r="AX61" s="490"/>
      <c r="AY61" s="490"/>
      <c r="AZ61" s="490"/>
      <c r="BA61" s="490"/>
      <c r="BB61" s="490"/>
      <c r="BC61" s="490"/>
      <c r="BD61" s="490"/>
      <c r="BE61" s="490"/>
      <c r="BF61" s="490"/>
      <c r="BG61" s="490"/>
      <c r="BH61" s="490"/>
      <c r="BI61" s="490"/>
      <c r="BJ61" s="490"/>
      <c r="BK61" s="490"/>
      <c r="BL61" s="490"/>
      <c r="BM61" s="490"/>
      <c r="BN61" s="490"/>
      <c r="BO61" s="490"/>
      <c r="BP61" s="490"/>
      <c r="BQ61" s="490"/>
      <c r="BR61" s="490"/>
      <c r="BS61" s="490"/>
      <c r="BT61" s="490"/>
      <c r="BU61" s="490"/>
      <c r="BV61" s="490"/>
      <c r="BW61" s="490"/>
      <c r="BX61" s="490"/>
      <c r="BY61" s="490"/>
      <c r="BZ61" s="490"/>
      <c r="CA61" s="490"/>
      <c r="CB61" s="490"/>
      <c r="CC61" s="490"/>
      <c r="CD61" s="490"/>
      <c r="CE61" s="490"/>
      <c r="CF61" s="490"/>
      <c r="CG61" s="490"/>
      <c r="CH61" s="490"/>
      <c r="CI61" s="490"/>
      <c r="CJ61" s="490"/>
      <c r="CK61" s="490"/>
      <c r="CL61" s="490"/>
      <c r="CM61" s="490"/>
      <c r="CN61" s="490"/>
      <c r="CO61" s="490"/>
      <c r="CP61" s="490"/>
      <c r="CQ61" s="490"/>
      <c r="CR61" s="490"/>
      <c r="CS61" s="490"/>
      <c r="CT61" s="490"/>
      <c r="CU61" s="490"/>
      <c r="CV61" s="490"/>
      <c r="CW61" s="490"/>
      <c r="CX61" s="490"/>
      <c r="CY61" s="490"/>
      <c r="CZ61" s="490"/>
      <c r="DA61" s="490"/>
      <c r="DB61" s="490"/>
      <c r="DC61" s="490"/>
      <c r="DD61" s="490"/>
      <c r="DE61" s="490"/>
      <c r="DF61" s="490"/>
      <c r="DG61" s="490"/>
      <c r="DH61" s="490"/>
      <c r="DI61" s="490"/>
      <c r="DJ61" s="490"/>
      <c r="DK61" s="490"/>
      <c r="DL61" s="490"/>
      <c r="DM61" s="490"/>
      <c r="DN61" s="490"/>
      <c r="DO61" s="490"/>
      <c r="DP61" s="490"/>
      <c r="DQ61" s="490"/>
      <c r="DR61" s="490"/>
      <c r="DS61" s="490"/>
      <c r="DT61" s="490"/>
      <c r="DU61" s="490"/>
      <c r="DV61" s="490"/>
      <c r="DW61" s="490"/>
      <c r="DX61" s="490"/>
      <c r="DY61" s="490"/>
      <c r="DZ61" s="490"/>
      <c r="EA61" s="490"/>
      <c r="EB61" s="490"/>
      <c r="EC61" s="490"/>
      <c r="ED61" s="490"/>
      <c r="EE61" s="490"/>
      <c r="EF61" s="490"/>
      <c r="EG61" s="490"/>
      <c r="EH61" s="490"/>
      <c r="EI61" s="490"/>
      <c r="EJ61" s="490"/>
      <c r="EK61" s="490"/>
      <c r="EL61" s="490"/>
      <c r="EM61" s="490"/>
      <c r="EN61" s="490"/>
      <c r="EO61" s="490"/>
      <c r="EP61" s="490"/>
      <c r="EQ61" s="490"/>
      <c r="ER61" s="490"/>
      <c r="ES61" s="490"/>
      <c r="ET61" s="490"/>
      <c r="EU61" s="490"/>
      <c r="EV61" s="490"/>
      <c r="EW61" s="490"/>
      <c r="EX61" s="490"/>
      <c r="EY61" s="490"/>
      <c r="EZ61" s="490"/>
      <c r="FA61" s="490"/>
      <c r="FB61" s="490"/>
      <c r="FC61" s="490"/>
      <c r="FD61" s="490"/>
      <c r="FE61" s="490"/>
      <c r="FF61" s="490"/>
      <c r="FG61" s="490"/>
      <c r="FH61" s="490"/>
      <c r="FI61" s="490"/>
      <c r="FJ61" s="490"/>
      <c r="FK61" s="490"/>
      <c r="FL61" s="490"/>
      <c r="FM61" s="490"/>
      <c r="FN61" s="490"/>
    </row>
    <row r="62" s="492" customFormat="1" spans="1:170">
      <c r="A62" s="540">
        <v>46049</v>
      </c>
      <c r="B62" s="515" t="s">
        <v>721</v>
      </c>
      <c r="C62" s="541">
        <v>10</v>
      </c>
      <c r="D62" s="515" t="s">
        <v>649</v>
      </c>
      <c r="E62" s="515" t="s">
        <v>66</v>
      </c>
      <c r="F62" s="515" t="s">
        <v>128</v>
      </c>
      <c r="G62" s="541">
        <v>1</v>
      </c>
      <c r="H62" s="541">
        <v>8.9</v>
      </c>
      <c r="I62" s="541" t="s">
        <v>17</v>
      </c>
      <c r="J62" s="541">
        <v>1.8</v>
      </c>
      <c r="K62" s="515" t="s">
        <v>603</v>
      </c>
      <c r="L62" s="515" t="s">
        <v>130</v>
      </c>
      <c r="M62" s="490"/>
      <c r="N62" s="490"/>
      <c r="O62" s="490"/>
      <c r="P62" s="490"/>
      <c r="Q62" s="490"/>
      <c r="R62" s="490"/>
      <c r="S62" s="490"/>
      <c r="T62" s="490"/>
      <c r="U62" s="490"/>
      <c r="V62" s="490"/>
      <c r="W62" s="490"/>
      <c r="X62" s="490"/>
      <c r="Y62" s="490"/>
      <c r="Z62" s="490"/>
      <c r="AA62" s="490"/>
      <c r="AB62" s="490"/>
      <c r="AC62" s="490"/>
      <c r="AD62" s="490"/>
      <c r="AE62" s="490"/>
      <c r="AF62" s="490"/>
      <c r="AG62" s="490"/>
      <c r="AH62" s="490"/>
      <c r="AI62" s="490"/>
      <c r="AJ62" s="490"/>
      <c r="AK62" s="490"/>
      <c r="AL62" s="490"/>
      <c r="AM62" s="490"/>
      <c r="AN62" s="490"/>
      <c r="AO62" s="490"/>
      <c r="AP62" s="490"/>
      <c r="AQ62" s="490"/>
      <c r="AR62" s="490"/>
      <c r="AS62" s="490"/>
      <c r="AT62" s="490"/>
      <c r="AU62" s="490"/>
      <c r="AV62" s="490"/>
      <c r="AW62" s="490"/>
      <c r="AX62" s="490"/>
      <c r="AY62" s="490"/>
      <c r="AZ62" s="490"/>
      <c r="BA62" s="490"/>
      <c r="BB62" s="490"/>
      <c r="BC62" s="490"/>
      <c r="BD62" s="490"/>
      <c r="BE62" s="490"/>
      <c r="BF62" s="490"/>
      <c r="BG62" s="490"/>
      <c r="BH62" s="490"/>
      <c r="BI62" s="490"/>
      <c r="BJ62" s="490"/>
      <c r="BK62" s="490"/>
      <c r="BL62" s="490"/>
      <c r="BM62" s="490"/>
      <c r="BN62" s="490"/>
      <c r="BO62" s="490"/>
      <c r="BP62" s="490"/>
      <c r="BQ62" s="490"/>
      <c r="BR62" s="490"/>
      <c r="BS62" s="490"/>
      <c r="BT62" s="490"/>
      <c r="BU62" s="490"/>
      <c r="BV62" s="490"/>
      <c r="BW62" s="490"/>
      <c r="BX62" s="490"/>
      <c r="BY62" s="490"/>
      <c r="BZ62" s="490"/>
      <c r="CA62" s="490"/>
      <c r="CB62" s="490"/>
      <c r="CC62" s="490"/>
      <c r="CD62" s="490"/>
      <c r="CE62" s="490"/>
      <c r="CF62" s="490"/>
      <c r="CG62" s="490"/>
      <c r="CH62" s="490"/>
      <c r="CI62" s="490"/>
      <c r="CJ62" s="490"/>
      <c r="CK62" s="490"/>
      <c r="CL62" s="490"/>
      <c r="CM62" s="490"/>
      <c r="CN62" s="490"/>
      <c r="CO62" s="490"/>
      <c r="CP62" s="490"/>
      <c r="CQ62" s="490"/>
      <c r="CR62" s="490"/>
      <c r="CS62" s="490"/>
      <c r="CT62" s="490"/>
      <c r="CU62" s="490"/>
      <c r="CV62" s="490"/>
      <c r="CW62" s="490"/>
      <c r="CX62" s="490"/>
      <c r="CY62" s="490"/>
      <c r="CZ62" s="490"/>
      <c r="DA62" s="490"/>
      <c r="DB62" s="490"/>
      <c r="DC62" s="490"/>
      <c r="DD62" s="490"/>
      <c r="DE62" s="490"/>
      <c r="DF62" s="490"/>
      <c r="DG62" s="490"/>
      <c r="DH62" s="490"/>
      <c r="DI62" s="490"/>
      <c r="DJ62" s="490"/>
      <c r="DK62" s="490"/>
      <c r="DL62" s="490"/>
      <c r="DM62" s="490"/>
      <c r="DN62" s="490"/>
      <c r="DO62" s="490"/>
      <c r="DP62" s="490"/>
      <c r="DQ62" s="490"/>
      <c r="DR62" s="490"/>
      <c r="DS62" s="490"/>
      <c r="DT62" s="490"/>
      <c r="DU62" s="490"/>
      <c r="DV62" s="490"/>
      <c r="DW62" s="490"/>
      <c r="DX62" s="490"/>
      <c r="DY62" s="490"/>
      <c r="DZ62" s="490"/>
      <c r="EA62" s="490"/>
      <c r="EB62" s="490"/>
      <c r="EC62" s="490"/>
      <c r="ED62" s="490"/>
      <c r="EE62" s="490"/>
      <c r="EF62" s="490"/>
      <c r="EG62" s="490"/>
      <c r="EH62" s="490"/>
      <c r="EI62" s="490"/>
      <c r="EJ62" s="490"/>
      <c r="EK62" s="490"/>
      <c r="EL62" s="490"/>
      <c r="EM62" s="490"/>
      <c r="EN62" s="490"/>
      <c r="EO62" s="490"/>
      <c r="EP62" s="490"/>
      <c r="EQ62" s="490"/>
      <c r="ER62" s="490"/>
      <c r="ES62" s="490"/>
      <c r="ET62" s="490"/>
      <c r="EU62" s="490"/>
      <c r="EV62" s="490"/>
      <c r="EW62" s="490"/>
      <c r="EX62" s="490"/>
      <c r="EY62" s="490"/>
      <c r="EZ62" s="490"/>
      <c r="FA62" s="490"/>
      <c r="FB62" s="490"/>
      <c r="FC62" s="490"/>
      <c r="FD62" s="490"/>
      <c r="FE62" s="490"/>
      <c r="FF62" s="490"/>
      <c r="FG62" s="490"/>
      <c r="FH62" s="490"/>
      <c r="FI62" s="490"/>
      <c r="FJ62" s="490"/>
      <c r="FK62" s="490"/>
      <c r="FL62" s="490"/>
      <c r="FM62" s="490"/>
      <c r="FN62" s="490"/>
    </row>
    <row r="63" s="492" customFormat="1" spans="1:170">
      <c r="A63" s="540"/>
      <c r="B63" s="515"/>
      <c r="C63" s="541"/>
      <c r="D63" s="515"/>
      <c r="E63" s="515"/>
      <c r="F63" s="515" t="s">
        <v>131</v>
      </c>
      <c r="G63" s="541">
        <v>1.17</v>
      </c>
      <c r="H63" s="541">
        <v>0.5</v>
      </c>
      <c r="I63" s="541" t="s">
        <v>22</v>
      </c>
      <c r="J63" s="541">
        <v>1.9</v>
      </c>
      <c r="K63" s="515"/>
      <c r="L63" s="515"/>
      <c r="M63" s="490"/>
      <c r="N63" s="490"/>
      <c r="O63" s="490"/>
      <c r="P63" s="490"/>
      <c r="Q63" s="490"/>
      <c r="R63" s="490"/>
      <c r="S63" s="490"/>
      <c r="T63" s="490"/>
      <c r="U63" s="490"/>
      <c r="V63" s="490"/>
      <c r="W63" s="490"/>
      <c r="X63" s="490"/>
      <c r="Y63" s="490"/>
      <c r="Z63" s="490"/>
      <c r="AA63" s="490"/>
      <c r="AB63" s="490"/>
      <c r="AC63" s="490"/>
      <c r="AD63" s="490"/>
      <c r="AE63" s="490"/>
      <c r="AF63" s="490"/>
      <c r="AG63" s="490"/>
      <c r="AH63" s="490"/>
      <c r="AI63" s="490"/>
      <c r="AJ63" s="490"/>
      <c r="AK63" s="490"/>
      <c r="AL63" s="490"/>
      <c r="AM63" s="490"/>
      <c r="AN63" s="490"/>
      <c r="AO63" s="490"/>
      <c r="AP63" s="490"/>
      <c r="AQ63" s="490"/>
      <c r="AR63" s="490"/>
      <c r="AS63" s="490"/>
      <c r="AT63" s="490"/>
      <c r="AU63" s="490"/>
      <c r="AV63" s="490"/>
      <c r="AW63" s="490"/>
      <c r="AX63" s="490"/>
      <c r="AY63" s="490"/>
      <c r="AZ63" s="490"/>
      <c r="BA63" s="490"/>
      <c r="BB63" s="490"/>
      <c r="BC63" s="490"/>
      <c r="BD63" s="490"/>
      <c r="BE63" s="490"/>
      <c r="BF63" s="490"/>
      <c r="BG63" s="490"/>
      <c r="BH63" s="490"/>
      <c r="BI63" s="490"/>
      <c r="BJ63" s="490"/>
      <c r="BK63" s="490"/>
      <c r="BL63" s="490"/>
      <c r="BM63" s="490"/>
      <c r="BN63" s="490"/>
      <c r="BO63" s="490"/>
      <c r="BP63" s="490"/>
      <c r="BQ63" s="490"/>
      <c r="BR63" s="490"/>
      <c r="BS63" s="490"/>
      <c r="BT63" s="490"/>
      <c r="BU63" s="490"/>
      <c r="BV63" s="490"/>
      <c r="BW63" s="490"/>
      <c r="BX63" s="490"/>
      <c r="BY63" s="490"/>
      <c r="BZ63" s="490"/>
      <c r="CA63" s="490"/>
      <c r="CB63" s="490"/>
      <c r="CC63" s="490"/>
      <c r="CD63" s="490"/>
      <c r="CE63" s="490"/>
      <c r="CF63" s="490"/>
      <c r="CG63" s="490"/>
      <c r="CH63" s="490"/>
      <c r="CI63" s="490"/>
      <c r="CJ63" s="490"/>
      <c r="CK63" s="490"/>
      <c r="CL63" s="490"/>
      <c r="CM63" s="490"/>
      <c r="CN63" s="490"/>
      <c r="CO63" s="490"/>
      <c r="CP63" s="490"/>
      <c r="CQ63" s="490"/>
      <c r="CR63" s="490"/>
      <c r="CS63" s="490"/>
      <c r="CT63" s="490"/>
      <c r="CU63" s="490"/>
      <c r="CV63" s="490"/>
      <c r="CW63" s="490"/>
      <c r="CX63" s="490"/>
      <c r="CY63" s="490"/>
      <c r="CZ63" s="490"/>
      <c r="DA63" s="490"/>
      <c r="DB63" s="490"/>
      <c r="DC63" s="490"/>
      <c r="DD63" s="490"/>
      <c r="DE63" s="490"/>
      <c r="DF63" s="490"/>
      <c r="DG63" s="490"/>
      <c r="DH63" s="490"/>
      <c r="DI63" s="490"/>
      <c r="DJ63" s="490"/>
      <c r="DK63" s="490"/>
      <c r="DL63" s="490"/>
      <c r="DM63" s="490"/>
      <c r="DN63" s="490"/>
      <c r="DO63" s="490"/>
      <c r="DP63" s="490"/>
      <c r="DQ63" s="490"/>
      <c r="DR63" s="490"/>
      <c r="DS63" s="490"/>
      <c r="DT63" s="490"/>
      <c r="DU63" s="490"/>
      <c r="DV63" s="490"/>
      <c r="DW63" s="490"/>
      <c r="DX63" s="490"/>
      <c r="DY63" s="490"/>
      <c r="DZ63" s="490"/>
      <c r="EA63" s="490"/>
      <c r="EB63" s="490"/>
      <c r="EC63" s="490"/>
      <c r="ED63" s="490"/>
      <c r="EE63" s="490"/>
      <c r="EF63" s="490"/>
      <c r="EG63" s="490"/>
      <c r="EH63" s="490"/>
      <c r="EI63" s="490"/>
      <c r="EJ63" s="490"/>
      <c r="EK63" s="490"/>
      <c r="EL63" s="490"/>
      <c r="EM63" s="490"/>
      <c r="EN63" s="490"/>
      <c r="EO63" s="490"/>
      <c r="EP63" s="490"/>
      <c r="EQ63" s="490"/>
      <c r="ER63" s="490"/>
      <c r="ES63" s="490"/>
      <c r="ET63" s="490"/>
      <c r="EU63" s="490"/>
      <c r="EV63" s="490"/>
      <c r="EW63" s="490"/>
      <c r="EX63" s="490"/>
      <c r="EY63" s="490"/>
      <c r="EZ63" s="490"/>
      <c r="FA63" s="490"/>
      <c r="FB63" s="490"/>
      <c r="FC63" s="490"/>
      <c r="FD63" s="490"/>
      <c r="FE63" s="490"/>
      <c r="FF63" s="490"/>
      <c r="FG63" s="490"/>
      <c r="FH63" s="490"/>
      <c r="FI63" s="490"/>
      <c r="FJ63" s="490"/>
      <c r="FK63" s="490"/>
      <c r="FL63" s="490"/>
      <c r="FM63" s="490"/>
      <c r="FN63" s="490"/>
    </row>
    <row r="64" s="492" customFormat="1" spans="1:170">
      <c r="A64" s="540"/>
      <c r="B64" s="515"/>
      <c r="C64" s="541"/>
      <c r="D64" s="515"/>
      <c r="E64" s="515"/>
      <c r="F64" s="515" t="s">
        <v>91</v>
      </c>
      <c r="G64" s="541">
        <v>1.75</v>
      </c>
      <c r="H64" s="541">
        <v>0.6</v>
      </c>
      <c r="I64" s="541" t="s">
        <v>24</v>
      </c>
      <c r="J64" s="541" t="s">
        <v>24</v>
      </c>
      <c r="K64" s="515"/>
      <c r="L64" s="515"/>
      <c r="M64" s="490"/>
      <c r="N64" s="490"/>
      <c r="O64" s="490"/>
      <c r="P64" s="490"/>
      <c r="Q64" s="490"/>
      <c r="R64" s="490"/>
      <c r="S64" s="490"/>
      <c r="T64" s="490"/>
      <c r="U64" s="490"/>
      <c r="V64" s="490"/>
      <c r="W64" s="490"/>
      <c r="X64" s="490"/>
      <c r="Y64" s="490"/>
      <c r="Z64" s="490"/>
      <c r="AA64" s="490"/>
      <c r="AB64" s="490"/>
      <c r="AC64" s="490"/>
      <c r="AD64" s="490"/>
      <c r="AE64" s="490"/>
      <c r="AF64" s="490"/>
      <c r="AG64" s="490"/>
      <c r="AH64" s="490"/>
      <c r="AI64" s="490"/>
      <c r="AJ64" s="490"/>
      <c r="AK64" s="490"/>
      <c r="AL64" s="490"/>
      <c r="AM64" s="490"/>
      <c r="AN64" s="490"/>
      <c r="AO64" s="490"/>
      <c r="AP64" s="490"/>
      <c r="AQ64" s="490"/>
      <c r="AR64" s="490"/>
      <c r="AS64" s="490"/>
      <c r="AT64" s="490"/>
      <c r="AU64" s="490"/>
      <c r="AV64" s="490"/>
      <c r="AW64" s="490"/>
      <c r="AX64" s="490"/>
      <c r="AY64" s="490"/>
      <c r="AZ64" s="490"/>
      <c r="BA64" s="490"/>
      <c r="BB64" s="490"/>
      <c r="BC64" s="490"/>
      <c r="BD64" s="490"/>
      <c r="BE64" s="490"/>
      <c r="BF64" s="490"/>
      <c r="BG64" s="490"/>
      <c r="BH64" s="490"/>
      <c r="BI64" s="490"/>
      <c r="BJ64" s="490"/>
      <c r="BK64" s="490"/>
      <c r="BL64" s="490"/>
      <c r="BM64" s="490"/>
      <c r="BN64" s="490"/>
      <c r="BO64" s="490"/>
      <c r="BP64" s="490"/>
      <c r="BQ64" s="490"/>
      <c r="BR64" s="490"/>
      <c r="BS64" s="490"/>
      <c r="BT64" s="490"/>
      <c r="BU64" s="490"/>
      <c r="BV64" s="490"/>
      <c r="BW64" s="490"/>
      <c r="BX64" s="490"/>
      <c r="BY64" s="490"/>
      <c r="BZ64" s="490"/>
      <c r="CA64" s="490"/>
      <c r="CB64" s="490"/>
      <c r="CC64" s="490"/>
      <c r="CD64" s="490"/>
      <c r="CE64" s="490"/>
      <c r="CF64" s="490"/>
      <c r="CG64" s="490"/>
      <c r="CH64" s="490"/>
      <c r="CI64" s="490"/>
      <c r="CJ64" s="490"/>
      <c r="CK64" s="490"/>
      <c r="CL64" s="490"/>
      <c r="CM64" s="490"/>
      <c r="CN64" s="490"/>
      <c r="CO64" s="490"/>
      <c r="CP64" s="490"/>
      <c r="CQ64" s="490"/>
      <c r="CR64" s="490"/>
      <c r="CS64" s="490"/>
      <c r="CT64" s="490"/>
      <c r="CU64" s="490"/>
      <c r="CV64" s="490"/>
      <c r="CW64" s="490"/>
      <c r="CX64" s="490"/>
      <c r="CY64" s="490"/>
      <c r="CZ64" s="490"/>
      <c r="DA64" s="490"/>
      <c r="DB64" s="490"/>
      <c r="DC64" s="490"/>
      <c r="DD64" s="490"/>
      <c r="DE64" s="490"/>
      <c r="DF64" s="490"/>
      <c r="DG64" s="490"/>
      <c r="DH64" s="490"/>
      <c r="DI64" s="490"/>
      <c r="DJ64" s="490"/>
      <c r="DK64" s="490"/>
      <c r="DL64" s="490"/>
      <c r="DM64" s="490"/>
      <c r="DN64" s="490"/>
      <c r="DO64" s="490"/>
      <c r="DP64" s="490"/>
      <c r="DQ64" s="490"/>
      <c r="DR64" s="490"/>
      <c r="DS64" s="490"/>
      <c r="DT64" s="490"/>
      <c r="DU64" s="490"/>
      <c r="DV64" s="490"/>
      <c r="DW64" s="490"/>
      <c r="DX64" s="490"/>
      <c r="DY64" s="490"/>
      <c r="DZ64" s="490"/>
      <c r="EA64" s="490"/>
      <c r="EB64" s="490"/>
      <c r="EC64" s="490"/>
      <c r="ED64" s="490"/>
      <c r="EE64" s="490"/>
      <c r="EF64" s="490"/>
      <c r="EG64" s="490"/>
      <c r="EH64" s="490"/>
      <c r="EI64" s="490"/>
      <c r="EJ64" s="490"/>
      <c r="EK64" s="490"/>
      <c r="EL64" s="490"/>
      <c r="EM64" s="490"/>
      <c r="EN64" s="490"/>
      <c r="EO64" s="490"/>
      <c r="EP64" s="490"/>
      <c r="EQ64" s="490"/>
      <c r="ER64" s="490"/>
      <c r="ES64" s="490"/>
      <c r="ET64" s="490"/>
      <c r="EU64" s="490"/>
      <c r="EV64" s="490"/>
      <c r="EW64" s="490"/>
      <c r="EX64" s="490"/>
      <c r="EY64" s="490"/>
      <c r="EZ64" s="490"/>
      <c r="FA64" s="490"/>
      <c r="FB64" s="490"/>
      <c r="FC64" s="490"/>
      <c r="FD64" s="490"/>
      <c r="FE64" s="490"/>
      <c r="FF64" s="490"/>
      <c r="FG64" s="490"/>
      <c r="FH64" s="490"/>
      <c r="FI64" s="490"/>
      <c r="FJ64" s="490"/>
      <c r="FK64" s="490"/>
      <c r="FL64" s="490"/>
      <c r="FM64" s="490"/>
      <c r="FN64" s="490"/>
    </row>
    <row r="65" s="492" customFormat="1" spans="1:170">
      <c r="A65" s="540">
        <v>46050</v>
      </c>
      <c r="B65" s="515" t="s">
        <v>722</v>
      </c>
      <c r="C65" s="541">
        <v>4</v>
      </c>
      <c r="D65" s="515" t="s">
        <v>72</v>
      </c>
      <c r="E65" s="515" t="s">
        <v>14</v>
      </c>
      <c r="F65" s="515" t="s">
        <v>73</v>
      </c>
      <c r="G65" s="541">
        <v>1.84</v>
      </c>
      <c r="H65" s="541">
        <v>3.4</v>
      </c>
      <c r="I65" s="541" t="s">
        <v>17</v>
      </c>
      <c r="J65" s="541">
        <v>2.2</v>
      </c>
      <c r="K65" s="515" t="s">
        <v>633</v>
      </c>
      <c r="L65" s="515"/>
      <c r="M65" s="490"/>
      <c r="N65" s="490"/>
      <c r="O65" s="490"/>
      <c r="P65" s="490"/>
      <c r="Q65" s="490"/>
      <c r="R65" s="490"/>
      <c r="S65" s="490"/>
      <c r="T65" s="490"/>
      <c r="U65" s="490"/>
      <c r="V65" s="490"/>
      <c r="W65" s="490"/>
      <c r="X65" s="490"/>
      <c r="Y65" s="490"/>
      <c r="Z65" s="490"/>
      <c r="AA65" s="490"/>
      <c r="AB65" s="490"/>
      <c r="AC65" s="490"/>
      <c r="AD65" s="490"/>
      <c r="AE65" s="490"/>
      <c r="AF65" s="490"/>
      <c r="AG65" s="490"/>
      <c r="AH65" s="490"/>
      <c r="AI65" s="490"/>
      <c r="AJ65" s="490"/>
      <c r="AK65" s="490"/>
      <c r="AL65" s="490"/>
      <c r="AM65" s="490"/>
      <c r="AN65" s="490"/>
      <c r="AO65" s="490"/>
      <c r="AP65" s="490"/>
      <c r="AQ65" s="490"/>
      <c r="AR65" s="490"/>
      <c r="AS65" s="490"/>
      <c r="AT65" s="490"/>
      <c r="AU65" s="490"/>
      <c r="AV65" s="490"/>
      <c r="AW65" s="490"/>
      <c r="AX65" s="490"/>
      <c r="AY65" s="490"/>
      <c r="AZ65" s="490"/>
      <c r="BA65" s="490"/>
      <c r="BB65" s="490"/>
      <c r="BC65" s="490"/>
      <c r="BD65" s="490"/>
      <c r="BE65" s="490"/>
      <c r="BF65" s="490"/>
      <c r="BG65" s="490"/>
      <c r="BH65" s="490"/>
      <c r="BI65" s="490"/>
      <c r="BJ65" s="490"/>
      <c r="BK65" s="490"/>
      <c r="BL65" s="490"/>
      <c r="BM65" s="490"/>
      <c r="BN65" s="490"/>
      <c r="BO65" s="490"/>
      <c r="BP65" s="490"/>
      <c r="BQ65" s="490"/>
      <c r="BR65" s="490"/>
      <c r="BS65" s="490"/>
      <c r="BT65" s="490"/>
      <c r="BU65" s="490"/>
      <c r="BV65" s="490"/>
      <c r="BW65" s="490"/>
      <c r="BX65" s="490"/>
      <c r="BY65" s="490"/>
      <c r="BZ65" s="490"/>
      <c r="CA65" s="490"/>
      <c r="CB65" s="490"/>
      <c r="CC65" s="490"/>
      <c r="CD65" s="490"/>
      <c r="CE65" s="490"/>
      <c r="CF65" s="490"/>
      <c r="CG65" s="490"/>
      <c r="CH65" s="490"/>
      <c r="CI65" s="490"/>
      <c r="CJ65" s="490"/>
      <c r="CK65" s="490"/>
      <c r="CL65" s="490"/>
      <c r="CM65" s="490"/>
      <c r="CN65" s="490"/>
      <c r="CO65" s="490"/>
      <c r="CP65" s="490"/>
      <c r="CQ65" s="490"/>
      <c r="CR65" s="490"/>
      <c r="CS65" s="490"/>
      <c r="CT65" s="490"/>
      <c r="CU65" s="490"/>
      <c r="CV65" s="490"/>
      <c r="CW65" s="490"/>
      <c r="CX65" s="490"/>
      <c r="CY65" s="490"/>
      <c r="CZ65" s="490"/>
      <c r="DA65" s="490"/>
      <c r="DB65" s="490"/>
      <c r="DC65" s="490"/>
      <c r="DD65" s="490"/>
      <c r="DE65" s="490"/>
      <c r="DF65" s="490"/>
      <c r="DG65" s="490"/>
      <c r="DH65" s="490"/>
      <c r="DI65" s="490"/>
      <c r="DJ65" s="490"/>
      <c r="DK65" s="490"/>
      <c r="DL65" s="490"/>
      <c r="DM65" s="490"/>
      <c r="DN65" s="490"/>
      <c r="DO65" s="490"/>
      <c r="DP65" s="490"/>
      <c r="DQ65" s="490"/>
      <c r="DR65" s="490"/>
      <c r="DS65" s="490"/>
      <c r="DT65" s="490"/>
      <c r="DU65" s="490"/>
      <c r="DV65" s="490"/>
      <c r="DW65" s="490"/>
      <c r="DX65" s="490"/>
      <c r="DY65" s="490"/>
      <c r="DZ65" s="490"/>
      <c r="EA65" s="490"/>
      <c r="EB65" s="490"/>
      <c r="EC65" s="490"/>
      <c r="ED65" s="490"/>
      <c r="EE65" s="490"/>
      <c r="EF65" s="490"/>
      <c r="EG65" s="490"/>
      <c r="EH65" s="490"/>
      <c r="EI65" s="490"/>
      <c r="EJ65" s="490"/>
      <c r="EK65" s="490"/>
      <c r="EL65" s="490"/>
      <c r="EM65" s="490"/>
      <c r="EN65" s="490"/>
      <c r="EO65" s="490"/>
      <c r="EP65" s="490"/>
      <c r="EQ65" s="490"/>
      <c r="ER65" s="490"/>
      <c r="ES65" s="490"/>
      <c r="ET65" s="490"/>
      <c r="EU65" s="490"/>
      <c r="EV65" s="490"/>
      <c r="EW65" s="490"/>
      <c r="EX65" s="490"/>
      <c r="EY65" s="490"/>
      <c r="EZ65" s="490"/>
      <c r="FA65" s="490"/>
      <c r="FB65" s="490"/>
      <c r="FC65" s="490"/>
      <c r="FD65" s="490"/>
      <c r="FE65" s="490"/>
      <c r="FF65" s="490"/>
      <c r="FG65" s="490"/>
      <c r="FH65" s="490"/>
      <c r="FI65" s="490"/>
      <c r="FJ65" s="490"/>
      <c r="FK65" s="490"/>
      <c r="FL65" s="490"/>
      <c r="FM65" s="490"/>
      <c r="FN65" s="490"/>
    </row>
    <row r="66" s="492" customFormat="1" spans="1:170">
      <c r="A66" s="540"/>
      <c r="B66" s="515"/>
      <c r="C66" s="541"/>
      <c r="D66" s="515"/>
      <c r="E66" s="515"/>
      <c r="F66" s="515" t="s">
        <v>75</v>
      </c>
      <c r="G66" s="541">
        <v>1.92</v>
      </c>
      <c r="H66" s="541">
        <v>0.24</v>
      </c>
      <c r="I66" s="541" t="s">
        <v>22</v>
      </c>
      <c r="J66" s="541">
        <v>2.7</v>
      </c>
      <c r="K66" s="515"/>
      <c r="L66" s="515"/>
      <c r="M66" s="490"/>
      <c r="N66" s="490"/>
      <c r="O66" s="490"/>
      <c r="P66" s="490"/>
      <c r="Q66" s="490"/>
      <c r="R66" s="490"/>
      <c r="S66" s="490"/>
      <c r="T66" s="490"/>
      <c r="U66" s="490"/>
      <c r="V66" s="490"/>
      <c r="W66" s="490"/>
      <c r="X66" s="490"/>
      <c r="Y66" s="490"/>
      <c r="Z66" s="490"/>
      <c r="AA66" s="490"/>
      <c r="AB66" s="490"/>
      <c r="AC66" s="490"/>
      <c r="AD66" s="490"/>
      <c r="AE66" s="490"/>
      <c r="AF66" s="490"/>
      <c r="AG66" s="490"/>
      <c r="AH66" s="490"/>
      <c r="AI66" s="490"/>
      <c r="AJ66" s="490"/>
      <c r="AK66" s="490"/>
      <c r="AL66" s="490"/>
      <c r="AM66" s="490"/>
      <c r="AN66" s="490"/>
      <c r="AO66" s="490"/>
      <c r="AP66" s="490"/>
      <c r="AQ66" s="490"/>
      <c r="AR66" s="490"/>
      <c r="AS66" s="490"/>
      <c r="AT66" s="490"/>
      <c r="AU66" s="490"/>
      <c r="AV66" s="490"/>
      <c r="AW66" s="490"/>
      <c r="AX66" s="490"/>
      <c r="AY66" s="490"/>
      <c r="AZ66" s="490"/>
      <c r="BA66" s="490"/>
      <c r="BB66" s="490"/>
      <c r="BC66" s="490"/>
      <c r="BD66" s="490"/>
      <c r="BE66" s="490"/>
      <c r="BF66" s="490"/>
      <c r="BG66" s="490"/>
      <c r="BH66" s="490"/>
      <c r="BI66" s="490"/>
      <c r="BJ66" s="490"/>
      <c r="BK66" s="490"/>
      <c r="BL66" s="490"/>
      <c r="BM66" s="490"/>
      <c r="BN66" s="490"/>
      <c r="BO66" s="490"/>
      <c r="BP66" s="490"/>
      <c r="BQ66" s="490"/>
      <c r="BR66" s="490"/>
      <c r="BS66" s="490"/>
      <c r="BT66" s="490"/>
      <c r="BU66" s="490"/>
      <c r="BV66" s="490"/>
      <c r="BW66" s="490"/>
      <c r="BX66" s="490"/>
      <c r="BY66" s="490"/>
      <c r="BZ66" s="490"/>
      <c r="CA66" s="490"/>
      <c r="CB66" s="490"/>
      <c r="CC66" s="490"/>
      <c r="CD66" s="490"/>
      <c r="CE66" s="490"/>
      <c r="CF66" s="490"/>
      <c r="CG66" s="490"/>
      <c r="CH66" s="490"/>
      <c r="CI66" s="490"/>
      <c r="CJ66" s="490"/>
      <c r="CK66" s="490"/>
      <c r="CL66" s="490"/>
      <c r="CM66" s="490"/>
      <c r="CN66" s="490"/>
      <c r="CO66" s="490"/>
      <c r="CP66" s="490"/>
      <c r="CQ66" s="490"/>
      <c r="CR66" s="490"/>
      <c r="CS66" s="490"/>
      <c r="CT66" s="490"/>
      <c r="CU66" s="490"/>
      <c r="CV66" s="490"/>
      <c r="CW66" s="490"/>
      <c r="CX66" s="490"/>
      <c r="CY66" s="490"/>
      <c r="CZ66" s="490"/>
      <c r="DA66" s="490"/>
      <c r="DB66" s="490"/>
      <c r="DC66" s="490"/>
      <c r="DD66" s="490"/>
      <c r="DE66" s="490"/>
      <c r="DF66" s="490"/>
      <c r="DG66" s="490"/>
      <c r="DH66" s="490"/>
      <c r="DI66" s="490"/>
      <c r="DJ66" s="490"/>
      <c r="DK66" s="490"/>
      <c r="DL66" s="490"/>
      <c r="DM66" s="490"/>
      <c r="DN66" s="490"/>
      <c r="DO66" s="490"/>
      <c r="DP66" s="490"/>
      <c r="DQ66" s="490"/>
      <c r="DR66" s="490"/>
      <c r="DS66" s="490"/>
      <c r="DT66" s="490"/>
      <c r="DU66" s="490"/>
      <c r="DV66" s="490"/>
      <c r="DW66" s="490"/>
      <c r="DX66" s="490"/>
      <c r="DY66" s="490"/>
      <c r="DZ66" s="490"/>
      <c r="EA66" s="490"/>
      <c r="EB66" s="490"/>
      <c r="EC66" s="490"/>
      <c r="ED66" s="490"/>
      <c r="EE66" s="490"/>
      <c r="EF66" s="490"/>
      <c r="EG66" s="490"/>
      <c r="EH66" s="490"/>
      <c r="EI66" s="490"/>
      <c r="EJ66" s="490"/>
      <c r="EK66" s="490"/>
      <c r="EL66" s="490"/>
      <c r="EM66" s="490"/>
      <c r="EN66" s="490"/>
      <c r="EO66" s="490"/>
      <c r="EP66" s="490"/>
      <c r="EQ66" s="490"/>
      <c r="ER66" s="490"/>
      <c r="ES66" s="490"/>
      <c r="ET66" s="490"/>
      <c r="EU66" s="490"/>
      <c r="EV66" s="490"/>
      <c r="EW66" s="490"/>
      <c r="EX66" s="490"/>
      <c r="EY66" s="490"/>
      <c r="EZ66" s="490"/>
      <c r="FA66" s="490"/>
      <c r="FB66" s="490"/>
      <c r="FC66" s="490"/>
      <c r="FD66" s="490"/>
      <c r="FE66" s="490"/>
      <c r="FF66" s="490"/>
      <c r="FG66" s="490"/>
      <c r="FH66" s="490"/>
      <c r="FI66" s="490"/>
      <c r="FJ66" s="490"/>
      <c r="FK66" s="490"/>
      <c r="FL66" s="490"/>
      <c r="FM66" s="490"/>
      <c r="FN66" s="490"/>
    </row>
    <row r="67" s="492" customFormat="1" spans="1:170">
      <c r="A67" s="540"/>
      <c r="B67" s="515"/>
      <c r="C67" s="541"/>
      <c r="D67" s="515"/>
      <c r="E67" s="515"/>
      <c r="F67" s="515" t="s">
        <v>91</v>
      </c>
      <c r="G67" s="541">
        <v>2.58</v>
      </c>
      <c r="H67" s="541">
        <v>0.36</v>
      </c>
      <c r="I67" s="541" t="s">
        <v>24</v>
      </c>
      <c r="J67" s="541" t="s">
        <v>24</v>
      </c>
      <c r="K67" s="515"/>
      <c r="L67" s="515"/>
      <c r="M67" s="490"/>
      <c r="N67" s="490"/>
      <c r="O67" s="490"/>
      <c r="P67" s="490"/>
      <c r="Q67" s="490"/>
      <c r="R67" s="490"/>
      <c r="S67" s="490"/>
      <c r="T67" s="490"/>
      <c r="U67" s="490"/>
      <c r="V67" s="490"/>
      <c r="W67" s="490"/>
      <c r="X67" s="490"/>
      <c r="Y67" s="490"/>
      <c r="Z67" s="490"/>
      <c r="AA67" s="490"/>
      <c r="AB67" s="490"/>
      <c r="AC67" s="490"/>
      <c r="AD67" s="490"/>
      <c r="AE67" s="490"/>
      <c r="AF67" s="490"/>
      <c r="AG67" s="490"/>
      <c r="AH67" s="490"/>
      <c r="AI67" s="490"/>
      <c r="AJ67" s="490"/>
      <c r="AK67" s="490"/>
      <c r="AL67" s="490"/>
      <c r="AM67" s="490"/>
      <c r="AN67" s="490"/>
      <c r="AO67" s="490"/>
      <c r="AP67" s="490"/>
      <c r="AQ67" s="490"/>
      <c r="AR67" s="490"/>
      <c r="AS67" s="490"/>
      <c r="AT67" s="490"/>
      <c r="AU67" s="490"/>
      <c r="AV67" s="490"/>
      <c r="AW67" s="490"/>
      <c r="AX67" s="490"/>
      <c r="AY67" s="490"/>
      <c r="AZ67" s="490"/>
      <c r="BA67" s="490"/>
      <c r="BB67" s="490"/>
      <c r="BC67" s="490"/>
      <c r="BD67" s="490"/>
      <c r="BE67" s="490"/>
      <c r="BF67" s="490"/>
      <c r="BG67" s="490"/>
      <c r="BH67" s="490"/>
      <c r="BI67" s="490"/>
      <c r="BJ67" s="490"/>
      <c r="BK67" s="490"/>
      <c r="BL67" s="490"/>
      <c r="BM67" s="490"/>
      <c r="BN67" s="490"/>
      <c r="BO67" s="490"/>
      <c r="BP67" s="490"/>
      <c r="BQ67" s="490"/>
      <c r="BR67" s="490"/>
      <c r="BS67" s="490"/>
      <c r="BT67" s="490"/>
      <c r="BU67" s="490"/>
      <c r="BV67" s="490"/>
      <c r="BW67" s="490"/>
      <c r="BX67" s="490"/>
      <c r="BY67" s="490"/>
      <c r="BZ67" s="490"/>
      <c r="CA67" s="490"/>
      <c r="CB67" s="490"/>
      <c r="CC67" s="490"/>
      <c r="CD67" s="490"/>
      <c r="CE67" s="490"/>
      <c r="CF67" s="490"/>
      <c r="CG67" s="490"/>
      <c r="CH67" s="490"/>
      <c r="CI67" s="490"/>
      <c r="CJ67" s="490"/>
      <c r="CK67" s="490"/>
      <c r="CL67" s="490"/>
      <c r="CM67" s="490"/>
      <c r="CN67" s="490"/>
      <c r="CO67" s="490"/>
      <c r="CP67" s="490"/>
      <c r="CQ67" s="490"/>
      <c r="CR67" s="490"/>
      <c r="CS67" s="490"/>
      <c r="CT67" s="490"/>
      <c r="CU67" s="490"/>
      <c r="CV67" s="490"/>
      <c r="CW67" s="490"/>
      <c r="CX67" s="490"/>
      <c r="CY67" s="490"/>
      <c r="CZ67" s="490"/>
      <c r="DA67" s="490"/>
      <c r="DB67" s="490"/>
      <c r="DC67" s="490"/>
      <c r="DD67" s="490"/>
      <c r="DE67" s="490"/>
      <c r="DF67" s="490"/>
      <c r="DG67" s="490"/>
      <c r="DH67" s="490"/>
      <c r="DI67" s="490"/>
      <c r="DJ67" s="490"/>
      <c r="DK67" s="490"/>
      <c r="DL67" s="490"/>
      <c r="DM67" s="490"/>
      <c r="DN67" s="490"/>
      <c r="DO67" s="490"/>
      <c r="DP67" s="490"/>
      <c r="DQ67" s="490"/>
      <c r="DR67" s="490"/>
      <c r="DS67" s="490"/>
      <c r="DT67" s="490"/>
      <c r="DU67" s="490"/>
      <c r="DV67" s="490"/>
      <c r="DW67" s="490"/>
      <c r="DX67" s="490"/>
      <c r="DY67" s="490"/>
      <c r="DZ67" s="490"/>
      <c r="EA67" s="490"/>
      <c r="EB67" s="490"/>
      <c r="EC67" s="490"/>
      <c r="ED67" s="490"/>
      <c r="EE67" s="490"/>
      <c r="EF67" s="490"/>
      <c r="EG67" s="490"/>
      <c r="EH67" s="490"/>
      <c r="EI67" s="490"/>
      <c r="EJ67" s="490"/>
      <c r="EK67" s="490"/>
      <c r="EL67" s="490"/>
      <c r="EM67" s="490"/>
      <c r="EN67" s="490"/>
      <c r="EO67" s="490"/>
      <c r="EP67" s="490"/>
      <c r="EQ67" s="490"/>
      <c r="ER67" s="490"/>
      <c r="ES67" s="490"/>
      <c r="ET67" s="490"/>
      <c r="EU67" s="490"/>
      <c r="EV67" s="490"/>
      <c r="EW67" s="490"/>
      <c r="EX67" s="490"/>
      <c r="EY67" s="490"/>
      <c r="EZ67" s="490"/>
      <c r="FA67" s="490"/>
      <c r="FB67" s="490"/>
      <c r="FC67" s="490"/>
      <c r="FD67" s="490"/>
      <c r="FE67" s="490"/>
      <c r="FF67" s="490"/>
      <c r="FG67" s="490"/>
      <c r="FH67" s="490"/>
      <c r="FI67" s="490"/>
      <c r="FJ67" s="490"/>
      <c r="FK67" s="490"/>
      <c r="FL67" s="490"/>
      <c r="FM67" s="490"/>
      <c r="FN67" s="490"/>
    </row>
    <row r="68" s="492" customFormat="1" spans="1:170">
      <c r="A68" s="540">
        <v>46050</v>
      </c>
      <c r="B68" s="515" t="s">
        <v>723</v>
      </c>
      <c r="C68" s="541">
        <v>10</v>
      </c>
      <c r="D68" s="515" t="s">
        <v>14</v>
      </c>
      <c r="E68" s="515" t="s">
        <v>14</v>
      </c>
      <c r="F68" s="515" t="s">
        <v>73</v>
      </c>
      <c r="G68" s="541">
        <v>1.81</v>
      </c>
      <c r="H68" s="541">
        <v>8.4</v>
      </c>
      <c r="I68" s="541" t="s">
        <v>724</v>
      </c>
      <c r="J68" s="541">
        <v>1.89</v>
      </c>
      <c r="K68" s="515" t="s">
        <v>595</v>
      </c>
      <c r="L68" s="515" t="s">
        <v>104</v>
      </c>
      <c r="M68" s="490"/>
      <c r="N68" s="490"/>
      <c r="O68" s="490"/>
      <c r="P68" s="490"/>
      <c r="Q68" s="490"/>
      <c r="R68" s="490"/>
      <c r="S68" s="490"/>
      <c r="T68" s="490"/>
      <c r="U68" s="490"/>
      <c r="V68" s="490"/>
      <c r="W68" s="490"/>
      <c r="X68" s="490"/>
      <c r="Y68" s="490"/>
      <c r="Z68" s="490"/>
      <c r="AA68" s="490"/>
      <c r="AB68" s="490"/>
      <c r="AC68" s="490"/>
      <c r="AD68" s="490"/>
      <c r="AE68" s="490"/>
      <c r="AF68" s="490"/>
      <c r="AG68" s="490"/>
      <c r="AH68" s="490"/>
      <c r="AI68" s="490"/>
      <c r="AJ68" s="490"/>
      <c r="AK68" s="490"/>
      <c r="AL68" s="490"/>
      <c r="AM68" s="490"/>
      <c r="AN68" s="490"/>
      <c r="AO68" s="490"/>
      <c r="AP68" s="490"/>
      <c r="AQ68" s="490"/>
      <c r="AR68" s="490"/>
      <c r="AS68" s="490"/>
      <c r="AT68" s="490"/>
      <c r="AU68" s="490"/>
      <c r="AV68" s="490"/>
      <c r="AW68" s="490"/>
      <c r="AX68" s="490"/>
      <c r="AY68" s="490"/>
      <c r="AZ68" s="490"/>
      <c r="BA68" s="490"/>
      <c r="BB68" s="490"/>
      <c r="BC68" s="490"/>
      <c r="BD68" s="490"/>
      <c r="BE68" s="490"/>
      <c r="BF68" s="490"/>
      <c r="BG68" s="490"/>
      <c r="BH68" s="490"/>
      <c r="BI68" s="490"/>
      <c r="BJ68" s="490"/>
      <c r="BK68" s="490"/>
      <c r="BL68" s="490"/>
      <c r="BM68" s="490"/>
      <c r="BN68" s="490"/>
      <c r="BO68" s="490"/>
      <c r="BP68" s="490"/>
      <c r="BQ68" s="490"/>
      <c r="BR68" s="490"/>
      <c r="BS68" s="490"/>
      <c r="BT68" s="490"/>
      <c r="BU68" s="490"/>
      <c r="BV68" s="490"/>
      <c r="BW68" s="490"/>
      <c r="BX68" s="490"/>
      <c r="BY68" s="490"/>
      <c r="BZ68" s="490"/>
      <c r="CA68" s="490"/>
      <c r="CB68" s="490"/>
      <c r="CC68" s="490"/>
      <c r="CD68" s="490"/>
      <c r="CE68" s="490"/>
      <c r="CF68" s="490"/>
      <c r="CG68" s="490"/>
      <c r="CH68" s="490"/>
      <c r="CI68" s="490"/>
      <c r="CJ68" s="490"/>
      <c r="CK68" s="490"/>
      <c r="CL68" s="490"/>
      <c r="CM68" s="490"/>
      <c r="CN68" s="490"/>
      <c r="CO68" s="490"/>
      <c r="CP68" s="490"/>
      <c r="CQ68" s="490"/>
      <c r="CR68" s="490"/>
      <c r="CS68" s="490"/>
      <c r="CT68" s="490"/>
      <c r="CU68" s="490"/>
      <c r="CV68" s="490"/>
      <c r="CW68" s="490"/>
      <c r="CX68" s="490"/>
      <c r="CY68" s="490"/>
      <c r="CZ68" s="490"/>
      <c r="DA68" s="490"/>
      <c r="DB68" s="490"/>
      <c r="DC68" s="490"/>
      <c r="DD68" s="490"/>
      <c r="DE68" s="490"/>
      <c r="DF68" s="490"/>
      <c r="DG68" s="490"/>
      <c r="DH68" s="490"/>
      <c r="DI68" s="490"/>
      <c r="DJ68" s="490"/>
      <c r="DK68" s="490"/>
      <c r="DL68" s="490"/>
      <c r="DM68" s="490"/>
      <c r="DN68" s="490"/>
      <c r="DO68" s="490"/>
      <c r="DP68" s="490"/>
      <c r="DQ68" s="490"/>
      <c r="DR68" s="490"/>
      <c r="DS68" s="490"/>
      <c r="DT68" s="490"/>
      <c r="DU68" s="490"/>
      <c r="DV68" s="490"/>
      <c r="DW68" s="490"/>
      <c r="DX68" s="490"/>
      <c r="DY68" s="490"/>
      <c r="DZ68" s="490"/>
      <c r="EA68" s="490"/>
      <c r="EB68" s="490"/>
      <c r="EC68" s="490"/>
      <c r="ED68" s="490"/>
      <c r="EE68" s="490"/>
      <c r="EF68" s="490"/>
      <c r="EG68" s="490"/>
      <c r="EH68" s="490"/>
      <c r="EI68" s="490"/>
      <c r="EJ68" s="490"/>
      <c r="EK68" s="490"/>
      <c r="EL68" s="490"/>
      <c r="EM68" s="490"/>
      <c r="EN68" s="490"/>
      <c r="EO68" s="490"/>
      <c r="EP68" s="490"/>
      <c r="EQ68" s="490"/>
      <c r="ER68" s="490"/>
      <c r="ES68" s="490"/>
      <c r="ET68" s="490"/>
      <c r="EU68" s="490"/>
      <c r="EV68" s="490"/>
      <c r="EW68" s="490"/>
      <c r="EX68" s="490"/>
      <c r="EY68" s="490"/>
      <c r="EZ68" s="490"/>
      <c r="FA68" s="490"/>
      <c r="FB68" s="490"/>
      <c r="FC68" s="490"/>
      <c r="FD68" s="490"/>
      <c r="FE68" s="490"/>
      <c r="FF68" s="490"/>
      <c r="FG68" s="490"/>
      <c r="FH68" s="490"/>
      <c r="FI68" s="490"/>
      <c r="FJ68" s="490"/>
      <c r="FK68" s="490"/>
      <c r="FL68" s="490"/>
      <c r="FM68" s="490"/>
      <c r="FN68" s="490"/>
    </row>
    <row r="69" s="492" customFormat="1" spans="1:170">
      <c r="A69" s="540"/>
      <c r="B69" s="515"/>
      <c r="C69" s="541"/>
      <c r="D69" s="515"/>
      <c r="E69" s="515"/>
      <c r="F69" s="515" t="s">
        <v>75</v>
      </c>
      <c r="G69" s="541">
        <v>1.89</v>
      </c>
      <c r="H69" s="541">
        <v>0.5</v>
      </c>
      <c r="I69" s="541" t="s">
        <v>22</v>
      </c>
      <c r="J69" s="541">
        <v>2</v>
      </c>
      <c r="K69" s="515"/>
      <c r="L69" s="515"/>
      <c r="M69" s="490"/>
      <c r="N69" s="490"/>
      <c r="O69" s="490"/>
      <c r="P69" s="490"/>
      <c r="Q69" s="490"/>
      <c r="R69" s="490"/>
      <c r="S69" s="490"/>
      <c r="T69" s="490"/>
      <c r="U69" s="490"/>
      <c r="V69" s="490"/>
      <c r="W69" s="490"/>
      <c r="X69" s="490"/>
      <c r="Y69" s="490"/>
      <c r="Z69" s="490"/>
      <c r="AA69" s="490"/>
      <c r="AB69" s="490"/>
      <c r="AC69" s="490"/>
      <c r="AD69" s="490"/>
      <c r="AE69" s="490"/>
      <c r="AF69" s="490"/>
      <c r="AG69" s="490"/>
      <c r="AH69" s="490"/>
      <c r="AI69" s="490"/>
      <c r="AJ69" s="490"/>
      <c r="AK69" s="490"/>
      <c r="AL69" s="490"/>
      <c r="AM69" s="490"/>
      <c r="AN69" s="490"/>
      <c r="AO69" s="490"/>
      <c r="AP69" s="490"/>
      <c r="AQ69" s="490"/>
      <c r="AR69" s="490"/>
      <c r="AS69" s="490"/>
      <c r="AT69" s="490"/>
      <c r="AU69" s="490"/>
      <c r="AV69" s="490"/>
      <c r="AW69" s="490"/>
      <c r="AX69" s="490"/>
      <c r="AY69" s="490"/>
      <c r="AZ69" s="490"/>
      <c r="BA69" s="490"/>
      <c r="BB69" s="490"/>
      <c r="BC69" s="490"/>
      <c r="BD69" s="490"/>
      <c r="BE69" s="490"/>
      <c r="BF69" s="490"/>
      <c r="BG69" s="490"/>
      <c r="BH69" s="490"/>
      <c r="BI69" s="490"/>
      <c r="BJ69" s="490"/>
      <c r="BK69" s="490"/>
      <c r="BL69" s="490"/>
      <c r="BM69" s="490"/>
      <c r="BN69" s="490"/>
      <c r="BO69" s="490"/>
      <c r="BP69" s="490"/>
      <c r="BQ69" s="490"/>
      <c r="BR69" s="490"/>
      <c r="BS69" s="490"/>
      <c r="BT69" s="490"/>
      <c r="BU69" s="490"/>
      <c r="BV69" s="490"/>
      <c r="BW69" s="490"/>
      <c r="BX69" s="490"/>
      <c r="BY69" s="490"/>
      <c r="BZ69" s="490"/>
      <c r="CA69" s="490"/>
      <c r="CB69" s="490"/>
      <c r="CC69" s="490"/>
      <c r="CD69" s="490"/>
      <c r="CE69" s="490"/>
      <c r="CF69" s="490"/>
      <c r="CG69" s="490"/>
      <c r="CH69" s="490"/>
      <c r="CI69" s="490"/>
      <c r="CJ69" s="490"/>
      <c r="CK69" s="490"/>
      <c r="CL69" s="490"/>
      <c r="CM69" s="490"/>
      <c r="CN69" s="490"/>
      <c r="CO69" s="490"/>
      <c r="CP69" s="490"/>
      <c r="CQ69" s="490"/>
      <c r="CR69" s="490"/>
      <c r="CS69" s="490"/>
      <c r="CT69" s="490"/>
      <c r="CU69" s="490"/>
      <c r="CV69" s="490"/>
      <c r="CW69" s="490"/>
      <c r="CX69" s="490"/>
      <c r="CY69" s="490"/>
      <c r="CZ69" s="490"/>
      <c r="DA69" s="490"/>
      <c r="DB69" s="490"/>
      <c r="DC69" s="490"/>
      <c r="DD69" s="490"/>
      <c r="DE69" s="490"/>
      <c r="DF69" s="490"/>
      <c r="DG69" s="490"/>
      <c r="DH69" s="490"/>
      <c r="DI69" s="490"/>
      <c r="DJ69" s="490"/>
      <c r="DK69" s="490"/>
      <c r="DL69" s="490"/>
      <c r="DM69" s="490"/>
      <c r="DN69" s="490"/>
      <c r="DO69" s="490"/>
      <c r="DP69" s="490"/>
      <c r="DQ69" s="490"/>
      <c r="DR69" s="490"/>
      <c r="DS69" s="490"/>
      <c r="DT69" s="490"/>
      <c r="DU69" s="490"/>
      <c r="DV69" s="490"/>
      <c r="DW69" s="490"/>
      <c r="DX69" s="490"/>
      <c r="DY69" s="490"/>
      <c r="DZ69" s="490"/>
      <c r="EA69" s="490"/>
      <c r="EB69" s="490"/>
      <c r="EC69" s="490"/>
      <c r="ED69" s="490"/>
      <c r="EE69" s="490"/>
      <c r="EF69" s="490"/>
      <c r="EG69" s="490"/>
      <c r="EH69" s="490"/>
      <c r="EI69" s="490"/>
      <c r="EJ69" s="490"/>
      <c r="EK69" s="490"/>
      <c r="EL69" s="490"/>
      <c r="EM69" s="490"/>
      <c r="EN69" s="490"/>
      <c r="EO69" s="490"/>
      <c r="EP69" s="490"/>
      <c r="EQ69" s="490"/>
      <c r="ER69" s="490"/>
      <c r="ES69" s="490"/>
      <c r="ET69" s="490"/>
      <c r="EU69" s="490"/>
      <c r="EV69" s="490"/>
      <c r="EW69" s="490"/>
      <c r="EX69" s="490"/>
      <c r="EY69" s="490"/>
      <c r="EZ69" s="490"/>
      <c r="FA69" s="490"/>
      <c r="FB69" s="490"/>
      <c r="FC69" s="490"/>
      <c r="FD69" s="490"/>
      <c r="FE69" s="490"/>
      <c r="FF69" s="490"/>
      <c r="FG69" s="490"/>
      <c r="FH69" s="490"/>
      <c r="FI69" s="490"/>
      <c r="FJ69" s="490"/>
      <c r="FK69" s="490"/>
      <c r="FL69" s="490"/>
      <c r="FM69" s="490"/>
      <c r="FN69" s="490"/>
    </row>
    <row r="70" s="492" customFormat="1" spans="1:170">
      <c r="A70" s="540"/>
      <c r="B70" s="515"/>
      <c r="C70" s="541"/>
      <c r="D70" s="515"/>
      <c r="E70" s="515"/>
      <c r="F70" s="515" t="s">
        <v>90</v>
      </c>
      <c r="G70" s="541">
        <v>1.97</v>
      </c>
      <c r="H70" s="541">
        <v>0.3</v>
      </c>
      <c r="I70" s="541" t="s">
        <v>44</v>
      </c>
      <c r="J70" s="541">
        <v>2.1</v>
      </c>
      <c r="K70" s="515"/>
      <c r="L70" s="515"/>
      <c r="M70" s="490"/>
      <c r="N70" s="490"/>
      <c r="O70" s="490"/>
      <c r="P70" s="490"/>
      <c r="Q70" s="490"/>
      <c r="R70" s="490"/>
      <c r="S70" s="490"/>
      <c r="T70" s="490"/>
      <c r="U70" s="490"/>
      <c r="V70" s="490"/>
      <c r="W70" s="490"/>
      <c r="X70" s="490"/>
      <c r="Y70" s="490"/>
      <c r="Z70" s="490"/>
      <c r="AA70" s="490"/>
      <c r="AB70" s="490"/>
      <c r="AC70" s="490"/>
      <c r="AD70" s="490"/>
      <c r="AE70" s="490"/>
      <c r="AF70" s="490"/>
      <c r="AG70" s="490"/>
      <c r="AH70" s="490"/>
      <c r="AI70" s="490"/>
      <c r="AJ70" s="490"/>
      <c r="AK70" s="490"/>
      <c r="AL70" s="490"/>
      <c r="AM70" s="490"/>
      <c r="AN70" s="490"/>
      <c r="AO70" s="490"/>
      <c r="AP70" s="490"/>
      <c r="AQ70" s="490"/>
      <c r="AR70" s="490"/>
      <c r="AS70" s="490"/>
      <c r="AT70" s="490"/>
      <c r="AU70" s="490"/>
      <c r="AV70" s="490"/>
      <c r="AW70" s="490"/>
      <c r="AX70" s="490"/>
      <c r="AY70" s="490"/>
      <c r="AZ70" s="490"/>
      <c r="BA70" s="490"/>
      <c r="BB70" s="490"/>
      <c r="BC70" s="490"/>
      <c r="BD70" s="490"/>
      <c r="BE70" s="490"/>
      <c r="BF70" s="490"/>
      <c r="BG70" s="490"/>
      <c r="BH70" s="490"/>
      <c r="BI70" s="490"/>
      <c r="BJ70" s="490"/>
      <c r="BK70" s="490"/>
      <c r="BL70" s="490"/>
      <c r="BM70" s="490"/>
      <c r="BN70" s="490"/>
      <c r="BO70" s="490"/>
      <c r="BP70" s="490"/>
      <c r="BQ70" s="490"/>
      <c r="BR70" s="490"/>
      <c r="BS70" s="490"/>
      <c r="BT70" s="490"/>
      <c r="BU70" s="490"/>
      <c r="BV70" s="490"/>
      <c r="BW70" s="490"/>
      <c r="BX70" s="490"/>
      <c r="BY70" s="490"/>
      <c r="BZ70" s="490"/>
      <c r="CA70" s="490"/>
      <c r="CB70" s="490"/>
      <c r="CC70" s="490"/>
      <c r="CD70" s="490"/>
      <c r="CE70" s="490"/>
      <c r="CF70" s="490"/>
      <c r="CG70" s="490"/>
      <c r="CH70" s="490"/>
      <c r="CI70" s="490"/>
      <c r="CJ70" s="490"/>
      <c r="CK70" s="490"/>
      <c r="CL70" s="490"/>
      <c r="CM70" s="490"/>
      <c r="CN70" s="490"/>
      <c r="CO70" s="490"/>
      <c r="CP70" s="490"/>
      <c r="CQ70" s="490"/>
      <c r="CR70" s="490"/>
      <c r="CS70" s="490"/>
      <c r="CT70" s="490"/>
      <c r="CU70" s="490"/>
      <c r="CV70" s="490"/>
      <c r="CW70" s="490"/>
      <c r="CX70" s="490"/>
      <c r="CY70" s="490"/>
      <c r="CZ70" s="490"/>
      <c r="DA70" s="490"/>
      <c r="DB70" s="490"/>
      <c r="DC70" s="490"/>
      <c r="DD70" s="490"/>
      <c r="DE70" s="490"/>
      <c r="DF70" s="490"/>
      <c r="DG70" s="490"/>
      <c r="DH70" s="490"/>
      <c r="DI70" s="490"/>
      <c r="DJ70" s="490"/>
      <c r="DK70" s="490"/>
      <c r="DL70" s="490"/>
      <c r="DM70" s="490"/>
      <c r="DN70" s="490"/>
      <c r="DO70" s="490"/>
      <c r="DP70" s="490"/>
      <c r="DQ70" s="490"/>
      <c r="DR70" s="490"/>
      <c r="DS70" s="490"/>
      <c r="DT70" s="490"/>
      <c r="DU70" s="490"/>
      <c r="DV70" s="490"/>
      <c r="DW70" s="490"/>
      <c r="DX70" s="490"/>
      <c r="DY70" s="490"/>
      <c r="DZ70" s="490"/>
      <c r="EA70" s="490"/>
      <c r="EB70" s="490"/>
      <c r="EC70" s="490"/>
      <c r="ED70" s="490"/>
      <c r="EE70" s="490"/>
      <c r="EF70" s="490"/>
      <c r="EG70" s="490"/>
      <c r="EH70" s="490"/>
      <c r="EI70" s="490"/>
      <c r="EJ70" s="490"/>
      <c r="EK70" s="490"/>
      <c r="EL70" s="490"/>
      <c r="EM70" s="490"/>
      <c r="EN70" s="490"/>
      <c r="EO70" s="490"/>
      <c r="EP70" s="490"/>
      <c r="EQ70" s="490"/>
      <c r="ER70" s="490"/>
      <c r="ES70" s="490"/>
      <c r="ET70" s="490"/>
      <c r="EU70" s="490"/>
      <c r="EV70" s="490"/>
      <c r="EW70" s="490"/>
      <c r="EX70" s="490"/>
      <c r="EY70" s="490"/>
      <c r="EZ70" s="490"/>
      <c r="FA70" s="490"/>
      <c r="FB70" s="490"/>
      <c r="FC70" s="490"/>
      <c r="FD70" s="490"/>
      <c r="FE70" s="490"/>
      <c r="FF70" s="490"/>
      <c r="FG70" s="490"/>
      <c r="FH70" s="490"/>
      <c r="FI70" s="490"/>
      <c r="FJ70" s="490"/>
      <c r="FK70" s="490"/>
      <c r="FL70" s="490"/>
      <c r="FM70" s="490"/>
      <c r="FN70" s="490"/>
    </row>
    <row r="71" s="492" customFormat="1" spans="1:170">
      <c r="A71" s="540"/>
      <c r="B71" s="515"/>
      <c r="C71" s="541"/>
      <c r="D71" s="515"/>
      <c r="E71" s="515"/>
      <c r="F71" s="515" t="s">
        <v>91</v>
      </c>
      <c r="G71" s="541">
        <v>2.64</v>
      </c>
      <c r="H71" s="541">
        <v>0.8</v>
      </c>
      <c r="I71" s="541" t="s">
        <v>24</v>
      </c>
      <c r="J71" s="541" t="s">
        <v>24</v>
      </c>
      <c r="K71" s="515"/>
      <c r="L71" s="515"/>
      <c r="M71" s="490"/>
      <c r="N71" s="490"/>
      <c r="O71" s="490"/>
      <c r="P71" s="490"/>
      <c r="Q71" s="490"/>
      <c r="R71" s="490"/>
      <c r="S71" s="490"/>
      <c r="T71" s="490"/>
      <c r="U71" s="490"/>
      <c r="V71" s="490"/>
      <c r="W71" s="490"/>
      <c r="X71" s="490"/>
      <c r="Y71" s="490"/>
      <c r="Z71" s="490"/>
      <c r="AA71" s="490"/>
      <c r="AB71" s="490"/>
      <c r="AC71" s="490"/>
      <c r="AD71" s="490"/>
      <c r="AE71" s="490"/>
      <c r="AF71" s="490"/>
      <c r="AG71" s="490"/>
      <c r="AH71" s="490"/>
      <c r="AI71" s="490"/>
      <c r="AJ71" s="490"/>
      <c r="AK71" s="490"/>
      <c r="AL71" s="490"/>
      <c r="AM71" s="490"/>
      <c r="AN71" s="490"/>
      <c r="AO71" s="490"/>
      <c r="AP71" s="490"/>
      <c r="AQ71" s="490"/>
      <c r="AR71" s="490"/>
      <c r="AS71" s="490"/>
      <c r="AT71" s="490"/>
      <c r="AU71" s="490"/>
      <c r="AV71" s="490"/>
      <c r="AW71" s="490"/>
      <c r="AX71" s="490"/>
      <c r="AY71" s="490"/>
      <c r="AZ71" s="490"/>
      <c r="BA71" s="490"/>
      <c r="BB71" s="490"/>
      <c r="BC71" s="490"/>
      <c r="BD71" s="490"/>
      <c r="BE71" s="490"/>
      <c r="BF71" s="490"/>
      <c r="BG71" s="490"/>
      <c r="BH71" s="490"/>
      <c r="BI71" s="490"/>
      <c r="BJ71" s="490"/>
      <c r="BK71" s="490"/>
      <c r="BL71" s="490"/>
      <c r="BM71" s="490"/>
      <c r="BN71" s="490"/>
      <c r="BO71" s="490"/>
      <c r="BP71" s="490"/>
      <c r="BQ71" s="490"/>
      <c r="BR71" s="490"/>
      <c r="BS71" s="490"/>
      <c r="BT71" s="490"/>
      <c r="BU71" s="490"/>
      <c r="BV71" s="490"/>
      <c r="BW71" s="490"/>
      <c r="BX71" s="490"/>
      <c r="BY71" s="490"/>
      <c r="BZ71" s="490"/>
      <c r="CA71" s="490"/>
      <c r="CB71" s="490"/>
      <c r="CC71" s="490"/>
      <c r="CD71" s="490"/>
      <c r="CE71" s="490"/>
      <c r="CF71" s="490"/>
      <c r="CG71" s="490"/>
      <c r="CH71" s="490"/>
      <c r="CI71" s="490"/>
      <c r="CJ71" s="490"/>
      <c r="CK71" s="490"/>
      <c r="CL71" s="490"/>
      <c r="CM71" s="490"/>
      <c r="CN71" s="490"/>
      <c r="CO71" s="490"/>
      <c r="CP71" s="490"/>
      <c r="CQ71" s="490"/>
      <c r="CR71" s="490"/>
      <c r="CS71" s="490"/>
      <c r="CT71" s="490"/>
      <c r="CU71" s="490"/>
      <c r="CV71" s="490"/>
      <c r="CW71" s="490"/>
      <c r="CX71" s="490"/>
      <c r="CY71" s="490"/>
      <c r="CZ71" s="490"/>
      <c r="DA71" s="490"/>
      <c r="DB71" s="490"/>
      <c r="DC71" s="490"/>
      <c r="DD71" s="490"/>
      <c r="DE71" s="490"/>
      <c r="DF71" s="490"/>
      <c r="DG71" s="490"/>
      <c r="DH71" s="490"/>
      <c r="DI71" s="490"/>
      <c r="DJ71" s="490"/>
      <c r="DK71" s="490"/>
      <c r="DL71" s="490"/>
      <c r="DM71" s="490"/>
      <c r="DN71" s="490"/>
      <c r="DO71" s="490"/>
      <c r="DP71" s="490"/>
      <c r="DQ71" s="490"/>
      <c r="DR71" s="490"/>
      <c r="DS71" s="490"/>
      <c r="DT71" s="490"/>
      <c r="DU71" s="490"/>
      <c r="DV71" s="490"/>
      <c r="DW71" s="490"/>
      <c r="DX71" s="490"/>
      <c r="DY71" s="490"/>
      <c r="DZ71" s="490"/>
      <c r="EA71" s="490"/>
      <c r="EB71" s="490"/>
      <c r="EC71" s="490"/>
      <c r="ED71" s="490"/>
      <c r="EE71" s="490"/>
      <c r="EF71" s="490"/>
      <c r="EG71" s="490"/>
      <c r="EH71" s="490"/>
      <c r="EI71" s="490"/>
      <c r="EJ71" s="490"/>
      <c r="EK71" s="490"/>
      <c r="EL71" s="490"/>
      <c r="EM71" s="490"/>
      <c r="EN71" s="490"/>
      <c r="EO71" s="490"/>
      <c r="EP71" s="490"/>
      <c r="EQ71" s="490"/>
      <c r="ER71" s="490"/>
      <c r="ES71" s="490"/>
      <c r="ET71" s="490"/>
      <c r="EU71" s="490"/>
      <c r="EV71" s="490"/>
      <c r="EW71" s="490"/>
      <c r="EX71" s="490"/>
      <c r="EY71" s="490"/>
      <c r="EZ71" s="490"/>
      <c r="FA71" s="490"/>
      <c r="FB71" s="490"/>
      <c r="FC71" s="490"/>
      <c r="FD71" s="490"/>
      <c r="FE71" s="490"/>
      <c r="FF71" s="490"/>
      <c r="FG71" s="490"/>
      <c r="FH71" s="490"/>
      <c r="FI71" s="490"/>
      <c r="FJ71" s="490"/>
      <c r="FK71" s="490"/>
      <c r="FL71" s="490"/>
      <c r="FM71" s="490"/>
      <c r="FN71" s="490"/>
    </row>
    <row r="72" s="492" customFormat="1" spans="1:170">
      <c r="A72" s="540">
        <v>46050</v>
      </c>
      <c r="B72" s="515" t="s">
        <v>725</v>
      </c>
      <c r="C72" s="541">
        <v>8</v>
      </c>
      <c r="D72" s="515" t="s">
        <v>14</v>
      </c>
      <c r="E72" s="515" t="s">
        <v>14</v>
      </c>
      <c r="F72" s="515" t="s">
        <v>73</v>
      </c>
      <c r="G72" s="541">
        <v>1</v>
      </c>
      <c r="H72" s="541">
        <v>7.04</v>
      </c>
      <c r="I72" s="541" t="s">
        <v>17</v>
      </c>
      <c r="J72" s="541">
        <v>1.85</v>
      </c>
      <c r="K72" s="515" t="s">
        <v>630</v>
      </c>
      <c r="L72" s="515" t="s">
        <v>95</v>
      </c>
      <c r="M72" s="490"/>
      <c r="N72" s="490"/>
      <c r="O72" s="490"/>
      <c r="P72" s="490"/>
      <c r="Q72" s="490"/>
      <c r="R72" s="490"/>
      <c r="S72" s="490"/>
      <c r="T72" s="490"/>
      <c r="U72" s="490"/>
      <c r="V72" s="490"/>
      <c r="W72" s="490"/>
      <c r="X72" s="490"/>
      <c r="Y72" s="490"/>
      <c r="Z72" s="490"/>
      <c r="AA72" s="490"/>
      <c r="AB72" s="490"/>
      <c r="AC72" s="490"/>
      <c r="AD72" s="490"/>
      <c r="AE72" s="490"/>
      <c r="AF72" s="490"/>
      <c r="AG72" s="490"/>
      <c r="AH72" s="490"/>
      <c r="AI72" s="490"/>
      <c r="AJ72" s="490"/>
      <c r="AK72" s="490"/>
      <c r="AL72" s="490"/>
      <c r="AM72" s="490"/>
      <c r="AN72" s="490"/>
      <c r="AO72" s="490"/>
      <c r="AP72" s="490"/>
      <c r="AQ72" s="490"/>
      <c r="AR72" s="490"/>
      <c r="AS72" s="490"/>
      <c r="AT72" s="490"/>
      <c r="AU72" s="490"/>
      <c r="AV72" s="490"/>
      <c r="AW72" s="490"/>
      <c r="AX72" s="490"/>
      <c r="AY72" s="490"/>
      <c r="AZ72" s="490"/>
      <c r="BA72" s="490"/>
      <c r="BB72" s="490"/>
      <c r="BC72" s="490"/>
      <c r="BD72" s="490"/>
      <c r="BE72" s="490"/>
      <c r="BF72" s="490"/>
      <c r="BG72" s="490"/>
      <c r="BH72" s="490"/>
      <c r="BI72" s="490"/>
      <c r="BJ72" s="490"/>
      <c r="BK72" s="490"/>
      <c r="BL72" s="490"/>
      <c r="BM72" s="490"/>
      <c r="BN72" s="490"/>
      <c r="BO72" s="490"/>
      <c r="BP72" s="490"/>
      <c r="BQ72" s="490"/>
      <c r="BR72" s="490"/>
      <c r="BS72" s="490"/>
      <c r="BT72" s="490"/>
      <c r="BU72" s="490"/>
      <c r="BV72" s="490"/>
      <c r="BW72" s="490"/>
      <c r="BX72" s="490"/>
      <c r="BY72" s="490"/>
      <c r="BZ72" s="490"/>
      <c r="CA72" s="490"/>
      <c r="CB72" s="490"/>
      <c r="CC72" s="490"/>
      <c r="CD72" s="490"/>
      <c r="CE72" s="490"/>
      <c r="CF72" s="490"/>
      <c r="CG72" s="490"/>
      <c r="CH72" s="490"/>
      <c r="CI72" s="490"/>
      <c r="CJ72" s="490"/>
      <c r="CK72" s="490"/>
      <c r="CL72" s="490"/>
      <c r="CM72" s="490"/>
      <c r="CN72" s="490"/>
      <c r="CO72" s="490"/>
      <c r="CP72" s="490"/>
      <c r="CQ72" s="490"/>
      <c r="CR72" s="490"/>
      <c r="CS72" s="490"/>
      <c r="CT72" s="490"/>
      <c r="CU72" s="490"/>
      <c r="CV72" s="490"/>
      <c r="CW72" s="490"/>
      <c r="CX72" s="490"/>
      <c r="CY72" s="490"/>
      <c r="CZ72" s="490"/>
      <c r="DA72" s="490"/>
      <c r="DB72" s="490"/>
      <c r="DC72" s="490"/>
      <c r="DD72" s="490"/>
      <c r="DE72" s="490"/>
      <c r="DF72" s="490"/>
      <c r="DG72" s="490"/>
      <c r="DH72" s="490"/>
      <c r="DI72" s="490"/>
      <c r="DJ72" s="490"/>
      <c r="DK72" s="490"/>
      <c r="DL72" s="490"/>
      <c r="DM72" s="490"/>
      <c r="DN72" s="490"/>
      <c r="DO72" s="490"/>
      <c r="DP72" s="490"/>
      <c r="DQ72" s="490"/>
      <c r="DR72" s="490"/>
      <c r="DS72" s="490"/>
      <c r="DT72" s="490"/>
      <c r="DU72" s="490"/>
      <c r="DV72" s="490"/>
      <c r="DW72" s="490"/>
      <c r="DX72" s="490"/>
      <c r="DY72" s="490"/>
      <c r="DZ72" s="490"/>
      <c r="EA72" s="490"/>
      <c r="EB72" s="490"/>
      <c r="EC72" s="490"/>
      <c r="ED72" s="490"/>
      <c r="EE72" s="490"/>
      <c r="EF72" s="490"/>
      <c r="EG72" s="490"/>
      <c r="EH72" s="490"/>
      <c r="EI72" s="490"/>
      <c r="EJ72" s="490"/>
      <c r="EK72" s="490"/>
      <c r="EL72" s="490"/>
      <c r="EM72" s="490"/>
      <c r="EN72" s="490"/>
      <c r="EO72" s="490"/>
      <c r="EP72" s="490"/>
      <c r="EQ72" s="490"/>
      <c r="ER72" s="490"/>
      <c r="ES72" s="490"/>
      <c r="ET72" s="490"/>
      <c r="EU72" s="490"/>
      <c r="EV72" s="490"/>
      <c r="EW72" s="490"/>
      <c r="EX72" s="490"/>
      <c r="EY72" s="490"/>
      <c r="EZ72" s="490"/>
      <c r="FA72" s="490"/>
      <c r="FB72" s="490"/>
      <c r="FC72" s="490"/>
      <c r="FD72" s="490"/>
      <c r="FE72" s="490"/>
      <c r="FF72" s="490"/>
      <c r="FG72" s="490"/>
      <c r="FH72" s="490"/>
      <c r="FI72" s="490"/>
      <c r="FJ72" s="490"/>
      <c r="FK72" s="490"/>
      <c r="FL72" s="490"/>
      <c r="FM72" s="490"/>
      <c r="FN72" s="490"/>
    </row>
    <row r="73" s="492" customFormat="1" spans="1:170">
      <c r="A73" s="540"/>
      <c r="B73" s="515"/>
      <c r="C73" s="541"/>
      <c r="D73" s="515"/>
      <c r="E73" s="515"/>
      <c r="F73" s="515" t="s">
        <v>75</v>
      </c>
      <c r="G73" s="541">
        <v>1</v>
      </c>
      <c r="H73" s="541">
        <v>0.48</v>
      </c>
      <c r="I73" s="541" t="s">
        <v>22</v>
      </c>
      <c r="J73" s="541">
        <v>1.95</v>
      </c>
      <c r="K73" s="515"/>
      <c r="L73" s="515"/>
      <c r="M73" s="490"/>
      <c r="N73" s="490"/>
      <c r="O73" s="490"/>
      <c r="P73" s="490"/>
      <c r="Q73" s="490"/>
      <c r="R73" s="490"/>
      <c r="S73" s="490"/>
      <c r="T73" s="490"/>
      <c r="U73" s="490"/>
      <c r="V73" s="490"/>
      <c r="W73" s="490"/>
      <c r="X73" s="490"/>
      <c r="Y73" s="490"/>
      <c r="Z73" s="490"/>
      <c r="AA73" s="490"/>
      <c r="AB73" s="490"/>
      <c r="AC73" s="490"/>
      <c r="AD73" s="490"/>
      <c r="AE73" s="490"/>
      <c r="AF73" s="490"/>
      <c r="AG73" s="490"/>
      <c r="AH73" s="490"/>
      <c r="AI73" s="490"/>
      <c r="AJ73" s="490"/>
      <c r="AK73" s="490"/>
      <c r="AL73" s="490"/>
      <c r="AM73" s="490"/>
      <c r="AN73" s="490"/>
      <c r="AO73" s="490"/>
      <c r="AP73" s="490"/>
      <c r="AQ73" s="490"/>
      <c r="AR73" s="490"/>
      <c r="AS73" s="490"/>
      <c r="AT73" s="490"/>
      <c r="AU73" s="490"/>
      <c r="AV73" s="490"/>
      <c r="AW73" s="490"/>
      <c r="AX73" s="490"/>
      <c r="AY73" s="490"/>
      <c r="AZ73" s="490"/>
      <c r="BA73" s="490"/>
      <c r="BB73" s="490"/>
      <c r="BC73" s="490"/>
      <c r="BD73" s="490"/>
      <c r="BE73" s="490"/>
      <c r="BF73" s="490"/>
      <c r="BG73" s="490"/>
      <c r="BH73" s="490"/>
      <c r="BI73" s="490"/>
      <c r="BJ73" s="490"/>
      <c r="BK73" s="490"/>
      <c r="BL73" s="490"/>
      <c r="BM73" s="490"/>
      <c r="BN73" s="490"/>
      <c r="BO73" s="490"/>
      <c r="BP73" s="490"/>
      <c r="BQ73" s="490"/>
      <c r="BR73" s="490"/>
      <c r="BS73" s="490"/>
      <c r="BT73" s="490"/>
      <c r="BU73" s="490"/>
      <c r="BV73" s="490"/>
      <c r="BW73" s="490"/>
      <c r="BX73" s="490"/>
      <c r="BY73" s="490"/>
      <c r="BZ73" s="490"/>
      <c r="CA73" s="490"/>
      <c r="CB73" s="490"/>
      <c r="CC73" s="490"/>
      <c r="CD73" s="490"/>
      <c r="CE73" s="490"/>
      <c r="CF73" s="490"/>
      <c r="CG73" s="490"/>
      <c r="CH73" s="490"/>
      <c r="CI73" s="490"/>
      <c r="CJ73" s="490"/>
      <c r="CK73" s="490"/>
      <c r="CL73" s="490"/>
      <c r="CM73" s="490"/>
      <c r="CN73" s="490"/>
      <c r="CO73" s="490"/>
      <c r="CP73" s="490"/>
      <c r="CQ73" s="490"/>
      <c r="CR73" s="490"/>
      <c r="CS73" s="490"/>
      <c r="CT73" s="490"/>
      <c r="CU73" s="490"/>
      <c r="CV73" s="490"/>
      <c r="CW73" s="490"/>
      <c r="CX73" s="490"/>
      <c r="CY73" s="490"/>
      <c r="CZ73" s="490"/>
      <c r="DA73" s="490"/>
      <c r="DB73" s="490"/>
      <c r="DC73" s="490"/>
      <c r="DD73" s="490"/>
      <c r="DE73" s="490"/>
      <c r="DF73" s="490"/>
      <c r="DG73" s="490"/>
      <c r="DH73" s="490"/>
      <c r="DI73" s="490"/>
      <c r="DJ73" s="490"/>
      <c r="DK73" s="490"/>
      <c r="DL73" s="490"/>
      <c r="DM73" s="490"/>
      <c r="DN73" s="490"/>
      <c r="DO73" s="490"/>
      <c r="DP73" s="490"/>
      <c r="DQ73" s="490"/>
      <c r="DR73" s="490"/>
      <c r="DS73" s="490"/>
      <c r="DT73" s="490"/>
      <c r="DU73" s="490"/>
      <c r="DV73" s="490"/>
      <c r="DW73" s="490"/>
      <c r="DX73" s="490"/>
      <c r="DY73" s="490"/>
      <c r="DZ73" s="490"/>
      <c r="EA73" s="490"/>
      <c r="EB73" s="490"/>
      <c r="EC73" s="490"/>
      <c r="ED73" s="490"/>
      <c r="EE73" s="490"/>
      <c r="EF73" s="490"/>
      <c r="EG73" s="490"/>
      <c r="EH73" s="490"/>
      <c r="EI73" s="490"/>
      <c r="EJ73" s="490"/>
      <c r="EK73" s="490"/>
      <c r="EL73" s="490"/>
      <c r="EM73" s="490"/>
      <c r="EN73" s="490"/>
      <c r="EO73" s="490"/>
      <c r="EP73" s="490"/>
      <c r="EQ73" s="490"/>
      <c r="ER73" s="490"/>
      <c r="ES73" s="490"/>
      <c r="ET73" s="490"/>
      <c r="EU73" s="490"/>
      <c r="EV73" s="490"/>
      <c r="EW73" s="490"/>
      <c r="EX73" s="490"/>
      <c r="EY73" s="490"/>
      <c r="EZ73" s="490"/>
      <c r="FA73" s="490"/>
      <c r="FB73" s="490"/>
      <c r="FC73" s="490"/>
      <c r="FD73" s="490"/>
      <c r="FE73" s="490"/>
      <c r="FF73" s="490"/>
      <c r="FG73" s="490"/>
      <c r="FH73" s="490"/>
      <c r="FI73" s="490"/>
      <c r="FJ73" s="490"/>
      <c r="FK73" s="490"/>
      <c r="FL73" s="490"/>
      <c r="FM73" s="490"/>
      <c r="FN73" s="490"/>
    </row>
    <row r="74" s="492" customFormat="1" spans="1:170">
      <c r="A74" s="540"/>
      <c r="B74" s="515"/>
      <c r="C74" s="541"/>
      <c r="D74" s="515"/>
      <c r="E74" s="515"/>
      <c r="F74" s="515" t="s">
        <v>91</v>
      </c>
      <c r="G74" s="541">
        <v>4</v>
      </c>
      <c r="H74" s="541">
        <v>0.48</v>
      </c>
      <c r="I74" s="541" t="s">
        <v>24</v>
      </c>
      <c r="J74" s="541" t="s">
        <v>24</v>
      </c>
      <c r="K74" s="515"/>
      <c r="L74" s="515"/>
      <c r="M74" s="490"/>
      <c r="N74" s="490"/>
      <c r="O74" s="490"/>
      <c r="P74" s="490"/>
      <c r="Q74" s="490"/>
      <c r="R74" s="490"/>
      <c r="S74" s="490"/>
      <c r="T74" s="490"/>
      <c r="U74" s="490"/>
      <c r="V74" s="490"/>
      <c r="W74" s="490"/>
      <c r="X74" s="490"/>
      <c r="Y74" s="490"/>
      <c r="Z74" s="490"/>
      <c r="AA74" s="490"/>
      <c r="AB74" s="490"/>
      <c r="AC74" s="490"/>
      <c r="AD74" s="490"/>
      <c r="AE74" s="490"/>
      <c r="AF74" s="490"/>
      <c r="AG74" s="490"/>
      <c r="AH74" s="490"/>
      <c r="AI74" s="490"/>
      <c r="AJ74" s="490"/>
      <c r="AK74" s="490"/>
      <c r="AL74" s="490"/>
      <c r="AM74" s="490"/>
      <c r="AN74" s="490"/>
      <c r="AO74" s="490"/>
      <c r="AP74" s="490"/>
      <c r="AQ74" s="490"/>
      <c r="AR74" s="490"/>
      <c r="AS74" s="490"/>
      <c r="AT74" s="490"/>
      <c r="AU74" s="490"/>
      <c r="AV74" s="490"/>
      <c r="AW74" s="490"/>
      <c r="AX74" s="490"/>
      <c r="AY74" s="490"/>
      <c r="AZ74" s="490"/>
      <c r="BA74" s="490"/>
      <c r="BB74" s="490"/>
      <c r="BC74" s="490"/>
      <c r="BD74" s="490"/>
      <c r="BE74" s="490"/>
      <c r="BF74" s="490"/>
      <c r="BG74" s="490"/>
      <c r="BH74" s="490"/>
      <c r="BI74" s="490"/>
      <c r="BJ74" s="490"/>
      <c r="BK74" s="490"/>
      <c r="BL74" s="490"/>
      <c r="BM74" s="490"/>
      <c r="BN74" s="490"/>
      <c r="BO74" s="490"/>
      <c r="BP74" s="490"/>
      <c r="BQ74" s="490"/>
      <c r="BR74" s="490"/>
      <c r="BS74" s="490"/>
      <c r="BT74" s="490"/>
      <c r="BU74" s="490"/>
      <c r="BV74" s="490"/>
      <c r="BW74" s="490"/>
      <c r="BX74" s="490"/>
      <c r="BY74" s="490"/>
      <c r="BZ74" s="490"/>
      <c r="CA74" s="490"/>
      <c r="CB74" s="490"/>
      <c r="CC74" s="490"/>
      <c r="CD74" s="490"/>
      <c r="CE74" s="490"/>
      <c r="CF74" s="490"/>
      <c r="CG74" s="490"/>
      <c r="CH74" s="490"/>
      <c r="CI74" s="490"/>
      <c r="CJ74" s="490"/>
      <c r="CK74" s="490"/>
      <c r="CL74" s="490"/>
      <c r="CM74" s="490"/>
      <c r="CN74" s="490"/>
      <c r="CO74" s="490"/>
      <c r="CP74" s="490"/>
      <c r="CQ74" s="490"/>
      <c r="CR74" s="490"/>
      <c r="CS74" s="490"/>
      <c r="CT74" s="490"/>
      <c r="CU74" s="490"/>
      <c r="CV74" s="490"/>
      <c r="CW74" s="490"/>
      <c r="CX74" s="490"/>
      <c r="CY74" s="490"/>
      <c r="CZ74" s="490"/>
      <c r="DA74" s="490"/>
      <c r="DB74" s="490"/>
      <c r="DC74" s="490"/>
      <c r="DD74" s="490"/>
      <c r="DE74" s="490"/>
      <c r="DF74" s="490"/>
      <c r="DG74" s="490"/>
      <c r="DH74" s="490"/>
      <c r="DI74" s="490"/>
      <c r="DJ74" s="490"/>
      <c r="DK74" s="490"/>
      <c r="DL74" s="490"/>
      <c r="DM74" s="490"/>
      <c r="DN74" s="490"/>
      <c r="DO74" s="490"/>
      <c r="DP74" s="490"/>
      <c r="DQ74" s="490"/>
      <c r="DR74" s="490"/>
      <c r="DS74" s="490"/>
      <c r="DT74" s="490"/>
      <c r="DU74" s="490"/>
      <c r="DV74" s="490"/>
      <c r="DW74" s="490"/>
      <c r="DX74" s="490"/>
      <c r="DY74" s="490"/>
      <c r="DZ74" s="490"/>
      <c r="EA74" s="490"/>
      <c r="EB74" s="490"/>
      <c r="EC74" s="490"/>
      <c r="ED74" s="490"/>
      <c r="EE74" s="490"/>
      <c r="EF74" s="490"/>
      <c r="EG74" s="490"/>
      <c r="EH74" s="490"/>
      <c r="EI74" s="490"/>
      <c r="EJ74" s="490"/>
      <c r="EK74" s="490"/>
      <c r="EL74" s="490"/>
      <c r="EM74" s="490"/>
      <c r="EN74" s="490"/>
      <c r="EO74" s="490"/>
      <c r="EP74" s="490"/>
      <c r="EQ74" s="490"/>
      <c r="ER74" s="490"/>
      <c r="ES74" s="490"/>
      <c r="ET74" s="490"/>
      <c r="EU74" s="490"/>
      <c r="EV74" s="490"/>
      <c r="EW74" s="490"/>
      <c r="EX74" s="490"/>
      <c r="EY74" s="490"/>
      <c r="EZ74" s="490"/>
      <c r="FA74" s="490"/>
      <c r="FB74" s="490"/>
      <c r="FC74" s="490"/>
      <c r="FD74" s="490"/>
      <c r="FE74" s="490"/>
      <c r="FF74" s="490"/>
      <c r="FG74" s="490"/>
      <c r="FH74" s="490"/>
      <c r="FI74" s="490"/>
      <c r="FJ74" s="490"/>
      <c r="FK74" s="490"/>
      <c r="FL74" s="490"/>
      <c r="FM74" s="490"/>
      <c r="FN74" s="490"/>
    </row>
    <row r="75" s="492" customFormat="1" spans="1:170">
      <c r="A75" s="540">
        <v>46050</v>
      </c>
      <c r="B75" s="515" t="s">
        <v>726</v>
      </c>
      <c r="C75" s="541">
        <v>10</v>
      </c>
      <c r="D75" s="515" t="s">
        <v>72</v>
      </c>
      <c r="E75" s="515" t="s">
        <v>66</v>
      </c>
      <c r="F75" s="515" t="s">
        <v>128</v>
      </c>
      <c r="G75" s="541">
        <v>1</v>
      </c>
      <c r="H75" s="541">
        <v>8.9</v>
      </c>
      <c r="I75" s="541" t="s">
        <v>17</v>
      </c>
      <c r="J75" s="541">
        <v>1.8</v>
      </c>
      <c r="K75" s="515" t="s">
        <v>603</v>
      </c>
      <c r="L75" s="515" t="s">
        <v>130</v>
      </c>
      <c r="M75" s="490"/>
      <c r="N75" s="490"/>
      <c r="O75" s="490"/>
      <c r="P75" s="490"/>
      <c r="Q75" s="490"/>
      <c r="R75" s="490"/>
      <c r="S75" s="490"/>
      <c r="T75" s="490"/>
      <c r="U75" s="490"/>
      <c r="V75" s="490"/>
      <c r="W75" s="490"/>
      <c r="X75" s="490"/>
      <c r="Y75" s="490"/>
      <c r="Z75" s="490"/>
      <c r="AA75" s="490"/>
      <c r="AB75" s="490"/>
      <c r="AC75" s="490"/>
      <c r="AD75" s="490"/>
      <c r="AE75" s="490"/>
      <c r="AF75" s="490"/>
      <c r="AG75" s="490"/>
      <c r="AH75" s="490"/>
      <c r="AI75" s="490"/>
      <c r="AJ75" s="490"/>
      <c r="AK75" s="490"/>
      <c r="AL75" s="490"/>
      <c r="AM75" s="490"/>
      <c r="AN75" s="490"/>
      <c r="AO75" s="490"/>
      <c r="AP75" s="490"/>
      <c r="AQ75" s="490"/>
      <c r="AR75" s="490"/>
      <c r="AS75" s="490"/>
      <c r="AT75" s="490"/>
      <c r="AU75" s="490"/>
      <c r="AV75" s="490"/>
      <c r="AW75" s="490"/>
      <c r="AX75" s="490"/>
      <c r="AY75" s="490"/>
      <c r="AZ75" s="490"/>
      <c r="BA75" s="490"/>
      <c r="BB75" s="490"/>
      <c r="BC75" s="490"/>
      <c r="BD75" s="490"/>
      <c r="BE75" s="490"/>
      <c r="BF75" s="490"/>
      <c r="BG75" s="490"/>
      <c r="BH75" s="490"/>
      <c r="BI75" s="490"/>
      <c r="BJ75" s="490"/>
      <c r="BK75" s="490"/>
      <c r="BL75" s="490"/>
      <c r="BM75" s="490"/>
      <c r="BN75" s="490"/>
      <c r="BO75" s="490"/>
      <c r="BP75" s="490"/>
      <c r="BQ75" s="490"/>
      <c r="BR75" s="490"/>
      <c r="BS75" s="490"/>
      <c r="BT75" s="490"/>
      <c r="BU75" s="490"/>
      <c r="BV75" s="490"/>
      <c r="BW75" s="490"/>
      <c r="BX75" s="490"/>
      <c r="BY75" s="490"/>
      <c r="BZ75" s="490"/>
      <c r="CA75" s="490"/>
      <c r="CB75" s="490"/>
      <c r="CC75" s="490"/>
      <c r="CD75" s="490"/>
      <c r="CE75" s="490"/>
      <c r="CF75" s="490"/>
      <c r="CG75" s="490"/>
      <c r="CH75" s="490"/>
      <c r="CI75" s="490"/>
      <c r="CJ75" s="490"/>
      <c r="CK75" s="490"/>
      <c r="CL75" s="490"/>
      <c r="CM75" s="490"/>
      <c r="CN75" s="490"/>
      <c r="CO75" s="490"/>
      <c r="CP75" s="490"/>
      <c r="CQ75" s="490"/>
      <c r="CR75" s="490"/>
      <c r="CS75" s="490"/>
      <c r="CT75" s="490"/>
      <c r="CU75" s="490"/>
      <c r="CV75" s="490"/>
      <c r="CW75" s="490"/>
      <c r="CX75" s="490"/>
      <c r="CY75" s="490"/>
      <c r="CZ75" s="490"/>
      <c r="DA75" s="490"/>
      <c r="DB75" s="490"/>
      <c r="DC75" s="490"/>
      <c r="DD75" s="490"/>
      <c r="DE75" s="490"/>
      <c r="DF75" s="490"/>
      <c r="DG75" s="490"/>
      <c r="DH75" s="490"/>
      <c r="DI75" s="490"/>
      <c r="DJ75" s="490"/>
      <c r="DK75" s="490"/>
      <c r="DL75" s="490"/>
      <c r="DM75" s="490"/>
      <c r="DN75" s="490"/>
      <c r="DO75" s="490"/>
      <c r="DP75" s="490"/>
      <c r="DQ75" s="490"/>
      <c r="DR75" s="490"/>
      <c r="DS75" s="490"/>
      <c r="DT75" s="490"/>
      <c r="DU75" s="490"/>
      <c r="DV75" s="490"/>
      <c r="DW75" s="490"/>
      <c r="DX75" s="490"/>
      <c r="DY75" s="490"/>
      <c r="DZ75" s="490"/>
      <c r="EA75" s="490"/>
      <c r="EB75" s="490"/>
      <c r="EC75" s="490"/>
      <c r="ED75" s="490"/>
      <c r="EE75" s="490"/>
      <c r="EF75" s="490"/>
      <c r="EG75" s="490"/>
      <c r="EH75" s="490"/>
      <c r="EI75" s="490"/>
      <c r="EJ75" s="490"/>
      <c r="EK75" s="490"/>
      <c r="EL75" s="490"/>
      <c r="EM75" s="490"/>
      <c r="EN75" s="490"/>
      <c r="EO75" s="490"/>
      <c r="EP75" s="490"/>
      <c r="EQ75" s="490"/>
      <c r="ER75" s="490"/>
      <c r="ES75" s="490"/>
      <c r="ET75" s="490"/>
      <c r="EU75" s="490"/>
      <c r="EV75" s="490"/>
      <c r="EW75" s="490"/>
      <c r="EX75" s="490"/>
      <c r="EY75" s="490"/>
      <c r="EZ75" s="490"/>
      <c r="FA75" s="490"/>
      <c r="FB75" s="490"/>
      <c r="FC75" s="490"/>
      <c r="FD75" s="490"/>
      <c r="FE75" s="490"/>
      <c r="FF75" s="490"/>
      <c r="FG75" s="490"/>
      <c r="FH75" s="490"/>
      <c r="FI75" s="490"/>
      <c r="FJ75" s="490"/>
      <c r="FK75" s="490"/>
      <c r="FL75" s="490"/>
      <c r="FM75" s="490"/>
      <c r="FN75" s="490"/>
    </row>
    <row r="76" s="492" customFormat="1" spans="1:170">
      <c r="A76" s="540"/>
      <c r="B76" s="515"/>
      <c r="C76" s="541"/>
      <c r="D76" s="515"/>
      <c r="E76" s="515"/>
      <c r="F76" s="515" t="s">
        <v>131</v>
      </c>
      <c r="G76" s="541">
        <v>1.16</v>
      </c>
      <c r="H76" s="541">
        <v>0.5</v>
      </c>
      <c r="I76" s="541" t="s">
        <v>22</v>
      </c>
      <c r="J76" s="541">
        <v>1.9</v>
      </c>
      <c r="K76" s="515"/>
      <c r="L76" s="515"/>
      <c r="M76" s="490"/>
      <c r="N76" s="490"/>
      <c r="O76" s="490"/>
      <c r="P76" s="490"/>
      <c r="Q76" s="490"/>
      <c r="R76" s="490"/>
      <c r="S76" s="490"/>
      <c r="T76" s="490"/>
      <c r="U76" s="490"/>
      <c r="V76" s="490"/>
      <c r="W76" s="490"/>
      <c r="X76" s="490"/>
      <c r="Y76" s="490"/>
      <c r="Z76" s="490"/>
      <c r="AA76" s="490"/>
      <c r="AB76" s="490"/>
      <c r="AC76" s="490"/>
      <c r="AD76" s="490"/>
      <c r="AE76" s="490"/>
      <c r="AF76" s="490"/>
      <c r="AG76" s="490"/>
      <c r="AH76" s="490"/>
      <c r="AI76" s="490"/>
      <c r="AJ76" s="490"/>
      <c r="AK76" s="490"/>
      <c r="AL76" s="490"/>
      <c r="AM76" s="490"/>
      <c r="AN76" s="490"/>
      <c r="AO76" s="490"/>
      <c r="AP76" s="490"/>
      <c r="AQ76" s="490"/>
      <c r="AR76" s="490"/>
      <c r="AS76" s="490"/>
      <c r="AT76" s="490"/>
      <c r="AU76" s="490"/>
      <c r="AV76" s="490"/>
      <c r="AW76" s="490"/>
      <c r="AX76" s="490"/>
      <c r="AY76" s="490"/>
      <c r="AZ76" s="490"/>
      <c r="BA76" s="490"/>
      <c r="BB76" s="490"/>
      <c r="BC76" s="490"/>
      <c r="BD76" s="490"/>
      <c r="BE76" s="490"/>
      <c r="BF76" s="490"/>
      <c r="BG76" s="490"/>
      <c r="BH76" s="490"/>
      <c r="BI76" s="490"/>
      <c r="BJ76" s="490"/>
      <c r="BK76" s="490"/>
      <c r="BL76" s="490"/>
      <c r="BM76" s="490"/>
      <c r="BN76" s="490"/>
      <c r="BO76" s="490"/>
      <c r="BP76" s="490"/>
      <c r="BQ76" s="490"/>
      <c r="BR76" s="490"/>
      <c r="BS76" s="490"/>
      <c r="BT76" s="490"/>
      <c r="BU76" s="490"/>
      <c r="BV76" s="490"/>
      <c r="BW76" s="490"/>
      <c r="BX76" s="490"/>
      <c r="BY76" s="490"/>
      <c r="BZ76" s="490"/>
      <c r="CA76" s="490"/>
      <c r="CB76" s="490"/>
      <c r="CC76" s="490"/>
      <c r="CD76" s="490"/>
      <c r="CE76" s="490"/>
      <c r="CF76" s="490"/>
      <c r="CG76" s="490"/>
      <c r="CH76" s="490"/>
      <c r="CI76" s="490"/>
      <c r="CJ76" s="490"/>
      <c r="CK76" s="490"/>
      <c r="CL76" s="490"/>
      <c r="CM76" s="490"/>
      <c r="CN76" s="490"/>
      <c r="CO76" s="490"/>
      <c r="CP76" s="490"/>
      <c r="CQ76" s="490"/>
      <c r="CR76" s="490"/>
      <c r="CS76" s="490"/>
      <c r="CT76" s="490"/>
      <c r="CU76" s="490"/>
      <c r="CV76" s="490"/>
      <c r="CW76" s="490"/>
      <c r="CX76" s="490"/>
      <c r="CY76" s="490"/>
      <c r="CZ76" s="490"/>
      <c r="DA76" s="490"/>
      <c r="DB76" s="490"/>
      <c r="DC76" s="490"/>
      <c r="DD76" s="490"/>
      <c r="DE76" s="490"/>
      <c r="DF76" s="490"/>
      <c r="DG76" s="490"/>
      <c r="DH76" s="490"/>
      <c r="DI76" s="490"/>
      <c r="DJ76" s="490"/>
      <c r="DK76" s="490"/>
      <c r="DL76" s="490"/>
      <c r="DM76" s="490"/>
      <c r="DN76" s="490"/>
      <c r="DO76" s="490"/>
      <c r="DP76" s="490"/>
      <c r="DQ76" s="490"/>
      <c r="DR76" s="490"/>
      <c r="DS76" s="490"/>
      <c r="DT76" s="490"/>
      <c r="DU76" s="490"/>
      <c r="DV76" s="490"/>
      <c r="DW76" s="490"/>
      <c r="DX76" s="490"/>
      <c r="DY76" s="490"/>
      <c r="DZ76" s="490"/>
      <c r="EA76" s="490"/>
      <c r="EB76" s="490"/>
      <c r="EC76" s="490"/>
      <c r="ED76" s="490"/>
      <c r="EE76" s="490"/>
      <c r="EF76" s="490"/>
      <c r="EG76" s="490"/>
      <c r="EH76" s="490"/>
      <c r="EI76" s="490"/>
      <c r="EJ76" s="490"/>
      <c r="EK76" s="490"/>
      <c r="EL76" s="490"/>
      <c r="EM76" s="490"/>
      <c r="EN76" s="490"/>
      <c r="EO76" s="490"/>
      <c r="EP76" s="490"/>
      <c r="EQ76" s="490"/>
      <c r="ER76" s="490"/>
      <c r="ES76" s="490"/>
      <c r="ET76" s="490"/>
      <c r="EU76" s="490"/>
      <c r="EV76" s="490"/>
      <c r="EW76" s="490"/>
      <c r="EX76" s="490"/>
      <c r="EY76" s="490"/>
      <c r="EZ76" s="490"/>
      <c r="FA76" s="490"/>
      <c r="FB76" s="490"/>
      <c r="FC76" s="490"/>
      <c r="FD76" s="490"/>
      <c r="FE76" s="490"/>
      <c r="FF76" s="490"/>
      <c r="FG76" s="490"/>
      <c r="FH76" s="490"/>
      <c r="FI76" s="490"/>
      <c r="FJ76" s="490"/>
      <c r="FK76" s="490"/>
      <c r="FL76" s="490"/>
      <c r="FM76" s="490"/>
      <c r="FN76" s="490"/>
    </row>
    <row r="77" s="492" customFormat="1" spans="1:170">
      <c r="A77" s="540"/>
      <c r="B77" s="515"/>
      <c r="C77" s="541"/>
      <c r="D77" s="515"/>
      <c r="E77" s="515"/>
      <c r="F77" s="515" t="s">
        <v>91</v>
      </c>
      <c r="G77" s="541">
        <v>1.75</v>
      </c>
      <c r="H77" s="541">
        <v>0.6</v>
      </c>
      <c r="I77" s="541" t="s">
        <v>24</v>
      </c>
      <c r="J77" s="541" t="s">
        <v>24</v>
      </c>
      <c r="K77" s="515"/>
      <c r="L77" s="515"/>
      <c r="M77" s="490"/>
      <c r="N77" s="490"/>
      <c r="O77" s="490"/>
      <c r="P77" s="490"/>
      <c r="Q77" s="490"/>
      <c r="R77" s="490"/>
      <c r="S77" s="490"/>
      <c r="T77" s="490"/>
      <c r="U77" s="490"/>
      <c r="V77" s="490"/>
      <c r="W77" s="490"/>
      <c r="X77" s="490"/>
      <c r="Y77" s="490"/>
      <c r="Z77" s="490"/>
      <c r="AA77" s="490"/>
      <c r="AB77" s="490"/>
      <c r="AC77" s="490"/>
      <c r="AD77" s="490"/>
      <c r="AE77" s="490"/>
      <c r="AF77" s="490"/>
      <c r="AG77" s="490"/>
      <c r="AH77" s="490"/>
      <c r="AI77" s="490"/>
      <c r="AJ77" s="490"/>
      <c r="AK77" s="490"/>
      <c r="AL77" s="490"/>
      <c r="AM77" s="490"/>
      <c r="AN77" s="490"/>
      <c r="AO77" s="490"/>
      <c r="AP77" s="490"/>
      <c r="AQ77" s="490"/>
      <c r="AR77" s="490"/>
      <c r="AS77" s="490"/>
      <c r="AT77" s="490"/>
      <c r="AU77" s="490"/>
      <c r="AV77" s="490"/>
      <c r="AW77" s="490"/>
      <c r="AX77" s="490"/>
      <c r="AY77" s="490"/>
      <c r="AZ77" s="490"/>
      <c r="BA77" s="490"/>
      <c r="BB77" s="490"/>
      <c r="BC77" s="490"/>
      <c r="BD77" s="490"/>
      <c r="BE77" s="490"/>
      <c r="BF77" s="490"/>
      <c r="BG77" s="490"/>
      <c r="BH77" s="490"/>
      <c r="BI77" s="490"/>
      <c r="BJ77" s="490"/>
      <c r="BK77" s="490"/>
      <c r="BL77" s="490"/>
      <c r="BM77" s="490"/>
      <c r="BN77" s="490"/>
      <c r="BO77" s="490"/>
      <c r="BP77" s="490"/>
      <c r="BQ77" s="490"/>
      <c r="BR77" s="490"/>
      <c r="BS77" s="490"/>
      <c r="BT77" s="490"/>
      <c r="BU77" s="490"/>
      <c r="BV77" s="490"/>
      <c r="BW77" s="490"/>
      <c r="BX77" s="490"/>
      <c r="BY77" s="490"/>
      <c r="BZ77" s="490"/>
      <c r="CA77" s="490"/>
      <c r="CB77" s="490"/>
      <c r="CC77" s="490"/>
      <c r="CD77" s="490"/>
      <c r="CE77" s="490"/>
      <c r="CF77" s="490"/>
      <c r="CG77" s="490"/>
      <c r="CH77" s="490"/>
      <c r="CI77" s="490"/>
      <c r="CJ77" s="490"/>
      <c r="CK77" s="490"/>
      <c r="CL77" s="490"/>
      <c r="CM77" s="490"/>
      <c r="CN77" s="490"/>
      <c r="CO77" s="490"/>
      <c r="CP77" s="490"/>
      <c r="CQ77" s="490"/>
      <c r="CR77" s="490"/>
      <c r="CS77" s="490"/>
      <c r="CT77" s="490"/>
      <c r="CU77" s="490"/>
      <c r="CV77" s="490"/>
      <c r="CW77" s="490"/>
      <c r="CX77" s="490"/>
      <c r="CY77" s="490"/>
      <c r="CZ77" s="490"/>
      <c r="DA77" s="490"/>
      <c r="DB77" s="490"/>
      <c r="DC77" s="490"/>
      <c r="DD77" s="490"/>
      <c r="DE77" s="490"/>
      <c r="DF77" s="490"/>
      <c r="DG77" s="490"/>
      <c r="DH77" s="490"/>
      <c r="DI77" s="490"/>
      <c r="DJ77" s="490"/>
      <c r="DK77" s="490"/>
      <c r="DL77" s="490"/>
      <c r="DM77" s="490"/>
      <c r="DN77" s="490"/>
      <c r="DO77" s="490"/>
      <c r="DP77" s="490"/>
      <c r="DQ77" s="490"/>
      <c r="DR77" s="490"/>
      <c r="DS77" s="490"/>
      <c r="DT77" s="490"/>
      <c r="DU77" s="490"/>
      <c r="DV77" s="490"/>
      <c r="DW77" s="490"/>
      <c r="DX77" s="490"/>
      <c r="DY77" s="490"/>
      <c r="DZ77" s="490"/>
      <c r="EA77" s="490"/>
      <c r="EB77" s="490"/>
      <c r="EC77" s="490"/>
      <c r="ED77" s="490"/>
      <c r="EE77" s="490"/>
      <c r="EF77" s="490"/>
      <c r="EG77" s="490"/>
      <c r="EH77" s="490"/>
      <c r="EI77" s="490"/>
      <c r="EJ77" s="490"/>
      <c r="EK77" s="490"/>
      <c r="EL77" s="490"/>
      <c r="EM77" s="490"/>
      <c r="EN77" s="490"/>
      <c r="EO77" s="490"/>
      <c r="EP77" s="490"/>
      <c r="EQ77" s="490"/>
      <c r="ER77" s="490"/>
      <c r="ES77" s="490"/>
      <c r="ET77" s="490"/>
      <c r="EU77" s="490"/>
      <c r="EV77" s="490"/>
      <c r="EW77" s="490"/>
      <c r="EX77" s="490"/>
      <c r="EY77" s="490"/>
      <c r="EZ77" s="490"/>
      <c r="FA77" s="490"/>
      <c r="FB77" s="490"/>
      <c r="FC77" s="490"/>
      <c r="FD77" s="490"/>
      <c r="FE77" s="490"/>
      <c r="FF77" s="490"/>
      <c r="FG77" s="490"/>
      <c r="FH77" s="490"/>
      <c r="FI77" s="490"/>
      <c r="FJ77" s="490"/>
      <c r="FK77" s="490"/>
      <c r="FL77" s="490"/>
      <c r="FM77" s="490"/>
      <c r="FN77" s="490"/>
    </row>
    <row r="78" s="492" customFormat="1" spans="1:170">
      <c r="A78" s="540">
        <v>46051</v>
      </c>
      <c r="B78" s="515" t="s">
        <v>727</v>
      </c>
      <c r="C78" s="541">
        <v>10</v>
      </c>
      <c r="D78" s="515" t="s">
        <v>66</v>
      </c>
      <c r="E78" s="515" t="s">
        <v>66</v>
      </c>
      <c r="F78" s="515" t="s">
        <v>128</v>
      </c>
      <c r="G78" s="541">
        <v>1</v>
      </c>
      <c r="H78" s="521">
        <v>8.8</v>
      </c>
      <c r="I78" s="541" t="s">
        <v>724</v>
      </c>
      <c r="J78" s="541">
        <v>1.8</v>
      </c>
      <c r="K78" s="515" t="s">
        <v>603</v>
      </c>
      <c r="L78" s="515" t="s">
        <v>577</v>
      </c>
      <c r="M78" s="490"/>
      <c r="N78" s="490"/>
      <c r="O78" s="490"/>
      <c r="P78" s="490"/>
      <c r="Q78" s="490"/>
      <c r="R78" s="490"/>
      <c r="S78" s="490"/>
      <c r="T78" s="490"/>
      <c r="U78" s="490"/>
      <c r="V78" s="490"/>
      <c r="W78" s="490"/>
      <c r="X78" s="490"/>
      <c r="Y78" s="490"/>
      <c r="Z78" s="490"/>
      <c r="AA78" s="490"/>
      <c r="AB78" s="490"/>
      <c r="AC78" s="490"/>
      <c r="AD78" s="490"/>
      <c r="AE78" s="490"/>
      <c r="AF78" s="490"/>
      <c r="AG78" s="490"/>
      <c r="AH78" s="490"/>
      <c r="AI78" s="490"/>
      <c r="AJ78" s="490"/>
      <c r="AK78" s="490"/>
      <c r="AL78" s="490"/>
      <c r="AM78" s="490"/>
      <c r="AN78" s="490"/>
      <c r="AO78" s="490"/>
      <c r="AP78" s="490"/>
      <c r="AQ78" s="490"/>
      <c r="AR78" s="490"/>
      <c r="AS78" s="490"/>
      <c r="AT78" s="490"/>
      <c r="AU78" s="490"/>
      <c r="AV78" s="490"/>
      <c r="AW78" s="490"/>
      <c r="AX78" s="490"/>
      <c r="AY78" s="490"/>
      <c r="AZ78" s="490"/>
      <c r="BA78" s="490"/>
      <c r="BB78" s="490"/>
      <c r="BC78" s="490"/>
      <c r="BD78" s="490"/>
      <c r="BE78" s="490"/>
      <c r="BF78" s="490"/>
      <c r="BG78" s="490"/>
      <c r="BH78" s="490"/>
      <c r="BI78" s="490"/>
      <c r="BJ78" s="490"/>
      <c r="BK78" s="490"/>
      <c r="BL78" s="490"/>
      <c r="BM78" s="490"/>
      <c r="BN78" s="490"/>
      <c r="BO78" s="490"/>
      <c r="BP78" s="490"/>
      <c r="BQ78" s="490"/>
      <c r="BR78" s="490"/>
      <c r="BS78" s="490"/>
      <c r="BT78" s="490"/>
      <c r="BU78" s="490"/>
      <c r="BV78" s="490"/>
      <c r="BW78" s="490"/>
      <c r="BX78" s="490"/>
      <c r="BY78" s="490"/>
      <c r="BZ78" s="490"/>
      <c r="CA78" s="490"/>
      <c r="CB78" s="490"/>
      <c r="CC78" s="490"/>
      <c r="CD78" s="490"/>
      <c r="CE78" s="490"/>
      <c r="CF78" s="490"/>
      <c r="CG78" s="490"/>
      <c r="CH78" s="490"/>
      <c r="CI78" s="490"/>
      <c r="CJ78" s="490"/>
      <c r="CK78" s="490"/>
      <c r="CL78" s="490"/>
      <c r="CM78" s="490"/>
      <c r="CN78" s="490"/>
      <c r="CO78" s="490"/>
      <c r="CP78" s="490"/>
      <c r="CQ78" s="490"/>
      <c r="CR78" s="490"/>
      <c r="CS78" s="490"/>
      <c r="CT78" s="490"/>
      <c r="CU78" s="490"/>
      <c r="CV78" s="490"/>
      <c r="CW78" s="490"/>
      <c r="CX78" s="490"/>
      <c r="CY78" s="490"/>
      <c r="CZ78" s="490"/>
      <c r="DA78" s="490"/>
      <c r="DB78" s="490"/>
      <c r="DC78" s="490"/>
      <c r="DD78" s="490"/>
      <c r="DE78" s="490"/>
      <c r="DF78" s="490"/>
      <c r="DG78" s="490"/>
      <c r="DH78" s="490"/>
      <c r="DI78" s="490"/>
      <c r="DJ78" s="490"/>
      <c r="DK78" s="490"/>
      <c r="DL78" s="490"/>
      <c r="DM78" s="490"/>
      <c r="DN78" s="490"/>
      <c r="DO78" s="490"/>
      <c r="DP78" s="490"/>
      <c r="DQ78" s="490"/>
      <c r="DR78" s="490"/>
      <c r="DS78" s="490"/>
      <c r="DT78" s="490"/>
      <c r="DU78" s="490"/>
      <c r="DV78" s="490"/>
      <c r="DW78" s="490"/>
      <c r="DX78" s="490"/>
      <c r="DY78" s="490"/>
      <c r="DZ78" s="490"/>
      <c r="EA78" s="490"/>
      <c r="EB78" s="490"/>
      <c r="EC78" s="490"/>
      <c r="ED78" s="490"/>
      <c r="EE78" s="490"/>
      <c r="EF78" s="490"/>
      <c r="EG78" s="490"/>
      <c r="EH78" s="490"/>
      <c r="EI78" s="490"/>
      <c r="EJ78" s="490"/>
      <c r="EK78" s="490"/>
      <c r="EL78" s="490"/>
      <c r="EM78" s="490"/>
      <c r="EN78" s="490"/>
      <c r="EO78" s="490"/>
      <c r="EP78" s="490"/>
      <c r="EQ78" s="490"/>
      <c r="ER78" s="490"/>
      <c r="ES78" s="490"/>
      <c r="ET78" s="490"/>
      <c r="EU78" s="490"/>
      <c r="EV78" s="490"/>
      <c r="EW78" s="490"/>
      <c r="EX78" s="490"/>
      <c r="EY78" s="490"/>
      <c r="EZ78" s="490"/>
      <c r="FA78" s="490"/>
      <c r="FB78" s="490"/>
      <c r="FC78" s="490"/>
      <c r="FD78" s="490"/>
      <c r="FE78" s="490"/>
      <c r="FF78" s="490"/>
      <c r="FG78" s="490"/>
      <c r="FH78" s="490"/>
      <c r="FI78" s="490"/>
      <c r="FJ78" s="490"/>
      <c r="FK78" s="490"/>
      <c r="FL78" s="490"/>
      <c r="FM78" s="490"/>
      <c r="FN78" s="490"/>
    </row>
    <row r="79" s="492" customFormat="1" spans="1:170">
      <c r="A79" s="540"/>
      <c r="B79" s="515"/>
      <c r="C79" s="541"/>
      <c r="D79" s="515"/>
      <c r="E79" s="515"/>
      <c r="F79" s="515" t="s">
        <v>131</v>
      </c>
      <c r="G79" s="541">
        <v>1.16</v>
      </c>
      <c r="H79" s="521">
        <v>0.6</v>
      </c>
      <c r="I79" s="541" t="s">
        <v>22</v>
      </c>
      <c r="J79" s="541">
        <v>1.9</v>
      </c>
      <c r="K79" s="515"/>
      <c r="L79" s="515"/>
      <c r="M79" s="490"/>
      <c r="N79" s="490"/>
      <c r="O79" s="490"/>
      <c r="P79" s="490"/>
      <c r="Q79" s="490"/>
      <c r="R79" s="490"/>
      <c r="S79" s="490"/>
      <c r="T79" s="490"/>
      <c r="U79" s="490"/>
      <c r="V79" s="490"/>
      <c r="W79" s="490"/>
      <c r="X79" s="490"/>
      <c r="Y79" s="490"/>
      <c r="Z79" s="490"/>
      <c r="AA79" s="490"/>
      <c r="AB79" s="490"/>
      <c r="AC79" s="490"/>
      <c r="AD79" s="490"/>
      <c r="AE79" s="490"/>
      <c r="AF79" s="490"/>
      <c r="AG79" s="490"/>
      <c r="AH79" s="490"/>
      <c r="AI79" s="490"/>
      <c r="AJ79" s="490"/>
      <c r="AK79" s="490"/>
      <c r="AL79" s="490"/>
      <c r="AM79" s="490"/>
      <c r="AN79" s="490"/>
      <c r="AO79" s="490"/>
      <c r="AP79" s="490"/>
      <c r="AQ79" s="490"/>
      <c r="AR79" s="490"/>
      <c r="AS79" s="490"/>
      <c r="AT79" s="490"/>
      <c r="AU79" s="490"/>
      <c r="AV79" s="490"/>
      <c r="AW79" s="490"/>
      <c r="AX79" s="490"/>
      <c r="AY79" s="490"/>
      <c r="AZ79" s="490"/>
      <c r="BA79" s="490"/>
      <c r="BB79" s="490"/>
      <c r="BC79" s="490"/>
      <c r="BD79" s="490"/>
      <c r="BE79" s="490"/>
      <c r="BF79" s="490"/>
      <c r="BG79" s="490"/>
      <c r="BH79" s="490"/>
      <c r="BI79" s="490"/>
      <c r="BJ79" s="490"/>
      <c r="BK79" s="490"/>
      <c r="BL79" s="490"/>
      <c r="BM79" s="490"/>
      <c r="BN79" s="490"/>
      <c r="BO79" s="490"/>
      <c r="BP79" s="490"/>
      <c r="BQ79" s="490"/>
      <c r="BR79" s="490"/>
      <c r="BS79" s="490"/>
      <c r="BT79" s="490"/>
      <c r="BU79" s="490"/>
      <c r="BV79" s="490"/>
      <c r="BW79" s="490"/>
      <c r="BX79" s="490"/>
      <c r="BY79" s="490"/>
      <c r="BZ79" s="490"/>
      <c r="CA79" s="490"/>
      <c r="CB79" s="490"/>
      <c r="CC79" s="490"/>
      <c r="CD79" s="490"/>
      <c r="CE79" s="490"/>
      <c r="CF79" s="490"/>
      <c r="CG79" s="490"/>
      <c r="CH79" s="490"/>
      <c r="CI79" s="490"/>
      <c r="CJ79" s="490"/>
      <c r="CK79" s="490"/>
      <c r="CL79" s="490"/>
      <c r="CM79" s="490"/>
      <c r="CN79" s="490"/>
      <c r="CO79" s="490"/>
      <c r="CP79" s="490"/>
      <c r="CQ79" s="490"/>
      <c r="CR79" s="490"/>
      <c r="CS79" s="490"/>
      <c r="CT79" s="490"/>
      <c r="CU79" s="490"/>
      <c r="CV79" s="490"/>
      <c r="CW79" s="490"/>
      <c r="CX79" s="490"/>
      <c r="CY79" s="490"/>
      <c r="CZ79" s="490"/>
      <c r="DA79" s="490"/>
      <c r="DB79" s="490"/>
      <c r="DC79" s="490"/>
      <c r="DD79" s="490"/>
      <c r="DE79" s="490"/>
      <c r="DF79" s="490"/>
      <c r="DG79" s="490"/>
      <c r="DH79" s="490"/>
      <c r="DI79" s="490"/>
      <c r="DJ79" s="490"/>
      <c r="DK79" s="490"/>
      <c r="DL79" s="490"/>
      <c r="DM79" s="490"/>
      <c r="DN79" s="490"/>
      <c r="DO79" s="490"/>
      <c r="DP79" s="490"/>
      <c r="DQ79" s="490"/>
      <c r="DR79" s="490"/>
      <c r="DS79" s="490"/>
      <c r="DT79" s="490"/>
      <c r="DU79" s="490"/>
      <c r="DV79" s="490"/>
      <c r="DW79" s="490"/>
      <c r="DX79" s="490"/>
      <c r="DY79" s="490"/>
      <c r="DZ79" s="490"/>
      <c r="EA79" s="490"/>
      <c r="EB79" s="490"/>
      <c r="EC79" s="490"/>
      <c r="ED79" s="490"/>
      <c r="EE79" s="490"/>
      <c r="EF79" s="490"/>
      <c r="EG79" s="490"/>
      <c r="EH79" s="490"/>
      <c r="EI79" s="490"/>
      <c r="EJ79" s="490"/>
      <c r="EK79" s="490"/>
      <c r="EL79" s="490"/>
      <c r="EM79" s="490"/>
      <c r="EN79" s="490"/>
      <c r="EO79" s="490"/>
      <c r="EP79" s="490"/>
      <c r="EQ79" s="490"/>
      <c r="ER79" s="490"/>
      <c r="ES79" s="490"/>
      <c r="ET79" s="490"/>
      <c r="EU79" s="490"/>
      <c r="EV79" s="490"/>
      <c r="EW79" s="490"/>
      <c r="EX79" s="490"/>
      <c r="EY79" s="490"/>
      <c r="EZ79" s="490"/>
      <c r="FA79" s="490"/>
      <c r="FB79" s="490"/>
      <c r="FC79" s="490"/>
      <c r="FD79" s="490"/>
      <c r="FE79" s="490"/>
      <c r="FF79" s="490"/>
      <c r="FG79" s="490"/>
      <c r="FH79" s="490"/>
      <c r="FI79" s="490"/>
      <c r="FJ79" s="490"/>
      <c r="FK79" s="490"/>
      <c r="FL79" s="490"/>
      <c r="FM79" s="490"/>
      <c r="FN79" s="490"/>
    </row>
    <row r="80" s="492" customFormat="1" spans="1:170">
      <c r="A80" s="540"/>
      <c r="B80" s="515"/>
      <c r="C80" s="541"/>
      <c r="D80" s="515"/>
      <c r="E80" s="515"/>
      <c r="F80" s="515" t="s">
        <v>91</v>
      </c>
      <c r="G80" s="541">
        <v>1.75</v>
      </c>
      <c r="H80" s="521">
        <v>0.6</v>
      </c>
      <c r="I80" s="541" t="s">
        <v>24</v>
      </c>
      <c r="J80" s="541" t="s">
        <v>24</v>
      </c>
      <c r="K80" s="515"/>
      <c r="L80" s="515"/>
      <c r="M80" s="490"/>
      <c r="N80" s="490"/>
      <c r="O80" s="490"/>
      <c r="P80" s="490"/>
      <c r="Q80" s="490"/>
      <c r="R80" s="490"/>
      <c r="S80" s="490"/>
      <c r="T80" s="490"/>
      <c r="U80" s="490"/>
      <c r="V80" s="490"/>
      <c r="W80" s="490"/>
      <c r="X80" s="490"/>
      <c r="Y80" s="490"/>
      <c r="Z80" s="490"/>
      <c r="AA80" s="490"/>
      <c r="AB80" s="490"/>
      <c r="AC80" s="490"/>
      <c r="AD80" s="490"/>
      <c r="AE80" s="490"/>
      <c r="AF80" s="490"/>
      <c r="AG80" s="490"/>
      <c r="AH80" s="490"/>
      <c r="AI80" s="490"/>
      <c r="AJ80" s="490"/>
      <c r="AK80" s="490"/>
      <c r="AL80" s="490"/>
      <c r="AM80" s="490"/>
      <c r="AN80" s="490"/>
      <c r="AO80" s="490"/>
      <c r="AP80" s="490"/>
      <c r="AQ80" s="490"/>
      <c r="AR80" s="490"/>
      <c r="AS80" s="490"/>
      <c r="AT80" s="490"/>
      <c r="AU80" s="490"/>
      <c r="AV80" s="490"/>
      <c r="AW80" s="490"/>
      <c r="AX80" s="490"/>
      <c r="AY80" s="490"/>
      <c r="AZ80" s="490"/>
      <c r="BA80" s="490"/>
      <c r="BB80" s="490"/>
      <c r="BC80" s="490"/>
      <c r="BD80" s="490"/>
      <c r="BE80" s="490"/>
      <c r="BF80" s="490"/>
      <c r="BG80" s="490"/>
      <c r="BH80" s="490"/>
      <c r="BI80" s="490"/>
      <c r="BJ80" s="490"/>
      <c r="BK80" s="490"/>
      <c r="BL80" s="490"/>
      <c r="BM80" s="490"/>
      <c r="BN80" s="490"/>
      <c r="BO80" s="490"/>
      <c r="BP80" s="490"/>
      <c r="BQ80" s="490"/>
      <c r="BR80" s="490"/>
      <c r="BS80" s="490"/>
      <c r="BT80" s="490"/>
      <c r="BU80" s="490"/>
      <c r="BV80" s="490"/>
      <c r="BW80" s="490"/>
      <c r="BX80" s="490"/>
      <c r="BY80" s="490"/>
      <c r="BZ80" s="490"/>
      <c r="CA80" s="490"/>
      <c r="CB80" s="490"/>
      <c r="CC80" s="490"/>
      <c r="CD80" s="490"/>
      <c r="CE80" s="490"/>
      <c r="CF80" s="490"/>
      <c r="CG80" s="490"/>
      <c r="CH80" s="490"/>
      <c r="CI80" s="490"/>
      <c r="CJ80" s="490"/>
      <c r="CK80" s="490"/>
      <c r="CL80" s="490"/>
      <c r="CM80" s="490"/>
      <c r="CN80" s="490"/>
      <c r="CO80" s="490"/>
      <c r="CP80" s="490"/>
      <c r="CQ80" s="490"/>
      <c r="CR80" s="490"/>
      <c r="CS80" s="490"/>
      <c r="CT80" s="490"/>
      <c r="CU80" s="490"/>
      <c r="CV80" s="490"/>
      <c r="CW80" s="490"/>
      <c r="CX80" s="490"/>
      <c r="CY80" s="490"/>
      <c r="CZ80" s="490"/>
      <c r="DA80" s="490"/>
      <c r="DB80" s="490"/>
      <c r="DC80" s="490"/>
      <c r="DD80" s="490"/>
      <c r="DE80" s="490"/>
      <c r="DF80" s="490"/>
      <c r="DG80" s="490"/>
      <c r="DH80" s="490"/>
      <c r="DI80" s="490"/>
      <c r="DJ80" s="490"/>
      <c r="DK80" s="490"/>
      <c r="DL80" s="490"/>
      <c r="DM80" s="490"/>
      <c r="DN80" s="490"/>
      <c r="DO80" s="490"/>
      <c r="DP80" s="490"/>
      <c r="DQ80" s="490"/>
      <c r="DR80" s="490"/>
      <c r="DS80" s="490"/>
      <c r="DT80" s="490"/>
      <c r="DU80" s="490"/>
      <c r="DV80" s="490"/>
      <c r="DW80" s="490"/>
      <c r="DX80" s="490"/>
      <c r="DY80" s="490"/>
      <c r="DZ80" s="490"/>
      <c r="EA80" s="490"/>
      <c r="EB80" s="490"/>
      <c r="EC80" s="490"/>
      <c r="ED80" s="490"/>
      <c r="EE80" s="490"/>
      <c r="EF80" s="490"/>
      <c r="EG80" s="490"/>
      <c r="EH80" s="490"/>
      <c r="EI80" s="490"/>
      <c r="EJ80" s="490"/>
      <c r="EK80" s="490"/>
      <c r="EL80" s="490"/>
      <c r="EM80" s="490"/>
      <c r="EN80" s="490"/>
      <c r="EO80" s="490"/>
      <c r="EP80" s="490"/>
      <c r="EQ80" s="490"/>
      <c r="ER80" s="490"/>
      <c r="ES80" s="490"/>
      <c r="ET80" s="490"/>
      <c r="EU80" s="490"/>
      <c r="EV80" s="490"/>
      <c r="EW80" s="490"/>
      <c r="EX80" s="490"/>
      <c r="EY80" s="490"/>
      <c r="EZ80" s="490"/>
      <c r="FA80" s="490"/>
      <c r="FB80" s="490"/>
      <c r="FC80" s="490"/>
      <c r="FD80" s="490"/>
      <c r="FE80" s="490"/>
      <c r="FF80" s="490"/>
      <c r="FG80" s="490"/>
      <c r="FH80" s="490"/>
      <c r="FI80" s="490"/>
      <c r="FJ80" s="490"/>
      <c r="FK80" s="490"/>
      <c r="FL80" s="490"/>
      <c r="FM80" s="490"/>
      <c r="FN80" s="490"/>
    </row>
    <row r="81" s="492" customFormat="1" spans="1:170">
      <c r="A81" s="540">
        <v>46051</v>
      </c>
      <c r="B81" s="515" t="s">
        <v>728</v>
      </c>
      <c r="C81" s="541">
        <v>10</v>
      </c>
      <c r="D81" s="515" t="s">
        <v>698</v>
      </c>
      <c r="E81" s="515" t="s">
        <v>66</v>
      </c>
      <c r="F81" s="515" t="s">
        <v>128</v>
      </c>
      <c r="G81" s="541">
        <v>1</v>
      </c>
      <c r="H81" s="521">
        <v>8.8</v>
      </c>
      <c r="I81" s="541" t="s">
        <v>17</v>
      </c>
      <c r="J81" s="541">
        <v>1.8</v>
      </c>
      <c r="K81" s="515" t="s">
        <v>603</v>
      </c>
      <c r="L81" s="515" t="s">
        <v>577</v>
      </c>
      <c r="M81" s="490"/>
      <c r="N81" s="490"/>
      <c r="O81" s="490"/>
      <c r="P81" s="490"/>
      <c r="Q81" s="490"/>
      <c r="R81" s="490"/>
      <c r="S81" s="490"/>
      <c r="T81" s="490"/>
      <c r="U81" s="490"/>
      <c r="V81" s="490"/>
      <c r="W81" s="490"/>
      <c r="X81" s="490"/>
      <c r="Y81" s="490"/>
      <c r="Z81" s="490"/>
      <c r="AA81" s="490"/>
      <c r="AB81" s="490"/>
      <c r="AC81" s="490"/>
      <c r="AD81" s="490"/>
      <c r="AE81" s="490"/>
      <c r="AF81" s="490"/>
      <c r="AG81" s="490"/>
      <c r="AH81" s="490"/>
      <c r="AI81" s="490"/>
      <c r="AJ81" s="490"/>
      <c r="AK81" s="490"/>
      <c r="AL81" s="490"/>
      <c r="AM81" s="490"/>
      <c r="AN81" s="490"/>
      <c r="AO81" s="490"/>
      <c r="AP81" s="490"/>
      <c r="AQ81" s="490"/>
      <c r="AR81" s="490"/>
      <c r="AS81" s="490"/>
      <c r="AT81" s="490"/>
      <c r="AU81" s="490"/>
      <c r="AV81" s="490"/>
      <c r="AW81" s="490"/>
      <c r="AX81" s="490"/>
      <c r="AY81" s="490"/>
      <c r="AZ81" s="490"/>
      <c r="BA81" s="490"/>
      <c r="BB81" s="490"/>
      <c r="BC81" s="490"/>
      <c r="BD81" s="490"/>
      <c r="BE81" s="490"/>
      <c r="BF81" s="490"/>
      <c r="BG81" s="490"/>
      <c r="BH81" s="490"/>
      <c r="BI81" s="490"/>
      <c r="BJ81" s="490"/>
      <c r="BK81" s="490"/>
      <c r="BL81" s="490"/>
      <c r="BM81" s="490"/>
      <c r="BN81" s="490"/>
      <c r="BO81" s="490"/>
      <c r="BP81" s="490"/>
      <c r="BQ81" s="490"/>
      <c r="BR81" s="490"/>
      <c r="BS81" s="490"/>
      <c r="BT81" s="490"/>
      <c r="BU81" s="490"/>
      <c r="BV81" s="490"/>
      <c r="BW81" s="490"/>
      <c r="BX81" s="490"/>
      <c r="BY81" s="490"/>
      <c r="BZ81" s="490"/>
      <c r="CA81" s="490"/>
      <c r="CB81" s="490"/>
      <c r="CC81" s="490"/>
      <c r="CD81" s="490"/>
      <c r="CE81" s="490"/>
      <c r="CF81" s="490"/>
      <c r="CG81" s="490"/>
      <c r="CH81" s="490"/>
      <c r="CI81" s="490"/>
      <c r="CJ81" s="490"/>
      <c r="CK81" s="490"/>
      <c r="CL81" s="490"/>
      <c r="CM81" s="490"/>
      <c r="CN81" s="490"/>
      <c r="CO81" s="490"/>
      <c r="CP81" s="490"/>
      <c r="CQ81" s="490"/>
      <c r="CR81" s="490"/>
      <c r="CS81" s="490"/>
      <c r="CT81" s="490"/>
      <c r="CU81" s="490"/>
      <c r="CV81" s="490"/>
      <c r="CW81" s="490"/>
      <c r="CX81" s="490"/>
      <c r="CY81" s="490"/>
      <c r="CZ81" s="490"/>
      <c r="DA81" s="490"/>
      <c r="DB81" s="490"/>
      <c r="DC81" s="490"/>
      <c r="DD81" s="490"/>
      <c r="DE81" s="490"/>
      <c r="DF81" s="490"/>
      <c r="DG81" s="490"/>
      <c r="DH81" s="490"/>
      <c r="DI81" s="490"/>
      <c r="DJ81" s="490"/>
      <c r="DK81" s="490"/>
      <c r="DL81" s="490"/>
      <c r="DM81" s="490"/>
      <c r="DN81" s="490"/>
      <c r="DO81" s="490"/>
      <c r="DP81" s="490"/>
      <c r="DQ81" s="490"/>
      <c r="DR81" s="490"/>
      <c r="DS81" s="490"/>
      <c r="DT81" s="490"/>
      <c r="DU81" s="490"/>
      <c r="DV81" s="490"/>
      <c r="DW81" s="490"/>
      <c r="DX81" s="490"/>
      <c r="DY81" s="490"/>
      <c r="DZ81" s="490"/>
      <c r="EA81" s="490"/>
      <c r="EB81" s="490"/>
      <c r="EC81" s="490"/>
      <c r="ED81" s="490"/>
      <c r="EE81" s="490"/>
      <c r="EF81" s="490"/>
      <c r="EG81" s="490"/>
      <c r="EH81" s="490"/>
      <c r="EI81" s="490"/>
      <c r="EJ81" s="490"/>
      <c r="EK81" s="490"/>
      <c r="EL81" s="490"/>
      <c r="EM81" s="490"/>
      <c r="EN81" s="490"/>
      <c r="EO81" s="490"/>
      <c r="EP81" s="490"/>
      <c r="EQ81" s="490"/>
      <c r="ER81" s="490"/>
      <c r="ES81" s="490"/>
      <c r="ET81" s="490"/>
      <c r="EU81" s="490"/>
      <c r="EV81" s="490"/>
      <c r="EW81" s="490"/>
      <c r="EX81" s="490"/>
      <c r="EY81" s="490"/>
      <c r="EZ81" s="490"/>
      <c r="FA81" s="490"/>
      <c r="FB81" s="490"/>
      <c r="FC81" s="490"/>
      <c r="FD81" s="490"/>
      <c r="FE81" s="490"/>
      <c r="FF81" s="490"/>
      <c r="FG81" s="490"/>
      <c r="FH81" s="490"/>
      <c r="FI81" s="490"/>
      <c r="FJ81" s="490"/>
      <c r="FK81" s="490"/>
      <c r="FL81" s="490"/>
      <c r="FM81" s="490"/>
      <c r="FN81" s="490"/>
    </row>
    <row r="82" s="492" customFormat="1" spans="1:170">
      <c r="A82" s="540"/>
      <c r="B82" s="515"/>
      <c r="C82" s="541"/>
      <c r="D82" s="515"/>
      <c r="E82" s="515"/>
      <c r="F82" s="515" t="s">
        <v>131</v>
      </c>
      <c r="G82" s="541">
        <v>1.16</v>
      </c>
      <c r="H82" s="521">
        <v>0.6</v>
      </c>
      <c r="I82" s="541" t="s">
        <v>22</v>
      </c>
      <c r="J82" s="541">
        <v>1.9</v>
      </c>
      <c r="K82" s="515"/>
      <c r="L82" s="515"/>
      <c r="M82" s="490"/>
      <c r="N82" s="490"/>
      <c r="O82" s="490"/>
      <c r="P82" s="490"/>
      <c r="Q82" s="490"/>
      <c r="R82" s="490"/>
      <c r="S82" s="490"/>
      <c r="T82" s="490"/>
      <c r="U82" s="490"/>
      <c r="V82" s="490"/>
      <c r="W82" s="490"/>
      <c r="X82" s="490"/>
      <c r="Y82" s="490"/>
      <c r="Z82" s="490"/>
      <c r="AA82" s="490"/>
      <c r="AB82" s="490"/>
      <c r="AC82" s="490"/>
      <c r="AD82" s="490"/>
      <c r="AE82" s="490"/>
      <c r="AF82" s="490"/>
      <c r="AG82" s="490"/>
      <c r="AH82" s="490"/>
      <c r="AI82" s="490"/>
      <c r="AJ82" s="490"/>
      <c r="AK82" s="490"/>
      <c r="AL82" s="490"/>
      <c r="AM82" s="490"/>
      <c r="AN82" s="490"/>
      <c r="AO82" s="490"/>
      <c r="AP82" s="490"/>
      <c r="AQ82" s="490"/>
      <c r="AR82" s="490"/>
      <c r="AS82" s="490"/>
      <c r="AT82" s="490"/>
      <c r="AU82" s="490"/>
      <c r="AV82" s="490"/>
      <c r="AW82" s="490"/>
      <c r="AX82" s="490"/>
      <c r="AY82" s="490"/>
      <c r="AZ82" s="490"/>
      <c r="BA82" s="490"/>
      <c r="BB82" s="490"/>
      <c r="BC82" s="490"/>
      <c r="BD82" s="490"/>
      <c r="BE82" s="490"/>
      <c r="BF82" s="490"/>
      <c r="BG82" s="490"/>
      <c r="BH82" s="490"/>
      <c r="BI82" s="490"/>
      <c r="BJ82" s="490"/>
      <c r="BK82" s="490"/>
      <c r="BL82" s="490"/>
      <c r="BM82" s="490"/>
      <c r="BN82" s="490"/>
      <c r="BO82" s="490"/>
      <c r="BP82" s="490"/>
      <c r="BQ82" s="490"/>
      <c r="BR82" s="490"/>
      <c r="BS82" s="490"/>
      <c r="BT82" s="490"/>
      <c r="BU82" s="490"/>
      <c r="BV82" s="490"/>
      <c r="BW82" s="490"/>
      <c r="BX82" s="490"/>
      <c r="BY82" s="490"/>
      <c r="BZ82" s="490"/>
      <c r="CA82" s="490"/>
      <c r="CB82" s="490"/>
      <c r="CC82" s="490"/>
      <c r="CD82" s="490"/>
      <c r="CE82" s="490"/>
      <c r="CF82" s="490"/>
      <c r="CG82" s="490"/>
      <c r="CH82" s="490"/>
      <c r="CI82" s="490"/>
      <c r="CJ82" s="490"/>
      <c r="CK82" s="490"/>
      <c r="CL82" s="490"/>
      <c r="CM82" s="490"/>
      <c r="CN82" s="490"/>
      <c r="CO82" s="490"/>
      <c r="CP82" s="490"/>
      <c r="CQ82" s="490"/>
      <c r="CR82" s="490"/>
      <c r="CS82" s="490"/>
      <c r="CT82" s="490"/>
      <c r="CU82" s="490"/>
      <c r="CV82" s="490"/>
      <c r="CW82" s="490"/>
      <c r="CX82" s="490"/>
      <c r="CY82" s="490"/>
      <c r="CZ82" s="490"/>
      <c r="DA82" s="490"/>
      <c r="DB82" s="490"/>
      <c r="DC82" s="490"/>
      <c r="DD82" s="490"/>
      <c r="DE82" s="490"/>
      <c r="DF82" s="490"/>
      <c r="DG82" s="490"/>
      <c r="DH82" s="490"/>
      <c r="DI82" s="490"/>
      <c r="DJ82" s="490"/>
      <c r="DK82" s="490"/>
      <c r="DL82" s="490"/>
      <c r="DM82" s="490"/>
      <c r="DN82" s="490"/>
      <c r="DO82" s="490"/>
      <c r="DP82" s="490"/>
      <c r="DQ82" s="490"/>
      <c r="DR82" s="490"/>
      <c r="DS82" s="490"/>
      <c r="DT82" s="490"/>
      <c r="DU82" s="490"/>
      <c r="DV82" s="490"/>
      <c r="DW82" s="490"/>
      <c r="DX82" s="490"/>
      <c r="DY82" s="490"/>
      <c r="DZ82" s="490"/>
      <c r="EA82" s="490"/>
      <c r="EB82" s="490"/>
      <c r="EC82" s="490"/>
      <c r="ED82" s="490"/>
      <c r="EE82" s="490"/>
      <c r="EF82" s="490"/>
      <c r="EG82" s="490"/>
      <c r="EH82" s="490"/>
      <c r="EI82" s="490"/>
      <c r="EJ82" s="490"/>
      <c r="EK82" s="490"/>
      <c r="EL82" s="490"/>
      <c r="EM82" s="490"/>
      <c r="EN82" s="490"/>
      <c r="EO82" s="490"/>
      <c r="EP82" s="490"/>
      <c r="EQ82" s="490"/>
      <c r="ER82" s="490"/>
      <c r="ES82" s="490"/>
      <c r="ET82" s="490"/>
      <c r="EU82" s="490"/>
      <c r="EV82" s="490"/>
      <c r="EW82" s="490"/>
      <c r="EX82" s="490"/>
      <c r="EY82" s="490"/>
      <c r="EZ82" s="490"/>
      <c r="FA82" s="490"/>
      <c r="FB82" s="490"/>
      <c r="FC82" s="490"/>
      <c r="FD82" s="490"/>
      <c r="FE82" s="490"/>
      <c r="FF82" s="490"/>
      <c r="FG82" s="490"/>
      <c r="FH82" s="490"/>
      <c r="FI82" s="490"/>
      <c r="FJ82" s="490"/>
      <c r="FK82" s="490"/>
      <c r="FL82" s="490"/>
      <c r="FM82" s="490"/>
      <c r="FN82" s="490"/>
    </row>
    <row r="83" s="492" customFormat="1" spans="1:170">
      <c r="A83" s="540"/>
      <c r="B83" s="515"/>
      <c r="C83" s="541"/>
      <c r="D83" s="515"/>
      <c r="E83" s="515"/>
      <c r="F83" s="515" t="s">
        <v>91</v>
      </c>
      <c r="G83" s="541">
        <v>1.75</v>
      </c>
      <c r="H83" s="521">
        <v>0.6</v>
      </c>
      <c r="I83" s="541" t="s">
        <v>24</v>
      </c>
      <c r="J83" s="541" t="s">
        <v>24</v>
      </c>
      <c r="K83" s="515"/>
      <c r="L83" s="515"/>
      <c r="M83" s="490"/>
      <c r="N83" s="490"/>
      <c r="O83" s="490"/>
      <c r="P83" s="490"/>
      <c r="Q83" s="490"/>
      <c r="R83" s="490"/>
      <c r="S83" s="490"/>
      <c r="T83" s="490"/>
      <c r="U83" s="490"/>
      <c r="V83" s="490"/>
      <c r="W83" s="490"/>
      <c r="X83" s="490"/>
      <c r="Y83" s="490"/>
      <c r="Z83" s="490"/>
      <c r="AA83" s="490"/>
      <c r="AB83" s="490"/>
      <c r="AC83" s="490"/>
      <c r="AD83" s="490"/>
      <c r="AE83" s="490"/>
      <c r="AF83" s="490"/>
      <c r="AG83" s="490"/>
      <c r="AH83" s="490"/>
      <c r="AI83" s="490"/>
      <c r="AJ83" s="490"/>
      <c r="AK83" s="490"/>
      <c r="AL83" s="490"/>
      <c r="AM83" s="490"/>
      <c r="AN83" s="490"/>
      <c r="AO83" s="490"/>
      <c r="AP83" s="490"/>
      <c r="AQ83" s="490"/>
      <c r="AR83" s="490"/>
      <c r="AS83" s="490"/>
      <c r="AT83" s="490"/>
      <c r="AU83" s="490"/>
      <c r="AV83" s="490"/>
      <c r="AW83" s="490"/>
      <c r="AX83" s="490"/>
      <c r="AY83" s="490"/>
      <c r="AZ83" s="490"/>
      <c r="BA83" s="490"/>
      <c r="BB83" s="490"/>
      <c r="BC83" s="490"/>
      <c r="BD83" s="490"/>
      <c r="BE83" s="490"/>
      <c r="BF83" s="490"/>
      <c r="BG83" s="490"/>
      <c r="BH83" s="490"/>
      <c r="BI83" s="490"/>
      <c r="BJ83" s="490"/>
      <c r="BK83" s="490"/>
      <c r="BL83" s="490"/>
      <c r="BM83" s="490"/>
      <c r="BN83" s="490"/>
      <c r="BO83" s="490"/>
      <c r="BP83" s="490"/>
      <c r="BQ83" s="490"/>
      <c r="BR83" s="490"/>
      <c r="BS83" s="490"/>
      <c r="BT83" s="490"/>
      <c r="BU83" s="490"/>
      <c r="BV83" s="490"/>
      <c r="BW83" s="490"/>
      <c r="BX83" s="490"/>
      <c r="BY83" s="490"/>
      <c r="BZ83" s="490"/>
      <c r="CA83" s="490"/>
      <c r="CB83" s="490"/>
      <c r="CC83" s="490"/>
      <c r="CD83" s="490"/>
      <c r="CE83" s="490"/>
      <c r="CF83" s="490"/>
      <c r="CG83" s="490"/>
      <c r="CH83" s="490"/>
      <c r="CI83" s="490"/>
      <c r="CJ83" s="490"/>
      <c r="CK83" s="490"/>
      <c r="CL83" s="490"/>
      <c r="CM83" s="490"/>
      <c r="CN83" s="490"/>
      <c r="CO83" s="490"/>
      <c r="CP83" s="490"/>
      <c r="CQ83" s="490"/>
      <c r="CR83" s="490"/>
      <c r="CS83" s="490"/>
      <c r="CT83" s="490"/>
      <c r="CU83" s="490"/>
      <c r="CV83" s="490"/>
      <c r="CW83" s="490"/>
      <c r="CX83" s="490"/>
      <c r="CY83" s="490"/>
      <c r="CZ83" s="490"/>
      <c r="DA83" s="490"/>
      <c r="DB83" s="490"/>
      <c r="DC83" s="490"/>
      <c r="DD83" s="490"/>
      <c r="DE83" s="490"/>
      <c r="DF83" s="490"/>
      <c r="DG83" s="490"/>
      <c r="DH83" s="490"/>
      <c r="DI83" s="490"/>
      <c r="DJ83" s="490"/>
      <c r="DK83" s="490"/>
      <c r="DL83" s="490"/>
      <c r="DM83" s="490"/>
      <c r="DN83" s="490"/>
      <c r="DO83" s="490"/>
      <c r="DP83" s="490"/>
      <c r="DQ83" s="490"/>
      <c r="DR83" s="490"/>
      <c r="DS83" s="490"/>
      <c r="DT83" s="490"/>
      <c r="DU83" s="490"/>
      <c r="DV83" s="490"/>
      <c r="DW83" s="490"/>
      <c r="DX83" s="490"/>
      <c r="DY83" s="490"/>
      <c r="DZ83" s="490"/>
      <c r="EA83" s="490"/>
      <c r="EB83" s="490"/>
      <c r="EC83" s="490"/>
      <c r="ED83" s="490"/>
      <c r="EE83" s="490"/>
      <c r="EF83" s="490"/>
      <c r="EG83" s="490"/>
      <c r="EH83" s="490"/>
      <c r="EI83" s="490"/>
      <c r="EJ83" s="490"/>
      <c r="EK83" s="490"/>
      <c r="EL83" s="490"/>
      <c r="EM83" s="490"/>
      <c r="EN83" s="490"/>
      <c r="EO83" s="490"/>
      <c r="EP83" s="490"/>
      <c r="EQ83" s="490"/>
      <c r="ER83" s="490"/>
      <c r="ES83" s="490"/>
      <c r="ET83" s="490"/>
      <c r="EU83" s="490"/>
      <c r="EV83" s="490"/>
      <c r="EW83" s="490"/>
      <c r="EX83" s="490"/>
      <c r="EY83" s="490"/>
      <c r="EZ83" s="490"/>
      <c r="FA83" s="490"/>
      <c r="FB83" s="490"/>
      <c r="FC83" s="490"/>
      <c r="FD83" s="490"/>
      <c r="FE83" s="490"/>
      <c r="FF83" s="490"/>
      <c r="FG83" s="490"/>
      <c r="FH83" s="490"/>
      <c r="FI83" s="490"/>
      <c r="FJ83" s="490"/>
      <c r="FK83" s="490"/>
      <c r="FL83" s="490"/>
      <c r="FM83" s="490"/>
      <c r="FN83" s="490"/>
    </row>
    <row r="84" s="492" customFormat="1" spans="1:170">
      <c r="A84" s="519">
        <v>46052</v>
      </c>
      <c r="B84" s="509" t="s">
        <v>729</v>
      </c>
      <c r="C84" s="520">
        <v>10</v>
      </c>
      <c r="D84" s="509" t="s">
        <v>72</v>
      </c>
      <c r="E84" s="509" t="s">
        <v>66</v>
      </c>
      <c r="F84" s="515" t="s">
        <v>128</v>
      </c>
      <c r="G84" s="542">
        <v>1</v>
      </c>
      <c r="H84" s="542">
        <v>8.9</v>
      </c>
      <c r="I84" s="541" t="s">
        <v>17</v>
      </c>
      <c r="J84" s="542">
        <v>1.8</v>
      </c>
      <c r="K84" s="543" t="s">
        <v>603</v>
      </c>
      <c r="L84" s="543" t="s">
        <v>130</v>
      </c>
      <c r="M84" s="490"/>
      <c r="N84" s="490"/>
      <c r="O84" s="490"/>
      <c r="P84" s="490"/>
      <c r="Q84" s="490"/>
      <c r="R84" s="490"/>
      <c r="S84" s="490"/>
      <c r="T84" s="490"/>
      <c r="U84" s="490"/>
      <c r="V84" s="490"/>
      <c r="W84" s="490"/>
      <c r="X84" s="490"/>
      <c r="Y84" s="490"/>
      <c r="Z84" s="490"/>
      <c r="AA84" s="490"/>
      <c r="AB84" s="490"/>
      <c r="AC84" s="490"/>
      <c r="AD84" s="490"/>
      <c r="AE84" s="490"/>
      <c r="AF84" s="490"/>
      <c r="AG84" s="490"/>
      <c r="AH84" s="490"/>
      <c r="AI84" s="490"/>
      <c r="AJ84" s="490"/>
      <c r="AK84" s="490"/>
      <c r="AL84" s="490"/>
      <c r="AM84" s="490"/>
      <c r="AN84" s="490"/>
      <c r="AO84" s="490"/>
      <c r="AP84" s="490"/>
      <c r="AQ84" s="490"/>
      <c r="AR84" s="490"/>
      <c r="AS84" s="490"/>
      <c r="AT84" s="490"/>
      <c r="AU84" s="490"/>
      <c r="AV84" s="490"/>
      <c r="AW84" s="490"/>
      <c r="AX84" s="490"/>
      <c r="AY84" s="490"/>
      <c r="AZ84" s="490"/>
      <c r="BA84" s="490"/>
      <c r="BB84" s="490"/>
      <c r="BC84" s="490"/>
      <c r="BD84" s="490"/>
      <c r="BE84" s="490"/>
      <c r="BF84" s="490"/>
      <c r="BG84" s="490"/>
      <c r="BH84" s="490"/>
      <c r="BI84" s="490"/>
      <c r="BJ84" s="490"/>
      <c r="BK84" s="490"/>
      <c r="BL84" s="490"/>
      <c r="BM84" s="490"/>
      <c r="BN84" s="490"/>
      <c r="BO84" s="490"/>
      <c r="BP84" s="490"/>
      <c r="BQ84" s="490"/>
      <c r="BR84" s="490"/>
      <c r="BS84" s="490"/>
      <c r="BT84" s="490"/>
      <c r="BU84" s="490"/>
      <c r="BV84" s="490"/>
      <c r="BW84" s="490"/>
      <c r="BX84" s="490"/>
      <c r="BY84" s="490"/>
      <c r="BZ84" s="490"/>
      <c r="CA84" s="490"/>
      <c r="CB84" s="490"/>
      <c r="CC84" s="490"/>
      <c r="CD84" s="490"/>
      <c r="CE84" s="490"/>
      <c r="CF84" s="490"/>
      <c r="CG84" s="490"/>
      <c r="CH84" s="490"/>
      <c r="CI84" s="490"/>
      <c r="CJ84" s="490"/>
      <c r="CK84" s="490"/>
      <c r="CL84" s="490"/>
      <c r="CM84" s="490"/>
      <c r="CN84" s="490"/>
      <c r="CO84" s="490"/>
      <c r="CP84" s="490"/>
      <c r="CQ84" s="490"/>
      <c r="CR84" s="490"/>
      <c r="CS84" s="490"/>
      <c r="CT84" s="490"/>
      <c r="CU84" s="490"/>
      <c r="CV84" s="490"/>
      <c r="CW84" s="490"/>
      <c r="CX84" s="490"/>
      <c r="CY84" s="490"/>
      <c r="CZ84" s="490"/>
      <c r="DA84" s="490"/>
      <c r="DB84" s="490"/>
      <c r="DC84" s="490"/>
      <c r="DD84" s="490"/>
      <c r="DE84" s="490"/>
      <c r="DF84" s="490"/>
      <c r="DG84" s="490"/>
      <c r="DH84" s="490"/>
      <c r="DI84" s="490"/>
      <c r="DJ84" s="490"/>
      <c r="DK84" s="490"/>
      <c r="DL84" s="490"/>
      <c r="DM84" s="490"/>
      <c r="DN84" s="490"/>
      <c r="DO84" s="490"/>
      <c r="DP84" s="490"/>
      <c r="DQ84" s="490"/>
      <c r="DR84" s="490"/>
      <c r="DS84" s="490"/>
      <c r="DT84" s="490"/>
      <c r="DU84" s="490"/>
      <c r="DV84" s="490"/>
      <c r="DW84" s="490"/>
      <c r="DX84" s="490"/>
      <c r="DY84" s="490"/>
      <c r="DZ84" s="490"/>
      <c r="EA84" s="490"/>
      <c r="EB84" s="490"/>
      <c r="EC84" s="490"/>
      <c r="ED84" s="490"/>
      <c r="EE84" s="490"/>
      <c r="EF84" s="490"/>
      <c r="EG84" s="490"/>
      <c r="EH84" s="490"/>
      <c r="EI84" s="490"/>
      <c r="EJ84" s="490"/>
      <c r="EK84" s="490"/>
      <c r="EL84" s="490"/>
      <c r="EM84" s="490"/>
      <c r="EN84" s="490"/>
      <c r="EO84" s="490"/>
      <c r="EP84" s="490"/>
      <c r="EQ84" s="490"/>
      <c r="ER84" s="490"/>
      <c r="ES84" s="490"/>
      <c r="ET84" s="490"/>
      <c r="EU84" s="490"/>
      <c r="EV84" s="490"/>
      <c r="EW84" s="490"/>
      <c r="EX84" s="490"/>
      <c r="EY84" s="490"/>
      <c r="EZ84" s="490"/>
      <c r="FA84" s="490"/>
      <c r="FB84" s="490"/>
      <c r="FC84" s="490"/>
      <c r="FD84" s="490"/>
      <c r="FE84" s="490"/>
      <c r="FF84" s="490"/>
      <c r="FG84" s="490"/>
      <c r="FH84" s="490"/>
      <c r="FI84" s="490"/>
      <c r="FJ84" s="490"/>
      <c r="FK84" s="490"/>
      <c r="FL84" s="490"/>
      <c r="FM84" s="490"/>
      <c r="FN84" s="490"/>
    </row>
    <row r="85" s="492" customFormat="1" spans="1:170">
      <c r="A85" s="519"/>
      <c r="B85" s="509"/>
      <c r="C85" s="520"/>
      <c r="D85" s="509"/>
      <c r="E85" s="509"/>
      <c r="F85" s="515" t="s">
        <v>131</v>
      </c>
      <c r="G85" s="542">
        <v>1.16</v>
      </c>
      <c r="H85" s="542">
        <v>0.5</v>
      </c>
      <c r="I85" s="541" t="s">
        <v>22</v>
      </c>
      <c r="J85" s="542">
        <v>1.9</v>
      </c>
      <c r="K85" s="543"/>
      <c r="L85" s="543"/>
      <c r="M85" s="490"/>
      <c r="N85" s="490"/>
      <c r="O85" s="490"/>
      <c r="P85" s="490"/>
      <c r="Q85" s="490"/>
      <c r="R85" s="490"/>
      <c r="S85" s="490"/>
      <c r="T85" s="490"/>
      <c r="U85" s="490"/>
      <c r="V85" s="490"/>
      <c r="W85" s="490"/>
      <c r="X85" s="490"/>
      <c r="Y85" s="490"/>
      <c r="Z85" s="490"/>
      <c r="AA85" s="490"/>
      <c r="AB85" s="490"/>
      <c r="AC85" s="490"/>
      <c r="AD85" s="490"/>
      <c r="AE85" s="490"/>
      <c r="AF85" s="490"/>
      <c r="AG85" s="490"/>
      <c r="AH85" s="490"/>
      <c r="AI85" s="490"/>
      <c r="AJ85" s="490"/>
      <c r="AK85" s="490"/>
      <c r="AL85" s="490"/>
      <c r="AM85" s="490"/>
      <c r="AN85" s="490"/>
      <c r="AO85" s="490"/>
      <c r="AP85" s="490"/>
      <c r="AQ85" s="490"/>
      <c r="AR85" s="490"/>
      <c r="AS85" s="490"/>
      <c r="AT85" s="490"/>
      <c r="AU85" s="490"/>
      <c r="AV85" s="490"/>
      <c r="AW85" s="490"/>
      <c r="AX85" s="490"/>
      <c r="AY85" s="490"/>
      <c r="AZ85" s="490"/>
      <c r="BA85" s="490"/>
      <c r="BB85" s="490"/>
      <c r="BC85" s="490"/>
      <c r="BD85" s="490"/>
      <c r="BE85" s="490"/>
      <c r="BF85" s="490"/>
      <c r="BG85" s="490"/>
      <c r="BH85" s="490"/>
      <c r="BI85" s="490"/>
      <c r="BJ85" s="490"/>
      <c r="BK85" s="490"/>
      <c r="BL85" s="490"/>
      <c r="BM85" s="490"/>
      <c r="BN85" s="490"/>
      <c r="BO85" s="490"/>
      <c r="BP85" s="490"/>
      <c r="BQ85" s="490"/>
      <c r="BR85" s="490"/>
      <c r="BS85" s="490"/>
      <c r="BT85" s="490"/>
      <c r="BU85" s="490"/>
      <c r="BV85" s="490"/>
      <c r="BW85" s="490"/>
      <c r="BX85" s="490"/>
      <c r="BY85" s="490"/>
      <c r="BZ85" s="490"/>
      <c r="CA85" s="490"/>
      <c r="CB85" s="490"/>
      <c r="CC85" s="490"/>
      <c r="CD85" s="490"/>
      <c r="CE85" s="490"/>
      <c r="CF85" s="490"/>
      <c r="CG85" s="490"/>
      <c r="CH85" s="490"/>
      <c r="CI85" s="490"/>
      <c r="CJ85" s="490"/>
      <c r="CK85" s="490"/>
      <c r="CL85" s="490"/>
      <c r="CM85" s="490"/>
      <c r="CN85" s="490"/>
      <c r="CO85" s="490"/>
      <c r="CP85" s="490"/>
      <c r="CQ85" s="490"/>
      <c r="CR85" s="490"/>
      <c r="CS85" s="490"/>
      <c r="CT85" s="490"/>
      <c r="CU85" s="490"/>
      <c r="CV85" s="490"/>
      <c r="CW85" s="490"/>
      <c r="CX85" s="490"/>
      <c r="CY85" s="490"/>
      <c r="CZ85" s="490"/>
      <c r="DA85" s="490"/>
      <c r="DB85" s="490"/>
      <c r="DC85" s="490"/>
      <c r="DD85" s="490"/>
      <c r="DE85" s="490"/>
      <c r="DF85" s="490"/>
      <c r="DG85" s="490"/>
      <c r="DH85" s="490"/>
      <c r="DI85" s="490"/>
      <c r="DJ85" s="490"/>
      <c r="DK85" s="490"/>
      <c r="DL85" s="490"/>
      <c r="DM85" s="490"/>
      <c r="DN85" s="490"/>
      <c r="DO85" s="490"/>
      <c r="DP85" s="490"/>
      <c r="DQ85" s="490"/>
      <c r="DR85" s="490"/>
      <c r="DS85" s="490"/>
      <c r="DT85" s="490"/>
      <c r="DU85" s="490"/>
      <c r="DV85" s="490"/>
      <c r="DW85" s="490"/>
      <c r="DX85" s="490"/>
      <c r="DY85" s="490"/>
      <c r="DZ85" s="490"/>
      <c r="EA85" s="490"/>
      <c r="EB85" s="490"/>
      <c r="EC85" s="490"/>
      <c r="ED85" s="490"/>
      <c r="EE85" s="490"/>
      <c r="EF85" s="490"/>
      <c r="EG85" s="490"/>
      <c r="EH85" s="490"/>
      <c r="EI85" s="490"/>
      <c r="EJ85" s="490"/>
      <c r="EK85" s="490"/>
      <c r="EL85" s="490"/>
      <c r="EM85" s="490"/>
      <c r="EN85" s="490"/>
      <c r="EO85" s="490"/>
      <c r="EP85" s="490"/>
      <c r="EQ85" s="490"/>
      <c r="ER85" s="490"/>
      <c r="ES85" s="490"/>
      <c r="ET85" s="490"/>
      <c r="EU85" s="490"/>
      <c r="EV85" s="490"/>
      <c r="EW85" s="490"/>
      <c r="EX85" s="490"/>
      <c r="EY85" s="490"/>
      <c r="EZ85" s="490"/>
      <c r="FA85" s="490"/>
      <c r="FB85" s="490"/>
      <c r="FC85" s="490"/>
      <c r="FD85" s="490"/>
      <c r="FE85" s="490"/>
      <c r="FF85" s="490"/>
      <c r="FG85" s="490"/>
      <c r="FH85" s="490"/>
      <c r="FI85" s="490"/>
      <c r="FJ85" s="490"/>
      <c r="FK85" s="490"/>
      <c r="FL85" s="490"/>
      <c r="FM85" s="490"/>
      <c r="FN85" s="490"/>
    </row>
    <row r="86" s="492" customFormat="1" spans="1:170">
      <c r="A86" s="519"/>
      <c r="B86" s="509"/>
      <c r="C86" s="520"/>
      <c r="D86" s="509"/>
      <c r="E86" s="509"/>
      <c r="F86" s="515" t="s">
        <v>91</v>
      </c>
      <c r="G86" s="542">
        <v>1.75</v>
      </c>
      <c r="H86" s="542">
        <v>0.6</v>
      </c>
      <c r="I86" s="541" t="s">
        <v>24</v>
      </c>
      <c r="J86" s="541" t="s">
        <v>24</v>
      </c>
      <c r="K86" s="543"/>
      <c r="L86" s="543"/>
      <c r="M86" s="490"/>
      <c r="N86" s="490"/>
      <c r="O86" s="490"/>
      <c r="P86" s="490"/>
      <c r="Q86" s="490"/>
      <c r="R86" s="490"/>
      <c r="S86" s="490"/>
      <c r="T86" s="490"/>
      <c r="U86" s="490"/>
      <c r="V86" s="490"/>
      <c r="W86" s="490"/>
      <c r="X86" s="490"/>
      <c r="Y86" s="490"/>
      <c r="Z86" s="490"/>
      <c r="AA86" s="490"/>
      <c r="AB86" s="490"/>
      <c r="AC86" s="490"/>
      <c r="AD86" s="490"/>
      <c r="AE86" s="490"/>
      <c r="AF86" s="490"/>
      <c r="AG86" s="490"/>
      <c r="AH86" s="490"/>
      <c r="AI86" s="490"/>
      <c r="AJ86" s="490"/>
      <c r="AK86" s="490"/>
      <c r="AL86" s="490"/>
      <c r="AM86" s="490"/>
      <c r="AN86" s="490"/>
      <c r="AO86" s="490"/>
      <c r="AP86" s="490"/>
      <c r="AQ86" s="490"/>
      <c r="AR86" s="490"/>
      <c r="AS86" s="490"/>
      <c r="AT86" s="490"/>
      <c r="AU86" s="490"/>
      <c r="AV86" s="490"/>
      <c r="AW86" s="490"/>
      <c r="AX86" s="490"/>
      <c r="AY86" s="490"/>
      <c r="AZ86" s="490"/>
      <c r="BA86" s="490"/>
      <c r="BB86" s="490"/>
      <c r="BC86" s="490"/>
      <c r="BD86" s="490"/>
      <c r="BE86" s="490"/>
      <c r="BF86" s="490"/>
      <c r="BG86" s="490"/>
      <c r="BH86" s="490"/>
      <c r="BI86" s="490"/>
      <c r="BJ86" s="490"/>
      <c r="BK86" s="490"/>
      <c r="BL86" s="490"/>
      <c r="BM86" s="490"/>
      <c r="BN86" s="490"/>
      <c r="BO86" s="490"/>
      <c r="BP86" s="490"/>
      <c r="BQ86" s="490"/>
      <c r="BR86" s="490"/>
      <c r="BS86" s="490"/>
      <c r="BT86" s="490"/>
      <c r="BU86" s="490"/>
      <c r="BV86" s="490"/>
      <c r="BW86" s="490"/>
      <c r="BX86" s="490"/>
      <c r="BY86" s="490"/>
      <c r="BZ86" s="490"/>
      <c r="CA86" s="490"/>
      <c r="CB86" s="490"/>
      <c r="CC86" s="490"/>
      <c r="CD86" s="490"/>
      <c r="CE86" s="490"/>
      <c r="CF86" s="490"/>
      <c r="CG86" s="490"/>
      <c r="CH86" s="490"/>
      <c r="CI86" s="490"/>
      <c r="CJ86" s="490"/>
      <c r="CK86" s="490"/>
      <c r="CL86" s="490"/>
      <c r="CM86" s="490"/>
      <c r="CN86" s="490"/>
      <c r="CO86" s="490"/>
      <c r="CP86" s="490"/>
      <c r="CQ86" s="490"/>
      <c r="CR86" s="490"/>
      <c r="CS86" s="490"/>
      <c r="CT86" s="490"/>
      <c r="CU86" s="490"/>
      <c r="CV86" s="490"/>
      <c r="CW86" s="490"/>
      <c r="CX86" s="490"/>
      <c r="CY86" s="490"/>
      <c r="CZ86" s="490"/>
      <c r="DA86" s="490"/>
      <c r="DB86" s="490"/>
      <c r="DC86" s="490"/>
      <c r="DD86" s="490"/>
      <c r="DE86" s="490"/>
      <c r="DF86" s="490"/>
      <c r="DG86" s="490"/>
      <c r="DH86" s="490"/>
      <c r="DI86" s="490"/>
      <c r="DJ86" s="490"/>
      <c r="DK86" s="490"/>
      <c r="DL86" s="490"/>
      <c r="DM86" s="490"/>
      <c r="DN86" s="490"/>
      <c r="DO86" s="490"/>
      <c r="DP86" s="490"/>
      <c r="DQ86" s="490"/>
      <c r="DR86" s="490"/>
      <c r="DS86" s="490"/>
      <c r="DT86" s="490"/>
      <c r="DU86" s="490"/>
      <c r="DV86" s="490"/>
      <c r="DW86" s="490"/>
      <c r="DX86" s="490"/>
      <c r="DY86" s="490"/>
      <c r="DZ86" s="490"/>
      <c r="EA86" s="490"/>
      <c r="EB86" s="490"/>
      <c r="EC86" s="490"/>
      <c r="ED86" s="490"/>
      <c r="EE86" s="490"/>
      <c r="EF86" s="490"/>
      <c r="EG86" s="490"/>
      <c r="EH86" s="490"/>
      <c r="EI86" s="490"/>
      <c r="EJ86" s="490"/>
      <c r="EK86" s="490"/>
      <c r="EL86" s="490"/>
      <c r="EM86" s="490"/>
      <c r="EN86" s="490"/>
      <c r="EO86" s="490"/>
      <c r="EP86" s="490"/>
      <c r="EQ86" s="490"/>
      <c r="ER86" s="490"/>
      <c r="ES86" s="490"/>
      <c r="ET86" s="490"/>
      <c r="EU86" s="490"/>
      <c r="EV86" s="490"/>
      <c r="EW86" s="490"/>
      <c r="EX86" s="490"/>
      <c r="EY86" s="490"/>
      <c r="EZ86" s="490"/>
      <c r="FA86" s="490"/>
      <c r="FB86" s="490"/>
      <c r="FC86" s="490"/>
      <c r="FD86" s="490"/>
      <c r="FE86" s="490"/>
      <c r="FF86" s="490"/>
      <c r="FG86" s="490"/>
      <c r="FH86" s="490"/>
      <c r="FI86" s="490"/>
      <c r="FJ86" s="490"/>
      <c r="FK86" s="490"/>
      <c r="FL86" s="490"/>
      <c r="FM86" s="490"/>
      <c r="FN86" s="490"/>
    </row>
    <row r="87" s="492" customFormat="1" spans="1:170">
      <c r="A87" s="519">
        <v>46052</v>
      </c>
      <c r="B87" s="509" t="s">
        <v>730</v>
      </c>
      <c r="C87" s="520">
        <v>10</v>
      </c>
      <c r="D87" s="509" t="s">
        <v>51</v>
      </c>
      <c r="E87" s="509" t="s">
        <v>66</v>
      </c>
      <c r="F87" s="515" t="s">
        <v>73</v>
      </c>
      <c r="G87" s="542">
        <v>0.99</v>
      </c>
      <c r="H87" s="542">
        <v>9</v>
      </c>
      <c r="I87" s="541" t="s">
        <v>17</v>
      </c>
      <c r="J87" s="542">
        <v>1.8</v>
      </c>
      <c r="K87" s="500" t="s">
        <v>731</v>
      </c>
      <c r="L87" s="500" t="s">
        <v>732</v>
      </c>
      <c r="M87" s="490"/>
      <c r="N87" s="490"/>
      <c r="O87" s="490"/>
      <c r="P87" s="490"/>
      <c r="Q87" s="490"/>
      <c r="R87" s="490"/>
      <c r="S87" s="490"/>
      <c r="T87" s="490"/>
      <c r="U87" s="490"/>
      <c r="V87" s="490"/>
      <c r="W87" s="490"/>
      <c r="X87" s="490"/>
      <c r="Y87" s="490"/>
      <c r="Z87" s="490"/>
      <c r="AA87" s="490"/>
      <c r="AB87" s="490"/>
      <c r="AC87" s="490"/>
      <c r="AD87" s="490"/>
      <c r="AE87" s="490"/>
      <c r="AF87" s="490"/>
      <c r="AG87" s="490"/>
      <c r="AH87" s="490"/>
      <c r="AI87" s="490"/>
      <c r="AJ87" s="490"/>
      <c r="AK87" s="490"/>
      <c r="AL87" s="490"/>
      <c r="AM87" s="490"/>
      <c r="AN87" s="490"/>
      <c r="AO87" s="490"/>
      <c r="AP87" s="490"/>
      <c r="AQ87" s="490"/>
      <c r="AR87" s="490"/>
      <c r="AS87" s="490"/>
      <c r="AT87" s="490"/>
      <c r="AU87" s="490"/>
      <c r="AV87" s="490"/>
      <c r="AW87" s="490"/>
      <c r="AX87" s="490"/>
      <c r="AY87" s="490"/>
      <c r="AZ87" s="490"/>
      <c r="BA87" s="490"/>
      <c r="BB87" s="490"/>
      <c r="BC87" s="490"/>
      <c r="BD87" s="490"/>
      <c r="BE87" s="490"/>
      <c r="BF87" s="490"/>
      <c r="BG87" s="490"/>
      <c r="BH87" s="490"/>
      <c r="BI87" s="490"/>
      <c r="BJ87" s="490"/>
      <c r="BK87" s="490"/>
      <c r="BL87" s="490"/>
      <c r="BM87" s="490"/>
      <c r="BN87" s="490"/>
      <c r="BO87" s="490"/>
      <c r="BP87" s="490"/>
      <c r="BQ87" s="490"/>
      <c r="BR87" s="490"/>
      <c r="BS87" s="490"/>
      <c r="BT87" s="490"/>
      <c r="BU87" s="490"/>
      <c r="BV87" s="490"/>
      <c r="BW87" s="490"/>
      <c r="BX87" s="490"/>
      <c r="BY87" s="490"/>
      <c r="BZ87" s="490"/>
      <c r="CA87" s="490"/>
      <c r="CB87" s="490"/>
      <c r="CC87" s="490"/>
      <c r="CD87" s="490"/>
      <c r="CE87" s="490"/>
      <c r="CF87" s="490"/>
      <c r="CG87" s="490"/>
      <c r="CH87" s="490"/>
      <c r="CI87" s="490"/>
      <c r="CJ87" s="490"/>
      <c r="CK87" s="490"/>
      <c r="CL87" s="490"/>
      <c r="CM87" s="490"/>
      <c r="CN87" s="490"/>
      <c r="CO87" s="490"/>
      <c r="CP87" s="490"/>
      <c r="CQ87" s="490"/>
      <c r="CR87" s="490"/>
      <c r="CS87" s="490"/>
      <c r="CT87" s="490"/>
      <c r="CU87" s="490"/>
      <c r="CV87" s="490"/>
      <c r="CW87" s="490"/>
      <c r="CX87" s="490"/>
      <c r="CY87" s="490"/>
      <c r="CZ87" s="490"/>
      <c r="DA87" s="490"/>
      <c r="DB87" s="490"/>
      <c r="DC87" s="490"/>
      <c r="DD87" s="490"/>
      <c r="DE87" s="490"/>
      <c r="DF87" s="490"/>
      <c r="DG87" s="490"/>
      <c r="DH87" s="490"/>
      <c r="DI87" s="490"/>
      <c r="DJ87" s="490"/>
      <c r="DK87" s="490"/>
      <c r="DL87" s="490"/>
      <c r="DM87" s="490"/>
      <c r="DN87" s="490"/>
      <c r="DO87" s="490"/>
      <c r="DP87" s="490"/>
      <c r="DQ87" s="490"/>
      <c r="DR87" s="490"/>
      <c r="DS87" s="490"/>
      <c r="DT87" s="490"/>
      <c r="DU87" s="490"/>
      <c r="DV87" s="490"/>
      <c r="DW87" s="490"/>
      <c r="DX87" s="490"/>
      <c r="DY87" s="490"/>
      <c r="DZ87" s="490"/>
      <c r="EA87" s="490"/>
      <c r="EB87" s="490"/>
      <c r="EC87" s="490"/>
      <c r="ED87" s="490"/>
      <c r="EE87" s="490"/>
      <c r="EF87" s="490"/>
      <c r="EG87" s="490"/>
      <c r="EH87" s="490"/>
      <c r="EI87" s="490"/>
      <c r="EJ87" s="490"/>
      <c r="EK87" s="490"/>
      <c r="EL87" s="490"/>
      <c r="EM87" s="490"/>
      <c r="EN87" s="490"/>
      <c r="EO87" s="490"/>
      <c r="EP87" s="490"/>
      <c r="EQ87" s="490"/>
      <c r="ER87" s="490"/>
      <c r="ES87" s="490"/>
      <c r="ET87" s="490"/>
      <c r="EU87" s="490"/>
      <c r="EV87" s="490"/>
      <c r="EW87" s="490"/>
      <c r="EX87" s="490"/>
      <c r="EY87" s="490"/>
      <c r="EZ87" s="490"/>
      <c r="FA87" s="490"/>
      <c r="FB87" s="490"/>
      <c r="FC87" s="490"/>
      <c r="FD87" s="490"/>
      <c r="FE87" s="490"/>
      <c r="FF87" s="490"/>
      <c r="FG87" s="490"/>
      <c r="FH87" s="490"/>
      <c r="FI87" s="490"/>
      <c r="FJ87" s="490"/>
      <c r="FK87" s="490"/>
      <c r="FL87" s="490"/>
      <c r="FM87" s="490"/>
      <c r="FN87" s="490"/>
    </row>
    <row r="88" s="492" customFormat="1" spans="1:170">
      <c r="A88" s="519"/>
      <c r="B88" s="509"/>
      <c r="C88" s="520"/>
      <c r="D88" s="509"/>
      <c r="E88" s="509"/>
      <c r="F88" s="515" t="s">
        <v>75</v>
      </c>
      <c r="G88" s="542">
        <v>0.99</v>
      </c>
      <c r="H88" s="542">
        <v>0.3</v>
      </c>
      <c r="I88" s="541" t="s">
        <v>22</v>
      </c>
      <c r="J88" s="542">
        <v>2.05</v>
      </c>
      <c r="K88" s="500"/>
      <c r="L88" s="500"/>
      <c r="M88" s="490"/>
      <c r="N88" s="490"/>
      <c r="O88" s="490"/>
      <c r="P88" s="490"/>
      <c r="Q88" s="490"/>
      <c r="R88" s="490"/>
      <c r="S88" s="490"/>
      <c r="T88" s="490"/>
      <c r="U88" s="490"/>
      <c r="V88" s="490"/>
      <c r="W88" s="490"/>
      <c r="X88" s="490"/>
      <c r="Y88" s="490"/>
      <c r="Z88" s="490"/>
      <c r="AA88" s="490"/>
      <c r="AB88" s="490"/>
      <c r="AC88" s="490"/>
      <c r="AD88" s="490"/>
      <c r="AE88" s="490"/>
      <c r="AF88" s="490"/>
      <c r="AG88" s="490"/>
      <c r="AH88" s="490"/>
      <c r="AI88" s="490"/>
      <c r="AJ88" s="490"/>
      <c r="AK88" s="490"/>
      <c r="AL88" s="490"/>
      <c r="AM88" s="490"/>
      <c r="AN88" s="490"/>
      <c r="AO88" s="490"/>
      <c r="AP88" s="490"/>
      <c r="AQ88" s="490"/>
      <c r="AR88" s="490"/>
      <c r="AS88" s="490"/>
      <c r="AT88" s="490"/>
      <c r="AU88" s="490"/>
      <c r="AV88" s="490"/>
      <c r="AW88" s="490"/>
      <c r="AX88" s="490"/>
      <c r="AY88" s="490"/>
      <c r="AZ88" s="490"/>
      <c r="BA88" s="490"/>
      <c r="BB88" s="490"/>
      <c r="BC88" s="490"/>
      <c r="BD88" s="490"/>
      <c r="BE88" s="490"/>
      <c r="BF88" s="490"/>
      <c r="BG88" s="490"/>
      <c r="BH88" s="490"/>
      <c r="BI88" s="490"/>
      <c r="BJ88" s="490"/>
      <c r="BK88" s="490"/>
      <c r="BL88" s="490"/>
      <c r="BM88" s="490"/>
      <c r="BN88" s="490"/>
      <c r="BO88" s="490"/>
      <c r="BP88" s="490"/>
      <c r="BQ88" s="490"/>
      <c r="BR88" s="490"/>
      <c r="BS88" s="490"/>
      <c r="BT88" s="490"/>
      <c r="BU88" s="490"/>
      <c r="BV88" s="490"/>
      <c r="BW88" s="490"/>
      <c r="BX88" s="490"/>
      <c r="BY88" s="490"/>
      <c r="BZ88" s="490"/>
      <c r="CA88" s="490"/>
      <c r="CB88" s="490"/>
      <c r="CC88" s="490"/>
      <c r="CD88" s="490"/>
      <c r="CE88" s="490"/>
      <c r="CF88" s="490"/>
      <c r="CG88" s="490"/>
      <c r="CH88" s="490"/>
      <c r="CI88" s="490"/>
      <c r="CJ88" s="490"/>
      <c r="CK88" s="490"/>
      <c r="CL88" s="490"/>
      <c r="CM88" s="490"/>
      <c r="CN88" s="490"/>
      <c r="CO88" s="490"/>
      <c r="CP88" s="490"/>
      <c r="CQ88" s="490"/>
      <c r="CR88" s="490"/>
      <c r="CS88" s="490"/>
      <c r="CT88" s="490"/>
      <c r="CU88" s="490"/>
      <c r="CV88" s="490"/>
      <c r="CW88" s="490"/>
      <c r="CX88" s="490"/>
      <c r="CY88" s="490"/>
      <c r="CZ88" s="490"/>
      <c r="DA88" s="490"/>
      <c r="DB88" s="490"/>
      <c r="DC88" s="490"/>
      <c r="DD88" s="490"/>
      <c r="DE88" s="490"/>
      <c r="DF88" s="490"/>
      <c r="DG88" s="490"/>
      <c r="DH88" s="490"/>
      <c r="DI88" s="490"/>
      <c r="DJ88" s="490"/>
      <c r="DK88" s="490"/>
      <c r="DL88" s="490"/>
      <c r="DM88" s="490"/>
      <c r="DN88" s="490"/>
      <c r="DO88" s="490"/>
      <c r="DP88" s="490"/>
      <c r="DQ88" s="490"/>
      <c r="DR88" s="490"/>
      <c r="DS88" s="490"/>
      <c r="DT88" s="490"/>
      <c r="DU88" s="490"/>
      <c r="DV88" s="490"/>
      <c r="DW88" s="490"/>
      <c r="DX88" s="490"/>
      <c r="DY88" s="490"/>
      <c r="DZ88" s="490"/>
      <c r="EA88" s="490"/>
      <c r="EB88" s="490"/>
      <c r="EC88" s="490"/>
      <c r="ED88" s="490"/>
      <c r="EE88" s="490"/>
      <c r="EF88" s="490"/>
      <c r="EG88" s="490"/>
      <c r="EH88" s="490"/>
      <c r="EI88" s="490"/>
      <c r="EJ88" s="490"/>
      <c r="EK88" s="490"/>
      <c r="EL88" s="490"/>
      <c r="EM88" s="490"/>
      <c r="EN88" s="490"/>
      <c r="EO88" s="490"/>
      <c r="EP88" s="490"/>
      <c r="EQ88" s="490"/>
      <c r="ER88" s="490"/>
      <c r="ES88" s="490"/>
      <c r="ET88" s="490"/>
      <c r="EU88" s="490"/>
      <c r="EV88" s="490"/>
      <c r="EW88" s="490"/>
      <c r="EX88" s="490"/>
      <c r="EY88" s="490"/>
      <c r="EZ88" s="490"/>
      <c r="FA88" s="490"/>
      <c r="FB88" s="490"/>
      <c r="FC88" s="490"/>
      <c r="FD88" s="490"/>
      <c r="FE88" s="490"/>
      <c r="FF88" s="490"/>
      <c r="FG88" s="490"/>
      <c r="FH88" s="490"/>
      <c r="FI88" s="490"/>
      <c r="FJ88" s="490"/>
      <c r="FK88" s="490"/>
      <c r="FL88" s="490"/>
      <c r="FM88" s="490"/>
      <c r="FN88" s="490"/>
    </row>
    <row r="89" s="492" customFormat="1" spans="1:170">
      <c r="A89" s="519"/>
      <c r="B89" s="509"/>
      <c r="C89" s="520"/>
      <c r="D89" s="509"/>
      <c r="E89" s="509"/>
      <c r="F89" s="515" t="s">
        <v>99</v>
      </c>
      <c r="G89" s="542">
        <v>0.99</v>
      </c>
      <c r="H89" s="542">
        <v>0.2</v>
      </c>
      <c r="I89" s="541" t="s">
        <v>96</v>
      </c>
      <c r="J89" s="542">
        <v>3.1</v>
      </c>
      <c r="K89" s="500"/>
      <c r="L89" s="500"/>
      <c r="M89" s="490"/>
      <c r="N89" s="490"/>
      <c r="O89" s="490"/>
      <c r="P89" s="490"/>
      <c r="Q89" s="490"/>
      <c r="R89" s="490"/>
      <c r="S89" s="490"/>
      <c r="T89" s="490"/>
      <c r="U89" s="490"/>
      <c r="V89" s="490"/>
      <c r="W89" s="490"/>
      <c r="X89" s="490"/>
      <c r="Y89" s="490"/>
      <c r="Z89" s="490"/>
      <c r="AA89" s="490"/>
      <c r="AB89" s="490"/>
      <c r="AC89" s="490"/>
      <c r="AD89" s="490"/>
      <c r="AE89" s="490"/>
      <c r="AF89" s="490"/>
      <c r="AG89" s="490"/>
      <c r="AH89" s="490"/>
      <c r="AI89" s="490"/>
      <c r="AJ89" s="490"/>
      <c r="AK89" s="490"/>
      <c r="AL89" s="490"/>
      <c r="AM89" s="490"/>
      <c r="AN89" s="490"/>
      <c r="AO89" s="490"/>
      <c r="AP89" s="490"/>
      <c r="AQ89" s="490"/>
      <c r="AR89" s="490"/>
      <c r="AS89" s="490"/>
      <c r="AT89" s="490"/>
      <c r="AU89" s="490"/>
      <c r="AV89" s="490"/>
      <c r="AW89" s="490"/>
      <c r="AX89" s="490"/>
      <c r="AY89" s="490"/>
      <c r="AZ89" s="490"/>
      <c r="BA89" s="490"/>
      <c r="BB89" s="490"/>
      <c r="BC89" s="490"/>
      <c r="BD89" s="490"/>
      <c r="BE89" s="490"/>
      <c r="BF89" s="490"/>
      <c r="BG89" s="490"/>
      <c r="BH89" s="490"/>
      <c r="BI89" s="490"/>
      <c r="BJ89" s="490"/>
      <c r="BK89" s="490"/>
      <c r="BL89" s="490"/>
      <c r="BM89" s="490"/>
      <c r="BN89" s="490"/>
      <c r="BO89" s="490"/>
      <c r="BP89" s="490"/>
      <c r="BQ89" s="490"/>
      <c r="BR89" s="490"/>
      <c r="BS89" s="490"/>
      <c r="BT89" s="490"/>
      <c r="BU89" s="490"/>
      <c r="BV89" s="490"/>
      <c r="BW89" s="490"/>
      <c r="BX89" s="490"/>
      <c r="BY89" s="490"/>
      <c r="BZ89" s="490"/>
      <c r="CA89" s="490"/>
      <c r="CB89" s="490"/>
      <c r="CC89" s="490"/>
      <c r="CD89" s="490"/>
      <c r="CE89" s="490"/>
      <c r="CF89" s="490"/>
      <c r="CG89" s="490"/>
      <c r="CH89" s="490"/>
      <c r="CI89" s="490"/>
      <c r="CJ89" s="490"/>
      <c r="CK89" s="490"/>
      <c r="CL89" s="490"/>
      <c r="CM89" s="490"/>
      <c r="CN89" s="490"/>
      <c r="CO89" s="490"/>
      <c r="CP89" s="490"/>
      <c r="CQ89" s="490"/>
      <c r="CR89" s="490"/>
      <c r="CS89" s="490"/>
      <c r="CT89" s="490"/>
      <c r="CU89" s="490"/>
      <c r="CV89" s="490"/>
      <c r="CW89" s="490"/>
      <c r="CX89" s="490"/>
      <c r="CY89" s="490"/>
      <c r="CZ89" s="490"/>
      <c r="DA89" s="490"/>
      <c r="DB89" s="490"/>
      <c r="DC89" s="490"/>
      <c r="DD89" s="490"/>
      <c r="DE89" s="490"/>
      <c r="DF89" s="490"/>
      <c r="DG89" s="490"/>
      <c r="DH89" s="490"/>
      <c r="DI89" s="490"/>
      <c r="DJ89" s="490"/>
      <c r="DK89" s="490"/>
      <c r="DL89" s="490"/>
      <c r="DM89" s="490"/>
      <c r="DN89" s="490"/>
      <c r="DO89" s="490"/>
      <c r="DP89" s="490"/>
      <c r="DQ89" s="490"/>
      <c r="DR89" s="490"/>
      <c r="DS89" s="490"/>
      <c r="DT89" s="490"/>
      <c r="DU89" s="490"/>
      <c r="DV89" s="490"/>
      <c r="DW89" s="490"/>
      <c r="DX89" s="490"/>
      <c r="DY89" s="490"/>
      <c r="DZ89" s="490"/>
      <c r="EA89" s="490"/>
      <c r="EB89" s="490"/>
      <c r="EC89" s="490"/>
      <c r="ED89" s="490"/>
      <c r="EE89" s="490"/>
      <c r="EF89" s="490"/>
      <c r="EG89" s="490"/>
      <c r="EH89" s="490"/>
      <c r="EI89" s="490"/>
      <c r="EJ89" s="490"/>
      <c r="EK89" s="490"/>
      <c r="EL89" s="490"/>
      <c r="EM89" s="490"/>
      <c r="EN89" s="490"/>
      <c r="EO89" s="490"/>
      <c r="EP89" s="490"/>
      <c r="EQ89" s="490"/>
      <c r="ER89" s="490"/>
      <c r="ES89" s="490"/>
      <c r="ET89" s="490"/>
      <c r="EU89" s="490"/>
      <c r="EV89" s="490"/>
      <c r="EW89" s="490"/>
      <c r="EX89" s="490"/>
      <c r="EY89" s="490"/>
      <c r="EZ89" s="490"/>
      <c r="FA89" s="490"/>
      <c r="FB89" s="490"/>
      <c r="FC89" s="490"/>
      <c r="FD89" s="490"/>
      <c r="FE89" s="490"/>
      <c r="FF89" s="490"/>
      <c r="FG89" s="490"/>
      <c r="FH89" s="490"/>
      <c r="FI89" s="490"/>
      <c r="FJ89" s="490"/>
      <c r="FK89" s="490"/>
      <c r="FL89" s="490"/>
      <c r="FM89" s="490"/>
      <c r="FN89" s="490"/>
    </row>
    <row r="90" s="492" customFormat="1" spans="1:170">
      <c r="A90" s="519"/>
      <c r="B90" s="509"/>
      <c r="C90" s="520"/>
      <c r="D90" s="509"/>
      <c r="E90" s="509"/>
      <c r="F90" s="515" t="s">
        <v>91</v>
      </c>
      <c r="G90" s="542">
        <v>2.99</v>
      </c>
      <c r="H90" s="542">
        <v>0.5</v>
      </c>
      <c r="I90" s="541" t="s">
        <v>24</v>
      </c>
      <c r="J90" s="541" t="s">
        <v>24</v>
      </c>
      <c r="K90" s="500"/>
      <c r="L90" s="500"/>
      <c r="M90" s="490"/>
      <c r="N90" s="490"/>
      <c r="O90" s="490"/>
      <c r="P90" s="490"/>
      <c r="Q90" s="490"/>
      <c r="R90" s="490"/>
      <c r="S90" s="490"/>
      <c r="T90" s="490"/>
      <c r="U90" s="490"/>
      <c r="V90" s="490"/>
      <c r="W90" s="490"/>
      <c r="X90" s="490"/>
      <c r="Y90" s="490"/>
      <c r="Z90" s="490"/>
      <c r="AA90" s="490"/>
      <c r="AB90" s="490"/>
      <c r="AC90" s="490"/>
      <c r="AD90" s="490"/>
      <c r="AE90" s="490"/>
      <c r="AF90" s="490"/>
      <c r="AG90" s="490"/>
      <c r="AH90" s="490"/>
      <c r="AI90" s="490"/>
      <c r="AJ90" s="490"/>
      <c r="AK90" s="490"/>
      <c r="AL90" s="490"/>
      <c r="AM90" s="490"/>
      <c r="AN90" s="490"/>
      <c r="AO90" s="490"/>
      <c r="AP90" s="490"/>
      <c r="AQ90" s="490"/>
      <c r="AR90" s="490"/>
      <c r="AS90" s="490"/>
      <c r="AT90" s="490"/>
      <c r="AU90" s="490"/>
      <c r="AV90" s="490"/>
      <c r="AW90" s="490"/>
      <c r="AX90" s="490"/>
      <c r="AY90" s="490"/>
      <c r="AZ90" s="490"/>
      <c r="BA90" s="490"/>
      <c r="BB90" s="490"/>
      <c r="BC90" s="490"/>
      <c r="BD90" s="490"/>
      <c r="BE90" s="490"/>
      <c r="BF90" s="490"/>
      <c r="BG90" s="490"/>
      <c r="BH90" s="490"/>
      <c r="BI90" s="490"/>
      <c r="BJ90" s="490"/>
      <c r="BK90" s="490"/>
      <c r="BL90" s="490"/>
      <c r="BM90" s="490"/>
      <c r="BN90" s="490"/>
      <c r="BO90" s="490"/>
      <c r="BP90" s="490"/>
      <c r="BQ90" s="490"/>
      <c r="BR90" s="490"/>
      <c r="BS90" s="490"/>
      <c r="BT90" s="490"/>
      <c r="BU90" s="490"/>
      <c r="BV90" s="490"/>
      <c r="BW90" s="490"/>
      <c r="BX90" s="490"/>
      <c r="BY90" s="490"/>
      <c r="BZ90" s="490"/>
      <c r="CA90" s="490"/>
      <c r="CB90" s="490"/>
      <c r="CC90" s="490"/>
      <c r="CD90" s="490"/>
      <c r="CE90" s="490"/>
      <c r="CF90" s="490"/>
      <c r="CG90" s="490"/>
      <c r="CH90" s="490"/>
      <c r="CI90" s="490"/>
      <c r="CJ90" s="490"/>
      <c r="CK90" s="490"/>
      <c r="CL90" s="490"/>
      <c r="CM90" s="490"/>
      <c r="CN90" s="490"/>
      <c r="CO90" s="490"/>
      <c r="CP90" s="490"/>
      <c r="CQ90" s="490"/>
      <c r="CR90" s="490"/>
      <c r="CS90" s="490"/>
      <c r="CT90" s="490"/>
      <c r="CU90" s="490"/>
      <c r="CV90" s="490"/>
      <c r="CW90" s="490"/>
      <c r="CX90" s="490"/>
      <c r="CY90" s="490"/>
      <c r="CZ90" s="490"/>
      <c r="DA90" s="490"/>
      <c r="DB90" s="490"/>
      <c r="DC90" s="490"/>
      <c r="DD90" s="490"/>
      <c r="DE90" s="490"/>
      <c r="DF90" s="490"/>
      <c r="DG90" s="490"/>
      <c r="DH90" s="490"/>
      <c r="DI90" s="490"/>
      <c r="DJ90" s="490"/>
      <c r="DK90" s="490"/>
      <c r="DL90" s="490"/>
      <c r="DM90" s="490"/>
      <c r="DN90" s="490"/>
      <c r="DO90" s="490"/>
      <c r="DP90" s="490"/>
      <c r="DQ90" s="490"/>
      <c r="DR90" s="490"/>
      <c r="DS90" s="490"/>
      <c r="DT90" s="490"/>
      <c r="DU90" s="490"/>
      <c r="DV90" s="490"/>
      <c r="DW90" s="490"/>
      <c r="DX90" s="490"/>
      <c r="DY90" s="490"/>
      <c r="DZ90" s="490"/>
      <c r="EA90" s="490"/>
      <c r="EB90" s="490"/>
      <c r="EC90" s="490"/>
      <c r="ED90" s="490"/>
      <c r="EE90" s="490"/>
      <c r="EF90" s="490"/>
      <c r="EG90" s="490"/>
      <c r="EH90" s="490"/>
      <c r="EI90" s="490"/>
      <c r="EJ90" s="490"/>
      <c r="EK90" s="490"/>
      <c r="EL90" s="490"/>
      <c r="EM90" s="490"/>
      <c r="EN90" s="490"/>
      <c r="EO90" s="490"/>
      <c r="EP90" s="490"/>
      <c r="EQ90" s="490"/>
      <c r="ER90" s="490"/>
      <c r="ES90" s="490"/>
      <c r="ET90" s="490"/>
      <c r="EU90" s="490"/>
      <c r="EV90" s="490"/>
      <c r="EW90" s="490"/>
      <c r="EX90" s="490"/>
      <c r="EY90" s="490"/>
      <c r="EZ90" s="490"/>
      <c r="FA90" s="490"/>
      <c r="FB90" s="490"/>
      <c r="FC90" s="490"/>
      <c r="FD90" s="490"/>
      <c r="FE90" s="490"/>
      <c r="FF90" s="490"/>
      <c r="FG90" s="490"/>
      <c r="FH90" s="490"/>
      <c r="FI90" s="490"/>
      <c r="FJ90" s="490"/>
      <c r="FK90" s="490"/>
      <c r="FL90" s="490"/>
      <c r="FM90" s="490"/>
      <c r="FN90" s="490"/>
    </row>
    <row r="91" s="492" customFormat="1" spans="1:170">
      <c r="A91" s="519">
        <v>46058</v>
      </c>
      <c r="B91" s="509" t="s">
        <v>733</v>
      </c>
      <c r="C91" s="520">
        <v>10</v>
      </c>
      <c r="D91" s="509" t="s">
        <v>66</v>
      </c>
      <c r="E91" s="509" t="s">
        <v>66</v>
      </c>
      <c r="F91" s="515" t="s">
        <v>128</v>
      </c>
      <c r="G91" s="542">
        <v>1</v>
      </c>
      <c r="H91" s="542">
        <v>8.9</v>
      </c>
      <c r="I91" s="541" t="s">
        <v>17</v>
      </c>
      <c r="J91" s="542">
        <v>1.8</v>
      </c>
      <c r="K91" s="543" t="s">
        <v>603</v>
      </c>
      <c r="L91" s="543" t="s">
        <v>130</v>
      </c>
      <c r="M91" s="490"/>
      <c r="N91" s="490"/>
      <c r="O91" s="490"/>
      <c r="P91" s="490"/>
      <c r="Q91" s="490"/>
      <c r="R91" s="490"/>
      <c r="S91" s="490"/>
      <c r="T91" s="490"/>
      <c r="U91" s="490"/>
      <c r="V91" s="490"/>
      <c r="W91" s="490"/>
      <c r="X91" s="490"/>
      <c r="Y91" s="490"/>
      <c r="Z91" s="490"/>
      <c r="AA91" s="490"/>
      <c r="AB91" s="490"/>
      <c r="AC91" s="490"/>
      <c r="AD91" s="490"/>
      <c r="AE91" s="490"/>
      <c r="AF91" s="490"/>
      <c r="AG91" s="490"/>
      <c r="AH91" s="490"/>
      <c r="AI91" s="490"/>
      <c r="AJ91" s="490"/>
      <c r="AK91" s="490"/>
      <c r="AL91" s="490"/>
      <c r="AM91" s="490"/>
      <c r="AN91" s="490"/>
      <c r="AO91" s="490"/>
      <c r="AP91" s="490"/>
      <c r="AQ91" s="490"/>
      <c r="AR91" s="490"/>
      <c r="AS91" s="490"/>
      <c r="AT91" s="490"/>
      <c r="AU91" s="490"/>
      <c r="AV91" s="490"/>
      <c r="AW91" s="490"/>
      <c r="AX91" s="490"/>
      <c r="AY91" s="490"/>
      <c r="AZ91" s="490"/>
      <c r="BA91" s="490"/>
      <c r="BB91" s="490"/>
      <c r="BC91" s="490"/>
      <c r="BD91" s="490"/>
      <c r="BE91" s="490"/>
      <c r="BF91" s="490"/>
      <c r="BG91" s="490"/>
      <c r="BH91" s="490"/>
      <c r="BI91" s="490"/>
      <c r="BJ91" s="490"/>
      <c r="BK91" s="490"/>
      <c r="BL91" s="490"/>
      <c r="BM91" s="490"/>
      <c r="BN91" s="490"/>
      <c r="BO91" s="490"/>
      <c r="BP91" s="490"/>
      <c r="BQ91" s="490"/>
      <c r="BR91" s="490"/>
      <c r="BS91" s="490"/>
      <c r="BT91" s="490"/>
      <c r="BU91" s="490"/>
      <c r="BV91" s="490"/>
      <c r="BW91" s="490"/>
      <c r="BX91" s="490"/>
      <c r="BY91" s="490"/>
      <c r="BZ91" s="490"/>
      <c r="CA91" s="490"/>
      <c r="CB91" s="490"/>
      <c r="CC91" s="490"/>
      <c r="CD91" s="490"/>
      <c r="CE91" s="490"/>
      <c r="CF91" s="490"/>
      <c r="CG91" s="490"/>
      <c r="CH91" s="490"/>
      <c r="CI91" s="490"/>
      <c r="CJ91" s="490"/>
      <c r="CK91" s="490"/>
      <c r="CL91" s="490"/>
      <c r="CM91" s="490"/>
      <c r="CN91" s="490"/>
      <c r="CO91" s="490"/>
      <c r="CP91" s="490"/>
      <c r="CQ91" s="490"/>
      <c r="CR91" s="490"/>
      <c r="CS91" s="490"/>
      <c r="CT91" s="490"/>
      <c r="CU91" s="490"/>
      <c r="CV91" s="490"/>
      <c r="CW91" s="490"/>
      <c r="CX91" s="490"/>
      <c r="CY91" s="490"/>
      <c r="CZ91" s="490"/>
      <c r="DA91" s="490"/>
      <c r="DB91" s="490"/>
      <c r="DC91" s="490"/>
      <c r="DD91" s="490"/>
      <c r="DE91" s="490"/>
      <c r="DF91" s="490"/>
      <c r="DG91" s="490"/>
      <c r="DH91" s="490"/>
      <c r="DI91" s="490"/>
      <c r="DJ91" s="490"/>
      <c r="DK91" s="490"/>
      <c r="DL91" s="490"/>
      <c r="DM91" s="490"/>
      <c r="DN91" s="490"/>
      <c r="DO91" s="490"/>
      <c r="DP91" s="490"/>
      <c r="DQ91" s="490"/>
      <c r="DR91" s="490"/>
      <c r="DS91" s="490"/>
      <c r="DT91" s="490"/>
      <c r="DU91" s="490"/>
      <c r="DV91" s="490"/>
      <c r="DW91" s="490"/>
      <c r="DX91" s="490"/>
      <c r="DY91" s="490"/>
      <c r="DZ91" s="490"/>
      <c r="EA91" s="490"/>
      <c r="EB91" s="490"/>
      <c r="EC91" s="490"/>
      <c r="ED91" s="490"/>
      <c r="EE91" s="490"/>
      <c r="EF91" s="490"/>
      <c r="EG91" s="490"/>
      <c r="EH91" s="490"/>
      <c r="EI91" s="490"/>
      <c r="EJ91" s="490"/>
      <c r="EK91" s="490"/>
      <c r="EL91" s="490"/>
      <c r="EM91" s="490"/>
      <c r="EN91" s="490"/>
      <c r="EO91" s="490"/>
      <c r="EP91" s="490"/>
      <c r="EQ91" s="490"/>
      <c r="ER91" s="490"/>
      <c r="ES91" s="490"/>
      <c r="ET91" s="490"/>
      <c r="EU91" s="490"/>
      <c r="EV91" s="490"/>
      <c r="EW91" s="490"/>
      <c r="EX91" s="490"/>
      <c r="EY91" s="490"/>
      <c r="EZ91" s="490"/>
      <c r="FA91" s="490"/>
      <c r="FB91" s="490"/>
      <c r="FC91" s="490"/>
      <c r="FD91" s="490"/>
      <c r="FE91" s="490"/>
      <c r="FF91" s="490"/>
      <c r="FG91" s="490"/>
      <c r="FH91" s="490"/>
      <c r="FI91" s="490"/>
      <c r="FJ91" s="490"/>
      <c r="FK91" s="490"/>
      <c r="FL91" s="490"/>
      <c r="FM91" s="490"/>
      <c r="FN91" s="490"/>
    </row>
    <row r="92" s="492" customFormat="1" spans="1:170">
      <c r="A92" s="519"/>
      <c r="B92" s="509"/>
      <c r="C92" s="520"/>
      <c r="D92" s="509"/>
      <c r="E92" s="509"/>
      <c r="F92" s="515" t="s">
        <v>131</v>
      </c>
      <c r="G92" s="542">
        <v>1.16</v>
      </c>
      <c r="H92" s="542">
        <v>0.5</v>
      </c>
      <c r="I92" s="541" t="s">
        <v>22</v>
      </c>
      <c r="J92" s="542">
        <v>1.9</v>
      </c>
      <c r="K92" s="543"/>
      <c r="L92" s="543"/>
      <c r="M92" s="490"/>
      <c r="N92" s="490"/>
      <c r="O92" s="490"/>
      <c r="P92" s="490"/>
      <c r="Q92" s="490"/>
      <c r="R92" s="490"/>
      <c r="S92" s="490"/>
      <c r="T92" s="490"/>
      <c r="U92" s="490"/>
      <c r="V92" s="490"/>
      <c r="W92" s="490"/>
      <c r="X92" s="490"/>
      <c r="Y92" s="490"/>
      <c r="Z92" s="490"/>
      <c r="AA92" s="490"/>
      <c r="AB92" s="490"/>
      <c r="AC92" s="490"/>
      <c r="AD92" s="490"/>
      <c r="AE92" s="490"/>
      <c r="AF92" s="490"/>
      <c r="AG92" s="490"/>
      <c r="AH92" s="490"/>
      <c r="AI92" s="490"/>
      <c r="AJ92" s="490"/>
      <c r="AK92" s="490"/>
      <c r="AL92" s="490"/>
      <c r="AM92" s="490"/>
      <c r="AN92" s="490"/>
      <c r="AO92" s="490"/>
      <c r="AP92" s="490"/>
      <c r="AQ92" s="490"/>
      <c r="AR92" s="490"/>
      <c r="AS92" s="490"/>
      <c r="AT92" s="490"/>
      <c r="AU92" s="490"/>
      <c r="AV92" s="490"/>
      <c r="AW92" s="490"/>
      <c r="AX92" s="490"/>
      <c r="AY92" s="490"/>
      <c r="AZ92" s="490"/>
      <c r="BA92" s="490"/>
      <c r="BB92" s="490"/>
      <c r="BC92" s="490"/>
      <c r="BD92" s="490"/>
      <c r="BE92" s="490"/>
      <c r="BF92" s="490"/>
      <c r="BG92" s="490"/>
      <c r="BH92" s="490"/>
      <c r="BI92" s="490"/>
      <c r="BJ92" s="490"/>
      <c r="BK92" s="490"/>
      <c r="BL92" s="490"/>
      <c r="BM92" s="490"/>
      <c r="BN92" s="490"/>
      <c r="BO92" s="490"/>
      <c r="BP92" s="490"/>
      <c r="BQ92" s="490"/>
      <c r="BR92" s="490"/>
      <c r="BS92" s="490"/>
      <c r="BT92" s="490"/>
      <c r="BU92" s="490"/>
      <c r="BV92" s="490"/>
      <c r="BW92" s="490"/>
      <c r="BX92" s="490"/>
      <c r="BY92" s="490"/>
      <c r="BZ92" s="490"/>
      <c r="CA92" s="490"/>
      <c r="CB92" s="490"/>
      <c r="CC92" s="490"/>
      <c r="CD92" s="490"/>
      <c r="CE92" s="490"/>
      <c r="CF92" s="490"/>
      <c r="CG92" s="490"/>
      <c r="CH92" s="490"/>
      <c r="CI92" s="490"/>
      <c r="CJ92" s="490"/>
      <c r="CK92" s="490"/>
      <c r="CL92" s="490"/>
      <c r="CM92" s="490"/>
      <c r="CN92" s="490"/>
      <c r="CO92" s="490"/>
      <c r="CP92" s="490"/>
      <c r="CQ92" s="490"/>
      <c r="CR92" s="490"/>
      <c r="CS92" s="490"/>
      <c r="CT92" s="490"/>
      <c r="CU92" s="490"/>
      <c r="CV92" s="490"/>
      <c r="CW92" s="490"/>
      <c r="CX92" s="490"/>
      <c r="CY92" s="490"/>
      <c r="CZ92" s="490"/>
      <c r="DA92" s="490"/>
      <c r="DB92" s="490"/>
      <c r="DC92" s="490"/>
      <c r="DD92" s="490"/>
      <c r="DE92" s="490"/>
      <c r="DF92" s="490"/>
      <c r="DG92" s="490"/>
      <c r="DH92" s="490"/>
      <c r="DI92" s="490"/>
      <c r="DJ92" s="490"/>
      <c r="DK92" s="490"/>
      <c r="DL92" s="490"/>
      <c r="DM92" s="490"/>
      <c r="DN92" s="490"/>
      <c r="DO92" s="490"/>
      <c r="DP92" s="490"/>
      <c r="DQ92" s="490"/>
      <c r="DR92" s="490"/>
      <c r="DS92" s="490"/>
      <c r="DT92" s="490"/>
      <c r="DU92" s="490"/>
      <c r="DV92" s="490"/>
      <c r="DW92" s="490"/>
      <c r="DX92" s="490"/>
      <c r="DY92" s="490"/>
      <c r="DZ92" s="490"/>
      <c r="EA92" s="490"/>
      <c r="EB92" s="490"/>
      <c r="EC92" s="490"/>
      <c r="ED92" s="490"/>
      <c r="EE92" s="490"/>
      <c r="EF92" s="490"/>
      <c r="EG92" s="490"/>
      <c r="EH92" s="490"/>
      <c r="EI92" s="490"/>
      <c r="EJ92" s="490"/>
      <c r="EK92" s="490"/>
      <c r="EL92" s="490"/>
      <c r="EM92" s="490"/>
      <c r="EN92" s="490"/>
      <c r="EO92" s="490"/>
      <c r="EP92" s="490"/>
      <c r="EQ92" s="490"/>
      <c r="ER92" s="490"/>
      <c r="ES92" s="490"/>
      <c r="ET92" s="490"/>
      <c r="EU92" s="490"/>
      <c r="EV92" s="490"/>
      <c r="EW92" s="490"/>
      <c r="EX92" s="490"/>
      <c r="EY92" s="490"/>
      <c r="EZ92" s="490"/>
      <c r="FA92" s="490"/>
      <c r="FB92" s="490"/>
      <c r="FC92" s="490"/>
      <c r="FD92" s="490"/>
      <c r="FE92" s="490"/>
      <c r="FF92" s="490"/>
      <c r="FG92" s="490"/>
      <c r="FH92" s="490"/>
      <c r="FI92" s="490"/>
      <c r="FJ92" s="490"/>
      <c r="FK92" s="490"/>
      <c r="FL92" s="490"/>
      <c r="FM92" s="490"/>
      <c r="FN92" s="490"/>
    </row>
    <row r="93" s="492" customFormat="1" spans="1:170">
      <c r="A93" s="519"/>
      <c r="B93" s="509"/>
      <c r="C93" s="520"/>
      <c r="D93" s="509"/>
      <c r="E93" s="509"/>
      <c r="F93" s="515" t="s">
        <v>91</v>
      </c>
      <c r="G93" s="542">
        <v>1.75</v>
      </c>
      <c r="H93" s="542">
        <v>0.6</v>
      </c>
      <c r="I93" s="541" t="s">
        <v>24</v>
      </c>
      <c r="J93" s="542" t="s">
        <v>24</v>
      </c>
      <c r="K93" s="543"/>
      <c r="L93" s="543"/>
      <c r="M93" s="490"/>
      <c r="N93" s="490"/>
      <c r="O93" s="490"/>
      <c r="P93" s="490"/>
      <c r="Q93" s="490"/>
      <c r="R93" s="490"/>
      <c r="S93" s="490"/>
      <c r="T93" s="490"/>
      <c r="U93" s="490"/>
      <c r="V93" s="490"/>
      <c r="W93" s="490"/>
      <c r="X93" s="490"/>
      <c r="Y93" s="490"/>
      <c r="Z93" s="490"/>
      <c r="AA93" s="490"/>
      <c r="AB93" s="490"/>
      <c r="AC93" s="490"/>
      <c r="AD93" s="490"/>
      <c r="AE93" s="490"/>
      <c r="AF93" s="490"/>
      <c r="AG93" s="490"/>
      <c r="AH93" s="490"/>
      <c r="AI93" s="490"/>
      <c r="AJ93" s="490"/>
      <c r="AK93" s="490"/>
      <c r="AL93" s="490"/>
      <c r="AM93" s="490"/>
      <c r="AN93" s="490"/>
      <c r="AO93" s="490"/>
      <c r="AP93" s="490"/>
      <c r="AQ93" s="490"/>
      <c r="AR93" s="490"/>
      <c r="AS93" s="490"/>
      <c r="AT93" s="490"/>
      <c r="AU93" s="490"/>
      <c r="AV93" s="490"/>
      <c r="AW93" s="490"/>
      <c r="AX93" s="490"/>
      <c r="AY93" s="490"/>
      <c r="AZ93" s="490"/>
      <c r="BA93" s="490"/>
      <c r="BB93" s="490"/>
      <c r="BC93" s="490"/>
      <c r="BD93" s="490"/>
      <c r="BE93" s="490"/>
      <c r="BF93" s="490"/>
      <c r="BG93" s="490"/>
      <c r="BH93" s="490"/>
      <c r="BI93" s="490"/>
      <c r="BJ93" s="490"/>
      <c r="BK93" s="490"/>
      <c r="BL93" s="490"/>
      <c r="BM93" s="490"/>
      <c r="BN93" s="490"/>
      <c r="BO93" s="490"/>
      <c r="BP93" s="490"/>
      <c r="BQ93" s="490"/>
      <c r="BR93" s="490"/>
      <c r="BS93" s="490"/>
      <c r="BT93" s="490"/>
      <c r="BU93" s="490"/>
      <c r="BV93" s="490"/>
      <c r="BW93" s="490"/>
      <c r="BX93" s="490"/>
      <c r="BY93" s="490"/>
      <c r="BZ93" s="490"/>
      <c r="CA93" s="490"/>
      <c r="CB93" s="490"/>
      <c r="CC93" s="490"/>
      <c r="CD93" s="490"/>
      <c r="CE93" s="490"/>
      <c r="CF93" s="490"/>
      <c r="CG93" s="490"/>
      <c r="CH93" s="490"/>
      <c r="CI93" s="490"/>
      <c r="CJ93" s="490"/>
      <c r="CK93" s="490"/>
      <c r="CL93" s="490"/>
      <c r="CM93" s="490"/>
      <c r="CN93" s="490"/>
      <c r="CO93" s="490"/>
      <c r="CP93" s="490"/>
      <c r="CQ93" s="490"/>
      <c r="CR93" s="490"/>
      <c r="CS93" s="490"/>
      <c r="CT93" s="490"/>
      <c r="CU93" s="490"/>
      <c r="CV93" s="490"/>
      <c r="CW93" s="490"/>
      <c r="CX93" s="490"/>
      <c r="CY93" s="490"/>
      <c r="CZ93" s="490"/>
      <c r="DA93" s="490"/>
      <c r="DB93" s="490"/>
      <c r="DC93" s="490"/>
      <c r="DD93" s="490"/>
      <c r="DE93" s="490"/>
      <c r="DF93" s="490"/>
      <c r="DG93" s="490"/>
      <c r="DH93" s="490"/>
      <c r="DI93" s="490"/>
      <c r="DJ93" s="490"/>
      <c r="DK93" s="490"/>
      <c r="DL93" s="490"/>
      <c r="DM93" s="490"/>
      <c r="DN93" s="490"/>
      <c r="DO93" s="490"/>
      <c r="DP93" s="490"/>
      <c r="DQ93" s="490"/>
      <c r="DR93" s="490"/>
      <c r="DS93" s="490"/>
      <c r="DT93" s="490"/>
      <c r="DU93" s="490"/>
      <c r="DV93" s="490"/>
      <c r="DW93" s="490"/>
      <c r="DX93" s="490"/>
      <c r="DY93" s="490"/>
      <c r="DZ93" s="490"/>
      <c r="EA93" s="490"/>
      <c r="EB93" s="490"/>
      <c r="EC93" s="490"/>
      <c r="ED93" s="490"/>
      <c r="EE93" s="490"/>
      <c r="EF93" s="490"/>
      <c r="EG93" s="490"/>
      <c r="EH93" s="490"/>
      <c r="EI93" s="490"/>
      <c r="EJ93" s="490"/>
      <c r="EK93" s="490"/>
      <c r="EL93" s="490"/>
      <c r="EM93" s="490"/>
      <c r="EN93" s="490"/>
      <c r="EO93" s="490"/>
      <c r="EP93" s="490"/>
      <c r="EQ93" s="490"/>
      <c r="ER93" s="490"/>
      <c r="ES93" s="490"/>
      <c r="ET93" s="490"/>
      <c r="EU93" s="490"/>
      <c r="EV93" s="490"/>
      <c r="EW93" s="490"/>
      <c r="EX93" s="490"/>
      <c r="EY93" s="490"/>
      <c r="EZ93" s="490"/>
      <c r="FA93" s="490"/>
      <c r="FB93" s="490"/>
      <c r="FC93" s="490"/>
      <c r="FD93" s="490"/>
      <c r="FE93" s="490"/>
      <c r="FF93" s="490"/>
      <c r="FG93" s="490"/>
      <c r="FH93" s="490"/>
      <c r="FI93" s="490"/>
      <c r="FJ93" s="490"/>
      <c r="FK93" s="490"/>
      <c r="FL93" s="490"/>
      <c r="FM93" s="490"/>
      <c r="FN93" s="490"/>
    </row>
    <row r="94" s="492" customFormat="1" spans="1:170">
      <c r="A94" s="519">
        <v>46058</v>
      </c>
      <c r="B94" s="509" t="s">
        <v>734</v>
      </c>
      <c r="C94" s="520">
        <v>7.52</v>
      </c>
      <c r="D94" s="509" t="s">
        <v>66</v>
      </c>
      <c r="E94" s="509" t="s">
        <v>14</v>
      </c>
      <c r="F94" s="515" t="s">
        <v>73</v>
      </c>
      <c r="G94" s="542">
        <v>1.05</v>
      </c>
      <c r="H94" s="542">
        <v>7.04</v>
      </c>
      <c r="I94" s="541" t="s">
        <v>17</v>
      </c>
      <c r="J94" s="542">
        <v>1.85</v>
      </c>
      <c r="K94" s="543" t="s">
        <v>630</v>
      </c>
      <c r="L94" s="543" t="s">
        <v>95</v>
      </c>
      <c r="M94" s="490"/>
      <c r="N94" s="490"/>
      <c r="O94" s="490"/>
      <c r="P94" s="490"/>
      <c r="Q94" s="490"/>
      <c r="R94" s="490"/>
      <c r="S94" s="490"/>
      <c r="T94" s="490"/>
      <c r="U94" s="490"/>
      <c r="V94" s="490"/>
      <c r="W94" s="490"/>
      <c r="X94" s="490"/>
      <c r="Y94" s="490"/>
      <c r="Z94" s="490"/>
      <c r="AA94" s="490"/>
      <c r="AB94" s="490"/>
      <c r="AC94" s="490"/>
      <c r="AD94" s="490"/>
      <c r="AE94" s="490"/>
      <c r="AF94" s="490"/>
      <c r="AG94" s="490"/>
      <c r="AH94" s="490"/>
      <c r="AI94" s="490"/>
      <c r="AJ94" s="490"/>
      <c r="AK94" s="490"/>
      <c r="AL94" s="490"/>
      <c r="AM94" s="490"/>
      <c r="AN94" s="490"/>
      <c r="AO94" s="490"/>
      <c r="AP94" s="490"/>
      <c r="AQ94" s="490"/>
      <c r="AR94" s="490"/>
      <c r="AS94" s="490"/>
      <c r="AT94" s="490"/>
      <c r="AU94" s="490"/>
      <c r="AV94" s="490"/>
      <c r="AW94" s="490"/>
      <c r="AX94" s="490"/>
      <c r="AY94" s="490"/>
      <c r="AZ94" s="490"/>
      <c r="BA94" s="490"/>
      <c r="BB94" s="490"/>
      <c r="BC94" s="490"/>
      <c r="BD94" s="490"/>
      <c r="BE94" s="490"/>
      <c r="BF94" s="490"/>
      <c r="BG94" s="490"/>
      <c r="BH94" s="490"/>
      <c r="BI94" s="490"/>
      <c r="BJ94" s="490"/>
      <c r="BK94" s="490"/>
      <c r="BL94" s="490"/>
      <c r="BM94" s="490"/>
      <c r="BN94" s="490"/>
      <c r="BO94" s="490"/>
      <c r="BP94" s="490"/>
      <c r="BQ94" s="490"/>
      <c r="BR94" s="490"/>
      <c r="BS94" s="490"/>
      <c r="BT94" s="490"/>
      <c r="BU94" s="490"/>
      <c r="BV94" s="490"/>
      <c r="BW94" s="490"/>
      <c r="BX94" s="490"/>
      <c r="BY94" s="490"/>
      <c r="BZ94" s="490"/>
      <c r="CA94" s="490"/>
      <c r="CB94" s="490"/>
      <c r="CC94" s="490"/>
      <c r="CD94" s="490"/>
      <c r="CE94" s="490"/>
      <c r="CF94" s="490"/>
      <c r="CG94" s="490"/>
      <c r="CH94" s="490"/>
      <c r="CI94" s="490"/>
      <c r="CJ94" s="490"/>
      <c r="CK94" s="490"/>
      <c r="CL94" s="490"/>
      <c r="CM94" s="490"/>
      <c r="CN94" s="490"/>
      <c r="CO94" s="490"/>
      <c r="CP94" s="490"/>
      <c r="CQ94" s="490"/>
      <c r="CR94" s="490"/>
      <c r="CS94" s="490"/>
      <c r="CT94" s="490"/>
      <c r="CU94" s="490"/>
      <c r="CV94" s="490"/>
      <c r="CW94" s="490"/>
      <c r="CX94" s="490"/>
      <c r="CY94" s="490"/>
      <c r="CZ94" s="490"/>
      <c r="DA94" s="490"/>
      <c r="DB94" s="490"/>
      <c r="DC94" s="490"/>
      <c r="DD94" s="490"/>
      <c r="DE94" s="490"/>
      <c r="DF94" s="490"/>
      <c r="DG94" s="490"/>
      <c r="DH94" s="490"/>
      <c r="DI94" s="490"/>
      <c r="DJ94" s="490"/>
      <c r="DK94" s="490"/>
      <c r="DL94" s="490"/>
      <c r="DM94" s="490"/>
      <c r="DN94" s="490"/>
      <c r="DO94" s="490"/>
      <c r="DP94" s="490"/>
      <c r="DQ94" s="490"/>
      <c r="DR94" s="490"/>
      <c r="DS94" s="490"/>
      <c r="DT94" s="490"/>
      <c r="DU94" s="490"/>
      <c r="DV94" s="490"/>
      <c r="DW94" s="490"/>
      <c r="DX94" s="490"/>
      <c r="DY94" s="490"/>
      <c r="DZ94" s="490"/>
      <c r="EA94" s="490"/>
      <c r="EB94" s="490"/>
      <c r="EC94" s="490"/>
      <c r="ED94" s="490"/>
      <c r="EE94" s="490"/>
      <c r="EF94" s="490"/>
      <c r="EG94" s="490"/>
      <c r="EH94" s="490"/>
      <c r="EI94" s="490"/>
      <c r="EJ94" s="490"/>
      <c r="EK94" s="490"/>
      <c r="EL94" s="490"/>
      <c r="EM94" s="490"/>
      <c r="EN94" s="490"/>
      <c r="EO94" s="490"/>
      <c r="EP94" s="490"/>
      <c r="EQ94" s="490"/>
      <c r="ER94" s="490"/>
      <c r="ES94" s="490"/>
      <c r="ET94" s="490"/>
      <c r="EU94" s="490"/>
      <c r="EV94" s="490"/>
      <c r="EW94" s="490"/>
      <c r="EX94" s="490"/>
      <c r="EY94" s="490"/>
      <c r="EZ94" s="490"/>
      <c r="FA94" s="490"/>
      <c r="FB94" s="490"/>
      <c r="FC94" s="490"/>
      <c r="FD94" s="490"/>
      <c r="FE94" s="490"/>
      <c r="FF94" s="490"/>
      <c r="FG94" s="490"/>
      <c r="FH94" s="490"/>
      <c r="FI94" s="490"/>
      <c r="FJ94" s="490"/>
      <c r="FK94" s="490"/>
      <c r="FL94" s="490"/>
      <c r="FM94" s="490"/>
      <c r="FN94" s="490"/>
    </row>
    <row r="95" s="492" customFormat="1" spans="1:170">
      <c r="A95" s="519"/>
      <c r="B95" s="509"/>
      <c r="C95" s="520"/>
      <c r="D95" s="509"/>
      <c r="E95" s="509"/>
      <c r="F95" s="515" t="s">
        <v>75</v>
      </c>
      <c r="G95" s="542">
        <v>1.05</v>
      </c>
      <c r="H95" s="542">
        <v>0.48</v>
      </c>
      <c r="I95" s="541" t="s">
        <v>22</v>
      </c>
      <c r="J95" s="542">
        <v>1.95</v>
      </c>
      <c r="K95" s="543"/>
      <c r="L95" s="543"/>
      <c r="M95" s="490"/>
      <c r="N95" s="490"/>
      <c r="O95" s="490"/>
      <c r="P95" s="490"/>
      <c r="Q95" s="490"/>
      <c r="R95" s="490"/>
      <c r="S95" s="490"/>
      <c r="T95" s="490"/>
      <c r="U95" s="490"/>
      <c r="V95" s="490"/>
      <c r="W95" s="490"/>
      <c r="X95" s="490"/>
      <c r="Y95" s="490"/>
      <c r="Z95" s="490"/>
      <c r="AA95" s="490"/>
      <c r="AB95" s="490"/>
      <c r="AC95" s="490"/>
      <c r="AD95" s="490"/>
      <c r="AE95" s="490"/>
      <c r="AF95" s="490"/>
      <c r="AG95" s="490"/>
      <c r="AH95" s="490"/>
      <c r="AI95" s="490"/>
      <c r="AJ95" s="490"/>
      <c r="AK95" s="490"/>
      <c r="AL95" s="490"/>
      <c r="AM95" s="490"/>
      <c r="AN95" s="490"/>
      <c r="AO95" s="490"/>
      <c r="AP95" s="490"/>
      <c r="AQ95" s="490"/>
      <c r="AR95" s="490"/>
      <c r="AS95" s="490"/>
      <c r="AT95" s="490"/>
      <c r="AU95" s="490"/>
      <c r="AV95" s="490"/>
      <c r="AW95" s="490"/>
      <c r="AX95" s="490"/>
      <c r="AY95" s="490"/>
      <c r="AZ95" s="490"/>
      <c r="BA95" s="490"/>
      <c r="BB95" s="490"/>
      <c r="BC95" s="490"/>
      <c r="BD95" s="490"/>
      <c r="BE95" s="490"/>
      <c r="BF95" s="490"/>
      <c r="BG95" s="490"/>
      <c r="BH95" s="490"/>
      <c r="BI95" s="490"/>
      <c r="BJ95" s="490"/>
      <c r="BK95" s="490"/>
      <c r="BL95" s="490"/>
      <c r="BM95" s="490"/>
      <c r="BN95" s="490"/>
      <c r="BO95" s="490"/>
      <c r="BP95" s="490"/>
      <c r="BQ95" s="490"/>
      <c r="BR95" s="490"/>
      <c r="BS95" s="490"/>
      <c r="BT95" s="490"/>
      <c r="BU95" s="490"/>
      <c r="BV95" s="490"/>
      <c r="BW95" s="490"/>
      <c r="BX95" s="490"/>
      <c r="BY95" s="490"/>
      <c r="BZ95" s="490"/>
      <c r="CA95" s="490"/>
      <c r="CB95" s="490"/>
      <c r="CC95" s="490"/>
      <c r="CD95" s="490"/>
      <c r="CE95" s="490"/>
      <c r="CF95" s="490"/>
      <c r="CG95" s="490"/>
      <c r="CH95" s="490"/>
      <c r="CI95" s="490"/>
      <c r="CJ95" s="490"/>
      <c r="CK95" s="490"/>
      <c r="CL95" s="490"/>
      <c r="CM95" s="490"/>
      <c r="CN95" s="490"/>
      <c r="CO95" s="490"/>
      <c r="CP95" s="490"/>
      <c r="CQ95" s="490"/>
      <c r="CR95" s="490"/>
      <c r="CS95" s="490"/>
      <c r="CT95" s="490"/>
      <c r="CU95" s="490"/>
      <c r="CV95" s="490"/>
      <c r="CW95" s="490"/>
      <c r="CX95" s="490"/>
      <c r="CY95" s="490"/>
      <c r="CZ95" s="490"/>
      <c r="DA95" s="490"/>
      <c r="DB95" s="490"/>
      <c r="DC95" s="490"/>
      <c r="DD95" s="490"/>
      <c r="DE95" s="490"/>
      <c r="DF95" s="490"/>
      <c r="DG95" s="490"/>
      <c r="DH95" s="490"/>
      <c r="DI95" s="490"/>
      <c r="DJ95" s="490"/>
      <c r="DK95" s="490"/>
      <c r="DL95" s="490"/>
      <c r="DM95" s="490"/>
      <c r="DN95" s="490"/>
      <c r="DO95" s="490"/>
      <c r="DP95" s="490"/>
      <c r="DQ95" s="490"/>
      <c r="DR95" s="490"/>
      <c r="DS95" s="490"/>
      <c r="DT95" s="490"/>
      <c r="DU95" s="490"/>
      <c r="DV95" s="490"/>
      <c r="DW95" s="490"/>
      <c r="DX95" s="490"/>
      <c r="DY95" s="490"/>
      <c r="DZ95" s="490"/>
      <c r="EA95" s="490"/>
      <c r="EB95" s="490"/>
      <c r="EC95" s="490"/>
      <c r="ED95" s="490"/>
      <c r="EE95" s="490"/>
      <c r="EF95" s="490"/>
      <c r="EG95" s="490"/>
      <c r="EH95" s="490"/>
      <c r="EI95" s="490"/>
      <c r="EJ95" s="490"/>
      <c r="EK95" s="490"/>
      <c r="EL95" s="490"/>
      <c r="EM95" s="490"/>
      <c r="EN95" s="490"/>
      <c r="EO95" s="490"/>
      <c r="EP95" s="490"/>
      <c r="EQ95" s="490"/>
      <c r="ER95" s="490"/>
      <c r="ES95" s="490"/>
      <c r="ET95" s="490"/>
      <c r="EU95" s="490"/>
      <c r="EV95" s="490"/>
      <c r="EW95" s="490"/>
      <c r="EX95" s="490"/>
      <c r="EY95" s="490"/>
      <c r="EZ95" s="490"/>
      <c r="FA95" s="490"/>
      <c r="FB95" s="490"/>
      <c r="FC95" s="490"/>
      <c r="FD95" s="490"/>
      <c r="FE95" s="490"/>
      <c r="FF95" s="490"/>
      <c r="FG95" s="490"/>
      <c r="FH95" s="490"/>
      <c r="FI95" s="490"/>
      <c r="FJ95" s="490"/>
      <c r="FK95" s="490"/>
      <c r="FL95" s="490"/>
      <c r="FM95" s="490"/>
      <c r="FN95" s="490"/>
    </row>
    <row r="96" s="492" customFormat="1" spans="1:170">
      <c r="A96" s="519">
        <v>46059</v>
      </c>
      <c r="B96" s="509" t="s">
        <v>735</v>
      </c>
      <c r="C96" s="520">
        <v>9.4</v>
      </c>
      <c r="D96" s="509" t="s">
        <v>85</v>
      </c>
      <c r="E96" s="509" t="s">
        <v>66</v>
      </c>
      <c r="F96" s="515" t="s">
        <v>220</v>
      </c>
      <c r="G96" s="542">
        <v>1</v>
      </c>
      <c r="H96" s="542">
        <v>3</v>
      </c>
      <c r="I96" s="541" t="s">
        <v>17</v>
      </c>
      <c r="J96" s="542">
        <v>1.83</v>
      </c>
      <c r="K96" s="543" t="s">
        <v>630</v>
      </c>
      <c r="L96" s="543" t="s">
        <v>95</v>
      </c>
      <c r="M96" s="490"/>
      <c r="N96" s="490"/>
      <c r="O96" s="490"/>
      <c r="P96" s="490"/>
      <c r="Q96" s="490"/>
      <c r="R96" s="490"/>
      <c r="S96" s="490"/>
      <c r="T96" s="490"/>
      <c r="U96" s="490"/>
      <c r="V96" s="490"/>
      <c r="W96" s="490"/>
      <c r="X96" s="490"/>
      <c r="Y96" s="490"/>
      <c r="Z96" s="490"/>
      <c r="AA96" s="490"/>
      <c r="AB96" s="490"/>
      <c r="AC96" s="490"/>
      <c r="AD96" s="490"/>
      <c r="AE96" s="490"/>
      <c r="AF96" s="490"/>
      <c r="AG96" s="490"/>
      <c r="AH96" s="490"/>
      <c r="AI96" s="490"/>
      <c r="AJ96" s="490"/>
      <c r="AK96" s="490"/>
      <c r="AL96" s="490"/>
      <c r="AM96" s="490"/>
      <c r="AN96" s="490"/>
      <c r="AO96" s="490"/>
      <c r="AP96" s="490"/>
      <c r="AQ96" s="490"/>
      <c r="AR96" s="490"/>
      <c r="AS96" s="490"/>
      <c r="AT96" s="490"/>
      <c r="AU96" s="490"/>
      <c r="AV96" s="490"/>
      <c r="AW96" s="490"/>
      <c r="AX96" s="490"/>
      <c r="AY96" s="490"/>
      <c r="AZ96" s="490"/>
      <c r="BA96" s="490"/>
      <c r="BB96" s="490"/>
      <c r="BC96" s="490"/>
      <c r="BD96" s="490"/>
      <c r="BE96" s="490"/>
      <c r="BF96" s="490"/>
      <c r="BG96" s="490"/>
      <c r="BH96" s="490"/>
      <c r="BI96" s="490"/>
      <c r="BJ96" s="490"/>
      <c r="BK96" s="490"/>
      <c r="BL96" s="490"/>
      <c r="BM96" s="490"/>
      <c r="BN96" s="490"/>
      <c r="BO96" s="490"/>
      <c r="BP96" s="490"/>
      <c r="BQ96" s="490"/>
      <c r="BR96" s="490"/>
      <c r="BS96" s="490"/>
      <c r="BT96" s="490"/>
      <c r="BU96" s="490"/>
      <c r="BV96" s="490"/>
      <c r="BW96" s="490"/>
      <c r="BX96" s="490"/>
      <c r="BY96" s="490"/>
      <c r="BZ96" s="490"/>
      <c r="CA96" s="490"/>
      <c r="CB96" s="490"/>
      <c r="CC96" s="490"/>
      <c r="CD96" s="490"/>
      <c r="CE96" s="490"/>
      <c r="CF96" s="490"/>
      <c r="CG96" s="490"/>
      <c r="CH96" s="490"/>
      <c r="CI96" s="490"/>
      <c r="CJ96" s="490"/>
      <c r="CK96" s="490"/>
      <c r="CL96" s="490"/>
      <c r="CM96" s="490"/>
      <c r="CN96" s="490"/>
      <c r="CO96" s="490"/>
      <c r="CP96" s="490"/>
      <c r="CQ96" s="490"/>
      <c r="CR96" s="490"/>
      <c r="CS96" s="490"/>
      <c r="CT96" s="490"/>
      <c r="CU96" s="490"/>
      <c r="CV96" s="490"/>
      <c r="CW96" s="490"/>
      <c r="CX96" s="490"/>
      <c r="CY96" s="490"/>
      <c r="CZ96" s="490"/>
      <c r="DA96" s="490"/>
      <c r="DB96" s="490"/>
      <c r="DC96" s="490"/>
      <c r="DD96" s="490"/>
      <c r="DE96" s="490"/>
      <c r="DF96" s="490"/>
      <c r="DG96" s="490"/>
      <c r="DH96" s="490"/>
      <c r="DI96" s="490"/>
      <c r="DJ96" s="490"/>
      <c r="DK96" s="490"/>
      <c r="DL96" s="490"/>
      <c r="DM96" s="490"/>
      <c r="DN96" s="490"/>
      <c r="DO96" s="490"/>
      <c r="DP96" s="490"/>
      <c r="DQ96" s="490"/>
      <c r="DR96" s="490"/>
      <c r="DS96" s="490"/>
      <c r="DT96" s="490"/>
      <c r="DU96" s="490"/>
      <c r="DV96" s="490"/>
      <c r="DW96" s="490"/>
      <c r="DX96" s="490"/>
      <c r="DY96" s="490"/>
      <c r="DZ96" s="490"/>
      <c r="EA96" s="490"/>
      <c r="EB96" s="490"/>
      <c r="EC96" s="490"/>
      <c r="ED96" s="490"/>
      <c r="EE96" s="490"/>
      <c r="EF96" s="490"/>
      <c r="EG96" s="490"/>
      <c r="EH96" s="490"/>
      <c r="EI96" s="490"/>
      <c r="EJ96" s="490"/>
      <c r="EK96" s="490"/>
      <c r="EL96" s="490"/>
      <c r="EM96" s="490"/>
      <c r="EN96" s="490"/>
      <c r="EO96" s="490"/>
      <c r="EP96" s="490"/>
      <c r="EQ96" s="490"/>
      <c r="ER96" s="490"/>
      <c r="ES96" s="490"/>
      <c r="ET96" s="490"/>
      <c r="EU96" s="490"/>
      <c r="EV96" s="490"/>
      <c r="EW96" s="490"/>
      <c r="EX96" s="490"/>
      <c r="EY96" s="490"/>
      <c r="EZ96" s="490"/>
      <c r="FA96" s="490"/>
      <c r="FB96" s="490"/>
      <c r="FC96" s="490"/>
      <c r="FD96" s="490"/>
      <c r="FE96" s="490"/>
      <c r="FF96" s="490"/>
      <c r="FG96" s="490"/>
      <c r="FH96" s="490"/>
      <c r="FI96" s="490"/>
      <c r="FJ96" s="490"/>
      <c r="FK96" s="490"/>
      <c r="FL96" s="490"/>
      <c r="FM96" s="490"/>
      <c r="FN96" s="490"/>
    </row>
    <row r="97" s="492" customFormat="1" spans="1:170">
      <c r="A97" s="519"/>
      <c r="B97" s="509"/>
      <c r="C97" s="520"/>
      <c r="D97" s="509"/>
      <c r="E97" s="509"/>
      <c r="F97" s="515" t="s">
        <v>221</v>
      </c>
      <c r="G97" s="542">
        <v>1</v>
      </c>
      <c r="H97" s="542">
        <v>5.8</v>
      </c>
      <c r="I97" s="541" t="s">
        <v>17</v>
      </c>
      <c r="J97" s="542">
        <v>1.83</v>
      </c>
      <c r="K97" s="543"/>
      <c r="L97" s="543"/>
      <c r="M97" s="490"/>
      <c r="N97" s="490"/>
      <c r="O97" s="490"/>
      <c r="P97" s="490"/>
      <c r="Q97" s="490"/>
      <c r="R97" s="490"/>
      <c r="S97" s="490"/>
      <c r="T97" s="490"/>
      <c r="U97" s="490"/>
      <c r="V97" s="490"/>
      <c r="W97" s="490"/>
      <c r="X97" s="490"/>
      <c r="Y97" s="490"/>
      <c r="Z97" s="490"/>
      <c r="AA97" s="490"/>
      <c r="AB97" s="490"/>
      <c r="AC97" s="490"/>
      <c r="AD97" s="490"/>
      <c r="AE97" s="490"/>
      <c r="AF97" s="490"/>
      <c r="AG97" s="490"/>
      <c r="AH97" s="490"/>
      <c r="AI97" s="490"/>
      <c r="AJ97" s="490"/>
      <c r="AK97" s="490"/>
      <c r="AL97" s="490"/>
      <c r="AM97" s="490"/>
      <c r="AN97" s="490"/>
      <c r="AO97" s="490"/>
      <c r="AP97" s="490"/>
      <c r="AQ97" s="490"/>
      <c r="AR97" s="490"/>
      <c r="AS97" s="490"/>
      <c r="AT97" s="490"/>
      <c r="AU97" s="490"/>
      <c r="AV97" s="490"/>
      <c r="AW97" s="490"/>
      <c r="AX97" s="490"/>
      <c r="AY97" s="490"/>
      <c r="AZ97" s="490"/>
      <c r="BA97" s="490"/>
      <c r="BB97" s="490"/>
      <c r="BC97" s="490"/>
      <c r="BD97" s="490"/>
      <c r="BE97" s="490"/>
      <c r="BF97" s="490"/>
      <c r="BG97" s="490"/>
      <c r="BH97" s="490"/>
      <c r="BI97" s="490"/>
      <c r="BJ97" s="490"/>
      <c r="BK97" s="490"/>
      <c r="BL97" s="490"/>
      <c r="BM97" s="490"/>
      <c r="BN97" s="490"/>
      <c r="BO97" s="490"/>
      <c r="BP97" s="490"/>
      <c r="BQ97" s="490"/>
      <c r="BR97" s="490"/>
      <c r="BS97" s="490"/>
      <c r="BT97" s="490"/>
      <c r="BU97" s="490"/>
      <c r="BV97" s="490"/>
      <c r="BW97" s="490"/>
      <c r="BX97" s="490"/>
      <c r="BY97" s="490"/>
      <c r="BZ97" s="490"/>
      <c r="CA97" s="490"/>
      <c r="CB97" s="490"/>
      <c r="CC97" s="490"/>
      <c r="CD97" s="490"/>
      <c r="CE97" s="490"/>
      <c r="CF97" s="490"/>
      <c r="CG97" s="490"/>
      <c r="CH97" s="490"/>
      <c r="CI97" s="490"/>
      <c r="CJ97" s="490"/>
      <c r="CK97" s="490"/>
      <c r="CL97" s="490"/>
      <c r="CM97" s="490"/>
      <c r="CN97" s="490"/>
      <c r="CO97" s="490"/>
      <c r="CP97" s="490"/>
      <c r="CQ97" s="490"/>
      <c r="CR97" s="490"/>
      <c r="CS97" s="490"/>
      <c r="CT97" s="490"/>
      <c r="CU97" s="490"/>
      <c r="CV97" s="490"/>
      <c r="CW97" s="490"/>
      <c r="CX97" s="490"/>
      <c r="CY97" s="490"/>
      <c r="CZ97" s="490"/>
      <c r="DA97" s="490"/>
      <c r="DB97" s="490"/>
      <c r="DC97" s="490"/>
      <c r="DD97" s="490"/>
      <c r="DE97" s="490"/>
      <c r="DF97" s="490"/>
      <c r="DG97" s="490"/>
      <c r="DH97" s="490"/>
      <c r="DI97" s="490"/>
      <c r="DJ97" s="490"/>
      <c r="DK97" s="490"/>
      <c r="DL97" s="490"/>
      <c r="DM97" s="490"/>
      <c r="DN97" s="490"/>
      <c r="DO97" s="490"/>
      <c r="DP97" s="490"/>
      <c r="DQ97" s="490"/>
      <c r="DR97" s="490"/>
      <c r="DS97" s="490"/>
      <c r="DT97" s="490"/>
      <c r="DU97" s="490"/>
      <c r="DV97" s="490"/>
      <c r="DW97" s="490"/>
      <c r="DX97" s="490"/>
      <c r="DY97" s="490"/>
      <c r="DZ97" s="490"/>
      <c r="EA97" s="490"/>
      <c r="EB97" s="490"/>
      <c r="EC97" s="490"/>
      <c r="ED97" s="490"/>
      <c r="EE97" s="490"/>
      <c r="EF97" s="490"/>
      <c r="EG97" s="490"/>
      <c r="EH97" s="490"/>
      <c r="EI97" s="490"/>
      <c r="EJ97" s="490"/>
      <c r="EK97" s="490"/>
      <c r="EL97" s="490"/>
      <c r="EM97" s="490"/>
      <c r="EN97" s="490"/>
      <c r="EO97" s="490"/>
      <c r="EP97" s="490"/>
      <c r="EQ97" s="490"/>
      <c r="ER97" s="490"/>
      <c r="ES97" s="490"/>
      <c r="ET97" s="490"/>
      <c r="EU97" s="490"/>
      <c r="EV97" s="490"/>
      <c r="EW97" s="490"/>
      <c r="EX97" s="490"/>
      <c r="EY97" s="490"/>
      <c r="EZ97" s="490"/>
      <c r="FA97" s="490"/>
      <c r="FB97" s="490"/>
      <c r="FC97" s="490"/>
      <c r="FD97" s="490"/>
      <c r="FE97" s="490"/>
      <c r="FF97" s="490"/>
      <c r="FG97" s="490"/>
      <c r="FH97" s="490"/>
      <c r="FI97" s="490"/>
      <c r="FJ97" s="490"/>
      <c r="FK97" s="490"/>
      <c r="FL97" s="490"/>
      <c r="FM97" s="490"/>
      <c r="FN97" s="490"/>
    </row>
    <row r="98" s="492" customFormat="1" spans="1:170">
      <c r="A98" s="519"/>
      <c r="B98" s="509"/>
      <c r="C98" s="520"/>
      <c r="D98" s="509"/>
      <c r="E98" s="509"/>
      <c r="F98" s="515" t="s">
        <v>75</v>
      </c>
      <c r="G98" s="542">
        <v>1</v>
      </c>
      <c r="H98" s="542">
        <v>0.6</v>
      </c>
      <c r="I98" s="541" t="s">
        <v>22</v>
      </c>
      <c r="J98" s="542">
        <v>1.95</v>
      </c>
      <c r="K98" s="543"/>
      <c r="L98" s="543"/>
      <c r="M98" s="490"/>
      <c r="N98" s="490"/>
      <c r="O98" s="490"/>
      <c r="P98" s="490"/>
      <c r="Q98" s="490"/>
      <c r="R98" s="490"/>
      <c r="S98" s="490"/>
      <c r="T98" s="490"/>
      <c r="U98" s="490"/>
      <c r="V98" s="490"/>
      <c r="W98" s="490"/>
      <c r="X98" s="490"/>
      <c r="Y98" s="490"/>
      <c r="Z98" s="490"/>
      <c r="AA98" s="490"/>
      <c r="AB98" s="490"/>
      <c r="AC98" s="490"/>
      <c r="AD98" s="490"/>
      <c r="AE98" s="490"/>
      <c r="AF98" s="490"/>
      <c r="AG98" s="490"/>
      <c r="AH98" s="490"/>
      <c r="AI98" s="490"/>
      <c r="AJ98" s="490"/>
      <c r="AK98" s="490"/>
      <c r="AL98" s="490"/>
      <c r="AM98" s="490"/>
      <c r="AN98" s="490"/>
      <c r="AO98" s="490"/>
      <c r="AP98" s="490"/>
      <c r="AQ98" s="490"/>
      <c r="AR98" s="490"/>
      <c r="AS98" s="490"/>
      <c r="AT98" s="490"/>
      <c r="AU98" s="490"/>
      <c r="AV98" s="490"/>
      <c r="AW98" s="490"/>
      <c r="AX98" s="490"/>
      <c r="AY98" s="490"/>
      <c r="AZ98" s="490"/>
      <c r="BA98" s="490"/>
      <c r="BB98" s="490"/>
      <c r="BC98" s="490"/>
      <c r="BD98" s="490"/>
      <c r="BE98" s="490"/>
      <c r="BF98" s="490"/>
      <c r="BG98" s="490"/>
      <c r="BH98" s="490"/>
      <c r="BI98" s="490"/>
      <c r="BJ98" s="490"/>
      <c r="BK98" s="490"/>
      <c r="BL98" s="490"/>
      <c r="BM98" s="490"/>
      <c r="BN98" s="490"/>
      <c r="BO98" s="490"/>
      <c r="BP98" s="490"/>
      <c r="BQ98" s="490"/>
      <c r="BR98" s="490"/>
      <c r="BS98" s="490"/>
      <c r="BT98" s="490"/>
      <c r="BU98" s="490"/>
      <c r="BV98" s="490"/>
      <c r="BW98" s="490"/>
      <c r="BX98" s="490"/>
      <c r="BY98" s="490"/>
      <c r="BZ98" s="490"/>
      <c r="CA98" s="490"/>
      <c r="CB98" s="490"/>
      <c r="CC98" s="490"/>
      <c r="CD98" s="490"/>
      <c r="CE98" s="490"/>
      <c r="CF98" s="490"/>
      <c r="CG98" s="490"/>
      <c r="CH98" s="490"/>
      <c r="CI98" s="490"/>
      <c r="CJ98" s="490"/>
      <c r="CK98" s="490"/>
      <c r="CL98" s="490"/>
      <c r="CM98" s="490"/>
      <c r="CN98" s="490"/>
      <c r="CO98" s="490"/>
      <c r="CP98" s="490"/>
      <c r="CQ98" s="490"/>
      <c r="CR98" s="490"/>
      <c r="CS98" s="490"/>
      <c r="CT98" s="490"/>
      <c r="CU98" s="490"/>
      <c r="CV98" s="490"/>
      <c r="CW98" s="490"/>
      <c r="CX98" s="490"/>
      <c r="CY98" s="490"/>
      <c r="CZ98" s="490"/>
      <c r="DA98" s="490"/>
      <c r="DB98" s="490"/>
      <c r="DC98" s="490"/>
      <c r="DD98" s="490"/>
      <c r="DE98" s="490"/>
      <c r="DF98" s="490"/>
      <c r="DG98" s="490"/>
      <c r="DH98" s="490"/>
      <c r="DI98" s="490"/>
      <c r="DJ98" s="490"/>
      <c r="DK98" s="490"/>
      <c r="DL98" s="490"/>
      <c r="DM98" s="490"/>
      <c r="DN98" s="490"/>
      <c r="DO98" s="490"/>
      <c r="DP98" s="490"/>
      <c r="DQ98" s="490"/>
      <c r="DR98" s="490"/>
      <c r="DS98" s="490"/>
      <c r="DT98" s="490"/>
      <c r="DU98" s="490"/>
      <c r="DV98" s="490"/>
      <c r="DW98" s="490"/>
      <c r="DX98" s="490"/>
      <c r="DY98" s="490"/>
      <c r="DZ98" s="490"/>
      <c r="EA98" s="490"/>
      <c r="EB98" s="490"/>
      <c r="EC98" s="490"/>
      <c r="ED98" s="490"/>
      <c r="EE98" s="490"/>
      <c r="EF98" s="490"/>
      <c r="EG98" s="490"/>
      <c r="EH98" s="490"/>
      <c r="EI98" s="490"/>
      <c r="EJ98" s="490"/>
      <c r="EK98" s="490"/>
      <c r="EL98" s="490"/>
      <c r="EM98" s="490"/>
      <c r="EN98" s="490"/>
      <c r="EO98" s="490"/>
      <c r="EP98" s="490"/>
      <c r="EQ98" s="490"/>
      <c r="ER98" s="490"/>
      <c r="ES98" s="490"/>
      <c r="ET98" s="490"/>
      <c r="EU98" s="490"/>
      <c r="EV98" s="490"/>
      <c r="EW98" s="490"/>
      <c r="EX98" s="490"/>
      <c r="EY98" s="490"/>
      <c r="EZ98" s="490"/>
      <c r="FA98" s="490"/>
      <c r="FB98" s="490"/>
      <c r="FC98" s="490"/>
      <c r="FD98" s="490"/>
      <c r="FE98" s="490"/>
      <c r="FF98" s="490"/>
      <c r="FG98" s="490"/>
      <c r="FH98" s="490"/>
      <c r="FI98" s="490"/>
      <c r="FJ98" s="490"/>
      <c r="FK98" s="490"/>
      <c r="FL98" s="490"/>
      <c r="FM98" s="490"/>
      <c r="FN98" s="490"/>
    </row>
    <row r="99" s="492" customFormat="1" spans="1:170">
      <c r="A99" s="519">
        <v>46063</v>
      </c>
      <c r="B99" s="509" t="s">
        <v>736</v>
      </c>
      <c r="C99" s="538">
        <v>10</v>
      </c>
      <c r="D99" s="509" t="s">
        <v>14</v>
      </c>
      <c r="E99" s="509" t="s">
        <v>14</v>
      </c>
      <c r="F99" s="515" t="s">
        <v>220</v>
      </c>
      <c r="G99" s="542">
        <v>0.68</v>
      </c>
      <c r="H99" s="542">
        <v>3</v>
      </c>
      <c r="I99" s="541" t="s">
        <v>17</v>
      </c>
      <c r="J99" s="542">
        <v>2.6</v>
      </c>
      <c r="K99" s="543" t="s">
        <v>48</v>
      </c>
      <c r="L99" s="543"/>
      <c r="M99" s="490"/>
      <c r="N99" s="490"/>
      <c r="O99" s="490"/>
      <c r="P99" s="490"/>
      <c r="Q99" s="490"/>
      <c r="R99" s="490"/>
      <c r="S99" s="490"/>
      <c r="T99" s="490"/>
      <c r="U99" s="490"/>
      <c r="V99" s="490"/>
      <c r="W99" s="490"/>
      <c r="X99" s="490"/>
      <c r="Y99" s="490"/>
      <c r="Z99" s="490"/>
      <c r="AA99" s="490"/>
      <c r="AB99" s="490"/>
      <c r="AC99" s="490"/>
      <c r="AD99" s="490"/>
      <c r="AE99" s="490"/>
      <c r="AF99" s="490"/>
      <c r="AG99" s="490"/>
      <c r="AH99" s="490"/>
      <c r="AI99" s="490"/>
      <c r="AJ99" s="490"/>
      <c r="AK99" s="490"/>
      <c r="AL99" s="490"/>
      <c r="AM99" s="490"/>
      <c r="AN99" s="490"/>
      <c r="AO99" s="490"/>
      <c r="AP99" s="490"/>
      <c r="AQ99" s="490"/>
      <c r="AR99" s="490"/>
      <c r="AS99" s="490"/>
      <c r="AT99" s="490"/>
      <c r="AU99" s="490"/>
      <c r="AV99" s="490"/>
      <c r="AW99" s="490"/>
      <c r="AX99" s="490"/>
      <c r="AY99" s="490"/>
      <c r="AZ99" s="490"/>
      <c r="BA99" s="490"/>
      <c r="BB99" s="490"/>
      <c r="BC99" s="490"/>
      <c r="BD99" s="490"/>
      <c r="BE99" s="490"/>
      <c r="BF99" s="490"/>
      <c r="BG99" s="490"/>
      <c r="BH99" s="490"/>
      <c r="BI99" s="490"/>
      <c r="BJ99" s="490"/>
      <c r="BK99" s="490"/>
      <c r="BL99" s="490"/>
      <c r="BM99" s="490"/>
      <c r="BN99" s="490"/>
      <c r="BO99" s="490"/>
      <c r="BP99" s="490"/>
      <c r="BQ99" s="490"/>
      <c r="BR99" s="490"/>
      <c r="BS99" s="490"/>
      <c r="BT99" s="490"/>
      <c r="BU99" s="490"/>
      <c r="BV99" s="490"/>
      <c r="BW99" s="490"/>
      <c r="BX99" s="490"/>
      <c r="BY99" s="490"/>
      <c r="BZ99" s="490"/>
      <c r="CA99" s="490"/>
      <c r="CB99" s="490"/>
      <c r="CC99" s="490"/>
      <c r="CD99" s="490"/>
      <c r="CE99" s="490"/>
      <c r="CF99" s="490"/>
      <c r="CG99" s="490"/>
      <c r="CH99" s="490"/>
      <c r="CI99" s="490"/>
      <c r="CJ99" s="490"/>
      <c r="CK99" s="490"/>
      <c r="CL99" s="490"/>
      <c r="CM99" s="490"/>
      <c r="CN99" s="490"/>
      <c r="CO99" s="490"/>
      <c r="CP99" s="490"/>
      <c r="CQ99" s="490"/>
      <c r="CR99" s="490"/>
      <c r="CS99" s="490"/>
      <c r="CT99" s="490"/>
      <c r="CU99" s="490"/>
      <c r="CV99" s="490"/>
      <c r="CW99" s="490"/>
      <c r="CX99" s="490"/>
      <c r="CY99" s="490"/>
      <c r="CZ99" s="490"/>
      <c r="DA99" s="490"/>
      <c r="DB99" s="490"/>
      <c r="DC99" s="490"/>
      <c r="DD99" s="490"/>
      <c r="DE99" s="490"/>
      <c r="DF99" s="490"/>
      <c r="DG99" s="490"/>
      <c r="DH99" s="490"/>
      <c r="DI99" s="490"/>
      <c r="DJ99" s="490"/>
      <c r="DK99" s="490"/>
      <c r="DL99" s="490"/>
      <c r="DM99" s="490"/>
      <c r="DN99" s="490"/>
      <c r="DO99" s="490"/>
      <c r="DP99" s="490"/>
      <c r="DQ99" s="490"/>
      <c r="DR99" s="490"/>
      <c r="DS99" s="490"/>
      <c r="DT99" s="490"/>
      <c r="DU99" s="490"/>
      <c r="DV99" s="490"/>
      <c r="DW99" s="490"/>
      <c r="DX99" s="490"/>
      <c r="DY99" s="490"/>
      <c r="DZ99" s="490"/>
      <c r="EA99" s="490"/>
      <c r="EB99" s="490"/>
      <c r="EC99" s="490"/>
      <c r="ED99" s="490"/>
      <c r="EE99" s="490"/>
      <c r="EF99" s="490"/>
      <c r="EG99" s="490"/>
      <c r="EH99" s="490"/>
      <c r="EI99" s="490"/>
      <c r="EJ99" s="490"/>
      <c r="EK99" s="490"/>
      <c r="EL99" s="490"/>
      <c r="EM99" s="490"/>
      <c r="EN99" s="490"/>
      <c r="EO99" s="490"/>
      <c r="EP99" s="490"/>
      <c r="EQ99" s="490"/>
      <c r="ER99" s="490"/>
      <c r="ES99" s="490"/>
      <c r="ET99" s="490"/>
      <c r="EU99" s="490"/>
      <c r="EV99" s="490"/>
      <c r="EW99" s="490"/>
      <c r="EX99" s="490"/>
      <c r="EY99" s="490"/>
      <c r="EZ99" s="490"/>
      <c r="FA99" s="490"/>
      <c r="FB99" s="490"/>
      <c r="FC99" s="490"/>
      <c r="FD99" s="490"/>
      <c r="FE99" s="490"/>
      <c r="FF99" s="490"/>
      <c r="FG99" s="490"/>
      <c r="FH99" s="490"/>
      <c r="FI99" s="490"/>
      <c r="FJ99" s="490"/>
      <c r="FK99" s="490"/>
      <c r="FL99" s="490"/>
      <c r="FM99" s="490"/>
      <c r="FN99" s="490"/>
    </row>
    <row r="100" s="492" customFormat="1" spans="1:170">
      <c r="A100" s="519"/>
      <c r="B100" s="509"/>
      <c r="C100" s="538"/>
      <c r="D100" s="509"/>
      <c r="E100" s="509"/>
      <c r="F100" s="515" t="s">
        <v>221</v>
      </c>
      <c r="G100" s="542">
        <v>1.6</v>
      </c>
      <c r="H100" s="542">
        <v>4</v>
      </c>
      <c r="I100" s="541" t="s">
        <v>17</v>
      </c>
      <c r="J100" s="542">
        <v>2.8</v>
      </c>
      <c r="K100" s="543"/>
      <c r="L100" s="543"/>
      <c r="M100" s="490"/>
      <c r="N100" s="490"/>
      <c r="O100" s="490"/>
      <c r="P100" s="490"/>
      <c r="Q100" s="490"/>
      <c r="R100" s="490"/>
      <c r="S100" s="490"/>
      <c r="T100" s="490"/>
      <c r="U100" s="490"/>
      <c r="V100" s="490"/>
      <c r="W100" s="490"/>
      <c r="X100" s="490"/>
      <c r="Y100" s="490"/>
      <c r="Z100" s="490"/>
      <c r="AA100" s="490"/>
      <c r="AB100" s="490"/>
      <c r="AC100" s="490"/>
      <c r="AD100" s="490"/>
      <c r="AE100" s="490"/>
      <c r="AF100" s="490"/>
      <c r="AG100" s="490"/>
      <c r="AH100" s="490"/>
      <c r="AI100" s="490"/>
      <c r="AJ100" s="490"/>
      <c r="AK100" s="490"/>
      <c r="AL100" s="490"/>
      <c r="AM100" s="490"/>
      <c r="AN100" s="490"/>
      <c r="AO100" s="490"/>
      <c r="AP100" s="490"/>
      <c r="AQ100" s="490"/>
      <c r="AR100" s="490"/>
      <c r="AS100" s="490"/>
      <c r="AT100" s="490"/>
      <c r="AU100" s="490"/>
      <c r="AV100" s="490"/>
      <c r="AW100" s="490"/>
      <c r="AX100" s="490"/>
      <c r="AY100" s="490"/>
      <c r="AZ100" s="490"/>
      <c r="BA100" s="490"/>
      <c r="BB100" s="490"/>
      <c r="BC100" s="490"/>
      <c r="BD100" s="490"/>
      <c r="BE100" s="490"/>
      <c r="BF100" s="490"/>
      <c r="BG100" s="490"/>
      <c r="BH100" s="490"/>
      <c r="BI100" s="490"/>
      <c r="BJ100" s="490"/>
      <c r="BK100" s="490"/>
      <c r="BL100" s="490"/>
      <c r="BM100" s="490"/>
      <c r="BN100" s="490"/>
      <c r="BO100" s="490"/>
      <c r="BP100" s="490"/>
      <c r="BQ100" s="490"/>
      <c r="BR100" s="490"/>
      <c r="BS100" s="490"/>
      <c r="BT100" s="490"/>
      <c r="BU100" s="490"/>
      <c r="BV100" s="490"/>
      <c r="BW100" s="490"/>
      <c r="BX100" s="490"/>
      <c r="BY100" s="490"/>
      <c r="BZ100" s="490"/>
      <c r="CA100" s="490"/>
      <c r="CB100" s="490"/>
      <c r="CC100" s="490"/>
      <c r="CD100" s="490"/>
      <c r="CE100" s="490"/>
      <c r="CF100" s="490"/>
      <c r="CG100" s="490"/>
      <c r="CH100" s="490"/>
      <c r="CI100" s="490"/>
      <c r="CJ100" s="490"/>
      <c r="CK100" s="490"/>
      <c r="CL100" s="490"/>
      <c r="CM100" s="490"/>
      <c r="CN100" s="490"/>
      <c r="CO100" s="490"/>
      <c r="CP100" s="490"/>
      <c r="CQ100" s="490"/>
      <c r="CR100" s="490"/>
      <c r="CS100" s="490"/>
      <c r="CT100" s="490"/>
      <c r="CU100" s="490"/>
      <c r="CV100" s="490"/>
      <c r="CW100" s="490"/>
      <c r="CX100" s="490"/>
      <c r="CY100" s="490"/>
      <c r="CZ100" s="490"/>
      <c r="DA100" s="490"/>
      <c r="DB100" s="490"/>
      <c r="DC100" s="490"/>
      <c r="DD100" s="490"/>
      <c r="DE100" s="490"/>
      <c r="DF100" s="490"/>
      <c r="DG100" s="490"/>
      <c r="DH100" s="490"/>
      <c r="DI100" s="490"/>
      <c r="DJ100" s="490"/>
      <c r="DK100" s="490"/>
      <c r="DL100" s="490"/>
      <c r="DM100" s="490"/>
      <c r="DN100" s="490"/>
      <c r="DO100" s="490"/>
      <c r="DP100" s="490"/>
      <c r="DQ100" s="490"/>
      <c r="DR100" s="490"/>
      <c r="DS100" s="490"/>
      <c r="DT100" s="490"/>
      <c r="DU100" s="490"/>
      <c r="DV100" s="490"/>
      <c r="DW100" s="490"/>
      <c r="DX100" s="490"/>
      <c r="DY100" s="490"/>
      <c r="DZ100" s="490"/>
      <c r="EA100" s="490"/>
      <c r="EB100" s="490"/>
      <c r="EC100" s="490"/>
      <c r="ED100" s="490"/>
      <c r="EE100" s="490"/>
      <c r="EF100" s="490"/>
      <c r="EG100" s="490"/>
      <c r="EH100" s="490"/>
      <c r="EI100" s="490"/>
      <c r="EJ100" s="490"/>
      <c r="EK100" s="490"/>
      <c r="EL100" s="490"/>
      <c r="EM100" s="490"/>
      <c r="EN100" s="490"/>
      <c r="EO100" s="490"/>
      <c r="EP100" s="490"/>
      <c r="EQ100" s="490"/>
      <c r="ER100" s="490"/>
      <c r="ES100" s="490"/>
      <c r="ET100" s="490"/>
      <c r="EU100" s="490"/>
      <c r="EV100" s="490"/>
      <c r="EW100" s="490"/>
      <c r="EX100" s="490"/>
      <c r="EY100" s="490"/>
      <c r="EZ100" s="490"/>
      <c r="FA100" s="490"/>
      <c r="FB100" s="490"/>
      <c r="FC100" s="490"/>
      <c r="FD100" s="490"/>
      <c r="FE100" s="490"/>
      <c r="FF100" s="490"/>
      <c r="FG100" s="490"/>
      <c r="FH100" s="490"/>
      <c r="FI100" s="490"/>
      <c r="FJ100" s="490"/>
      <c r="FK100" s="490"/>
      <c r="FL100" s="490"/>
      <c r="FM100" s="490"/>
      <c r="FN100" s="490"/>
    </row>
    <row r="101" s="492" customFormat="1" spans="1:170">
      <c r="A101" s="519"/>
      <c r="B101" s="509"/>
      <c r="C101" s="538"/>
      <c r="D101" s="509"/>
      <c r="E101" s="509"/>
      <c r="F101" s="515" t="s">
        <v>564</v>
      </c>
      <c r="G101" s="542">
        <v>2.84</v>
      </c>
      <c r="H101" s="542">
        <v>2.85</v>
      </c>
      <c r="I101" s="541" t="s">
        <v>17</v>
      </c>
      <c r="J101" s="542">
        <v>3.6</v>
      </c>
      <c r="K101" s="543"/>
      <c r="L101" s="543"/>
      <c r="M101" s="490"/>
      <c r="N101" s="490"/>
      <c r="O101" s="490"/>
      <c r="P101" s="490"/>
      <c r="Q101" s="490"/>
      <c r="R101" s="490"/>
      <c r="S101" s="490"/>
      <c r="T101" s="490"/>
      <c r="U101" s="490"/>
      <c r="V101" s="490"/>
      <c r="W101" s="490"/>
      <c r="X101" s="490"/>
      <c r="Y101" s="490"/>
      <c r="Z101" s="490"/>
      <c r="AA101" s="490"/>
      <c r="AB101" s="490"/>
      <c r="AC101" s="490"/>
      <c r="AD101" s="490"/>
      <c r="AE101" s="490"/>
      <c r="AF101" s="490"/>
      <c r="AG101" s="490"/>
      <c r="AH101" s="490"/>
      <c r="AI101" s="490"/>
      <c r="AJ101" s="490"/>
      <c r="AK101" s="490"/>
      <c r="AL101" s="490"/>
      <c r="AM101" s="490"/>
      <c r="AN101" s="490"/>
      <c r="AO101" s="490"/>
      <c r="AP101" s="490"/>
      <c r="AQ101" s="490"/>
      <c r="AR101" s="490"/>
      <c r="AS101" s="490"/>
      <c r="AT101" s="490"/>
      <c r="AU101" s="490"/>
      <c r="AV101" s="490"/>
      <c r="AW101" s="490"/>
      <c r="AX101" s="490"/>
      <c r="AY101" s="490"/>
      <c r="AZ101" s="490"/>
      <c r="BA101" s="490"/>
      <c r="BB101" s="490"/>
      <c r="BC101" s="490"/>
      <c r="BD101" s="490"/>
      <c r="BE101" s="490"/>
      <c r="BF101" s="490"/>
      <c r="BG101" s="490"/>
      <c r="BH101" s="490"/>
      <c r="BI101" s="490"/>
      <c r="BJ101" s="490"/>
      <c r="BK101" s="490"/>
      <c r="BL101" s="490"/>
      <c r="BM101" s="490"/>
      <c r="BN101" s="490"/>
      <c r="BO101" s="490"/>
      <c r="BP101" s="490"/>
      <c r="BQ101" s="490"/>
      <c r="BR101" s="490"/>
      <c r="BS101" s="490"/>
      <c r="BT101" s="490"/>
      <c r="BU101" s="490"/>
      <c r="BV101" s="490"/>
      <c r="BW101" s="490"/>
      <c r="BX101" s="490"/>
      <c r="BY101" s="490"/>
      <c r="BZ101" s="490"/>
      <c r="CA101" s="490"/>
      <c r="CB101" s="490"/>
      <c r="CC101" s="490"/>
      <c r="CD101" s="490"/>
      <c r="CE101" s="490"/>
      <c r="CF101" s="490"/>
      <c r="CG101" s="490"/>
      <c r="CH101" s="490"/>
      <c r="CI101" s="490"/>
      <c r="CJ101" s="490"/>
      <c r="CK101" s="490"/>
      <c r="CL101" s="490"/>
      <c r="CM101" s="490"/>
      <c r="CN101" s="490"/>
      <c r="CO101" s="490"/>
      <c r="CP101" s="490"/>
      <c r="CQ101" s="490"/>
      <c r="CR101" s="490"/>
      <c r="CS101" s="490"/>
      <c r="CT101" s="490"/>
      <c r="CU101" s="490"/>
      <c r="CV101" s="490"/>
      <c r="CW101" s="490"/>
      <c r="CX101" s="490"/>
      <c r="CY101" s="490"/>
      <c r="CZ101" s="490"/>
      <c r="DA101" s="490"/>
      <c r="DB101" s="490"/>
      <c r="DC101" s="490"/>
      <c r="DD101" s="490"/>
      <c r="DE101" s="490"/>
      <c r="DF101" s="490"/>
      <c r="DG101" s="490"/>
      <c r="DH101" s="490"/>
      <c r="DI101" s="490"/>
      <c r="DJ101" s="490"/>
      <c r="DK101" s="490"/>
      <c r="DL101" s="490"/>
      <c r="DM101" s="490"/>
      <c r="DN101" s="490"/>
      <c r="DO101" s="490"/>
      <c r="DP101" s="490"/>
      <c r="DQ101" s="490"/>
      <c r="DR101" s="490"/>
      <c r="DS101" s="490"/>
      <c r="DT101" s="490"/>
      <c r="DU101" s="490"/>
      <c r="DV101" s="490"/>
      <c r="DW101" s="490"/>
      <c r="DX101" s="490"/>
      <c r="DY101" s="490"/>
      <c r="DZ101" s="490"/>
      <c r="EA101" s="490"/>
      <c r="EB101" s="490"/>
      <c r="EC101" s="490"/>
      <c r="ED101" s="490"/>
      <c r="EE101" s="490"/>
      <c r="EF101" s="490"/>
      <c r="EG101" s="490"/>
      <c r="EH101" s="490"/>
      <c r="EI101" s="490"/>
      <c r="EJ101" s="490"/>
      <c r="EK101" s="490"/>
      <c r="EL101" s="490"/>
      <c r="EM101" s="490"/>
      <c r="EN101" s="490"/>
      <c r="EO101" s="490"/>
      <c r="EP101" s="490"/>
      <c r="EQ101" s="490"/>
      <c r="ER101" s="490"/>
      <c r="ES101" s="490"/>
      <c r="ET101" s="490"/>
      <c r="EU101" s="490"/>
      <c r="EV101" s="490"/>
      <c r="EW101" s="490"/>
      <c r="EX101" s="490"/>
      <c r="EY101" s="490"/>
      <c r="EZ101" s="490"/>
      <c r="FA101" s="490"/>
      <c r="FB101" s="490"/>
      <c r="FC101" s="490"/>
      <c r="FD101" s="490"/>
      <c r="FE101" s="490"/>
      <c r="FF101" s="490"/>
      <c r="FG101" s="490"/>
      <c r="FH101" s="490"/>
      <c r="FI101" s="490"/>
      <c r="FJ101" s="490"/>
      <c r="FK101" s="490"/>
      <c r="FL101" s="490"/>
      <c r="FM101" s="490"/>
      <c r="FN101" s="490"/>
    </row>
    <row r="102" s="492" customFormat="1" spans="1:170">
      <c r="A102" s="519"/>
      <c r="B102" s="509"/>
      <c r="C102" s="538"/>
      <c r="D102" s="509"/>
      <c r="E102" s="509"/>
      <c r="F102" s="515" t="s">
        <v>91</v>
      </c>
      <c r="G102" s="542">
        <v>3.26</v>
      </c>
      <c r="H102" s="542">
        <v>0.15</v>
      </c>
      <c r="I102" s="541" t="s">
        <v>24</v>
      </c>
      <c r="J102" s="542" t="s">
        <v>24</v>
      </c>
      <c r="K102" s="543"/>
      <c r="L102" s="543"/>
      <c r="M102" s="490"/>
      <c r="N102" s="490"/>
      <c r="O102" s="490"/>
      <c r="P102" s="490"/>
      <c r="Q102" s="490"/>
      <c r="R102" s="490"/>
      <c r="S102" s="490"/>
      <c r="T102" s="490"/>
      <c r="U102" s="490"/>
      <c r="V102" s="490"/>
      <c r="W102" s="490"/>
      <c r="X102" s="490"/>
      <c r="Y102" s="490"/>
      <c r="Z102" s="490"/>
      <c r="AA102" s="490"/>
      <c r="AB102" s="490"/>
      <c r="AC102" s="490"/>
      <c r="AD102" s="490"/>
      <c r="AE102" s="490"/>
      <c r="AF102" s="490"/>
      <c r="AG102" s="490"/>
      <c r="AH102" s="490"/>
      <c r="AI102" s="490"/>
      <c r="AJ102" s="490"/>
      <c r="AK102" s="490"/>
      <c r="AL102" s="490"/>
      <c r="AM102" s="490"/>
      <c r="AN102" s="490"/>
      <c r="AO102" s="490"/>
      <c r="AP102" s="490"/>
      <c r="AQ102" s="490"/>
      <c r="AR102" s="490"/>
      <c r="AS102" s="490"/>
      <c r="AT102" s="490"/>
      <c r="AU102" s="490"/>
      <c r="AV102" s="490"/>
      <c r="AW102" s="490"/>
      <c r="AX102" s="490"/>
      <c r="AY102" s="490"/>
      <c r="AZ102" s="490"/>
      <c r="BA102" s="490"/>
      <c r="BB102" s="490"/>
      <c r="BC102" s="490"/>
      <c r="BD102" s="490"/>
      <c r="BE102" s="490"/>
      <c r="BF102" s="490"/>
      <c r="BG102" s="490"/>
      <c r="BH102" s="490"/>
      <c r="BI102" s="490"/>
      <c r="BJ102" s="490"/>
      <c r="BK102" s="490"/>
      <c r="BL102" s="490"/>
      <c r="BM102" s="490"/>
      <c r="BN102" s="490"/>
      <c r="BO102" s="490"/>
      <c r="BP102" s="490"/>
      <c r="BQ102" s="490"/>
      <c r="BR102" s="490"/>
      <c r="BS102" s="490"/>
      <c r="BT102" s="490"/>
      <c r="BU102" s="490"/>
      <c r="BV102" s="490"/>
      <c r="BW102" s="490"/>
      <c r="BX102" s="490"/>
      <c r="BY102" s="490"/>
      <c r="BZ102" s="490"/>
      <c r="CA102" s="490"/>
      <c r="CB102" s="490"/>
      <c r="CC102" s="490"/>
      <c r="CD102" s="490"/>
      <c r="CE102" s="490"/>
      <c r="CF102" s="490"/>
      <c r="CG102" s="490"/>
      <c r="CH102" s="490"/>
      <c r="CI102" s="490"/>
      <c r="CJ102" s="490"/>
      <c r="CK102" s="490"/>
      <c r="CL102" s="490"/>
      <c r="CM102" s="490"/>
      <c r="CN102" s="490"/>
      <c r="CO102" s="490"/>
      <c r="CP102" s="490"/>
      <c r="CQ102" s="490"/>
      <c r="CR102" s="490"/>
      <c r="CS102" s="490"/>
      <c r="CT102" s="490"/>
      <c r="CU102" s="490"/>
      <c r="CV102" s="490"/>
      <c r="CW102" s="490"/>
      <c r="CX102" s="490"/>
      <c r="CY102" s="490"/>
      <c r="CZ102" s="490"/>
      <c r="DA102" s="490"/>
      <c r="DB102" s="490"/>
      <c r="DC102" s="490"/>
      <c r="DD102" s="490"/>
      <c r="DE102" s="490"/>
      <c r="DF102" s="490"/>
      <c r="DG102" s="490"/>
      <c r="DH102" s="490"/>
      <c r="DI102" s="490"/>
      <c r="DJ102" s="490"/>
      <c r="DK102" s="490"/>
      <c r="DL102" s="490"/>
      <c r="DM102" s="490"/>
      <c r="DN102" s="490"/>
      <c r="DO102" s="490"/>
      <c r="DP102" s="490"/>
      <c r="DQ102" s="490"/>
      <c r="DR102" s="490"/>
      <c r="DS102" s="490"/>
      <c r="DT102" s="490"/>
      <c r="DU102" s="490"/>
      <c r="DV102" s="490"/>
      <c r="DW102" s="490"/>
      <c r="DX102" s="490"/>
      <c r="DY102" s="490"/>
      <c r="DZ102" s="490"/>
      <c r="EA102" s="490"/>
      <c r="EB102" s="490"/>
      <c r="EC102" s="490"/>
      <c r="ED102" s="490"/>
      <c r="EE102" s="490"/>
      <c r="EF102" s="490"/>
      <c r="EG102" s="490"/>
      <c r="EH102" s="490"/>
      <c r="EI102" s="490"/>
      <c r="EJ102" s="490"/>
      <c r="EK102" s="490"/>
      <c r="EL102" s="490"/>
      <c r="EM102" s="490"/>
      <c r="EN102" s="490"/>
      <c r="EO102" s="490"/>
      <c r="EP102" s="490"/>
      <c r="EQ102" s="490"/>
      <c r="ER102" s="490"/>
      <c r="ES102" s="490"/>
      <c r="ET102" s="490"/>
      <c r="EU102" s="490"/>
      <c r="EV102" s="490"/>
      <c r="EW102" s="490"/>
      <c r="EX102" s="490"/>
      <c r="EY102" s="490"/>
      <c r="EZ102" s="490"/>
      <c r="FA102" s="490"/>
      <c r="FB102" s="490"/>
      <c r="FC102" s="490"/>
      <c r="FD102" s="490"/>
      <c r="FE102" s="490"/>
      <c r="FF102" s="490"/>
      <c r="FG102" s="490"/>
      <c r="FH102" s="490"/>
      <c r="FI102" s="490"/>
      <c r="FJ102" s="490"/>
      <c r="FK102" s="490"/>
      <c r="FL102" s="490"/>
      <c r="FM102" s="490"/>
      <c r="FN102" s="490"/>
    </row>
    <row r="103" s="492" customFormat="1" spans="1:170">
      <c r="A103" s="519">
        <v>46063</v>
      </c>
      <c r="B103" s="509" t="s">
        <v>737</v>
      </c>
      <c r="C103" s="538">
        <v>10</v>
      </c>
      <c r="D103" s="509" t="s">
        <v>177</v>
      </c>
      <c r="E103" s="509" t="s">
        <v>14</v>
      </c>
      <c r="F103" s="515" t="s">
        <v>73</v>
      </c>
      <c r="G103" s="542">
        <v>1.04</v>
      </c>
      <c r="H103" s="542">
        <v>8.7</v>
      </c>
      <c r="I103" s="541" t="s">
        <v>17</v>
      </c>
      <c r="J103" s="542">
        <v>1.87</v>
      </c>
      <c r="K103" s="543" t="s">
        <v>601</v>
      </c>
      <c r="L103" s="543" t="s">
        <v>89</v>
      </c>
      <c r="M103" s="490"/>
      <c r="N103" s="490"/>
      <c r="O103" s="490"/>
      <c r="P103" s="490"/>
      <c r="Q103" s="490"/>
      <c r="R103" s="490"/>
      <c r="S103" s="490"/>
      <c r="T103" s="490"/>
      <c r="U103" s="490"/>
      <c r="V103" s="490"/>
      <c r="W103" s="490"/>
      <c r="X103" s="490"/>
      <c r="Y103" s="490"/>
      <c r="Z103" s="490"/>
      <c r="AA103" s="490"/>
      <c r="AB103" s="490"/>
      <c r="AC103" s="490"/>
      <c r="AD103" s="490"/>
      <c r="AE103" s="490"/>
      <c r="AF103" s="490"/>
      <c r="AG103" s="490"/>
      <c r="AH103" s="490"/>
      <c r="AI103" s="490"/>
      <c r="AJ103" s="490"/>
      <c r="AK103" s="490"/>
      <c r="AL103" s="490"/>
      <c r="AM103" s="490"/>
      <c r="AN103" s="490"/>
      <c r="AO103" s="490"/>
      <c r="AP103" s="490"/>
      <c r="AQ103" s="490"/>
      <c r="AR103" s="490"/>
      <c r="AS103" s="490"/>
      <c r="AT103" s="490"/>
      <c r="AU103" s="490"/>
      <c r="AV103" s="490"/>
      <c r="AW103" s="490"/>
      <c r="AX103" s="490"/>
      <c r="AY103" s="490"/>
      <c r="AZ103" s="490"/>
      <c r="BA103" s="490"/>
      <c r="BB103" s="490"/>
      <c r="BC103" s="490"/>
      <c r="BD103" s="490"/>
      <c r="BE103" s="490"/>
      <c r="BF103" s="490"/>
      <c r="BG103" s="490"/>
      <c r="BH103" s="490"/>
      <c r="BI103" s="490"/>
      <c r="BJ103" s="490"/>
      <c r="BK103" s="490"/>
      <c r="BL103" s="490"/>
      <c r="BM103" s="490"/>
      <c r="BN103" s="490"/>
      <c r="BO103" s="490"/>
      <c r="BP103" s="490"/>
      <c r="BQ103" s="490"/>
      <c r="BR103" s="490"/>
      <c r="BS103" s="490"/>
      <c r="BT103" s="490"/>
      <c r="BU103" s="490"/>
      <c r="BV103" s="490"/>
      <c r="BW103" s="490"/>
      <c r="BX103" s="490"/>
      <c r="BY103" s="490"/>
      <c r="BZ103" s="490"/>
      <c r="CA103" s="490"/>
      <c r="CB103" s="490"/>
      <c r="CC103" s="490"/>
      <c r="CD103" s="490"/>
      <c r="CE103" s="490"/>
      <c r="CF103" s="490"/>
      <c r="CG103" s="490"/>
      <c r="CH103" s="490"/>
      <c r="CI103" s="490"/>
      <c r="CJ103" s="490"/>
      <c r="CK103" s="490"/>
      <c r="CL103" s="490"/>
      <c r="CM103" s="490"/>
      <c r="CN103" s="490"/>
      <c r="CO103" s="490"/>
      <c r="CP103" s="490"/>
      <c r="CQ103" s="490"/>
      <c r="CR103" s="490"/>
      <c r="CS103" s="490"/>
      <c r="CT103" s="490"/>
      <c r="CU103" s="490"/>
      <c r="CV103" s="490"/>
      <c r="CW103" s="490"/>
      <c r="CX103" s="490"/>
      <c r="CY103" s="490"/>
      <c r="CZ103" s="490"/>
      <c r="DA103" s="490"/>
      <c r="DB103" s="490"/>
      <c r="DC103" s="490"/>
      <c r="DD103" s="490"/>
      <c r="DE103" s="490"/>
      <c r="DF103" s="490"/>
      <c r="DG103" s="490"/>
      <c r="DH103" s="490"/>
      <c r="DI103" s="490"/>
      <c r="DJ103" s="490"/>
      <c r="DK103" s="490"/>
      <c r="DL103" s="490"/>
      <c r="DM103" s="490"/>
      <c r="DN103" s="490"/>
      <c r="DO103" s="490"/>
      <c r="DP103" s="490"/>
      <c r="DQ103" s="490"/>
      <c r="DR103" s="490"/>
      <c r="DS103" s="490"/>
      <c r="DT103" s="490"/>
      <c r="DU103" s="490"/>
      <c r="DV103" s="490"/>
      <c r="DW103" s="490"/>
      <c r="DX103" s="490"/>
      <c r="DY103" s="490"/>
      <c r="DZ103" s="490"/>
      <c r="EA103" s="490"/>
      <c r="EB103" s="490"/>
      <c r="EC103" s="490"/>
      <c r="ED103" s="490"/>
      <c r="EE103" s="490"/>
      <c r="EF103" s="490"/>
      <c r="EG103" s="490"/>
      <c r="EH103" s="490"/>
      <c r="EI103" s="490"/>
      <c r="EJ103" s="490"/>
      <c r="EK103" s="490"/>
      <c r="EL103" s="490"/>
      <c r="EM103" s="490"/>
      <c r="EN103" s="490"/>
      <c r="EO103" s="490"/>
      <c r="EP103" s="490"/>
      <c r="EQ103" s="490"/>
      <c r="ER103" s="490"/>
      <c r="ES103" s="490"/>
      <c r="ET103" s="490"/>
      <c r="EU103" s="490"/>
      <c r="EV103" s="490"/>
      <c r="EW103" s="490"/>
      <c r="EX103" s="490"/>
      <c r="EY103" s="490"/>
      <c r="EZ103" s="490"/>
      <c r="FA103" s="490"/>
      <c r="FB103" s="490"/>
      <c r="FC103" s="490"/>
      <c r="FD103" s="490"/>
      <c r="FE103" s="490"/>
      <c r="FF103" s="490"/>
      <c r="FG103" s="490"/>
      <c r="FH103" s="490"/>
      <c r="FI103" s="490"/>
      <c r="FJ103" s="490"/>
      <c r="FK103" s="490"/>
      <c r="FL103" s="490"/>
      <c r="FM103" s="490"/>
      <c r="FN103" s="490"/>
    </row>
    <row r="104" s="492" customFormat="1" spans="1:170">
      <c r="A104" s="519"/>
      <c r="B104" s="509"/>
      <c r="C104" s="538"/>
      <c r="D104" s="509"/>
      <c r="E104" s="509"/>
      <c r="F104" s="515" t="s">
        <v>75</v>
      </c>
      <c r="G104" s="542">
        <v>1.04</v>
      </c>
      <c r="H104" s="542">
        <v>0.5</v>
      </c>
      <c r="I104" s="541" t="s">
        <v>22</v>
      </c>
      <c r="J104" s="542">
        <v>1.9</v>
      </c>
      <c r="K104" s="543"/>
      <c r="L104" s="543"/>
      <c r="M104" s="490"/>
      <c r="N104" s="490"/>
      <c r="O104" s="490"/>
      <c r="P104" s="490"/>
      <c r="Q104" s="490"/>
      <c r="R104" s="490"/>
      <c r="S104" s="490"/>
      <c r="T104" s="490"/>
      <c r="U104" s="490"/>
      <c r="V104" s="490"/>
      <c r="W104" s="490"/>
      <c r="X104" s="490"/>
      <c r="Y104" s="490"/>
      <c r="Z104" s="490"/>
      <c r="AA104" s="490"/>
      <c r="AB104" s="490"/>
      <c r="AC104" s="490"/>
      <c r="AD104" s="490"/>
      <c r="AE104" s="490"/>
      <c r="AF104" s="490"/>
      <c r="AG104" s="490"/>
      <c r="AH104" s="490"/>
      <c r="AI104" s="490"/>
      <c r="AJ104" s="490"/>
      <c r="AK104" s="490"/>
      <c r="AL104" s="490"/>
      <c r="AM104" s="490"/>
      <c r="AN104" s="490"/>
      <c r="AO104" s="490"/>
      <c r="AP104" s="490"/>
      <c r="AQ104" s="490"/>
      <c r="AR104" s="490"/>
      <c r="AS104" s="490"/>
      <c r="AT104" s="490"/>
      <c r="AU104" s="490"/>
      <c r="AV104" s="490"/>
      <c r="AW104" s="490"/>
      <c r="AX104" s="490"/>
      <c r="AY104" s="490"/>
      <c r="AZ104" s="490"/>
      <c r="BA104" s="490"/>
      <c r="BB104" s="490"/>
      <c r="BC104" s="490"/>
      <c r="BD104" s="490"/>
      <c r="BE104" s="490"/>
      <c r="BF104" s="490"/>
      <c r="BG104" s="490"/>
      <c r="BH104" s="490"/>
      <c r="BI104" s="490"/>
      <c r="BJ104" s="490"/>
      <c r="BK104" s="490"/>
      <c r="BL104" s="490"/>
      <c r="BM104" s="490"/>
      <c r="BN104" s="490"/>
      <c r="BO104" s="490"/>
      <c r="BP104" s="490"/>
      <c r="BQ104" s="490"/>
      <c r="BR104" s="490"/>
      <c r="BS104" s="490"/>
      <c r="BT104" s="490"/>
      <c r="BU104" s="490"/>
      <c r="BV104" s="490"/>
      <c r="BW104" s="490"/>
      <c r="BX104" s="490"/>
      <c r="BY104" s="490"/>
      <c r="BZ104" s="490"/>
      <c r="CA104" s="490"/>
      <c r="CB104" s="490"/>
      <c r="CC104" s="490"/>
      <c r="CD104" s="490"/>
      <c r="CE104" s="490"/>
      <c r="CF104" s="490"/>
      <c r="CG104" s="490"/>
      <c r="CH104" s="490"/>
      <c r="CI104" s="490"/>
      <c r="CJ104" s="490"/>
      <c r="CK104" s="490"/>
      <c r="CL104" s="490"/>
      <c r="CM104" s="490"/>
      <c r="CN104" s="490"/>
      <c r="CO104" s="490"/>
      <c r="CP104" s="490"/>
      <c r="CQ104" s="490"/>
      <c r="CR104" s="490"/>
      <c r="CS104" s="490"/>
      <c r="CT104" s="490"/>
      <c r="CU104" s="490"/>
      <c r="CV104" s="490"/>
      <c r="CW104" s="490"/>
      <c r="CX104" s="490"/>
      <c r="CY104" s="490"/>
      <c r="CZ104" s="490"/>
      <c r="DA104" s="490"/>
      <c r="DB104" s="490"/>
      <c r="DC104" s="490"/>
      <c r="DD104" s="490"/>
      <c r="DE104" s="490"/>
      <c r="DF104" s="490"/>
      <c r="DG104" s="490"/>
      <c r="DH104" s="490"/>
      <c r="DI104" s="490"/>
      <c r="DJ104" s="490"/>
      <c r="DK104" s="490"/>
      <c r="DL104" s="490"/>
      <c r="DM104" s="490"/>
      <c r="DN104" s="490"/>
      <c r="DO104" s="490"/>
      <c r="DP104" s="490"/>
      <c r="DQ104" s="490"/>
      <c r="DR104" s="490"/>
      <c r="DS104" s="490"/>
      <c r="DT104" s="490"/>
      <c r="DU104" s="490"/>
      <c r="DV104" s="490"/>
      <c r="DW104" s="490"/>
      <c r="DX104" s="490"/>
      <c r="DY104" s="490"/>
      <c r="DZ104" s="490"/>
      <c r="EA104" s="490"/>
      <c r="EB104" s="490"/>
      <c r="EC104" s="490"/>
      <c r="ED104" s="490"/>
      <c r="EE104" s="490"/>
      <c r="EF104" s="490"/>
      <c r="EG104" s="490"/>
      <c r="EH104" s="490"/>
      <c r="EI104" s="490"/>
      <c r="EJ104" s="490"/>
      <c r="EK104" s="490"/>
      <c r="EL104" s="490"/>
      <c r="EM104" s="490"/>
      <c r="EN104" s="490"/>
      <c r="EO104" s="490"/>
      <c r="EP104" s="490"/>
      <c r="EQ104" s="490"/>
      <c r="ER104" s="490"/>
      <c r="ES104" s="490"/>
      <c r="ET104" s="490"/>
      <c r="EU104" s="490"/>
      <c r="EV104" s="490"/>
      <c r="EW104" s="490"/>
      <c r="EX104" s="490"/>
      <c r="EY104" s="490"/>
      <c r="EZ104" s="490"/>
      <c r="FA104" s="490"/>
      <c r="FB104" s="490"/>
      <c r="FC104" s="490"/>
      <c r="FD104" s="490"/>
      <c r="FE104" s="490"/>
      <c r="FF104" s="490"/>
      <c r="FG104" s="490"/>
      <c r="FH104" s="490"/>
      <c r="FI104" s="490"/>
      <c r="FJ104" s="490"/>
      <c r="FK104" s="490"/>
      <c r="FL104" s="490"/>
      <c r="FM104" s="490"/>
      <c r="FN104" s="490"/>
    </row>
    <row r="105" s="492" customFormat="1" spans="1:170">
      <c r="A105" s="519"/>
      <c r="B105" s="509"/>
      <c r="C105" s="538"/>
      <c r="D105" s="509"/>
      <c r="E105" s="509"/>
      <c r="F105" s="515" t="s">
        <v>91</v>
      </c>
      <c r="G105" s="542">
        <v>1.88</v>
      </c>
      <c r="H105" s="542">
        <v>0.8</v>
      </c>
      <c r="I105" s="541" t="s">
        <v>24</v>
      </c>
      <c r="J105" s="542" t="s">
        <v>24</v>
      </c>
      <c r="K105" s="543"/>
      <c r="L105" s="543"/>
      <c r="M105" s="490"/>
      <c r="N105" s="490"/>
      <c r="O105" s="490"/>
      <c r="P105" s="490"/>
      <c r="Q105" s="490"/>
      <c r="R105" s="490"/>
      <c r="S105" s="490"/>
      <c r="T105" s="490"/>
      <c r="U105" s="490"/>
      <c r="V105" s="490"/>
      <c r="W105" s="490"/>
      <c r="X105" s="490"/>
      <c r="Y105" s="490"/>
      <c r="Z105" s="490"/>
      <c r="AA105" s="490"/>
      <c r="AB105" s="490"/>
      <c r="AC105" s="490"/>
      <c r="AD105" s="490"/>
      <c r="AE105" s="490"/>
      <c r="AF105" s="490"/>
      <c r="AG105" s="490"/>
      <c r="AH105" s="490"/>
      <c r="AI105" s="490"/>
      <c r="AJ105" s="490"/>
      <c r="AK105" s="490"/>
      <c r="AL105" s="490"/>
      <c r="AM105" s="490"/>
      <c r="AN105" s="490"/>
      <c r="AO105" s="490"/>
      <c r="AP105" s="490"/>
      <c r="AQ105" s="490"/>
      <c r="AR105" s="490"/>
      <c r="AS105" s="490"/>
      <c r="AT105" s="490"/>
      <c r="AU105" s="490"/>
      <c r="AV105" s="490"/>
      <c r="AW105" s="490"/>
      <c r="AX105" s="490"/>
      <c r="AY105" s="490"/>
      <c r="AZ105" s="490"/>
      <c r="BA105" s="490"/>
      <c r="BB105" s="490"/>
      <c r="BC105" s="490"/>
      <c r="BD105" s="490"/>
      <c r="BE105" s="490"/>
      <c r="BF105" s="490"/>
      <c r="BG105" s="490"/>
      <c r="BH105" s="490"/>
      <c r="BI105" s="490"/>
      <c r="BJ105" s="490"/>
      <c r="BK105" s="490"/>
      <c r="BL105" s="490"/>
      <c r="BM105" s="490"/>
      <c r="BN105" s="490"/>
      <c r="BO105" s="490"/>
      <c r="BP105" s="490"/>
      <c r="BQ105" s="490"/>
      <c r="BR105" s="490"/>
      <c r="BS105" s="490"/>
      <c r="BT105" s="490"/>
      <c r="BU105" s="490"/>
      <c r="BV105" s="490"/>
      <c r="BW105" s="490"/>
      <c r="BX105" s="490"/>
      <c r="BY105" s="490"/>
      <c r="BZ105" s="490"/>
      <c r="CA105" s="490"/>
      <c r="CB105" s="490"/>
      <c r="CC105" s="490"/>
      <c r="CD105" s="490"/>
      <c r="CE105" s="490"/>
      <c r="CF105" s="490"/>
      <c r="CG105" s="490"/>
      <c r="CH105" s="490"/>
      <c r="CI105" s="490"/>
      <c r="CJ105" s="490"/>
      <c r="CK105" s="490"/>
      <c r="CL105" s="490"/>
      <c r="CM105" s="490"/>
      <c r="CN105" s="490"/>
      <c r="CO105" s="490"/>
      <c r="CP105" s="490"/>
      <c r="CQ105" s="490"/>
      <c r="CR105" s="490"/>
      <c r="CS105" s="490"/>
      <c r="CT105" s="490"/>
      <c r="CU105" s="490"/>
      <c r="CV105" s="490"/>
      <c r="CW105" s="490"/>
      <c r="CX105" s="490"/>
      <c r="CY105" s="490"/>
      <c r="CZ105" s="490"/>
      <c r="DA105" s="490"/>
      <c r="DB105" s="490"/>
      <c r="DC105" s="490"/>
      <c r="DD105" s="490"/>
      <c r="DE105" s="490"/>
      <c r="DF105" s="490"/>
      <c r="DG105" s="490"/>
      <c r="DH105" s="490"/>
      <c r="DI105" s="490"/>
      <c r="DJ105" s="490"/>
      <c r="DK105" s="490"/>
      <c r="DL105" s="490"/>
      <c r="DM105" s="490"/>
      <c r="DN105" s="490"/>
      <c r="DO105" s="490"/>
      <c r="DP105" s="490"/>
      <c r="DQ105" s="490"/>
      <c r="DR105" s="490"/>
      <c r="DS105" s="490"/>
      <c r="DT105" s="490"/>
      <c r="DU105" s="490"/>
      <c r="DV105" s="490"/>
      <c r="DW105" s="490"/>
      <c r="DX105" s="490"/>
      <c r="DY105" s="490"/>
      <c r="DZ105" s="490"/>
      <c r="EA105" s="490"/>
      <c r="EB105" s="490"/>
      <c r="EC105" s="490"/>
      <c r="ED105" s="490"/>
      <c r="EE105" s="490"/>
      <c r="EF105" s="490"/>
      <c r="EG105" s="490"/>
      <c r="EH105" s="490"/>
      <c r="EI105" s="490"/>
      <c r="EJ105" s="490"/>
      <c r="EK105" s="490"/>
      <c r="EL105" s="490"/>
      <c r="EM105" s="490"/>
      <c r="EN105" s="490"/>
      <c r="EO105" s="490"/>
      <c r="EP105" s="490"/>
      <c r="EQ105" s="490"/>
      <c r="ER105" s="490"/>
      <c r="ES105" s="490"/>
      <c r="ET105" s="490"/>
      <c r="EU105" s="490"/>
      <c r="EV105" s="490"/>
      <c r="EW105" s="490"/>
      <c r="EX105" s="490"/>
      <c r="EY105" s="490"/>
      <c r="EZ105" s="490"/>
      <c r="FA105" s="490"/>
      <c r="FB105" s="490"/>
      <c r="FC105" s="490"/>
      <c r="FD105" s="490"/>
      <c r="FE105" s="490"/>
      <c r="FF105" s="490"/>
      <c r="FG105" s="490"/>
      <c r="FH105" s="490"/>
      <c r="FI105" s="490"/>
      <c r="FJ105" s="490"/>
      <c r="FK105" s="490"/>
      <c r="FL105" s="490"/>
      <c r="FM105" s="490"/>
      <c r="FN105" s="490"/>
    </row>
    <row r="106" s="492" customFormat="1" spans="1:170">
      <c r="A106" s="519">
        <v>46064</v>
      </c>
      <c r="B106" s="509" t="s">
        <v>738</v>
      </c>
      <c r="C106" s="538">
        <v>10</v>
      </c>
      <c r="D106" s="509" t="s">
        <v>177</v>
      </c>
      <c r="E106" s="509" t="s">
        <v>14</v>
      </c>
      <c r="F106" s="544" t="s">
        <v>73</v>
      </c>
      <c r="G106" s="542">
        <v>1.04</v>
      </c>
      <c r="H106" s="542">
        <v>8.7</v>
      </c>
      <c r="I106" s="541" t="s">
        <v>17</v>
      </c>
      <c r="J106" s="542">
        <v>1.87</v>
      </c>
      <c r="K106" s="543" t="s">
        <v>601</v>
      </c>
      <c r="L106" s="543" t="s">
        <v>89</v>
      </c>
      <c r="M106" s="490"/>
      <c r="N106" s="490"/>
      <c r="O106" s="490"/>
      <c r="P106" s="490"/>
      <c r="Q106" s="490"/>
      <c r="R106" s="490"/>
      <c r="S106" s="490"/>
      <c r="T106" s="490"/>
      <c r="U106" s="490"/>
      <c r="V106" s="490"/>
      <c r="W106" s="490"/>
      <c r="X106" s="490"/>
      <c r="Y106" s="490"/>
      <c r="Z106" s="490"/>
      <c r="AA106" s="490"/>
      <c r="AB106" s="490"/>
      <c r="AC106" s="490"/>
      <c r="AD106" s="490"/>
      <c r="AE106" s="490"/>
      <c r="AF106" s="490"/>
      <c r="AG106" s="490"/>
      <c r="AH106" s="490"/>
      <c r="AI106" s="490"/>
      <c r="AJ106" s="490"/>
      <c r="AK106" s="490"/>
      <c r="AL106" s="490"/>
      <c r="AM106" s="490"/>
      <c r="AN106" s="490"/>
      <c r="AO106" s="490"/>
      <c r="AP106" s="490"/>
      <c r="AQ106" s="490"/>
      <c r="AR106" s="490"/>
      <c r="AS106" s="490"/>
      <c r="AT106" s="490"/>
      <c r="AU106" s="490"/>
      <c r="AV106" s="490"/>
      <c r="AW106" s="490"/>
      <c r="AX106" s="490"/>
      <c r="AY106" s="490"/>
      <c r="AZ106" s="490"/>
      <c r="BA106" s="490"/>
      <c r="BB106" s="490"/>
      <c r="BC106" s="490"/>
      <c r="BD106" s="490"/>
      <c r="BE106" s="490"/>
      <c r="BF106" s="490"/>
      <c r="BG106" s="490"/>
      <c r="BH106" s="490"/>
      <c r="BI106" s="490"/>
      <c r="BJ106" s="490"/>
      <c r="BK106" s="490"/>
      <c r="BL106" s="490"/>
      <c r="BM106" s="490"/>
      <c r="BN106" s="490"/>
      <c r="BO106" s="490"/>
      <c r="BP106" s="490"/>
      <c r="BQ106" s="490"/>
      <c r="BR106" s="490"/>
      <c r="BS106" s="490"/>
      <c r="BT106" s="490"/>
      <c r="BU106" s="490"/>
      <c r="BV106" s="490"/>
      <c r="BW106" s="490"/>
      <c r="BX106" s="490"/>
      <c r="BY106" s="490"/>
      <c r="BZ106" s="490"/>
      <c r="CA106" s="490"/>
      <c r="CB106" s="490"/>
      <c r="CC106" s="490"/>
      <c r="CD106" s="490"/>
      <c r="CE106" s="490"/>
      <c r="CF106" s="490"/>
      <c r="CG106" s="490"/>
      <c r="CH106" s="490"/>
      <c r="CI106" s="490"/>
      <c r="CJ106" s="490"/>
      <c r="CK106" s="490"/>
      <c r="CL106" s="490"/>
      <c r="CM106" s="490"/>
      <c r="CN106" s="490"/>
      <c r="CO106" s="490"/>
      <c r="CP106" s="490"/>
      <c r="CQ106" s="490"/>
      <c r="CR106" s="490"/>
      <c r="CS106" s="490"/>
      <c r="CT106" s="490"/>
      <c r="CU106" s="490"/>
      <c r="CV106" s="490"/>
      <c r="CW106" s="490"/>
      <c r="CX106" s="490"/>
      <c r="CY106" s="490"/>
      <c r="CZ106" s="490"/>
      <c r="DA106" s="490"/>
      <c r="DB106" s="490"/>
      <c r="DC106" s="490"/>
      <c r="DD106" s="490"/>
      <c r="DE106" s="490"/>
      <c r="DF106" s="490"/>
      <c r="DG106" s="490"/>
      <c r="DH106" s="490"/>
      <c r="DI106" s="490"/>
      <c r="DJ106" s="490"/>
      <c r="DK106" s="490"/>
      <c r="DL106" s="490"/>
      <c r="DM106" s="490"/>
      <c r="DN106" s="490"/>
      <c r="DO106" s="490"/>
      <c r="DP106" s="490"/>
      <c r="DQ106" s="490"/>
      <c r="DR106" s="490"/>
      <c r="DS106" s="490"/>
      <c r="DT106" s="490"/>
      <c r="DU106" s="490"/>
      <c r="DV106" s="490"/>
      <c r="DW106" s="490"/>
      <c r="DX106" s="490"/>
      <c r="DY106" s="490"/>
      <c r="DZ106" s="490"/>
      <c r="EA106" s="490"/>
      <c r="EB106" s="490"/>
      <c r="EC106" s="490"/>
      <c r="ED106" s="490"/>
      <c r="EE106" s="490"/>
      <c r="EF106" s="490"/>
      <c r="EG106" s="490"/>
      <c r="EH106" s="490"/>
      <c r="EI106" s="490"/>
      <c r="EJ106" s="490"/>
      <c r="EK106" s="490"/>
      <c r="EL106" s="490"/>
      <c r="EM106" s="490"/>
      <c r="EN106" s="490"/>
      <c r="EO106" s="490"/>
      <c r="EP106" s="490"/>
      <c r="EQ106" s="490"/>
      <c r="ER106" s="490"/>
      <c r="ES106" s="490"/>
      <c r="ET106" s="490"/>
      <c r="EU106" s="490"/>
      <c r="EV106" s="490"/>
      <c r="EW106" s="490"/>
      <c r="EX106" s="490"/>
      <c r="EY106" s="490"/>
      <c r="EZ106" s="490"/>
      <c r="FA106" s="490"/>
      <c r="FB106" s="490"/>
      <c r="FC106" s="490"/>
      <c r="FD106" s="490"/>
      <c r="FE106" s="490"/>
      <c r="FF106" s="490"/>
      <c r="FG106" s="490"/>
      <c r="FH106" s="490"/>
      <c r="FI106" s="490"/>
      <c r="FJ106" s="490"/>
      <c r="FK106" s="490"/>
      <c r="FL106" s="490"/>
      <c r="FM106" s="490"/>
      <c r="FN106" s="490"/>
    </row>
    <row r="107" s="492" customFormat="1" spans="1:170">
      <c r="A107" s="519"/>
      <c r="B107" s="509"/>
      <c r="C107" s="538"/>
      <c r="D107" s="509"/>
      <c r="E107" s="509"/>
      <c r="F107" s="544" t="s">
        <v>75</v>
      </c>
      <c r="G107" s="542">
        <v>1.04</v>
      </c>
      <c r="H107" s="542">
        <v>0.5</v>
      </c>
      <c r="I107" s="541" t="s">
        <v>22</v>
      </c>
      <c r="J107" s="542">
        <v>1.9</v>
      </c>
      <c r="K107" s="543"/>
      <c r="L107" s="543"/>
      <c r="M107" s="490"/>
      <c r="N107" s="490"/>
      <c r="O107" s="490"/>
      <c r="P107" s="490"/>
      <c r="Q107" s="490"/>
      <c r="R107" s="490"/>
      <c r="S107" s="490"/>
      <c r="T107" s="490"/>
      <c r="U107" s="490"/>
      <c r="V107" s="490"/>
      <c r="W107" s="490"/>
      <c r="X107" s="490"/>
      <c r="Y107" s="490"/>
      <c r="Z107" s="490"/>
      <c r="AA107" s="490"/>
      <c r="AB107" s="490"/>
      <c r="AC107" s="490"/>
      <c r="AD107" s="490"/>
      <c r="AE107" s="490"/>
      <c r="AF107" s="490"/>
      <c r="AG107" s="490"/>
      <c r="AH107" s="490"/>
      <c r="AI107" s="490"/>
      <c r="AJ107" s="490"/>
      <c r="AK107" s="490"/>
      <c r="AL107" s="490"/>
      <c r="AM107" s="490"/>
      <c r="AN107" s="490"/>
      <c r="AO107" s="490"/>
      <c r="AP107" s="490"/>
      <c r="AQ107" s="490"/>
      <c r="AR107" s="490"/>
      <c r="AS107" s="490"/>
      <c r="AT107" s="490"/>
      <c r="AU107" s="490"/>
      <c r="AV107" s="490"/>
      <c r="AW107" s="490"/>
      <c r="AX107" s="490"/>
      <c r="AY107" s="490"/>
      <c r="AZ107" s="490"/>
      <c r="BA107" s="490"/>
      <c r="BB107" s="490"/>
      <c r="BC107" s="490"/>
      <c r="BD107" s="490"/>
      <c r="BE107" s="490"/>
      <c r="BF107" s="490"/>
      <c r="BG107" s="490"/>
      <c r="BH107" s="490"/>
      <c r="BI107" s="490"/>
      <c r="BJ107" s="490"/>
      <c r="BK107" s="490"/>
      <c r="BL107" s="490"/>
      <c r="BM107" s="490"/>
      <c r="BN107" s="490"/>
      <c r="BO107" s="490"/>
      <c r="BP107" s="490"/>
      <c r="BQ107" s="490"/>
      <c r="BR107" s="490"/>
      <c r="BS107" s="490"/>
      <c r="BT107" s="490"/>
      <c r="BU107" s="490"/>
      <c r="BV107" s="490"/>
      <c r="BW107" s="490"/>
      <c r="BX107" s="490"/>
      <c r="BY107" s="490"/>
      <c r="BZ107" s="490"/>
      <c r="CA107" s="490"/>
      <c r="CB107" s="490"/>
      <c r="CC107" s="490"/>
      <c r="CD107" s="490"/>
      <c r="CE107" s="490"/>
      <c r="CF107" s="490"/>
      <c r="CG107" s="490"/>
      <c r="CH107" s="490"/>
      <c r="CI107" s="490"/>
      <c r="CJ107" s="490"/>
      <c r="CK107" s="490"/>
      <c r="CL107" s="490"/>
      <c r="CM107" s="490"/>
      <c r="CN107" s="490"/>
      <c r="CO107" s="490"/>
      <c r="CP107" s="490"/>
      <c r="CQ107" s="490"/>
      <c r="CR107" s="490"/>
      <c r="CS107" s="490"/>
      <c r="CT107" s="490"/>
      <c r="CU107" s="490"/>
      <c r="CV107" s="490"/>
      <c r="CW107" s="490"/>
      <c r="CX107" s="490"/>
      <c r="CY107" s="490"/>
      <c r="CZ107" s="490"/>
      <c r="DA107" s="490"/>
      <c r="DB107" s="490"/>
      <c r="DC107" s="490"/>
      <c r="DD107" s="490"/>
      <c r="DE107" s="490"/>
      <c r="DF107" s="490"/>
      <c r="DG107" s="490"/>
      <c r="DH107" s="490"/>
      <c r="DI107" s="490"/>
      <c r="DJ107" s="490"/>
      <c r="DK107" s="490"/>
      <c r="DL107" s="490"/>
      <c r="DM107" s="490"/>
      <c r="DN107" s="490"/>
      <c r="DO107" s="490"/>
      <c r="DP107" s="490"/>
      <c r="DQ107" s="490"/>
      <c r="DR107" s="490"/>
      <c r="DS107" s="490"/>
      <c r="DT107" s="490"/>
      <c r="DU107" s="490"/>
      <c r="DV107" s="490"/>
      <c r="DW107" s="490"/>
      <c r="DX107" s="490"/>
      <c r="DY107" s="490"/>
      <c r="DZ107" s="490"/>
      <c r="EA107" s="490"/>
      <c r="EB107" s="490"/>
      <c r="EC107" s="490"/>
      <c r="ED107" s="490"/>
      <c r="EE107" s="490"/>
      <c r="EF107" s="490"/>
      <c r="EG107" s="490"/>
      <c r="EH107" s="490"/>
      <c r="EI107" s="490"/>
      <c r="EJ107" s="490"/>
      <c r="EK107" s="490"/>
      <c r="EL107" s="490"/>
      <c r="EM107" s="490"/>
      <c r="EN107" s="490"/>
      <c r="EO107" s="490"/>
      <c r="EP107" s="490"/>
      <c r="EQ107" s="490"/>
      <c r="ER107" s="490"/>
      <c r="ES107" s="490"/>
      <c r="ET107" s="490"/>
      <c r="EU107" s="490"/>
      <c r="EV107" s="490"/>
      <c r="EW107" s="490"/>
      <c r="EX107" s="490"/>
      <c r="EY107" s="490"/>
      <c r="EZ107" s="490"/>
      <c r="FA107" s="490"/>
      <c r="FB107" s="490"/>
      <c r="FC107" s="490"/>
      <c r="FD107" s="490"/>
      <c r="FE107" s="490"/>
      <c r="FF107" s="490"/>
      <c r="FG107" s="490"/>
      <c r="FH107" s="490"/>
      <c r="FI107" s="490"/>
      <c r="FJ107" s="490"/>
      <c r="FK107" s="490"/>
      <c r="FL107" s="490"/>
      <c r="FM107" s="490"/>
      <c r="FN107" s="490"/>
    </row>
    <row r="108" s="492" customFormat="1" spans="1:170">
      <c r="A108" s="519"/>
      <c r="B108" s="509"/>
      <c r="C108" s="538"/>
      <c r="D108" s="509"/>
      <c r="E108" s="509"/>
      <c r="F108" s="544" t="s">
        <v>91</v>
      </c>
      <c r="G108" s="542">
        <v>1.87</v>
      </c>
      <c r="H108" s="542">
        <v>0.8</v>
      </c>
      <c r="I108" s="541" t="s">
        <v>24</v>
      </c>
      <c r="J108" s="542" t="s">
        <v>24</v>
      </c>
      <c r="K108" s="543"/>
      <c r="L108" s="543"/>
      <c r="M108" s="490"/>
      <c r="N108" s="490"/>
      <c r="O108" s="490"/>
      <c r="P108" s="490"/>
      <c r="Q108" s="490"/>
      <c r="R108" s="490"/>
      <c r="S108" s="490"/>
      <c r="T108" s="490"/>
      <c r="U108" s="490"/>
      <c r="V108" s="490"/>
      <c r="W108" s="490"/>
      <c r="X108" s="490"/>
      <c r="Y108" s="490"/>
      <c r="Z108" s="490"/>
      <c r="AA108" s="490"/>
      <c r="AB108" s="490"/>
      <c r="AC108" s="490"/>
      <c r="AD108" s="490"/>
      <c r="AE108" s="490"/>
      <c r="AF108" s="490"/>
      <c r="AG108" s="490"/>
      <c r="AH108" s="490"/>
      <c r="AI108" s="490"/>
      <c r="AJ108" s="490"/>
      <c r="AK108" s="490"/>
      <c r="AL108" s="490"/>
      <c r="AM108" s="490"/>
      <c r="AN108" s="490"/>
      <c r="AO108" s="490"/>
      <c r="AP108" s="490"/>
      <c r="AQ108" s="490"/>
      <c r="AR108" s="490"/>
      <c r="AS108" s="490"/>
      <c r="AT108" s="490"/>
      <c r="AU108" s="490"/>
      <c r="AV108" s="490"/>
      <c r="AW108" s="490"/>
      <c r="AX108" s="490"/>
      <c r="AY108" s="490"/>
      <c r="AZ108" s="490"/>
      <c r="BA108" s="490"/>
      <c r="BB108" s="490"/>
      <c r="BC108" s="490"/>
      <c r="BD108" s="490"/>
      <c r="BE108" s="490"/>
      <c r="BF108" s="490"/>
      <c r="BG108" s="490"/>
      <c r="BH108" s="490"/>
      <c r="BI108" s="490"/>
      <c r="BJ108" s="490"/>
      <c r="BK108" s="490"/>
      <c r="BL108" s="490"/>
      <c r="BM108" s="490"/>
      <c r="BN108" s="490"/>
      <c r="BO108" s="490"/>
      <c r="BP108" s="490"/>
      <c r="BQ108" s="490"/>
      <c r="BR108" s="490"/>
      <c r="BS108" s="490"/>
      <c r="BT108" s="490"/>
      <c r="BU108" s="490"/>
      <c r="BV108" s="490"/>
      <c r="BW108" s="490"/>
      <c r="BX108" s="490"/>
      <c r="BY108" s="490"/>
      <c r="BZ108" s="490"/>
      <c r="CA108" s="490"/>
      <c r="CB108" s="490"/>
      <c r="CC108" s="490"/>
      <c r="CD108" s="490"/>
      <c r="CE108" s="490"/>
      <c r="CF108" s="490"/>
      <c r="CG108" s="490"/>
      <c r="CH108" s="490"/>
      <c r="CI108" s="490"/>
      <c r="CJ108" s="490"/>
      <c r="CK108" s="490"/>
      <c r="CL108" s="490"/>
      <c r="CM108" s="490"/>
      <c r="CN108" s="490"/>
      <c r="CO108" s="490"/>
      <c r="CP108" s="490"/>
      <c r="CQ108" s="490"/>
      <c r="CR108" s="490"/>
      <c r="CS108" s="490"/>
      <c r="CT108" s="490"/>
      <c r="CU108" s="490"/>
      <c r="CV108" s="490"/>
      <c r="CW108" s="490"/>
      <c r="CX108" s="490"/>
      <c r="CY108" s="490"/>
      <c r="CZ108" s="490"/>
      <c r="DA108" s="490"/>
      <c r="DB108" s="490"/>
      <c r="DC108" s="490"/>
      <c r="DD108" s="490"/>
      <c r="DE108" s="490"/>
      <c r="DF108" s="490"/>
      <c r="DG108" s="490"/>
      <c r="DH108" s="490"/>
      <c r="DI108" s="490"/>
      <c r="DJ108" s="490"/>
      <c r="DK108" s="490"/>
      <c r="DL108" s="490"/>
      <c r="DM108" s="490"/>
      <c r="DN108" s="490"/>
      <c r="DO108" s="490"/>
      <c r="DP108" s="490"/>
      <c r="DQ108" s="490"/>
      <c r="DR108" s="490"/>
      <c r="DS108" s="490"/>
      <c r="DT108" s="490"/>
      <c r="DU108" s="490"/>
      <c r="DV108" s="490"/>
      <c r="DW108" s="490"/>
      <c r="DX108" s="490"/>
      <c r="DY108" s="490"/>
      <c r="DZ108" s="490"/>
      <c r="EA108" s="490"/>
      <c r="EB108" s="490"/>
      <c r="EC108" s="490"/>
      <c r="ED108" s="490"/>
      <c r="EE108" s="490"/>
      <c r="EF108" s="490"/>
      <c r="EG108" s="490"/>
      <c r="EH108" s="490"/>
      <c r="EI108" s="490"/>
      <c r="EJ108" s="490"/>
      <c r="EK108" s="490"/>
      <c r="EL108" s="490"/>
      <c r="EM108" s="490"/>
      <c r="EN108" s="490"/>
      <c r="EO108" s="490"/>
      <c r="EP108" s="490"/>
      <c r="EQ108" s="490"/>
      <c r="ER108" s="490"/>
      <c r="ES108" s="490"/>
      <c r="ET108" s="490"/>
      <c r="EU108" s="490"/>
      <c r="EV108" s="490"/>
      <c r="EW108" s="490"/>
      <c r="EX108" s="490"/>
      <c r="EY108" s="490"/>
      <c r="EZ108" s="490"/>
      <c r="FA108" s="490"/>
      <c r="FB108" s="490"/>
      <c r="FC108" s="490"/>
      <c r="FD108" s="490"/>
      <c r="FE108" s="490"/>
      <c r="FF108" s="490"/>
      <c r="FG108" s="490"/>
      <c r="FH108" s="490"/>
      <c r="FI108" s="490"/>
      <c r="FJ108" s="490"/>
      <c r="FK108" s="490"/>
      <c r="FL108" s="490"/>
      <c r="FM108" s="490"/>
      <c r="FN108" s="490"/>
    </row>
    <row r="109" s="492" customFormat="1" spans="1:170">
      <c r="A109" s="519">
        <v>46066</v>
      </c>
      <c r="B109" s="509" t="s">
        <v>739</v>
      </c>
      <c r="C109" s="538">
        <v>10</v>
      </c>
      <c r="D109" s="509" t="s">
        <v>66</v>
      </c>
      <c r="E109" s="509" t="s">
        <v>72</v>
      </c>
      <c r="F109" s="544" t="s">
        <v>128</v>
      </c>
      <c r="G109" s="542">
        <v>0.97</v>
      </c>
      <c r="H109" s="542">
        <v>8.8</v>
      </c>
      <c r="I109" s="541" t="s">
        <v>17</v>
      </c>
      <c r="J109" s="542">
        <v>1.82</v>
      </c>
      <c r="K109" s="543" t="s">
        <v>603</v>
      </c>
      <c r="L109" s="543" t="s">
        <v>577</v>
      </c>
      <c r="M109" s="490"/>
      <c r="N109" s="490"/>
      <c r="O109" s="490"/>
      <c r="P109" s="490"/>
      <c r="Q109" s="490"/>
      <c r="R109" s="490"/>
      <c r="S109" s="490"/>
      <c r="T109" s="490"/>
      <c r="U109" s="490"/>
      <c r="V109" s="490"/>
      <c r="W109" s="490"/>
      <c r="X109" s="490"/>
      <c r="Y109" s="490"/>
      <c r="Z109" s="490"/>
      <c r="AA109" s="490"/>
      <c r="AB109" s="490"/>
      <c r="AC109" s="490"/>
      <c r="AD109" s="490"/>
      <c r="AE109" s="490"/>
      <c r="AF109" s="490"/>
      <c r="AG109" s="490"/>
      <c r="AH109" s="490"/>
      <c r="AI109" s="490"/>
      <c r="AJ109" s="490"/>
      <c r="AK109" s="490"/>
      <c r="AL109" s="490"/>
      <c r="AM109" s="490"/>
      <c r="AN109" s="490"/>
      <c r="AO109" s="490"/>
      <c r="AP109" s="490"/>
      <c r="AQ109" s="490"/>
      <c r="AR109" s="490"/>
      <c r="AS109" s="490"/>
      <c r="AT109" s="490"/>
      <c r="AU109" s="490"/>
      <c r="AV109" s="490"/>
      <c r="AW109" s="490"/>
      <c r="AX109" s="490"/>
      <c r="AY109" s="490"/>
      <c r="AZ109" s="490"/>
      <c r="BA109" s="490"/>
      <c r="BB109" s="490"/>
      <c r="BC109" s="490"/>
      <c r="BD109" s="490"/>
      <c r="BE109" s="490"/>
      <c r="BF109" s="490"/>
      <c r="BG109" s="490"/>
      <c r="BH109" s="490"/>
      <c r="BI109" s="490"/>
      <c r="BJ109" s="490"/>
      <c r="BK109" s="490"/>
      <c r="BL109" s="490"/>
      <c r="BM109" s="490"/>
      <c r="BN109" s="490"/>
      <c r="BO109" s="490"/>
      <c r="BP109" s="490"/>
      <c r="BQ109" s="490"/>
      <c r="BR109" s="490"/>
      <c r="BS109" s="490"/>
      <c r="BT109" s="490"/>
      <c r="BU109" s="490"/>
      <c r="BV109" s="490"/>
      <c r="BW109" s="490"/>
      <c r="BX109" s="490"/>
      <c r="BY109" s="490"/>
      <c r="BZ109" s="490"/>
      <c r="CA109" s="490"/>
      <c r="CB109" s="490"/>
      <c r="CC109" s="490"/>
      <c r="CD109" s="490"/>
      <c r="CE109" s="490"/>
      <c r="CF109" s="490"/>
      <c r="CG109" s="490"/>
      <c r="CH109" s="490"/>
      <c r="CI109" s="490"/>
      <c r="CJ109" s="490"/>
      <c r="CK109" s="490"/>
      <c r="CL109" s="490"/>
      <c r="CM109" s="490"/>
      <c r="CN109" s="490"/>
      <c r="CO109" s="490"/>
      <c r="CP109" s="490"/>
      <c r="CQ109" s="490"/>
      <c r="CR109" s="490"/>
      <c r="CS109" s="490"/>
      <c r="CT109" s="490"/>
      <c r="CU109" s="490"/>
      <c r="CV109" s="490"/>
      <c r="CW109" s="490"/>
      <c r="CX109" s="490"/>
      <c r="CY109" s="490"/>
      <c r="CZ109" s="490"/>
      <c r="DA109" s="490"/>
      <c r="DB109" s="490"/>
      <c r="DC109" s="490"/>
      <c r="DD109" s="490"/>
      <c r="DE109" s="490"/>
      <c r="DF109" s="490"/>
      <c r="DG109" s="490"/>
      <c r="DH109" s="490"/>
      <c r="DI109" s="490"/>
      <c r="DJ109" s="490"/>
      <c r="DK109" s="490"/>
      <c r="DL109" s="490"/>
      <c r="DM109" s="490"/>
      <c r="DN109" s="490"/>
      <c r="DO109" s="490"/>
      <c r="DP109" s="490"/>
      <c r="DQ109" s="490"/>
      <c r="DR109" s="490"/>
      <c r="DS109" s="490"/>
      <c r="DT109" s="490"/>
      <c r="DU109" s="490"/>
      <c r="DV109" s="490"/>
      <c r="DW109" s="490"/>
      <c r="DX109" s="490"/>
      <c r="DY109" s="490"/>
      <c r="DZ109" s="490"/>
      <c r="EA109" s="490"/>
      <c r="EB109" s="490"/>
      <c r="EC109" s="490"/>
      <c r="ED109" s="490"/>
      <c r="EE109" s="490"/>
      <c r="EF109" s="490"/>
      <c r="EG109" s="490"/>
      <c r="EH109" s="490"/>
      <c r="EI109" s="490"/>
      <c r="EJ109" s="490"/>
      <c r="EK109" s="490"/>
      <c r="EL109" s="490"/>
      <c r="EM109" s="490"/>
      <c r="EN109" s="490"/>
      <c r="EO109" s="490"/>
      <c r="EP109" s="490"/>
      <c r="EQ109" s="490"/>
      <c r="ER109" s="490"/>
      <c r="ES109" s="490"/>
      <c r="ET109" s="490"/>
      <c r="EU109" s="490"/>
      <c r="EV109" s="490"/>
      <c r="EW109" s="490"/>
      <c r="EX109" s="490"/>
      <c r="EY109" s="490"/>
      <c r="EZ109" s="490"/>
      <c r="FA109" s="490"/>
      <c r="FB109" s="490"/>
      <c r="FC109" s="490"/>
      <c r="FD109" s="490"/>
      <c r="FE109" s="490"/>
      <c r="FF109" s="490"/>
      <c r="FG109" s="490"/>
      <c r="FH109" s="490"/>
      <c r="FI109" s="490"/>
      <c r="FJ109" s="490"/>
      <c r="FK109" s="490"/>
      <c r="FL109" s="490"/>
      <c r="FM109" s="490"/>
      <c r="FN109" s="490"/>
    </row>
    <row r="110" s="492" customFormat="1" spans="1:170">
      <c r="A110" s="519"/>
      <c r="B110" s="509"/>
      <c r="C110" s="538"/>
      <c r="D110" s="509"/>
      <c r="E110" s="509"/>
      <c r="F110" s="544" t="s">
        <v>131</v>
      </c>
      <c r="G110" s="542">
        <v>1.05</v>
      </c>
      <c r="H110" s="542">
        <v>0.6</v>
      </c>
      <c r="I110" s="541" t="s">
        <v>22</v>
      </c>
      <c r="J110" s="542">
        <v>1.9</v>
      </c>
      <c r="K110" s="543"/>
      <c r="L110" s="543"/>
      <c r="M110" s="490"/>
      <c r="N110" s="490"/>
      <c r="O110" s="490"/>
      <c r="P110" s="490"/>
      <c r="Q110" s="490"/>
      <c r="R110" s="490"/>
      <c r="S110" s="490"/>
      <c r="T110" s="490"/>
      <c r="U110" s="490"/>
      <c r="V110" s="490"/>
      <c r="W110" s="490"/>
      <c r="X110" s="490"/>
      <c r="Y110" s="490"/>
      <c r="Z110" s="490"/>
      <c r="AA110" s="490"/>
      <c r="AB110" s="490"/>
      <c r="AC110" s="490"/>
      <c r="AD110" s="490"/>
      <c r="AE110" s="490"/>
      <c r="AF110" s="490"/>
      <c r="AG110" s="490"/>
      <c r="AH110" s="490"/>
      <c r="AI110" s="490"/>
      <c r="AJ110" s="490"/>
      <c r="AK110" s="490"/>
      <c r="AL110" s="490"/>
      <c r="AM110" s="490"/>
      <c r="AN110" s="490"/>
      <c r="AO110" s="490"/>
      <c r="AP110" s="490"/>
      <c r="AQ110" s="490"/>
      <c r="AR110" s="490"/>
      <c r="AS110" s="490"/>
      <c r="AT110" s="490"/>
      <c r="AU110" s="490"/>
      <c r="AV110" s="490"/>
      <c r="AW110" s="490"/>
      <c r="AX110" s="490"/>
      <c r="AY110" s="490"/>
      <c r="AZ110" s="490"/>
      <c r="BA110" s="490"/>
      <c r="BB110" s="490"/>
      <c r="BC110" s="490"/>
      <c r="BD110" s="490"/>
      <c r="BE110" s="490"/>
      <c r="BF110" s="490"/>
      <c r="BG110" s="490"/>
      <c r="BH110" s="490"/>
      <c r="BI110" s="490"/>
      <c r="BJ110" s="490"/>
      <c r="BK110" s="490"/>
      <c r="BL110" s="490"/>
      <c r="BM110" s="490"/>
      <c r="BN110" s="490"/>
      <c r="BO110" s="490"/>
      <c r="BP110" s="490"/>
      <c r="BQ110" s="490"/>
      <c r="BR110" s="490"/>
      <c r="BS110" s="490"/>
      <c r="BT110" s="490"/>
      <c r="BU110" s="490"/>
      <c r="BV110" s="490"/>
      <c r="BW110" s="490"/>
      <c r="BX110" s="490"/>
      <c r="BY110" s="490"/>
      <c r="BZ110" s="490"/>
      <c r="CA110" s="490"/>
      <c r="CB110" s="490"/>
      <c r="CC110" s="490"/>
      <c r="CD110" s="490"/>
      <c r="CE110" s="490"/>
      <c r="CF110" s="490"/>
      <c r="CG110" s="490"/>
      <c r="CH110" s="490"/>
      <c r="CI110" s="490"/>
      <c r="CJ110" s="490"/>
      <c r="CK110" s="490"/>
      <c r="CL110" s="490"/>
      <c r="CM110" s="490"/>
      <c r="CN110" s="490"/>
      <c r="CO110" s="490"/>
      <c r="CP110" s="490"/>
      <c r="CQ110" s="490"/>
      <c r="CR110" s="490"/>
      <c r="CS110" s="490"/>
      <c r="CT110" s="490"/>
      <c r="CU110" s="490"/>
      <c r="CV110" s="490"/>
      <c r="CW110" s="490"/>
      <c r="CX110" s="490"/>
      <c r="CY110" s="490"/>
      <c r="CZ110" s="490"/>
      <c r="DA110" s="490"/>
      <c r="DB110" s="490"/>
      <c r="DC110" s="490"/>
      <c r="DD110" s="490"/>
      <c r="DE110" s="490"/>
      <c r="DF110" s="490"/>
      <c r="DG110" s="490"/>
      <c r="DH110" s="490"/>
      <c r="DI110" s="490"/>
      <c r="DJ110" s="490"/>
      <c r="DK110" s="490"/>
      <c r="DL110" s="490"/>
      <c r="DM110" s="490"/>
      <c r="DN110" s="490"/>
      <c r="DO110" s="490"/>
      <c r="DP110" s="490"/>
      <c r="DQ110" s="490"/>
      <c r="DR110" s="490"/>
      <c r="DS110" s="490"/>
      <c r="DT110" s="490"/>
      <c r="DU110" s="490"/>
      <c r="DV110" s="490"/>
      <c r="DW110" s="490"/>
      <c r="DX110" s="490"/>
      <c r="DY110" s="490"/>
      <c r="DZ110" s="490"/>
      <c r="EA110" s="490"/>
      <c r="EB110" s="490"/>
      <c r="EC110" s="490"/>
      <c r="ED110" s="490"/>
      <c r="EE110" s="490"/>
      <c r="EF110" s="490"/>
      <c r="EG110" s="490"/>
      <c r="EH110" s="490"/>
      <c r="EI110" s="490"/>
      <c r="EJ110" s="490"/>
      <c r="EK110" s="490"/>
      <c r="EL110" s="490"/>
      <c r="EM110" s="490"/>
      <c r="EN110" s="490"/>
      <c r="EO110" s="490"/>
      <c r="EP110" s="490"/>
      <c r="EQ110" s="490"/>
      <c r="ER110" s="490"/>
      <c r="ES110" s="490"/>
      <c r="ET110" s="490"/>
      <c r="EU110" s="490"/>
      <c r="EV110" s="490"/>
      <c r="EW110" s="490"/>
      <c r="EX110" s="490"/>
      <c r="EY110" s="490"/>
      <c r="EZ110" s="490"/>
      <c r="FA110" s="490"/>
      <c r="FB110" s="490"/>
      <c r="FC110" s="490"/>
      <c r="FD110" s="490"/>
      <c r="FE110" s="490"/>
      <c r="FF110" s="490"/>
      <c r="FG110" s="490"/>
      <c r="FH110" s="490"/>
      <c r="FI110" s="490"/>
      <c r="FJ110" s="490"/>
      <c r="FK110" s="490"/>
      <c r="FL110" s="490"/>
      <c r="FM110" s="490"/>
      <c r="FN110" s="490"/>
    </row>
    <row r="111" s="492" customFormat="1" spans="1:170">
      <c r="A111" s="519"/>
      <c r="B111" s="509"/>
      <c r="C111" s="538"/>
      <c r="D111" s="509"/>
      <c r="E111" s="509"/>
      <c r="F111" s="544" t="s">
        <v>91</v>
      </c>
      <c r="G111" s="542">
        <v>1.63</v>
      </c>
      <c r="H111" s="542">
        <v>0.6</v>
      </c>
      <c r="I111" s="542" t="s">
        <v>24</v>
      </c>
      <c r="J111" s="542" t="s">
        <v>24</v>
      </c>
      <c r="K111" s="543"/>
      <c r="L111" s="543"/>
      <c r="M111" s="490"/>
      <c r="N111" s="490"/>
      <c r="O111" s="490"/>
      <c r="P111" s="490"/>
      <c r="Q111" s="490"/>
      <c r="R111" s="490"/>
      <c r="S111" s="490"/>
      <c r="T111" s="490"/>
      <c r="U111" s="490"/>
      <c r="V111" s="490"/>
      <c r="W111" s="490"/>
      <c r="X111" s="490"/>
      <c r="Y111" s="490"/>
      <c r="Z111" s="490"/>
      <c r="AA111" s="490"/>
      <c r="AB111" s="490"/>
      <c r="AC111" s="490"/>
      <c r="AD111" s="490"/>
      <c r="AE111" s="490"/>
      <c r="AF111" s="490"/>
      <c r="AG111" s="490"/>
      <c r="AH111" s="490"/>
      <c r="AI111" s="490"/>
      <c r="AJ111" s="490"/>
      <c r="AK111" s="490"/>
      <c r="AL111" s="490"/>
      <c r="AM111" s="490"/>
      <c r="AN111" s="490"/>
      <c r="AO111" s="490"/>
      <c r="AP111" s="490"/>
      <c r="AQ111" s="490"/>
      <c r="AR111" s="490"/>
      <c r="AS111" s="490"/>
      <c r="AT111" s="490"/>
      <c r="AU111" s="490"/>
      <c r="AV111" s="490"/>
      <c r="AW111" s="490"/>
      <c r="AX111" s="490"/>
      <c r="AY111" s="490"/>
      <c r="AZ111" s="490"/>
      <c r="BA111" s="490"/>
      <c r="BB111" s="490"/>
      <c r="BC111" s="490"/>
      <c r="BD111" s="490"/>
      <c r="BE111" s="490"/>
      <c r="BF111" s="490"/>
      <c r="BG111" s="490"/>
      <c r="BH111" s="490"/>
      <c r="BI111" s="490"/>
      <c r="BJ111" s="490"/>
      <c r="BK111" s="490"/>
      <c r="BL111" s="490"/>
      <c r="BM111" s="490"/>
      <c r="BN111" s="490"/>
      <c r="BO111" s="490"/>
      <c r="BP111" s="490"/>
      <c r="BQ111" s="490"/>
      <c r="BR111" s="490"/>
      <c r="BS111" s="490"/>
      <c r="BT111" s="490"/>
      <c r="BU111" s="490"/>
      <c r="BV111" s="490"/>
      <c r="BW111" s="490"/>
      <c r="BX111" s="490"/>
      <c r="BY111" s="490"/>
      <c r="BZ111" s="490"/>
      <c r="CA111" s="490"/>
      <c r="CB111" s="490"/>
      <c r="CC111" s="490"/>
      <c r="CD111" s="490"/>
      <c r="CE111" s="490"/>
      <c r="CF111" s="490"/>
      <c r="CG111" s="490"/>
      <c r="CH111" s="490"/>
      <c r="CI111" s="490"/>
      <c r="CJ111" s="490"/>
      <c r="CK111" s="490"/>
      <c r="CL111" s="490"/>
      <c r="CM111" s="490"/>
      <c r="CN111" s="490"/>
      <c r="CO111" s="490"/>
      <c r="CP111" s="490"/>
      <c r="CQ111" s="490"/>
      <c r="CR111" s="490"/>
      <c r="CS111" s="490"/>
      <c r="CT111" s="490"/>
      <c r="CU111" s="490"/>
      <c r="CV111" s="490"/>
      <c r="CW111" s="490"/>
      <c r="CX111" s="490"/>
      <c r="CY111" s="490"/>
      <c r="CZ111" s="490"/>
      <c r="DA111" s="490"/>
      <c r="DB111" s="490"/>
      <c r="DC111" s="490"/>
      <c r="DD111" s="490"/>
      <c r="DE111" s="490"/>
      <c r="DF111" s="490"/>
      <c r="DG111" s="490"/>
      <c r="DH111" s="490"/>
      <c r="DI111" s="490"/>
      <c r="DJ111" s="490"/>
      <c r="DK111" s="490"/>
      <c r="DL111" s="490"/>
      <c r="DM111" s="490"/>
      <c r="DN111" s="490"/>
      <c r="DO111" s="490"/>
      <c r="DP111" s="490"/>
      <c r="DQ111" s="490"/>
      <c r="DR111" s="490"/>
      <c r="DS111" s="490"/>
      <c r="DT111" s="490"/>
      <c r="DU111" s="490"/>
      <c r="DV111" s="490"/>
      <c r="DW111" s="490"/>
      <c r="DX111" s="490"/>
      <c r="DY111" s="490"/>
      <c r="DZ111" s="490"/>
      <c r="EA111" s="490"/>
      <c r="EB111" s="490"/>
      <c r="EC111" s="490"/>
      <c r="ED111" s="490"/>
      <c r="EE111" s="490"/>
      <c r="EF111" s="490"/>
      <c r="EG111" s="490"/>
      <c r="EH111" s="490"/>
      <c r="EI111" s="490"/>
      <c r="EJ111" s="490"/>
      <c r="EK111" s="490"/>
      <c r="EL111" s="490"/>
      <c r="EM111" s="490"/>
      <c r="EN111" s="490"/>
      <c r="EO111" s="490"/>
      <c r="EP111" s="490"/>
      <c r="EQ111" s="490"/>
      <c r="ER111" s="490"/>
      <c r="ES111" s="490"/>
      <c r="ET111" s="490"/>
      <c r="EU111" s="490"/>
      <c r="EV111" s="490"/>
      <c r="EW111" s="490"/>
      <c r="EX111" s="490"/>
      <c r="EY111" s="490"/>
      <c r="EZ111" s="490"/>
      <c r="FA111" s="490"/>
      <c r="FB111" s="490"/>
      <c r="FC111" s="490"/>
      <c r="FD111" s="490"/>
      <c r="FE111" s="490"/>
      <c r="FF111" s="490"/>
      <c r="FG111" s="490"/>
      <c r="FH111" s="490"/>
      <c r="FI111" s="490"/>
      <c r="FJ111" s="490"/>
      <c r="FK111" s="490"/>
      <c r="FL111" s="490"/>
      <c r="FM111" s="490"/>
      <c r="FN111" s="490"/>
    </row>
    <row r="112" s="492" customFormat="1" spans="1:170">
      <c r="A112" s="519">
        <v>46080</v>
      </c>
      <c r="B112" s="509" t="s">
        <v>740</v>
      </c>
      <c r="C112" s="520">
        <v>8</v>
      </c>
      <c r="D112" s="509" t="s">
        <v>208</v>
      </c>
      <c r="E112" s="509" t="s">
        <v>208</v>
      </c>
      <c r="F112" s="544" t="s">
        <v>128</v>
      </c>
      <c r="G112" s="542">
        <v>0.75</v>
      </c>
      <c r="H112" s="542">
        <v>7.2</v>
      </c>
      <c r="I112" s="541" t="s">
        <v>17</v>
      </c>
      <c r="J112" s="542">
        <v>1.85</v>
      </c>
      <c r="K112" s="543" t="s">
        <v>603</v>
      </c>
      <c r="L112" s="543" t="s">
        <v>691</v>
      </c>
      <c r="M112" s="490"/>
      <c r="N112" s="490"/>
      <c r="O112" s="490"/>
      <c r="P112" s="490"/>
      <c r="Q112" s="490"/>
      <c r="R112" s="490"/>
      <c r="S112" s="490"/>
      <c r="T112" s="490"/>
      <c r="U112" s="490"/>
      <c r="V112" s="490"/>
      <c r="W112" s="490"/>
      <c r="X112" s="490"/>
      <c r="Y112" s="490"/>
      <c r="Z112" s="490"/>
      <c r="AA112" s="490"/>
      <c r="AB112" s="490"/>
      <c r="AC112" s="490"/>
      <c r="AD112" s="490"/>
      <c r="AE112" s="490"/>
      <c r="AF112" s="490"/>
      <c r="AG112" s="490"/>
      <c r="AH112" s="490"/>
      <c r="AI112" s="490"/>
      <c r="AJ112" s="490"/>
      <c r="AK112" s="490"/>
      <c r="AL112" s="490"/>
      <c r="AM112" s="490"/>
      <c r="AN112" s="490"/>
      <c r="AO112" s="490"/>
      <c r="AP112" s="490"/>
      <c r="AQ112" s="490"/>
      <c r="AR112" s="490"/>
      <c r="AS112" s="490"/>
      <c r="AT112" s="490"/>
      <c r="AU112" s="490"/>
      <c r="AV112" s="490"/>
      <c r="AW112" s="490"/>
      <c r="AX112" s="490"/>
      <c r="AY112" s="490"/>
      <c r="AZ112" s="490"/>
      <c r="BA112" s="490"/>
      <c r="BB112" s="490"/>
      <c r="BC112" s="490"/>
      <c r="BD112" s="490"/>
      <c r="BE112" s="490"/>
      <c r="BF112" s="490"/>
      <c r="BG112" s="490"/>
      <c r="BH112" s="490"/>
      <c r="BI112" s="490"/>
      <c r="BJ112" s="490"/>
      <c r="BK112" s="490"/>
      <c r="BL112" s="490"/>
      <c r="BM112" s="490"/>
      <c r="BN112" s="490"/>
      <c r="BO112" s="490"/>
      <c r="BP112" s="490"/>
      <c r="BQ112" s="490"/>
      <c r="BR112" s="490"/>
      <c r="BS112" s="490"/>
      <c r="BT112" s="490"/>
      <c r="BU112" s="490"/>
      <c r="BV112" s="490"/>
      <c r="BW112" s="490"/>
      <c r="BX112" s="490"/>
      <c r="BY112" s="490"/>
      <c r="BZ112" s="490"/>
      <c r="CA112" s="490"/>
      <c r="CB112" s="490"/>
      <c r="CC112" s="490"/>
      <c r="CD112" s="490"/>
      <c r="CE112" s="490"/>
      <c r="CF112" s="490"/>
      <c r="CG112" s="490"/>
      <c r="CH112" s="490"/>
      <c r="CI112" s="490"/>
      <c r="CJ112" s="490"/>
      <c r="CK112" s="490"/>
      <c r="CL112" s="490"/>
      <c r="CM112" s="490"/>
      <c r="CN112" s="490"/>
      <c r="CO112" s="490"/>
      <c r="CP112" s="490"/>
      <c r="CQ112" s="490"/>
      <c r="CR112" s="490"/>
      <c r="CS112" s="490"/>
      <c r="CT112" s="490"/>
      <c r="CU112" s="490"/>
      <c r="CV112" s="490"/>
      <c r="CW112" s="490"/>
      <c r="CX112" s="490"/>
      <c r="CY112" s="490"/>
      <c r="CZ112" s="490"/>
      <c r="DA112" s="490"/>
      <c r="DB112" s="490"/>
      <c r="DC112" s="490"/>
      <c r="DD112" s="490"/>
      <c r="DE112" s="490"/>
      <c r="DF112" s="490"/>
      <c r="DG112" s="490"/>
      <c r="DH112" s="490"/>
      <c r="DI112" s="490"/>
      <c r="DJ112" s="490"/>
      <c r="DK112" s="490"/>
      <c r="DL112" s="490"/>
      <c r="DM112" s="490"/>
      <c r="DN112" s="490"/>
      <c r="DO112" s="490"/>
      <c r="DP112" s="490"/>
      <c r="DQ112" s="490"/>
      <c r="DR112" s="490"/>
      <c r="DS112" s="490"/>
      <c r="DT112" s="490"/>
      <c r="DU112" s="490"/>
      <c r="DV112" s="490"/>
      <c r="DW112" s="490"/>
      <c r="DX112" s="490"/>
      <c r="DY112" s="490"/>
      <c r="DZ112" s="490"/>
      <c r="EA112" s="490"/>
      <c r="EB112" s="490"/>
      <c r="EC112" s="490"/>
      <c r="ED112" s="490"/>
      <c r="EE112" s="490"/>
      <c r="EF112" s="490"/>
      <c r="EG112" s="490"/>
      <c r="EH112" s="490"/>
      <c r="EI112" s="490"/>
      <c r="EJ112" s="490"/>
      <c r="EK112" s="490"/>
      <c r="EL112" s="490"/>
      <c r="EM112" s="490"/>
      <c r="EN112" s="490"/>
      <c r="EO112" s="490"/>
      <c r="EP112" s="490"/>
      <c r="EQ112" s="490"/>
      <c r="ER112" s="490"/>
      <c r="ES112" s="490"/>
      <c r="ET112" s="490"/>
      <c r="EU112" s="490"/>
      <c r="EV112" s="490"/>
      <c r="EW112" s="490"/>
      <c r="EX112" s="490"/>
      <c r="EY112" s="490"/>
      <c r="EZ112" s="490"/>
      <c r="FA112" s="490"/>
      <c r="FB112" s="490"/>
      <c r="FC112" s="490"/>
      <c r="FD112" s="490"/>
      <c r="FE112" s="490"/>
      <c r="FF112" s="490"/>
      <c r="FG112" s="490"/>
      <c r="FH112" s="490"/>
      <c r="FI112" s="490"/>
      <c r="FJ112" s="490"/>
      <c r="FK112" s="490"/>
      <c r="FL112" s="490"/>
      <c r="FM112" s="490"/>
      <c r="FN112" s="490"/>
    </row>
    <row r="113" s="492" customFormat="1" spans="1:170">
      <c r="A113" s="519"/>
      <c r="B113" s="509"/>
      <c r="C113" s="520"/>
      <c r="D113" s="509"/>
      <c r="E113" s="509"/>
      <c r="F113" s="544" t="s">
        <v>131</v>
      </c>
      <c r="G113" s="542">
        <v>1.01</v>
      </c>
      <c r="H113" s="542">
        <v>0.32</v>
      </c>
      <c r="I113" s="541" t="s">
        <v>22</v>
      </c>
      <c r="J113" s="542">
        <v>1.95</v>
      </c>
      <c r="K113" s="543"/>
      <c r="L113" s="543"/>
      <c r="M113" s="490"/>
      <c r="N113" s="490"/>
      <c r="O113" s="490"/>
      <c r="P113" s="490"/>
      <c r="Q113" s="490"/>
      <c r="R113" s="490"/>
      <c r="S113" s="490"/>
      <c r="T113" s="490"/>
      <c r="U113" s="490"/>
      <c r="V113" s="490"/>
      <c r="W113" s="490"/>
      <c r="X113" s="490"/>
      <c r="Y113" s="490"/>
      <c r="Z113" s="490"/>
      <c r="AA113" s="490"/>
      <c r="AB113" s="490"/>
      <c r="AC113" s="490"/>
      <c r="AD113" s="490"/>
      <c r="AE113" s="490"/>
      <c r="AF113" s="490"/>
      <c r="AG113" s="490"/>
      <c r="AH113" s="490"/>
      <c r="AI113" s="490"/>
      <c r="AJ113" s="490"/>
      <c r="AK113" s="490"/>
      <c r="AL113" s="490"/>
      <c r="AM113" s="490"/>
      <c r="AN113" s="490"/>
      <c r="AO113" s="490"/>
      <c r="AP113" s="490"/>
      <c r="AQ113" s="490"/>
      <c r="AR113" s="490"/>
      <c r="AS113" s="490"/>
      <c r="AT113" s="490"/>
      <c r="AU113" s="490"/>
      <c r="AV113" s="490"/>
      <c r="AW113" s="490"/>
      <c r="AX113" s="490"/>
      <c r="AY113" s="490"/>
      <c r="AZ113" s="490"/>
      <c r="BA113" s="490"/>
      <c r="BB113" s="490"/>
      <c r="BC113" s="490"/>
      <c r="BD113" s="490"/>
      <c r="BE113" s="490"/>
      <c r="BF113" s="490"/>
      <c r="BG113" s="490"/>
      <c r="BH113" s="490"/>
      <c r="BI113" s="490"/>
      <c r="BJ113" s="490"/>
      <c r="BK113" s="490"/>
      <c r="BL113" s="490"/>
      <c r="BM113" s="490"/>
      <c r="BN113" s="490"/>
      <c r="BO113" s="490"/>
      <c r="BP113" s="490"/>
      <c r="BQ113" s="490"/>
      <c r="BR113" s="490"/>
      <c r="BS113" s="490"/>
      <c r="BT113" s="490"/>
      <c r="BU113" s="490"/>
      <c r="BV113" s="490"/>
      <c r="BW113" s="490"/>
      <c r="BX113" s="490"/>
      <c r="BY113" s="490"/>
      <c r="BZ113" s="490"/>
      <c r="CA113" s="490"/>
      <c r="CB113" s="490"/>
      <c r="CC113" s="490"/>
      <c r="CD113" s="490"/>
      <c r="CE113" s="490"/>
      <c r="CF113" s="490"/>
      <c r="CG113" s="490"/>
      <c r="CH113" s="490"/>
      <c r="CI113" s="490"/>
      <c r="CJ113" s="490"/>
      <c r="CK113" s="490"/>
      <c r="CL113" s="490"/>
      <c r="CM113" s="490"/>
      <c r="CN113" s="490"/>
      <c r="CO113" s="490"/>
      <c r="CP113" s="490"/>
      <c r="CQ113" s="490"/>
      <c r="CR113" s="490"/>
      <c r="CS113" s="490"/>
      <c r="CT113" s="490"/>
      <c r="CU113" s="490"/>
      <c r="CV113" s="490"/>
      <c r="CW113" s="490"/>
      <c r="CX113" s="490"/>
      <c r="CY113" s="490"/>
      <c r="CZ113" s="490"/>
      <c r="DA113" s="490"/>
      <c r="DB113" s="490"/>
      <c r="DC113" s="490"/>
      <c r="DD113" s="490"/>
      <c r="DE113" s="490"/>
      <c r="DF113" s="490"/>
      <c r="DG113" s="490"/>
      <c r="DH113" s="490"/>
      <c r="DI113" s="490"/>
      <c r="DJ113" s="490"/>
      <c r="DK113" s="490"/>
      <c r="DL113" s="490"/>
      <c r="DM113" s="490"/>
      <c r="DN113" s="490"/>
      <c r="DO113" s="490"/>
      <c r="DP113" s="490"/>
      <c r="DQ113" s="490"/>
      <c r="DR113" s="490"/>
      <c r="DS113" s="490"/>
      <c r="DT113" s="490"/>
      <c r="DU113" s="490"/>
      <c r="DV113" s="490"/>
      <c r="DW113" s="490"/>
      <c r="DX113" s="490"/>
      <c r="DY113" s="490"/>
      <c r="DZ113" s="490"/>
      <c r="EA113" s="490"/>
      <c r="EB113" s="490"/>
      <c r="EC113" s="490"/>
      <c r="ED113" s="490"/>
      <c r="EE113" s="490"/>
      <c r="EF113" s="490"/>
      <c r="EG113" s="490"/>
      <c r="EH113" s="490"/>
      <c r="EI113" s="490"/>
      <c r="EJ113" s="490"/>
      <c r="EK113" s="490"/>
      <c r="EL113" s="490"/>
      <c r="EM113" s="490"/>
      <c r="EN113" s="490"/>
      <c r="EO113" s="490"/>
      <c r="EP113" s="490"/>
      <c r="EQ113" s="490"/>
      <c r="ER113" s="490"/>
      <c r="ES113" s="490"/>
      <c r="ET113" s="490"/>
      <c r="EU113" s="490"/>
      <c r="EV113" s="490"/>
      <c r="EW113" s="490"/>
      <c r="EX113" s="490"/>
      <c r="EY113" s="490"/>
      <c r="EZ113" s="490"/>
      <c r="FA113" s="490"/>
      <c r="FB113" s="490"/>
      <c r="FC113" s="490"/>
      <c r="FD113" s="490"/>
      <c r="FE113" s="490"/>
      <c r="FF113" s="490"/>
      <c r="FG113" s="490"/>
      <c r="FH113" s="490"/>
      <c r="FI113" s="490"/>
      <c r="FJ113" s="490"/>
      <c r="FK113" s="490"/>
      <c r="FL113" s="490"/>
      <c r="FM113" s="490"/>
      <c r="FN113" s="490"/>
    </row>
    <row r="114" s="492" customFormat="1" spans="1:170">
      <c r="A114" s="519"/>
      <c r="B114" s="509"/>
      <c r="C114" s="520"/>
      <c r="D114" s="509"/>
      <c r="E114" s="509"/>
      <c r="F114" s="544" t="s">
        <v>91</v>
      </c>
      <c r="G114" s="542">
        <v>0.5</v>
      </c>
      <c r="H114" s="542">
        <v>0.48</v>
      </c>
      <c r="I114" s="542" t="s">
        <v>24</v>
      </c>
      <c r="J114" s="542" t="s">
        <v>24</v>
      </c>
      <c r="K114" s="543"/>
      <c r="L114" s="543"/>
      <c r="M114" s="490"/>
      <c r="N114" s="490"/>
      <c r="O114" s="490"/>
      <c r="P114" s="490"/>
      <c r="Q114" s="490"/>
      <c r="R114" s="490"/>
      <c r="S114" s="490"/>
      <c r="T114" s="490"/>
      <c r="U114" s="490"/>
      <c r="V114" s="490"/>
      <c r="W114" s="490"/>
      <c r="X114" s="490"/>
      <c r="Y114" s="490"/>
      <c r="Z114" s="490"/>
      <c r="AA114" s="490"/>
      <c r="AB114" s="490"/>
      <c r="AC114" s="490"/>
      <c r="AD114" s="490"/>
      <c r="AE114" s="490"/>
      <c r="AF114" s="490"/>
      <c r="AG114" s="490"/>
      <c r="AH114" s="490"/>
      <c r="AI114" s="490"/>
      <c r="AJ114" s="490"/>
      <c r="AK114" s="490"/>
      <c r="AL114" s="490"/>
      <c r="AM114" s="490"/>
      <c r="AN114" s="490"/>
      <c r="AO114" s="490"/>
      <c r="AP114" s="490"/>
      <c r="AQ114" s="490"/>
      <c r="AR114" s="490"/>
      <c r="AS114" s="490"/>
      <c r="AT114" s="490"/>
      <c r="AU114" s="490"/>
      <c r="AV114" s="490"/>
      <c r="AW114" s="490"/>
      <c r="AX114" s="490"/>
      <c r="AY114" s="490"/>
      <c r="AZ114" s="490"/>
      <c r="BA114" s="490"/>
      <c r="BB114" s="490"/>
      <c r="BC114" s="490"/>
      <c r="BD114" s="490"/>
      <c r="BE114" s="490"/>
      <c r="BF114" s="490"/>
      <c r="BG114" s="490"/>
      <c r="BH114" s="490"/>
      <c r="BI114" s="490"/>
      <c r="BJ114" s="490"/>
      <c r="BK114" s="490"/>
      <c r="BL114" s="490"/>
      <c r="BM114" s="490"/>
      <c r="BN114" s="490"/>
      <c r="BO114" s="490"/>
      <c r="BP114" s="490"/>
      <c r="BQ114" s="490"/>
      <c r="BR114" s="490"/>
      <c r="BS114" s="490"/>
      <c r="BT114" s="490"/>
      <c r="BU114" s="490"/>
      <c r="BV114" s="490"/>
      <c r="BW114" s="490"/>
      <c r="BX114" s="490"/>
      <c r="BY114" s="490"/>
      <c r="BZ114" s="490"/>
      <c r="CA114" s="490"/>
      <c r="CB114" s="490"/>
      <c r="CC114" s="490"/>
      <c r="CD114" s="490"/>
      <c r="CE114" s="490"/>
      <c r="CF114" s="490"/>
      <c r="CG114" s="490"/>
      <c r="CH114" s="490"/>
      <c r="CI114" s="490"/>
      <c r="CJ114" s="490"/>
      <c r="CK114" s="490"/>
      <c r="CL114" s="490"/>
      <c r="CM114" s="490"/>
      <c r="CN114" s="490"/>
      <c r="CO114" s="490"/>
      <c r="CP114" s="490"/>
      <c r="CQ114" s="490"/>
      <c r="CR114" s="490"/>
      <c r="CS114" s="490"/>
      <c r="CT114" s="490"/>
      <c r="CU114" s="490"/>
      <c r="CV114" s="490"/>
      <c r="CW114" s="490"/>
      <c r="CX114" s="490"/>
      <c r="CY114" s="490"/>
      <c r="CZ114" s="490"/>
      <c r="DA114" s="490"/>
      <c r="DB114" s="490"/>
      <c r="DC114" s="490"/>
      <c r="DD114" s="490"/>
      <c r="DE114" s="490"/>
      <c r="DF114" s="490"/>
      <c r="DG114" s="490"/>
      <c r="DH114" s="490"/>
      <c r="DI114" s="490"/>
      <c r="DJ114" s="490"/>
      <c r="DK114" s="490"/>
      <c r="DL114" s="490"/>
      <c r="DM114" s="490"/>
      <c r="DN114" s="490"/>
      <c r="DO114" s="490"/>
      <c r="DP114" s="490"/>
      <c r="DQ114" s="490"/>
      <c r="DR114" s="490"/>
      <c r="DS114" s="490"/>
      <c r="DT114" s="490"/>
      <c r="DU114" s="490"/>
      <c r="DV114" s="490"/>
      <c r="DW114" s="490"/>
      <c r="DX114" s="490"/>
      <c r="DY114" s="490"/>
      <c r="DZ114" s="490"/>
      <c r="EA114" s="490"/>
      <c r="EB114" s="490"/>
      <c r="EC114" s="490"/>
      <c r="ED114" s="490"/>
      <c r="EE114" s="490"/>
      <c r="EF114" s="490"/>
      <c r="EG114" s="490"/>
      <c r="EH114" s="490"/>
      <c r="EI114" s="490"/>
      <c r="EJ114" s="490"/>
      <c r="EK114" s="490"/>
      <c r="EL114" s="490"/>
      <c r="EM114" s="490"/>
      <c r="EN114" s="490"/>
      <c r="EO114" s="490"/>
      <c r="EP114" s="490"/>
      <c r="EQ114" s="490"/>
      <c r="ER114" s="490"/>
      <c r="ES114" s="490"/>
      <c r="ET114" s="490"/>
      <c r="EU114" s="490"/>
      <c r="EV114" s="490"/>
      <c r="EW114" s="490"/>
      <c r="EX114" s="490"/>
      <c r="EY114" s="490"/>
      <c r="EZ114" s="490"/>
      <c r="FA114" s="490"/>
      <c r="FB114" s="490"/>
      <c r="FC114" s="490"/>
      <c r="FD114" s="490"/>
      <c r="FE114" s="490"/>
      <c r="FF114" s="490"/>
      <c r="FG114" s="490"/>
      <c r="FH114" s="490"/>
      <c r="FI114" s="490"/>
      <c r="FJ114" s="490"/>
      <c r="FK114" s="490"/>
      <c r="FL114" s="490"/>
      <c r="FM114" s="490"/>
      <c r="FN114" s="490"/>
    </row>
    <row r="115" s="492" customFormat="1" spans="1:170">
      <c r="A115" s="519">
        <v>46080</v>
      </c>
      <c r="B115" s="509" t="s">
        <v>741</v>
      </c>
      <c r="C115" s="538">
        <v>10</v>
      </c>
      <c r="D115" s="509" t="s">
        <v>38</v>
      </c>
      <c r="E115" s="509" t="s">
        <v>705</v>
      </c>
      <c r="F115" s="515" t="s">
        <v>220</v>
      </c>
      <c r="G115" s="542">
        <v>1.07</v>
      </c>
      <c r="H115" s="542">
        <v>7</v>
      </c>
      <c r="I115" s="541" t="s">
        <v>17</v>
      </c>
      <c r="J115" s="542">
        <v>2</v>
      </c>
      <c r="K115" s="543" t="s">
        <v>599</v>
      </c>
      <c r="L115" s="543"/>
      <c r="M115" s="490"/>
      <c r="N115" s="490"/>
      <c r="O115" s="490"/>
      <c r="P115" s="490"/>
      <c r="Q115" s="490"/>
      <c r="R115" s="490"/>
      <c r="S115" s="490"/>
      <c r="T115" s="490"/>
      <c r="U115" s="490"/>
      <c r="V115" s="490"/>
      <c r="W115" s="490"/>
      <c r="X115" s="490"/>
      <c r="Y115" s="490"/>
      <c r="Z115" s="490"/>
      <c r="AA115" s="490"/>
      <c r="AB115" s="490"/>
      <c r="AC115" s="490"/>
      <c r="AD115" s="490"/>
      <c r="AE115" s="490"/>
      <c r="AF115" s="490"/>
      <c r="AG115" s="490"/>
      <c r="AH115" s="490"/>
      <c r="AI115" s="490"/>
      <c r="AJ115" s="490"/>
      <c r="AK115" s="490"/>
      <c r="AL115" s="490"/>
      <c r="AM115" s="490"/>
      <c r="AN115" s="490"/>
      <c r="AO115" s="490"/>
      <c r="AP115" s="490"/>
      <c r="AQ115" s="490"/>
      <c r="AR115" s="490"/>
      <c r="AS115" s="490"/>
      <c r="AT115" s="490"/>
      <c r="AU115" s="490"/>
      <c r="AV115" s="490"/>
      <c r="AW115" s="490"/>
      <c r="AX115" s="490"/>
      <c r="AY115" s="490"/>
      <c r="AZ115" s="490"/>
      <c r="BA115" s="490"/>
      <c r="BB115" s="490"/>
      <c r="BC115" s="490"/>
      <c r="BD115" s="490"/>
      <c r="BE115" s="490"/>
      <c r="BF115" s="490"/>
      <c r="BG115" s="490"/>
      <c r="BH115" s="490"/>
      <c r="BI115" s="490"/>
      <c r="BJ115" s="490"/>
      <c r="BK115" s="490"/>
      <c r="BL115" s="490"/>
      <c r="BM115" s="490"/>
      <c r="BN115" s="490"/>
      <c r="BO115" s="490"/>
      <c r="BP115" s="490"/>
      <c r="BQ115" s="490"/>
      <c r="BR115" s="490"/>
      <c r="BS115" s="490"/>
      <c r="BT115" s="490"/>
      <c r="BU115" s="490"/>
      <c r="BV115" s="490"/>
      <c r="BW115" s="490"/>
      <c r="BX115" s="490"/>
      <c r="BY115" s="490"/>
      <c r="BZ115" s="490"/>
      <c r="CA115" s="490"/>
      <c r="CB115" s="490"/>
      <c r="CC115" s="490"/>
      <c r="CD115" s="490"/>
      <c r="CE115" s="490"/>
      <c r="CF115" s="490"/>
      <c r="CG115" s="490"/>
      <c r="CH115" s="490"/>
      <c r="CI115" s="490"/>
      <c r="CJ115" s="490"/>
      <c r="CK115" s="490"/>
      <c r="CL115" s="490"/>
      <c r="CM115" s="490"/>
      <c r="CN115" s="490"/>
      <c r="CO115" s="490"/>
      <c r="CP115" s="490"/>
      <c r="CQ115" s="490"/>
      <c r="CR115" s="490"/>
      <c r="CS115" s="490"/>
      <c r="CT115" s="490"/>
      <c r="CU115" s="490"/>
      <c r="CV115" s="490"/>
      <c r="CW115" s="490"/>
      <c r="CX115" s="490"/>
      <c r="CY115" s="490"/>
      <c r="CZ115" s="490"/>
      <c r="DA115" s="490"/>
      <c r="DB115" s="490"/>
      <c r="DC115" s="490"/>
      <c r="DD115" s="490"/>
      <c r="DE115" s="490"/>
      <c r="DF115" s="490"/>
      <c r="DG115" s="490"/>
      <c r="DH115" s="490"/>
      <c r="DI115" s="490"/>
      <c r="DJ115" s="490"/>
      <c r="DK115" s="490"/>
      <c r="DL115" s="490"/>
      <c r="DM115" s="490"/>
      <c r="DN115" s="490"/>
      <c r="DO115" s="490"/>
      <c r="DP115" s="490"/>
      <c r="DQ115" s="490"/>
      <c r="DR115" s="490"/>
      <c r="DS115" s="490"/>
      <c r="DT115" s="490"/>
      <c r="DU115" s="490"/>
      <c r="DV115" s="490"/>
      <c r="DW115" s="490"/>
      <c r="DX115" s="490"/>
      <c r="DY115" s="490"/>
      <c r="DZ115" s="490"/>
      <c r="EA115" s="490"/>
      <c r="EB115" s="490"/>
      <c r="EC115" s="490"/>
      <c r="ED115" s="490"/>
      <c r="EE115" s="490"/>
      <c r="EF115" s="490"/>
      <c r="EG115" s="490"/>
      <c r="EH115" s="490"/>
      <c r="EI115" s="490"/>
      <c r="EJ115" s="490"/>
      <c r="EK115" s="490"/>
      <c r="EL115" s="490"/>
      <c r="EM115" s="490"/>
      <c r="EN115" s="490"/>
      <c r="EO115" s="490"/>
      <c r="EP115" s="490"/>
      <c r="EQ115" s="490"/>
      <c r="ER115" s="490"/>
      <c r="ES115" s="490"/>
      <c r="ET115" s="490"/>
      <c r="EU115" s="490"/>
      <c r="EV115" s="490"/>
      <c r="EW115" s="490"/>
      <c r="EX115" s="490"/>
      <c r="EY115" s="490"/>
      <c r="EZ115" s="490"/>
      <c r="FA115" s="490"/>
      <c r="FB115" s="490"/>
      <c r="FC115" s="490"/>
      <c r="FD115" s="490"/>
      <c r="FE115" s="490"/>
      <c r="FF115" s="490"/>
      <c r="FG115" s="490"/>
      <c r="FH115" s="490"/>
      <c r="FI115" s="490"/>
      <c r="FJ115" s="490"/>
      <c r="FK115" s="490"/>
      <c r="FL115" s="490"/>
      <c r="FM115" s="490"/>
      <c r="FN115" s="490"/>
    </row>
    <row r="116" s="492" customFormat="1" spans="1:170">
      <c r="A116" s="519"/>
      <c r="B116" s="509"/>
      <c r="C116" s="538"/>
      <c r="D116" s="509"/>
      <c r="E116" s="509"/>
      <c r="F116" s="515" t="s">
        <v>221</v>
      </c>
      <c r="G116" s="542">
        <v>1.2</v>
      </c>
      <c r="H116" s="542">
        <v>1.4</v>
      </c>
      <c r="I116" s="541" t="s">
        <v>17</v>
      </c>
      <c r="J116" s="542">
        <v>2</v>
      </c>
      <c r="K116" s="543"/>
      <c r="L116" s="543"/>
      <c r="M116" s="490"/>
      <c r="N116" s="490"/>
      <c r="O116" s="490"/>
      <c r="P116" s="490"/>
      <c r="Q116" s="490"/>
      <c r="R116" s="490"/>
      <c r="S116" s="490"/>
      <c r="T116" s="490"/>
      <c r="U116" s="490"/>
      <c r="V116" s="490"/>
      <c r="W116" s="490"/>
      <c r="X116" s="490"/>
      <c r="Y116" s="490"/>
      <c r="Z116" s="490"/>
      <c r="AA116" s="490"/>
      <c r="AB116" s="490"/>
      <c r="AC116" s="490"/>
      <c r="AD116" s="490"/>
      <c r="AE116" s="490"/>
      <c r="AF116" s="490"/>
      <c r="AG116" s="490"/>
      <c r="AH116" s="490"/>
      <c r="AI116" s="490"/>
      <c r="AJ116" s="490"/>
      <c r="AK116" s="490"/>
      <c r="AL116" s="490"/>
      <c r="AM116" s="490"/>
      <c r="AN116" s="490"/>
      <c r="AO116" s="490"/>
      <c r="AP116" s="490"/>
      <c r="AQ116" s="490"/>
      <c r="AR116" s="490"/>
      <c r="AS116" s="490"/>
      <c r="AT116" s="490"/>
      <c r="AU116" s="490"/>
      <c r="AV116" s="490"/>
      <c r="AW116" s="490"/>
      <c r="AX116" s="490"/>
      <c r="AY116" s="490"/>
      <c r="AZ116" s="490"/>
      <c r="BA116" s="490"/>
      <c r="BB116" s="490"/>
      <c r="BC116" s="490"/>
      <c r="BD116" s="490"/>
      <c r="BE116" s="490"/>
      <c r="BF116" s="490"/>
      <c r="BG116" s="490"/>
      <c r="BH116" s="490"/>
      <c r="BI116" s="490"/>
      <c r="BJ116" s="490"/>
      <c r="BK116" s="490"/>
      <c r="BL116" s="490"/>
      <c r="BM116" s="490"/>
      <c r="BN116" s="490"/>
      <c r="BO116" s="490"/>
      <c r="BP116" s="490"/>
      <c r="BQ116" s="490"/>
      <c r="BR116" s="490"/>
      <c r="BS116" s="490"/>
      <c r="BT116" s="490"/>
      <c r="BU116" s="490"/>
      <c r="BV116" s="490"/>
      <c r="BW116" s="490"/>
      <c r="BX116" s="490"/>
      <c r="BY116" s="490"/>
      <c r="BZ116" s="490"/>
      <c r="CA116" s="490"/>
      <c r="CB116" s="490"/>
      <c r="CC116" s="490"/>
      <c r="CD116" s="490"/>
      <c r="CE116" s="490"/>
      <c r="CF116" s="490"/>
      <c r="CG116" s="490"/>
      <c r="CH116" s="490"/>
      <c r="CI116" s="490"/>
      <c r="CJ116" s="490"/>
      <c r="CK116" s="490"/>
      <c r="CL116" s="490"/>
      <c r="CM116" s="490"/>
      <c r="CN116" s="490"/>
      <c r="CO116" s="490"/>
      <c r="CP116" s="490"/>
      <c r="CQ116" s="490"/>
      <c r="CR116" s="490"/>
      <c r="CS116" s="490"/>
      <c r="CT116" s="490"/>
      <c r="CU116" s="490"/>
      <c r="CV116" s="490"/>
      <c r="CW116" s="490"/>
      <c r="CX116" s="490"/>
      <c r="CY116" s="490"/>
      <c r="CZ116" s="490"/>
      <c r="DA116" s="490"/>
      <c r="DB116" s="490"/>
      <c r="DC116" s="490"/>
      <c r="DD116" s="490"/>
      <c r="DE116" s="490"/>
      <c r="DF116" s="490"/>
      <c r="DG116" s="490"/>
      <c r="DH116" s="490"/>
      <c r="DI116" s="490"/>
      <c r="DJ116" s="490"/>
      <c r="DK116" s="490"/>
      <c r="DL116" s="490"/>
      <c r="DM116" s="490"/>
      <c r="DN116" s="490"/>
      <c r="DO116" s="490"/>
      <c r="DP116" s="490"/>
      <c r="DQ116" s="490"/>
      <c r="DR116" s="490"/>
      <c r="DS116" s="490"/>
      <c r="DT116" s="490"/>
      <c r="DU116" s="490"/>
      <c r="DV116" s="490"/>
      <c r="DW116" s="490"/>
      <c r="DX116" s="490"/>
      <c r="DY116" s="490"/>
      <c r="DZ116" s="490"/>
      <c r="EA116" s="490"/>
      <c r="EB116" s="490"/>
      <c r="EC116" s="490"/>
      <c r="ED116" s="490"/>
      <c r="EE116" s="490"/>
      <c r="EF116" s="490"/>
      <c r="EG116" s="490"/>
      <c r="EH116" s="490"/>
      <c r="EI116" s="490"/>
      <c r="EJ116" s="490"/>
      <c r="EK116" s="490"/>
      <c r="EL116" s="490"/>
      <c r="EM116" s="490"/>
      <c r="EN116" s="490"/>
      <c r="EO116" s="490"/>
      <c r="EP116" s="490"/>
      <c r="EQ116" s="490"/>
      <c r="ER116" s="490"/>
      <c r="ES116" s="490"/>
      <c r="ET116" s="490"/>
      <c r="EU116" s="490"/>
      <c r="EV116" s="490"/>
      <c r="EW116" s="490"/>
      <c r="EX116" s="490"/>
      <c r="EY116" s="490"/>
      <c r="EZ116" s="490"/>
      <c r="FA116" s="490"/>
      <c r="FB116" s="490"/>
      <c r="FC116" s="490"/>
      <c r="FD116" s="490"/>
      <c r="FE116" s="490"/>
      <c r="FF116" s="490"/>
      <c r="FG116" s="490"/>
      <c r="FH116" s="490"/>
      <c r="FI116" s="490"/>
      <c r="FJ116" s="490"/>
      <c r="FK116" s="490"/>
      <c r="FL116" s="490"/>
      <c r="FM116" s="490"/>
      <c r="FN116" s="490"/>
    </row>
    <row r="117" s="492" customFormat="1" spans="1:170">
      <c r="A117" s="519"/>
      <c r="B117" s="509"/>
      <c r="C117" s="538"/>
      <c r="D117" s="509"/>
      <c r="E117" s="509"/>
      <c r="F117" s="515" t="s">
        <v>75</v>
      </c>
      <c r="G117" s="542">
        <v>1.24</v>
      </c>
      <c r="H117" s="542">
        <v>0.55</v>
      </c>
      <c r="I117" s="541" t="s">
        <v>22</v>
      </c>
      <c r="J117" s="542">
        <v>2.25</v>
      </c>
      <c r="K117" s="543"/>
      <c r="L117" s="543"/>
      <c r="M117" s="490"/>
      <c r="N117" s="490"/>
      <c r="O117" s="490"/>
      <c r="P117" s="490"/>
      <c r="Q117" s="490"/>
      <c r="R117" s="490"/>
      <c r="S117" s="490"/>
      <c r="T117" s="490"/>
      <c r="U117" s="490"/>
      <c r="V117" s="490"/>
      <c r="W117" s="490"/>
      <c r="X117" s="490"/>
      <c r="Y117" s="490"/>
      <c r="Z117" s="490"/>
      <c r="AA117" s="490"/>
      <c r="AB117" s="490"/>
      <c r="AC117" s="490"/>
      <c r="AD117" s="490"/>
      <c r="AE117" s="490"/>
      <c r="AF117" s="490"/>
      <c r="AG117" s="490"/>
      <c r="AH117" s="490"/>
      <c r="AI117" s="490"/>
      <c r="AJ117" s="490"/>
      <c r="AK117" s="490"/>
      <c r="AL117" s="490"/>
      <c r="AM117" s="490"/>
      <c r="AN117" s="490"/>
      <c r="AO117" s="490"/>
      <c r="AP117" s="490"/>
      <c r="AQ117" s="490"/>
      <c r="AR117" s="490"/>
      <c r="AS117" s="490"/>
      <c r="AT117" s="490"/>
      <c r="AU117" s="490"/>
      <c r="AV117" s="490"/>
      <c r="AW117" s="490"/>
      <c r="AX117" s="490"/>
      <c r="AY117" s="490"/>
      <c r="AZ117" s="490"/>
      <c r="BA117" s="490"/>
      <c r="BB117" s="490"/>
      <c r="BC117" s="490"/>
      <c r="BD117" s="490"/>
      <c r="BE117" s="490"/>
      <c r="BF117" s="490"/>
      <c r="BG117" s="490"/>
      <c r="BH117" s="490"/>
      <c r="BI117" s="490"/>
      <c r="BJ117" s="490"/>
      <c r="BK117" s="490"/>
      <c r="BL117" s="490"/>
      <c r="BM117" s="490"/>
      <c r="BN117" s="490"/>
      <c r="BO117" s="490"/>
      <c r="BP117" s="490"/>
      <c r="BQ117" s="490"/>
      <c r="BR117" s="490"/>
      <c r="BS117" s="490"/>
      <c r="BT117" s="490"/>
      <c r="BU117" s="490"/>
      <c r="BV117" s="490"/>
      <c r="BW117" s="490"/>
      <c r="BX117" s="490"/>
      <c r="BY117" s="490"/>
      <c r="BZ117" s="490"/>
      <c r="CA117" s="490"/>
      <c r="CB117" s="490"/>
      <c r="CC117" s="490"/>
      <c r="CD117" s="490"/>
      <c r="CE117" s="490"/>
      <c r="CF117" s="490"/>
      <c r="CG117" s="490"/>
      <c r="CH117" s="490"/>
      <c r="CI117" s="490"/>
      <c r="CJ117" s="490"/>
      <c r="CK117" s="490"/>
      <c r="CL117" s="490"/>
      <c r="CM117" s="490"/>
      <c r="CN117" s="490"/>
      <c r="CO117" s="490"/>
      <c r="CP117" s="490"/>
      <c r="CQ117" s="490"/>
      <c r="CR117" s="490"/>
      <c r="CS117" s="490"/>
      <c r="CT117" s="490"/>
      <c r="CU117" s="490"/>
      <c r="CV117" s="490"/>
      <c r="CW117" s="490"/>
      <c r="CX117" s="490"/>
      <c r="CY117" s="490"/>
      <c r="CZ117" s="490"/>
      <c r="DA117" s="490"/>
      <c r="DB117" s="490"/>
      <c r="DC117" s="490"/>
      <c r="DD117" s="490"/>
      <c r="DE117" s="490"/>
      <c r="DF117" s="490"/>
      <c r="DG117" s="490"/>
      <c r="DH117" s="490"/>
      <c r="DI117" s="490"/>
      <c r="DJ117" s="490"/>
      <c r="DK117" s="490"/>
      <c r="DL117" s="490"/>
      <c r="DM117" s="490"/>
      <c r="DN117" s="490"/>
      <c r="DO117" s="490"/>
      <c r="DP117" s="490"/>
      <c r="DQ117" s="490"/>
      <c r="DR117" s="490"/>
      <c r="DS117" s="490"/>
      <c r="DT117" s="490"/>
      <c r="DU117" s="490"/>
      <c r="DV117" s="490"/>
      <c r="DW117" s="490"/>
      <c r="DX117" s="490"/>
      <c r="DY117" s="490"/>
      <c r="DZ117" s="490"/>
      <c r="EA117" s="490"/>
      <c r="EB117" s="490"/>
      <c r="EC117" s="490"/>
      <c r="ED117" s="490"/>
      <c r="EE117" s="490"/>
      <c r="EF117" s="490"/>
      <c r="EG117" s="490"/>
      <c r="EH117" s="490"/>
      <c r="EI117" s="490"/>
      <c r="EJ117" s="490"/>
      <c r="EK117" s="490"/>
      <c r="EL117" s="490"/>
      <c r="EM117" s="490"/>
      <c r="EN117" s="490"/>
      <c r="EO117" s="490"/>
      <c r="EP117" s="490"/>
      <c r="EQ117" s="490"/>
      <c r="ER117" s="490"/>
      <c r="ES117" s="490"/>
      <c r="ET117" s="490"/>
      <c r="EU117" s="490"/>
      <c r="EV117" s="490"/>
      <c r="EW117" s="490"/>
      <c r="EX117" s="490"/>
      <c r="EY117" s="490"/>
      <c r="EZ117" s="490"/>
      <c r="FA117" s="490"/>
      <c r="FB117" s="490"/>
      <c r="FC117" s="490"/>
      <c r="FD117" s="490"/>
      <c r="FE117" s="490"/>
      <c r="FF117" s="490"/>
      <c r="FG117" s="490"/>
      <c r="FH117" s="490"/>
      <c r="FI117" s="490"/>
      <c r="FJ117" s="490"/>
      <c r="FK117" s="490"/>
      <c r="FL117" s="490"/>
      <c r="FM117" s="490"/>
      <c r="FN117" s="490"/>
    </row>
    <row r="118" s="492" customFormat="1" spans="1:170">
      <c r="A118" s="519"/>
      <c r="B118" s="509"/>
      <c r="C118" s="538"/>
      <c r="D118" s="509"/>
      <c r="E118" s="509"/>
      <c r="F118" s="544" t="s">
        <v>90</v>
      </c>
      <c r="G118" s="542">
        <v>1.32</v>
      </c>
      <c r="H118" s="542">
        <v>0.55</v>
      </c>
      <c r="I118" s="541" t="s">
        <v>351</v>
      </c>
      <c r="J118" s="542">
        <v>4.5</v>
      </c>
      <c r="K118" s="543"/>
      <c r="L118" s="543"/>
      <c r="M118" s="490"/>
      <c r="N118" s="490"/>
      <c r="O118" s="490"/>
      <c r="P118" s="490"/>
      <c r="Q118" s="490"/>
      <c r="R118" s="490"/>
      <c r="S118" s="490"/>
      <c r="T118" s="490"/>
      <c r="U118" s="490"/>
      <c r="V118" s="490"/>
      <c r="W118" s="490"/>
      <c r="X118" s="490"/>
      <c r="Y118" s="490"/>
      <c r="Z118" s="490"/>
      <c r="AA118" s="490"/>
      <c r="AB118" s="490"/>
      <c r="AC118" s="490"/>
      <c r="AD118" s="490"/>
      <c r="AE118" s="490"/>
      <c r="AF118" s="490"/>
      <c r="AG118" s="490"/>
      <c r="AH118" s="490"/>
      <c r="AI118" s="490"/>
      <c r="AJ118" s="490"/>
      <c r="AK118" s="490"/>
      <c r="AL118" s="490"/>
      <c r="AM118" s="490"/>
      <c r="AN118" s="490"/>
      <c r="AO118" s="490"/>
      <c r="AP118" s="490"/>
      <c r="AQ118" s="490"/>
      <c r="AR118" s="490"/>
      <c r="AS118" s="490"/>
      <c r="AT118" s="490"/>
      <c r="AU118" s="490"/>
      <c r="AV118" s="490"/>
      <c r="AW118" s="490"/>
      <c r="AX118" s="490"/>
      <c r="AY118" s="490"/>
      <c r="AZ118" s="490"/>
      <c r="BA118" s="490"/>
      <c r="BB118" s="490"/>
      <c r="BC118" s="490"/>
      <c r="BD118" s="490"/>
      <c r="BE118" s="490"/>
      <c r="BF118" s="490"/>
      <c r="BG118" s="490"/>
      <c r="BH118" s="490"/>
      <c r="BI118" s="490"/>
      <c r="BJ118" s="490"/>
      <c r="BK118" s="490"/>
      <c r="BL118" s="490"/>
      <c r="BM118" s="490"/>
      <c r="BN118" s="490"/>
      <c r="BO118" s="490"/>
      <c r="BP118" s="490"/>
      <c r="BQ118" s="490"/>
      <c r="BR118" s="490"/>
      <c r="BS118" s="490"/>
      <c r="BT118" s="490"/>
      <c r="BU118" s="490"/>
      <c r="BV118" s="490"/>
      <c r="BW118" s="490"/>
      <c r="BX118" s="490"/>
      <c r="BY118" s="490"/>
      <c r="BZ118" s="490"/>
      <c r="CA118" s="490"/>
      <c r="CB118" s="490"/>
      <c r="CC118" s="490"/>
      <c r="CD118" s="490"/>
      <c r="CE118" s="490"/>
      <c r="CF118" s="490"/>
      <c r="CG118" s="490"/>
      <c r="CH118" s="490"/>
      <c r="CI118" s="490"/>
      <c r="CJ118" s="490"/>
      <c r="CK118" s="490"/>
      <c r="CL118" s="490"/>
      <c r="CM118" s="490"/>
      <c r="CN118" s="490"/>
      <c r="CO118" s="490"/>
      <c r="CP118" s="490"/>
      <c r="CQ118" s="490"/>
      <c r="CR118" s="490"/>
      <c r="CS118" s="490"/>
      <c r="CT118" s="490"/>
      <c r="CU118" s="490"/>
      <c r="CV118" s="490"/>
      <c r="CW118" s="490"/>
      <c r="CX118" s="490"/>
      <c r="CY118" s="490"/>
      <c r="CZ118" s="490"/>
      <c r="DA118" s="490"/>
      <c r="DB118" s="490"/>
      <c r="DC118" s="490"/>
      <c r="DD118" s="490"/>
      <c r="DE118" s="490"/>
      <c r="DF118" s="490"/>
      <c r="DG118" s="490"/>
      <c r="DH118" s="490"/>
      <c r="DI118" s="490"/>
      <c r="DJ118" s="490"/>
      <c r="DK118" s="490"/>
      <c r="DL118" s="490"/>
      <c r="DM118" s="490"/>
      <c r="DN118" s="490"/>
      <c r="DO118" s="490"/>
      <c r="DP118" s="490"/>
      <c r="DQ118" s="490"/>
      <c r="DR118" s="490"/>
      <c r="DS118" s="490"/>
      <c r="DT118" s="490"/>
      <c r="DU118" s="490"/>
      <c r="DV118" s="490"/>
      <c r="DW118" s="490"/>
      <c r="DX118" s="490"/>
      <c r="DY118" s="490"/>
      <c r="DZ118" s="490"/>
      <c r="EA118" s="490"/>
      <c r="EB118" s="490"/>
      <c r="EC118" s="490"/>
      <c r="ED118" s="490"/>
      <c r="EE118" s="490"/>
      <c r="EF118" s="490"/>
      <c r="EG118" s="490"/>
      <c r="EH118" s="490"/>
      <c r="EI118" s="490"/>
      <c r="EJ118" s="490"/>
      <c r="EK118" s="490"/>
      <c r="EL118" s="490"/>
      <c r="EM118" s="490"/>
      <c r="EN118" s="490"/>
      <c r="EO118" s="490"/>
      <c r="EP118" s="490"/>
      <c r="EQ118" s="490"/>
      <c r="ER118" s="490"/>
      <c r="ES118" s="490"/>
      <c r="ET118" s="490"/>
      <c r="EU118" s="490"/>
      <c r="EV118" s="490"/>
      <c r="EW118" s="490"/>
      <c r="EX118" s="490"/>
      <c r="EY118" s="490"/>
      <c r="EZ118" s="490"/>
      <c r="FA118" s="490"/>
      <c r="FB118" s="490"/>
      <c r="FC118" s="490"/>
      <c r="FD118" s="490"/>
      <c r="FE118" s="490"/>
      <c r="FF118" s="490"/>
      <c r="FG118" s="490"/>
      <c r="FH118" s="490"/>
      <c r="FI118" s="490"/>
      <c r="FJ118" s="490"/>
      <c r="FK118" s="490"/>
      <c r="FL118" s="490"/>
      <c r="FM118" s="490"/>
      <c r="FN118" s="490"/>
    </row>
    <row r="119" s="492" customFormat="1" spans="1:170">
      <c r="A119" s="519"/>
      <c r="B119" s="509"/>
      <c r="C119" s="538"/>
      <c r="D119" s="509"/>
      <c r="E119" s="509"/>
      <c r="F119" s="515" t="s">
        <v>91</v>
      </c>
      <c r="G119" s="542">
        <v>1.75</v>
      </c>
      <c r="H119" s="542">
        <v>0.5</v>
      </c>
      <c r="I119" s="542" t="s">
        <v>24</v>
      </c>
      <c r="J119" s="542" t="s">
        <v>24</v>
      </c>
      <c r="K119" s="543"/>
      <c r="L119" s="543"/>
      <c r="M119" s="490"/>
      <c r="N119" s="490"/>
      <c r="O119" s="490"/>
      <c r="P119" s="490"/>
      <c r="Q119" s="490"/>
      <c r="R119" s="490"/>
      <c r="S119" s="490"/>
      <c r="T119" s="490"/>
      <c r="U119" s="490"/>
      <c r="V119" s="490"/>
      <c r="W119" s="490"/>
      <c r="X119" s="490"/>
      <c r="Y119" s="490"/>
      <c r="Z119" s="490"/>
      <c r="AA119" s="490"/>
      <c r="AB119" s="490"/>
      <c r="AC119" s="490"/>
      <c r="AD119" s="490"/>
      <c r="AE119" s="490"/>
      <c r="AF119" s="490"/>
      <c r="AG119" s="490"/>
      <c r="AH119" s="490"/>
      <c r="AI119" s="490"/>
      <c r="AJ119" s="490"/>
      <c r="AK119" s="490"/>
      <c r="AL119" s="490"/>
      <c r="AM119" s="490"/>
      <c r="AN119" s="490"/>
      <c r="AO119" s="490"/>
      <c r="AP119" s="490"/>
      <c r="AQ119" s="490"/>
      <c r="AR119" s="490"/>
      <c r="AS119" s="490"/>
      <c r="AT119" s="490"/>
      <c r="AU119" s="490"/>
      <c r="AV119" s="490"/>
      <c r="AW119" s="490"/>
      <c r="AX119" s="490"/>
      <c r="AY119" s="490"/>
      <c r="AZ119" s="490"/>
      <c r="BA119" s="490"/>
      <c r="BB119" s="490"/>
      <c r="BC119" s="490"/>
      <c r="BD119" s="490"/>
      <c r="BE119" s="490"/>
      <c r="BF119" s="490"/>
      <c r="BG119" s="490"/>
      <c r="BH119" s="490"/>
      <c r="BI119" s="490"/>
      <c r="BJ119" s="490"/>
      <c r="BK119" s="490"/>
      <c r="BL119" s="490"/>
      <c r="BM119" s="490"/>
      <c r="BN119" s="490"/>
      <c r="BO119" s="490"/>
      <c r="BP119" s="490"/>
      <c r="BQ119" s="490"/>
      <c r="BR119" s="490"/>
      <c r="BS119" s="490"/>
      <c r="BT119" s="490"/>
      <c r="BU119" s="490"/>
      <c r="BV119" s="490"/>
      <c r="BW119" s="490"/>
      <c r="BX119" s="490"/>
      <c r="BY119" s="490"/>
      <c r="BZ119" s="490"/>
      <c r="CA119" s="490"/>
      <c r="CB119" s="490"/>
      <c r="CC119" s="490"/>
      <c r="CD119" s="490"/>
      <c r="CE119" s="490"/>
      <c r="CF119" s="490"/>
      <c r="CG119" s="490"/>
      <c r="CH119" s="490"/>
      <c r="CI119" s="490"/>
      <c r="CJ119" s="490"/>
      <c r="CK119" s="490"/>
      <c r="CL119" s="490"/>
      <c r="CM119" s="490"/>
      <c r="CN119" s="490"/>
      <c r="CO119" s="490"/>
      <c r="CP119" s="490"/>
      <c r="CQ119" s="490"/>
      <c r="CR119" s="490"/>
      <c r="CS119" s="490"/>
      <c r="CT119" s="490"/>
      <c r="CU119" s="490"/>
      <c r="CV119" s="490"/>
      <c r="CW119" s="490"/>
      <c r="CX119" s="490"/>
      <c r="CY119" s="490"/>
      <c r="CZ119" s="490"/>
      <c r="DA119" s="490"/>
      <c r="DB119" s="490"/>
      <c r="DC119" s="490"/>
      <c r="DD119" s="490"/>
      <c r="DE119" s="490"/>
      <c r="DF119" s="490"/>
      <c r="DG119" s="490"/>
      <c r="DH119" s="490"/>
      <c r="DI119" s="490"/>
      <c r="DJ119" s="490"/>
      <c r="DK119" s="490"/>
      <c r="DL119" s="490"/>
      <c r="DM119" s="490"/>
      <c r="DN119" s="490"/>
      <c r="DO119" s="490"/>
      <c r="DP119" s="490"/>
      <c r="DQ119" s="490"/>
      <c r="DR119" s="490"/>
      <c r="DS119" s="490"/>
      <c r="DT119" s="490"/>
      <c r="DU119" s="490"/>
      <c r="DV119" s="490"/>
      <c r="DW119" s="490"/>
      <c r="DX119" s="490"/>
      <c r="DY119" s="490"/>
      <c r="DZ119" s="490"/>
      <c r="EA119" s="490"/>
      <c r="EB119" s="490"/>
      <c r="EC119" s="490"/>
      <c r="ED119" s="490"/>
      <c r="EE119" s="490"/>
      <c r="EF119" s="490"/>
      <c r="EG119" s="490"/>
      <c r="EH119" s="490"/>
      <c r="EI119" s="490"/>
      <c r="EJ119" s="490"/>
      <c r="EK119" s="490"/>
      <c r="EL119" s="490"/>
      <c r="EM119" s="490"/>
      <c r="EN119" s="490"/>
      <c r="EO119" s="490"/>
      <c r="EP119" s="490"/>
      <c r="EQ119" s="490"/>
      <c r="ER119" s="490"/>
      <c r="ES119" s="490"/>
      <c r="ET119" s="490"/>
      <c r="EU119" s="490"/>
      <c r="EV119" s="490"/>
      <c r="EW119" s="490"/>
      <c r="EX119" s="490"/>
      <c r="EY119" s="490"/>
      <c r="EZ119" s="490"/>
      <c r="FA119" s="490"/>
      <c r="FB119" s="490"/>
      <c r="FC119" s="490"/>
      <c r="FD119" s="490"/>
      <c r="FE119" s="490"/>
      <c r="FF119" s="490"/>
      <c r="FG119" s="490"/>
      <c r="FH119" s="490"/>
      <c r="FI119" s="490"/>
      <c r="FJ119" s="490"/>
      <c r="FK119" s="490"/>
      <c r="FL119" s="490"/>
      <c r="FM119" s="490"/>
      <c r="FN119" s="490"/>
    </row>
    <row r="120" s="492" customFormat="1" spans="1:170">
      <c r="A120" s="519">
        <v>46085</v>
      </c>
      <c r="B120" s="509" t="s">
        <v>742</v>
      </c>
      <c r="C120" s="538">
        <v>10</v>
      </c>
      <c r="D120" s="509" t="s">
        <v>208</v>
      </c>
      <c r="E120" s="509" t="s">
        <v>208</v>
      </c>
      <c r="F120" s="544" t="s">
        <v>128</v>
      </c>
      <c r="G120" s="542">
        <v>0.75</v>
      </c>
      <c r="H120" s="542">
        <v>9</v>
      </c>
      <c r="I120" s="541" t="s">
        <v>17</v>
      </c>
      <c r="J120" s="542">
        <v>1.84</v>
      </c>
      <c r="K120" s="543" t="s">
        <v>603</v>
      </c>
      <c r="L120" s="543" t="s">
        <v>691</v>
      </c>
      <c r="M120" s="490"/>
      <c r="N120" s="490"/>
      <c r="O120" s="490"/>
      <c r="P120" s="490"/>
      <c r="Q120" s="490"/>
      <c r="R120" s="490"/>
      <c r="S120" s="490"/>
      <c r="T120" s="490"/>
      <c r="U120" s="490"/>
      <c r="V120" s="490"/>
      <c r="W120" s="490"/>
      <c r="X120" s="490"/>
      <c r="Y120" s="490"/>
      <c r="Z120" s="490"/>
      <c r="AA120" s="490"/>
      <c r="AB120" s="490"/>
      <c r="AC120" s="490"/>
      <c r="AD120" s="490"/>
      <c r="AE120" s="490"/>
      <c r="AF120" s="490"/>
      <c r="AG120" s="490"/>
      <c r="AH120" s="490"/>
      <c r="AI120" s="490"/>
      <c r="AJ120" s="490"/>
      <c r="AK120" s="490"/>
      <c r="AL120" s="490"/>
      <c r="AM120" s="490"/>
      <c r="AN120" s="490"/>
      <c r="AO120" s="490"/>
      <c r="AP120" s="490"/>
      <c r="AQ120" s="490"/>
      <c r="AR120" s="490"/>
      <c r="AS120" s="490"/>
      <c r="AT120" s="490"/>
      <c r="AU120" s="490"/>
      <c r="AV120" s="490"/>
      <c r="AW120" s="490"/>
      <c r="AX120" s="490"/>
      <c r="AY120" s="490"/>
      <c r="AZ120" s="490"/>
      <c r="BA120" s="490"/>
      <c r="BB120" s="490"/>
      <c r="BC120" s="490"/>
      <c r="BD120" s="490"/>
      <c r="BE120" s="490"/>
      <c r="BF120" s="490"/>
      <c r="BG120" s="490"/>
      <c r="BH120" s="490"/>
      <c r="BI120" s="490"/>
      <c r="BJ120" s="490"/>
      <c r="BK120" s="490"/>
      <c r="BL120" s="490"/>
      <c r="BM120" s="490"/>
      <c r="BN120" s="490"/>
      <c r="BO120" s="490"/>
      <c r="BP120" s="490"/>
      <c r="BQ120" s="490"/>
      <c r="BR120" s="490"/>
      <c r="BS120" s="490"/>
      <c r="BT120" s="490"/>
      <c r="BU120" s="490"/>
      <c r="BV120" s="490"/>
      <c r="BW120" s="490"/>
      <c r="BX120" s="490"/>
      <c r="BY120" s="490"/>
      <c r="BZ120" s="490"/>
      <c r="CA120" s="490"/>
      <c r="CB120" s="490"/>
      <c r="CC120" s="490"/>
      <c r="CD120" s="490"/>
      <c r="CE120" s="490"/>
      <c r="CF120" s="490"/>
      <c r="CG120" s="490"/>
      <c r="CH120" s="490"/>
      <c r="CI120" s="490"/>
      <c r="CJ120" s="490"/>
      <c r="CK120" s="490"/>
      <c r="CL120" s="490"/>
      <c r="CM120" s="490"/>
      <c r="CN120" s="490"/>
      <c r="CO120" s="490"/>
      <c r="CP120" s="490"/>
      <c r="CQ120" s="490"/>
      <c r="CR120" s="490"/>
      <c r="CS120" s="490"/>
      <c r="CT120" s="490"/>
      <c r="CU120" s="490"/>
      <c r="CV120" s="490"/>
      <c r="CW120" s="490"/>
      <c r="CX120" s="490"/>
      <c r="CY120" s="490"/>
      <c r="CZ120" s="490"/>
      <c r="DA120" s="490"/>
      <c r="DB120" s="490"/>
      <c r="DC120" s="490"/>
      <c r="DD120" s="490"/>
      <c r="DE120" s="490"/>
      <c r="DF120" s="490"/>
      <c r="DG120" s="490"/>
      <c r="DH120" s="490"/>
      <c r="DI120" s="490"/>
      <c r="DJ120" s="490"/>
      <c r="DK120" s="490"/>
      <c r="DL120" s="490"/>
      <c r="DM120" s="490"/>
      <c r="DN120" s="490"/>
      <c r="DO120" s="490"/>
      <c r="DP120" s="490"/>
      <c r="DQ120" s="490"/>
      <c r="DR120" s="490"/>
      <c r="DS120" s="490"/>
      <c r="DT120" s="490"/>
      <c r="DU120" s="490"/>
      <c r="DV120" s="490"/>
      <c r="DW120" s="490"/>
      <c r="DX120" s="490"/>
      <c r="DY120" s="490"/>
      <c r="DZ120" s="490"/>
      <c r="EA120" s="490"/>
      <c r="EB120" s="490"/>
      <c r="EC120" s="490"/>
      <c r="ED120" s="490"/>
      <c r="EE120" s="490"/>
      <c r="EF120" s="490"/>
      <c r="EG120" s="490"/>
      <c r="EH120" s="490"/>
      <c r="EI120" s="490"/>
      <c r="EJ120" s="490"/>
      <c r="EK120" s="490"/>
      <c r="EL120" s="490"/>
      <c r="EM120" s="490"/>
      <c r="EN120" s="490"/>
      <c r="EO120" s="490"/>
      <c r="EP120" s="490"/>
      <c r="EQ120" s="490"/>
      <c r="ER120" s="490"/>
      <c r="ES120" s="490"/>
      <c r="ET120" s="490"/>
      <c r="EU120" s="490"/>
      <c r="EV120" s="490"/>
      <c r="EW120" s="490"/>
      <c r="EX120" s="490"/>
      <c r="EY120" s="490"/>
      <c r="EZ120" s="490"/>
      <c r="FA120" s="490"/>
      <c r="FB120" s="490"/>
      <c r="FC120" s="490"/>
      <c r="FD120" s="490"/>
      <c r="FE120" s="490"/>
      <c r="FF120" s="490"/>
      <c r="FG120" s="490"/>
      <c r="FH120" s="490"/>
      <c r="FI120" s="490"/>
      <c r="FJ120" s="490"/>
      <c r="FK120" s="490"/>
      <c r="FL120" s="490"/>
      <c r="FM120" s="490"/>
      <c r="FN120" s="490"/>
    </row>
    <row r="121" s="492" customFormat="1" spans="1:170">
      <c r="A121" s="519"/>
      <c r="B121" s="509"/>
      <c r="C121" s="538"/>
      <c r="D121" s="509"/>
      <c r="E121" s="509"/>
      <c r="F121" s="544" t="s">
        <v>131</v>
      </c>
      <c r="G121" s="542">
        <v>1</v>
      </c>
      <c r="H121" s="542">
        <v>0.4</v>
      </c>
      <c r="I121" s="541" t="s">
        <v>22</v>
      </c>
      <c r="J121" s="542">
        <v>1.95</v>
      </c>
      <c r="K121" s="543"/>
      <c r="L121" s="543"/>
      <c r="M121" s="490"/>
      <c r="N121" s="490"/>
      <c r="O121" s="490"/>
      <c r="P121" s="490"/>
      <c r="Q121" s="490"/>
      <c r="R121" s="490"/>
      <c r="S121" s="490"/>
      <c r="T121" s="490"/>
      <c r="U121" s="490"/>
      <c r="V121" s="490"/>
      <c r="W121" s="490"/>
      <c r="X121" s="490"/>
      <c r="Y121" s="490"/>
      <c r="Z121" s="490"/>
      <c r="AA121" s="490"/>
      <c r="AB121" s="490"/>
      <c r="AC121" s="490"/>
      <c r="AD121" s="490"/>
      <c r="AE121" s="490"/>
      <c r="AF121" s="490"/>
      <c r="AG121" s="490"/>
      <c r="AH121" s="490"/>
      <c r="AI121" s="490"/>
      <c r="AJ121" s="490"/>
      <c r="AK121" s="490"/>
      <c r="AL121" s="490"/>
      <c r="AM121" s="490"/>
      <c r="AN121" s="490"/>
      <c r="AO121" s="490"/>
      <c r="AP121" s="490"/>
      <c r="AQ121" s="490"/>
      <c r="AR121" s="490"/>
      <c r="AS121" s="490"/>
      <c r="AT121" s="490"/>
      <c r="AU121" s="490"/>
      <c r="AV121" s="490"/>
      <c r="AW121" s="490"/>
      <c r="AX121" s="490"/>
      <c r="AY121" s="490"/>
      <c r="AZ121" s="490"/>
      <c r="BA121" s="490"/>
      <c r="BB121" s="490"/>
      <c r="BC121" s="490"/>
      <c r="BD121" s="490"/>
      <c r="BE121" s="490"/>
      <c r="BF121" s="490"/>
      <c r="BG121" s="490"/>
      <c r="BH121" s="490"/>
      <c r="BI121" s="490"/>
      <c r="BJ121" s="490"/>
      <c r="BK121" s="490"/>
      <c r="BL121" s="490"/>
      <c r="BM121" s="490"/>
      <c r="BN121" s="490"/>
      <c r="BO121" s="490"/>
      <c r="BP121" s="490"/>
      <c r="BQ121" s="490"/>
      <c r="BR121" s="490"/>
      <c r="BS121" s="490"/>
      <c r="BT121" s="490"/>
      <c r="BU121" s="490"/>
      <c r="BV121" s="490"/>
      <c r="BW121" s="490"/>
      <c r="BX121" s="490"/>
      <c r="BY121" s="490"/>
      <c r="BZ121" s="490"/>
      <c r="CA121" s="490"/>
      <c r="CB121" s="490"/>
      <c r="CC121" s="490"/>
      <c r="CD121" s="490"/>
      <c r="CE121" s="490"/>
      <c r="CF121" s="490"/>
      <c r="CG121" s="490"/>
      <c r="CH121" s="490"/>
      <c r="CI121" s="490"/>
      <c r="CJ121" s="490"/>
      <c r="CK121" s="490"/>
      <c r="CL121" s="490"/>
      <c r="CM121" s="490"/>
      <c r="CN121" s="490"/>
      <c r="CO121" s="490"/>
      <c r="CP121" s="490"/>
      <c r="CQ121" s="490"/>
      <c r="CR121" s="490"/>
      <c r="CS121" s="490"/>
      <c r="CT121" s="490"/>
      <c r="CU121" s="490"/>
      <c r="CV121" s="490"/>
      <c r="CW121" s="490"/>
      <c r="CX121" s="490"/>
      <c r="CY121" s="490"/>
      <c r="CZ121" s="490"/>
      <c r="DA121" s="490"/>
      <c r="DB121" s="490"/>
      <c r="DC121" s="490"/>
      <c r="DD121" s="490"/>
      <c r="DE121" s="490"/>
      <c r="DF121" s="490"/>
      <c r="DG121" s="490"/>
      <c r="DH121" s="490"/>
      <c r="DI121" s="490"/>
      <c r="DJ121" s="490"/>
      <c r="DK121" s="490"/>
      <c r="DL121" s="490"/>
      <c r="DM121" s="490"/>
      <c r="DN121" s="490"/>
      <c r="DO121" s="490"/>
      <c r="DP121" s="490"/>
      <c r="DQ121" s="490"/>
      <c r="DR121" s="490"/>
      <c r="DS121" s="490"/>
      <c r="DT121" s="490"/>
      <c r="DU121" s="490"/>
      <c r="DV121" s="490"/>
      <c r="DW121" s="490"/>
      <c r="DX121" s="490"/>
      <c r="DY121" s="490"/>
      <c r="DZ121" s="490"/>
      <c r="EA121" s="490"/>
      <c r="EB121" s="490"/>
      <c r="EC121" s="490"/>
      <c r="ED121" s="490"/>
      <c r="EE121" s="490"/>
      <c r="EF121" s="490"/>
      <c r="EG121" s="490"/>
      <c r="EH121" s="490"/>
      <c r="EI121" s="490"/>
      <c r="EJ121" s="490"/>
      <c r="EK121" s="490"/>
      <c r="EL121" s="490"/>
      <c r="EM121" s="490"/>
      <c r="EN121" s="490"/>
      <c r="EO121" s="490"/>
      <c r="EP121" s="490"/>
      <c r="EQ121" s="490"/>
      <c r="ER121" s="490"/>
      <c r="ES121" s="490"/>
      <c r="ET121" s="490"/>
      <c r="EU121" s="490"/>
      <c r="EV121" s="490"/>
      <c r="EW121" s="490"/>
      <c r="EX121" s="490"/>
      <c r="EY121" s="490"/>
      <c r="EZ121" s="490"/>
      <c r="FA121" s="490"/>
      <c r="FB121" s="490"/>
      <c r="FC121" s="490"/>
      <c r="FD121" s="490"/>
      <c r="FE121" s="490"/>
      <c r="FF121" s="490"/>
      <c r="FG121" s="490"/>
      <c r="FH121" s="490"/>
      <c r="FI121" s="490"/>
      <c r="FJ121" s="490"/>
      <c r="FK121" s="490"/>
      <c r="FL121" s="490"/>
      <c r="FM121" s="490"/>
      <c r="FN121" s="490"/>
    </row>
    <row r="122" s="492" customFormat="1" spans="1:170">
      <c r="A122" s="519"/>
      <c r="B122" s="509"/>
      <c r="C122" s="538"/>
      <c r="D122" s="509"/>
      <c r="E122" s="509"/>
      <c r="F122" s="544" t="s">
        <v>91</v>
      </c>
      <c r="G122" s="542">
        <v>1.51</v>
      </c>
      <c r="H122" s="542">
        <v>0.6</v>
      </c>
      <c r="I122" s="542" t="s">
        <v>24</v>
      </c>
      <c r="J122" s="542" t="s">
        <v>24</v>
      </c>
      <c r="K122" s="543"/>
      <c r="L122" s="543"/>
      <c r="M122" s="490"/>
      <c r="N122" s="490"/>
      <c r="O122" s="490"/>
      <c r="P122" s="490"/>
      <c r="Q122" s="490"/>
      <c r="R122" s="490"/>
      <c r="S122" s="490"/>
      <c r="T122" s="490"/>
      <c r="U122" s="490"/>
      <c r="V122" s="490"/>
      <c r="W122" s="490"/>
      <c r="X122" s="490"/>
      <c r="Y122" s="490"/>
      <c r="Z122" s="490"/>
      <c r="AA122" s="490"/>
      <c r="AB122" s="490"/>
      <c r="AC122" s="490"/>
      <c r="AD122" s="490"/>
      <c r="AE122" s="490"/>
      <c r="AF122" s="490"/>
      <c r="AG122" s="490"/>
      <c r="AH122" s="490"/>
      <c r="AI122" s="490"/>
      <c r="AJ122" s="490"/>
      <c r="AK122" s="490"/>
      <c r="AL122" s="490"/>
      <c r="AM122" s="490"/>
      <c r="AN122" s="490"/>
      <c r="AO122" s="490"/>
      <c r="AP122" s="490"/>
      <c r="AQ122" s="490"/>
      <c r="AR122" s="490"/>
      <c r="AS122" s="490"/>
      <c r="AT122" s="490"/>
      <c r="AU122" s="490"/>
      <c r="AV122" s="490"/>
      <c r="AW122" s="490"/>
      <c r="AX122" s="490"/>
      <c r="AY122" s="490"/>
      <c r="AZ122" s="490"/>
      <c r="BA122" s="490"/>
      <c r="BB122" s="490"/>
      <c r="BC122" s="490"/>
      <c r="BD122" s="490"/>
      <c r="BE122" s="490"/>
      <c r="BF122" s="490"/>
      <c r="BG122" s="490"/>
      <c r="BH122" s="490"/>
      <c r="BI122" s="490"/>
      <c r="BJ122" s="490"/>
      <c r="BK122" s="490"/>
      <c r="BL122" s="490"/>
      <c r="BM122" s="490"/>
      <c r="BN122" s="490"/>
      <c r="BO122" s="490"/>
      <c r="BP122" s="490"/>
      <c r="BQ122" s="490"/>
      <c r="BR122" s="490"/>
      <c r="BS122" s="490"/>
      <c r="BT122" s="490"/>
      <c r="BU122" s="490"/>
      <c r="BV122" s="490"/>
      <c r="BW122" s="490"/>
      <c r="BX122" s="490"/>
      <c r="BY122" s="490"/>
      <c r="BZ122" s="490"/>
      <c r="CA122" s="490"/>
      <c r="CB122" s="490"/>
      <c r="CC122" s="490"/>
      <c r="CD122" s="490"/>
      <c r="CE122" s="490"/>
      <c r="CF122" s="490"/>
      <c r="CG122" s="490"/>
      <c r="CH122" s="490"/>
      <c r="CI122" s="490"/>
      <c r="CJ122" s="490"/>
      <c r="CK122" s="490"/>
      <c r="CL122" s="490"/>
      <c r="CM122" s="490"/>
      <c r="CN122" s="490"/>
      <c r="CO122" s="490"/>
      <c r="CP122" s="490"/>
      <c r="CQ122" s="490"/>
      <c r="CR122" s="490"/>
      <c r="CS122" s="490"/>
      <c r="CT122" s="490"/>
      <c r="CU122" s="490"/>
      <c r="CV122" s="490"/>
      <c r="CW122" s="490"/>
      <c r="CX122" s="490"/>
      <c r="CY122" s="490"/>
      <c r="CZ122" s="490"/>
      <c r="DA122" s="490"/>
      <c r="DB122" s="490"/>
      <c r="DC122" s="490"/>
      <c r="DD122" s="490"/>
      <c r="DE122" s="490"/>
      <c r="DF122" s="490"/>
      <c r="DG122" s="490"/>
      <c r="DH122" s="490"/>
      <c r="DI122" s="490"/>
      <c r="DJ122" s="490"/>
      <c r="DK122" s="490"/>
      <c r="DL122" s="490"/>
      <c r="DM122" s="490"/>
      <c r="DN122" s="490"/>
      <c r="DO122" s="490"/>
      <c r="DP122" s="490"/>
      <c r="DQ122" s="490"/>
      <c r="DR122" s="490"/>
      <c r="DS122" s="490"/>
      <c r="DT122" s="490"/>
      <c r="DU122" s="490"/>
      <c r="DV122" s="490"/>
      <c r="DW122" s="490"/>
      <c r="DX122" s="490"/>
      <c r="DY122" s="490"/>
      <c r="DZ122" s="490"/>
      <c r="EA122" s="490"/>
      <c r="EB122" s="490"/>
      <c r="EC122" s="490"/>
      <c r="ED122" s="490"/>
      <c r="EE122" s="490"/>
      <c r="EF122" s="490"/>
      <c r="EG122" s="490"/>
      <c r="EH122" s="490"/>
      <c r="EI122" s="490"/>
      <c r="EJ122" s="490"/>
      <c r="EK122" s="490"/>
      <c r="EL122" s="490"/>
      <c r="EM122" s="490"/>
      <c r="EN122" s="490"/>
      <c r="EO122" s="490"/>
      <c r="EP122" s="490"/>
      <c r="EQ122" s="490"/>
      <c r="ER122" s="490"/>
      <c r="ES122" s="490"/>
      <c r="ET122" s="490"/>
      <c r="EU122" s="490"/>
      <c r="EV122" s="490"/>
      <c r="EW122" s="490"/>
      <c r="EX122" s="490"/>
      <c r="EY122" s="490"/>
      <c r="EZ122" s="490"/>
      <c r="FA122" s="490"/>
      <c r="FB122" s="490"/>
      <c r="FC122" s="490"/>
      <c r="FD122" s="490"/>
      <c r="FE122" s="490"/>
      <c r="FF122" s="490"/>
      <c r="FG122" s="490"/>
      <c r="FH122" s="490"/>
      <c r="FI122" s="490"/>
      <c r="FJ122" s="490"/>
      <c r="FK122" s="490"/>
      <c r="FL122" s="490"/>
      <c r="FM122" s="490"/>
      <c r="FN122" s="490"/>
    </row>
    <row r="123" s="492" customFormat="1" spans="1:170">
      <c r="A123" s="519">
        <v>46086</v>
      </c>
      <c r="B123" s="509" t="s">
        <v>743</v>
      </c>
      <c r="C123" s="520">
        <v>10</v>
      </c>
      <c r="D123" s="509" t="s">
        <v>66</v>
      </c>
      <c r="E123" s="509" t="s">
        <v>698</v>
      </c>
      <c r="F123" s="544" t="s">
        <v>128</v>
      </c>
      <c r="G123" s="542">
        <v>1</v>
      </c>
      <c r="H123" s="542">
        <v>8.8</v>
      </c>
      <c r="I123" s="541" t="s">
        <v>17</v>
      </c>
      <c r="J123" s="542">
        <v>1.8</v>
      </c>
      <c r="K123" s="543" t="s">
        <v>603</v>
      </c>
      <c r="L123" s="543" t="s">
        <v>577</v>
      </c>
      <c r="M123" s="490"/>
      <c r="N123" s="490"/>
      <c r="O123" s="490"/>
      <c r="P123" s="490"/>
      <c r="Q123" s="490"/>
      <c r="R123" s="490"/>
      <c r="S123" s="490"/>
      <c r="T123" s="490"/>
      <c r="U123" s="490"/>
      <c r="V123" s="490"/>
      <c r="W123" s="490"/>
      <c r="X123" s="490"/>
      <c r="Y123" s="490"/>
      <c r="Z123" s="490"/>
      <c r="AA123" s="490"/>
      <c r="AB123" s="490"/>
      <c r="AC123" s="490"/>
      <c r="AD123" s="490"/>
      <c r="AE123" s="490"/>
      <c r="AF123" s="490"/>
      <c r="AG123" s="490"/>
      <c r="AH123" s="490"/>
      <c r="AI123" s="490"/>
      <c r="AJ123" s="490"/>
      <c r="AK123" s="490"/>
      <c r="AL123" s="490"/>
      <c r="AM123" s="490"/>
      <c r="AN123" s="490"/>
      <c r="AO123" s="490"/>
      <c r="AP123" s="490"/>
      <c r="AQ123" s="490"/>
      <c r="AR123" s="490"/>
      <c r="AS123" s="490"/>
      <c r="AT123" s="490"/>
      <c r="AU123" s="490"/>
      <c r="AV123" s="490"/>
      <c r="AW123" s="490"/>
      <c r="AX123" s="490"/>
      <c r="AY123" s="490"/>
      <c r="AZ123" s="490"/>
      <c r="BA123" s="490"/>
      <c r="BB123" s="490"/>
      <c r="BC123" s="490"/>
      <c r="BD123" s="490"/>
      <c r="BE123" s="490"/>
      <c r="BF123" s="490"/>
      <c r="BG123" s="490"/>
      <c r="BH123" s="490"/>
      <c r="BI123" s="490"/>
      <c r="BJ123" s="490"/>
      <c r="BK123" s="490"/>
      <c r="BL123" s="490"/>
      <c r="BM123" s="490"/>
      <c r="BN123" s="490"/>
      <c r="BO123" s="490"/>
      <c r="BP123" s="490"/>
      <c r="BQ123" s="490"/>
      <c r="BR123" s="490"/>
      <c r="BS123" s="490"/>
      <c r="BT123" s="490"/>
      <c r="BU123" s="490"/>
      <c r="BV123" s="490"/>
      <c r="BW123" s="490"/>
      <c r="BX123" s="490"/>
      <c r="BY123" s="490"/>
      <c r="BZ123" s="490"/>
      <c r="CA123" s="490"/>
      <c r="CB123" s="490"/>
      <c r="CC123" s="490"/>
      <c r="CD123" s="490"/>
      <c r="CE123" s="490"/>
      <c r="CF123" s="490"/>
      <c r="CG123" s="490"/>
      <c r="CH123" s="490"/>
      <c r="CI123" s="490"/>
      <c r="CJ123" s="490"/>
      <c r="CK123" s="490"/>
      <c r="CL123" s="490"/>
      <c r="CM123" s="490"/>
      <c r="CN123" s="490"/>
      <c r="CO123" s="490"/>
      <c r="CP123" s="490"/>
      <c r="CQ123" s="490"/>
      <c r="CR123" s="490"/>
      <c r="CS123" s="490"/>
      <c r="CT123" s="490"/>
      <c r="CU123" s="490"/>
      <c r="CV123" s="490"/>
      <c r="CW123" s="490"/>
      <c r="CX123" s="490"/>
      <c r="CY123" s="490"/>
      <c r="CZ123" s="490"/>
      <c r="DA123" s="490"/>
      <c r="DB123" s="490"/>
      <c r="DC123" s="490"/>
      <c r="DD123" s="490"/>
      <c r="DE123" s="490"/>
      <c r="DF123" s="490"/>
      <c r="DG123" s="490"/>
      <c r="DH123" s="490"/>
      <c r="DI123" s="490"/>
      <c r="DJ123" s="490"/>
      <c r="DK123" s="490"/>
      <c r="DL123" s="490"/>
      <c r="DM123" s="490"/>
      <c r="DN123" s="490"/>
      <c r="DO123" s="490"/>
      <c r="DP123" s="490"/>
      <c r="DQ123" s="490"/>
      <c r="DR123" s="490"/>
      <c r="DS123" s="490"/>
      <c r="DT123" s="490"/>
      <c r="DU123" s="490"/>
      <c r="DV123" s="490"/>
      <c r="DW123" s="490"/>
      <c r="DX123" s="490"/>
      <c r="DY123" s="490"/>
      <c r="DZ123" s="490"/>
      <c r="EA123" s="490"/>
      <c r="EB123" s="490"/>
      <c r="EC123" s="490"/>
      <c r="ED123" s="490"/>
      <c r="EE123" s="490"/>
      <c r="EF123" s="490"/>
      <c r="EG123" s="490"/>
      <c r="EH123" s="490"/>
      <c r="EI123" s="490"/>
      <c r="EJ123" s="490"/>
      <c r="EK123" s="490"/>
      <c r="EL123" s="490"/>
      <c r="EM123" s="490"/>
      <c r="EN123" s="490"/>
      <c r="EO123" s="490"/>
      <c r="EP123" s="490"/>
      <c r="EQ123" s="490"/>
      <c r="ER123" s="490"/>
      <c r="ES123" s="490"/>
      <c r="ET123" s="490"/>
      <c r="EU123" s="490"/>
      <c r="EV123" s="490"/>
      <c r="EW123" s="490"/>
      <c r="EX123" s="490"/>
      <c r="EY123" s="490"/>
      <c r="EZ123" s="490"/>
      <c r="FA123" s="490"/>
      <c r="FB123" s="490"/>
      <c r="FC123" s="490"/>
      <c r="FD123" s="490"/>
      <c r="FE123" s="490"/>
      <c r="FF123" s="490"/>
      <c r="FG123" s="490"/>
      <c r="FH123" s="490"/>
      <c r="FI123" s="490"/>
      <c r="FJ123" s="490"/>
      <c r="FK123" s="490"/>
      <c r="FL123" s="490"/>
      <c r="FM123" s="490"/>
      <c r="FN123" s="490"/>
    </row>
    <row r="124" s="492" customFormat="1" spans="1:170">
      <c r="A124" s="519"/>
      <c r="B124" s="509"/>
      <c r="C124" s="520"/>
      <c r="D124" s="509"/>
      <c r="E124" s="509"/>
      <c r="F124" s="544" t="s">
        <v>131</v>
      </c>
      <c r="G124" s="542">
        <v>1.08</v>
      </c>
      <c r="H124" s="542">
        <v>0.6</v>
      </c>
      <c r="I124" s="541" t="s">
        <v>22</v>
      </c>
      <c r="J124" s="542">
        <v>1.9</v>
      </c>
      <c r="K124" s="543"/>
      <c r="L124" s="543"/>
      <c r="M124" s="490"/>
      <c r="N124" s="490"/>
      <c r="O124" s="490"/>
      <c r="P124" s="490"/>
      <c r="Q124" s="490"/>
      <c r="R124" s="490"/>
      <c r="S124" s="490"/>
      <c r="T124" s="490"/>
      <c r="U124" s="490"/>
      <c r="V124" s="490"/>
      <c r="W124" s="490"/>
      <c r="X124" s="490"/>
      <c r="Y124" s="490"/>
      <c r="Z124" s="490"/>
      <c r="AA124" s="490"/>
      <c r="AB124" s="490"/>
      <c r="AC124" s="490"/>
      <c r="AD124" s="490"/>
      <c r="AE124" s="490"/>
      <c r="AF124" s="490"/>
      <c r="AG124" s="490"/>
      <c r="AH124" s="490"/>
      <c r="AI124" s="490"/>
      <c r="AJ124" s="490"/>
      <c r="AK124" s="490"/>
      <c r="AL124" s="490"/>
      <c r="AM124" s="490"/>
      <c r="AN124" s="490"/>
      <c r="AO124" s="490"/>
      <c r="AP124" s="490"/>
      <c r="AQ124" s="490"/>
      <c r="AR124" s="490"/>
      <c r="AS124" s="490"/>
      <c r="AT124" s="490"/>
      <c r="AU124" s="490"/>
      <c r="AV124" s="490"/>
      <c r="AW124" s="490"/>
      <c r="AX124" s="490"/>
      <c r="AY124" s="490"/>
      <c r="AZ124" s="490"/>
      <c r="BA124" s="490"/>
      <c r="BB124" s="490"/>
      <c r="BC124" s="490"/>
      <c r="BD124" s="490"/>
      <c r="BE124" s="490"/>
      <c r="BF124" s="490"/>
      <c r="BG124" s="490"/>
      <c r="BH124" s="490"/>
      <c r="BI124" s="490"/>
      <c r="BJ124" s="490"/>
      <c r="BK124" s="490"/>
      <c r="BL124" s="490"/>
      <c r="BM124" s="490"/>
      <c r="BN124" s="490"/>
      <c r="BO124" s="490"/>
      <c r="BP124" s="490"/>
      <c r="BQ124" s="490"/>
      <c r="BR124" s="490"/>
      <c r="BS124" s="490"/>
      <c r="BT124" s="490"/>
      <c r="BU124" s="490"/>
      <c r="BV124" s="490"/>
      <c r="BW124" s="490"/>
      <c r="BX124" s="490"/>
      <c r="BY124" s="490"/>
      <c r="BZ124" s="490"/>
      <c r="CA124" s="490"/>
      <c r="CB124" s="490"/>
      <c r="CC124" s="490"/>
      <c r="CD124" s="490"/>
      <c r="CE124" s="490"/>
      <c r="CF124" s="490"/>
      <c r="CG124" s="490"/>
      <c r="CH124" s="490"/>
      <c r="CI124" s="490"/>
      <c r="CJ124" s="490"/>
      <c r="CK124" s="490"/>
      <c r="CL124" s="490"/>
      <c r="CM124" s="490"/>
      <c r="CN124" s="490"/>
      <c r="CO124" s="490"/>
      <c r="CP124" s="490"/>
      <c r="CQ124" s="490"/>
      <c r="CR124" s="490"/>
      <c r="CS124" s="490"/>
      <c r="CT124" s="490"/>
      <c r="CU124" s="490"/>
      <c r="CV124" s="490"/>
      <c r="CW124" s="490"/>
      <c r="CX124" s="490"/>
      <c r="CY124" s="490"/>
      <c r="CZ124" s="490"/>
      <c r="DA124" s="490"/>
      <c r="DB124" s="490"/>
      <c r="DC124" s="490"/>
      <c r="DD124" s="490"/>
      <c r="DE124" s="490"/>
      <c r="DF124" s="490"/>
      <c r="DG124" s="490"/>
      <c r="DH124" s="490"/>
      <c r="DI124" s="490"/>
      <c r="DJ124" s="490"/>
      <c r="DK124" s="490"/>
      <c r="DL124" s="490"/>
      <c r="DM124" s="490"/>
      <c r="DN124" s="490"/>
      <c r="DO124" s="490"/>
      <c r="DP124" s="490"/>
      <c r="DQ124" s="490"/>
      <c r="DR124" s="490"/>
      <c r="DS124" s="490"/>
      <c r="DT124" s="490"/>
      <c r="DU124" s="490"/>
      <c r="DV124" s="490"/>
      <c r="DW124" s="490"/>
      <c r="DX124" s="490"/>
      <c r="DY124" s="490"/>
      <c r="DZ124" s="490"/>
      <c r="EA124" s="490"/>
      <c r="EB124" s="490"/>
      <c r="EC124" s="490"/>
      <c r="ED124" s="490"/>
      <c r="EE124" s="490"/>
      <c r="EF124" s="490"/>
      <c r="EG124" s="490"/>
      <c r="EH124" s="490"/>
      <c r="EI124" s="490"/>
      <c r="EJ124" s="490"/>
      <c r="EK124" s="490"/>
      <c r="EL124" s="490"/>
      <c r="EM124" s="490"/>
      <c r="EN124" s="490"/>
      <c r="EO124" s="490"/>
      <c r="EP124" s="490"/>
      <c r="EQ124" s="490"/>
      <c r="ER124" s="490"/>
      <c r="ES124" s="490"/>
      <c r="ET124" s="490"/>
      <c r="EU124" s="490"/>
      <c r="EV124" s="490"/>
      <c r="EW124" s="490"/>
      <c r="EX124" s="490"/>
      <c r="EY124" s="490"/>
      <c r="EZ124" s="490"/>
      <c r="FA124" s="490"/>
      <c r="FB124" s="490"/>
      <c r="FC124" s="490"/>
      <c r="FD124" s="490"/>
      <c r="FE124" s="490"/>
      <c r="FF124" s="490"/>
      <c r="FG124" s="490"/>
      <c r="FH124" s="490"/>
      <c r="FI124" s="490"/>
      <c r="FJ124" s="490"/>
      <c r="FK124" s="490"/>
      <c r="FL124" s="490"/>
      <c r="FM124" s="490"/>
      <c r="FN124" s="490"/>
    </row>
    <row r="125" s="492" customFormat="1" spans="1:170">
      <c r="A125" s="519"/>
      <c r="B125" s="509"/>
      <c r="C125" s="520"/>
      <c r="D125" s="509"/>
      <c r="E125" s="509"/>
      <c r="F125" s="544" t="s">
        <v>91</v>
      </c>
      <c r="G125" s="542">
        <v>1.67</v>
      </c>
      <c r="H125" s="542">
        <v>0.6</v>
      </c>
      <c r="I125" s="542" t="s">
        <v>24</v>
      </c>
      <c r="J125" s="542" t="s">
        <v>24</v>
      </c>
      <c r="K125" s="543"/>
      <c r="L125" s="543"/>
      <c r="M125" s="490"/>
      <c r="N125" s="490"/>
      <c r="O125" s="490"/>
      <c r="P125" s="490"/>
      <c r="Q125" s="490"/>
      <c r="R125" s="490"/>
      <c r="S125" s="490"/>
      <c r="T125" s="490"/>
      <c r="U125" s="490"/>
      <c r="V125" s="490"/>
      <c r="W125" s="490"/>
      <c r="X125" s="490"/>
      <c r="Y125" s="490"/>
      <c r="Z125" s="490"/>
      <c r="AA125" s="490"/>
      <c r="AB125" s="490"/>
      <c r="AC125" s="490"/>
      <c r="AD125" s="490"/>
      <c r="AE125" s="490"/>
      <c r="AF125" s="490"/>
      <c r="AG125" s="490"/>
      <c r="AH125" s="490"/>
      <c r="AI125" s="490"/>
      <c r="AJ125" s="490"/>
      <c r="AK125" s="490"/>
      <c r="AL125" s="490"/>
      <c r="AM125" s="490"/>
      <c r="AN125" s="490"/>
      <c r="AO125" s="490"/>
      <c r="AP125" s="490"/>
      <c r="AQ125" s="490"/>
      <c r="AR125" s="490"/>
      <c r="AS125" s="490"/>
      <c r="AT125" s="490"/>
      <c r="AU125" s="490"/>
      <c r="AV125" s="490"/>
      <c r="AW125" s="490"/>
      <c r="AX125" s="490"/>
      <c r="AY125" s="490"/>
      <c r="AZ125" s="490"/>
      <c r="BA125" s="490"/>
      <c r="BB125" s="490"/>
      <c r="BC125" s="490"/>
      <c r="BD125" s="490"/>
      <c r="BE125" s="490"/>
      <c r="BF125" s="490"/>
      <c r="BG125" s="490"/>
      <c r="BH125" s="490"/>
      <c r="BI125" s="490"/>
      <c r="BJ125" s="490"/>
      <c r="BK125" s="490"/>
      <c r="BL125" s="490"/>
      <c r="BM125" s="490"/>
      <c r="BN125" s="490"/>
      <c r="BO125" s="490"/>
      <c r="BP125" s="490"/>
      <c r="BQ125" s="490"/>
      <c r="BR125" s="490"/>
      <c r="BS125" s="490"/>
      <c r="BT125" s="490"/>
      <c r="BU125" s="490"/>
      <c r="BV125" s="490"/>
      <c r="BW125" s="490"/>
      <c r="BX125" s="490"/>
      <c r="BY125" s="490"/>
      <c r="BZ125" s="490"/>
      <c r="CA125" s="490"/>
      <c r="CB125" s="490"/>
      <c r="CC125" s="490"/>
      <c r="CD125" s="490"/>
      <c r="CE125" s="490"/>
      <c r="CF125" s="490"/>
      <c r="CG125" s="490"/>
      <c r="CH125" s="490"/>
      <c r="CI125" s="490"/>
      <c r="CJ125" s="490"/>
      <c r="CK125" s="490"/>
      <c r="CL125" s="490"/>
      <c r="CM125" s="490"/>
      <c r="CN125" s="490"/>
      <c r="CO125" s="490"/>
      <c r="CP125" s="490"/>
      <c r="CQ125" s="490"/>
      <c r="CR125" s="490"/>
      <c r="CS125" s="490"/>
      <c r="CT125" s="490"/>
      <c r="CU125" s="490"/>
      <c r="CV125" s="490"/>
      <c r="CW125" s="490"/>
      <c r="CX125" s="490"/>
      <c r="CY125" s="490"/>
      <c r="CZ125" s="490"/>
      <c r="DA125" s="490"/>
      <c r="DB125" s="490"/>
      <c r="DC125" s="490"/>
      <c r="DD125" s="490"/>
      <c r="DE125" s="490"/>
      <c r="DF125" s="490"/>
      <c r="DG125" s="490"/>
      <c r="DH125" s="490"/>
      <c r="DI125" s="490"/>
      <c r="DJ125" s="490"/>
      <c r="DK125" s="490"/>
      <c r="DL125" s="490"/>
      <c r="DM125" s="490"/>
      <c r="DN125" s="490"/>
      <c r="DO125" s="490"/>
      <c r="DP125" s="490"/>
      <c r="DQ125" s="490"/>
      <c r="DR125" s="490"/>
      <c r="DS125" s="490"/>
      <c r="DT125" s="490"/>
      <c r="DU125" s="490"/>
      <c r="DV125" s="490"/>
      <c r="DW125" s="490"/>
      <c r="DX125" s="490"/>
      <c r="DY125" s="490"/>
      <c r="DZ125" s="490"/>
      <c r="EA125" s="490"/>
      <c r="EB125" s="490"/>
      <c r="EC125" s="490"/>
      <c r="ED125" s="490"/>
      <c r="EE125" s="490"/>
      <c r="EF125" s="490"/>
      <c r="EG125" s="490"/>
      <c r="EH125" s="490"/>
      <c r="EI125" s="490"/>
      <c r="EJ125" s="490"/>
      <c r="EK125" s="490"/>
      <c r="EL125" s="490"/>
      <c r="EM125" s="490"/>
      <c r="EN125" s="490"/>
      <c r="EO125" s="490"/>
      <c r="EP125" s="490"/>
      <c r="EQ125" s="490"/>
      <c r="ER125" s="490"/>
      <c r="ES125" s="490"/>
      <c r="ET125" s="490"/>
      <c r="EU125" s="490"/>
      <c r="EV125" s="490"/>
      <c r="EW125" s="490"/>
      <c r="EX125" s="490"/>
      <c r="EY125" s="490"/>
      <c r="EZ125" s="490"/>
      <c r="FA125" s="490"/>
      <c r="FB125" s="490"/>
      <c r="FC125" s="490"/>
      <c r="FD125" s="490"/>
      <c r="FE125" s="490"/>
      <c r="FF125" s="490"/>
      <c r="FG125" s="490"/>
      <c r="FH125" s="490"/>
      <c r="FI125" s="490"/>
      <c r="FJ125" s="490"/>
      <c r="FK125" s="490"/>
      <c r="FL125" s="490"/>
      <c r="FM125" s="490"/>
      <c r="FN125" s="490"/>
    </row>
    <row r="126" s="492" customFormat="1" spans="1:170">
      <c r="A126" s="519">
        <v>46087</v>
      </c>
      <c r="B126" s="509" t="s">
        <v>744</v>
      </c>
      <c r="C126" s="538">
        <v>8</v>
      </c>
      <c r="D126" s="509" t="s">
        <v>208</v>
      </c>
      <c r="E126" s="509" t="s">
        <v>208</v>
      </c>
      <c r="F126" s="544" t="s">
        <v>128</v>
      </c>
      <c r="G126" s="542">
        <v>0.75</v>
      </c>
      <c r="H126" s="542">
        <v>7.2</v>
      </c>
      <c r="I126" s="541" t="s">
        <v>17</v>
      </c>
      <c r="J126" s="542">
        <v>1.84</v>
      </c>
      <c r="K126" s="543" t="s">
        <v>603</v>
      </c>
      <c r="L126" s="543" t="s">
        <v>691</v>
      </c>
      <c r="M126" s="490"/>
      <c r="N126" s="490"/>
      <c r="O126" s="490"/>
      <c r="P126" s="490"/>
      <c r="Q126" s="490"/>
      <c r="R126" s="490"/>
      <c r="S126" s="490"/>
      <c r="T126" s="490"/>
      <c r="U126" s="490"/>
      <c r="V126" s="490"/>
      <c r="W126" s="490"/>
      <c r="X126" s="490"/>
      <c r="Y126" s="490"/>
      <c r="Z126" s="490"/>
      <c r="AA126" s="490"/>
      <c r="AB126" s="490"/>
      <c r="AC126" s="490"/>
      <c r="AD126" s="490"/>
      <c r="AE126" s="490"/>
      <c r="AF126" s="490"/>
      <c r="AG126" s="490"/>
      <c r="AH126" s="490"/>
      <c r="AI126" s="490"/>
      <c r="AJ126" s="490"/>
      <c r="AK126" s="490"/>
      <c r="AL126" s="490"/>
      <c r="AM126" s="490"/>
      <c r="AN126" s="490"/>
      <c r="AO126" s="490"/>
      <c r="AP126" s="490"/>
      <c r="AQ126" s="490"/>
      <c r="AR126" s="490"/>
      <c r="AS126" s="490"/>
      <c r="AT126" s="490"/>
      <c r="AU126" s="490"/>
      <c r="AV126" s="490"/>
      <c r="AW126" s="490"/>
      <c r="AX126" s="490"/>
      <c r="AY126" s="490"/>
      <c r="AZ126" s="490"/>
      <c r="BA126" s="490"/>
      <c r="BB126" s="490"/>
      <c r="BC126" s="490"/>
      <c r="BD126" s="490"/>
      <c r="BE126" s="490"/>
      <c r="BF126" s="490"/>
      <c r="BG126" s="490"/>
      <c r="BH126" s="490"/>
      <c r="BI126" s="490"/>
      <c r="BJ126" s="490"/>
      <c r="BK126" s="490"/>
      <c r="BL126" s="490"/>
      <c r="BM126" s="490"/>
      <c r="BN126" s="490"/>
      <c r="BO126" s="490"/>
      <c r="BP126" s="490"/>
      <c r="BQ126" s="490"/>
      <c r="BR126" s="490"/>
      <c r="BS126" s="490"/>
      <c r="BT126" s="490"/>
      <c r="BU126" s="490"/>
      <c r="BV126" s="490"/>
      <c r="BW126" s="490"/>
      <c r="BX126" s="490"/>
      <c r="BY126" s="490"/>
      <c r="BZ126" s="490"/>
      <c r="CA126" s="490"/>
      <c r="CB126" s="490"/>
      <c r="CC126" s="490"/>
      <c r="CD126" s="490"/>
      <c r="CE126" s="490"/>
      <c r="CF126" s="490"/>
      <c r="CG126" s="490"/>
      <c r="CH126" s="490"/>
      <c r="CI126" s="490"/>
      <c r="CJ126" s="490"/>
      <c r="CK126" s="490"/>
      <c r="CL126" s="490"/>
      <c r="CM126" s="490"/>
      <c r="CN126" s="490"/>
      <c r="CO126" s="490"/>
      <c r="CP126" s="490"/>
      <c r="CQ126" s="490"/>
      <c r="CR126" s="490"/>
      <c r="CS126" s="490"/>
      <c r="CT126" s="490"/>
      <c r="CU126" s="490"/>
      <c r="CV126" s="490"/>
      <c r="CW126" s="490"/>
      <c r="CX126" s="490"/>
      <c r="CY126" s="490"/>
      <c r="CZ126" s="490"/>
      <c r="DA126" s="490"/>
      <c r="DB126" s="490"/>
      <c r="DC126" s="490"/>
      <c r="DD126" s="490"/>
      <c r="DE126" s="490"/>
      <c r="DF126" s="490"/>
      <c r="DG126" s="490"/>
      <c r="DH126" s="490"/>
      <c r="DI126" s="490"/>
      <c r="DJ126" s="490"/>
      <c r="DK126" s="490"/>
      <c r="DL126" s="490"/>
      <c r="DM126" s="490"/>
      <c r="DN126" s="490"/>
      <c r="DO126" s="490"/>
      <c r="DP126" s="490"/>
      <c r="DQ126" s="490"/>
      <c r="DR126" s="490"/>
      <c r="DS126" s="490"/>
      <c r="DT126" s="490"/>
      <c r="DU126" s="490"/>
      <c r="DV126" s="490"/>
      <c r="DW126" s="490"/>
      <c r="DX126" s="490"/>
      <c r="DY126" s="490"/>
      <c r="DZ126" s="490"/>
      <c r="EA126" s="490"/>
      <c r="EB126" s="490"/>
      <c r="EC126" s="490"/>
      <c r="ED126" s="490"/>
      <c r="EE126" s="490"/>
      <c r="EF126" s="490"/>
      <c r="EG126" s="490"/>
      <c r="EH126" s="490"/>
      <c r="EI126" s="490"/>
      <c r="EJ126" s="490"/>
      <c r="EK126" s="490"/>
      <c r="EL126" s="490"/>
      <c r="EM126" s="490"/>
      <c r="EN126" s="490"/>
      <c r="EO126" s="490"/>
      <c r="EP126" s="490"/>
      <c r="EQ126" s="490"/>
      <c r="ER126" s="490"/>
      <c r="ES126" s="490"/>
      <c r="ET126" s="490"/>
      <c r="EU126" s="490"/>
      <c r="EV126" s="490"/>
      <c r="EW126" s="490"/>
      <c r="EX126" s="490"/>
      <c r="EY126" s="490"/>
      <c r="EZ126" s="490"/>
      <c r="FA126" s="490"/>
      <c r="FB126" s="490"/>
      <c r="FC126" s="490"/>
      <c r="FD126" s="490"/>
      <c r="FE126" s="490"/>
      <c r="FF126" s="490"/>
      <c r="FG126" s="490"/>
      <c r="FH126" s="490"/>
      <c r="FI126" s="490"/>
      <c r="FJ126" s="490"/>
      <c r="FK126" s="490"/>
      <c r="FL126" s="490"/>
      <c r="FM126" s="490"/>
      <c r="FN126" s="490"/>
    </row>
    <row r="127" s="492" customFormat="1" spans="1:170">
      <c r="A127" s="519"/>
      <c r="B127" s="509"/>
      <c r="C127" s="538"/>
      <c r="D127" s="509"/>
      <c r="E127" s="509"/>
      <c r="F127" s="544" t="s">
        <v>131</v>
      </c>
      <c r="G127" s="542">
        <v>1</v>
      </c>
      <c r="H127" s="542">
        <v>0.32</v>
      </c>
      <c r="I127" s="541" t="s">
        <v>22</v>
      </c>
      <c r="J127" s="542">
        <v>1.95</v>
      </c>
      <c r="K127" s="543"/>
      <c r="L127" s="543"/>
      <c r="M127" s="490"/>
      <c r="N127" s="490"/>
      <c r="O127" s="490"/>
      <c r="P127" s="490"/>
      <c r="Q127" s="490"/>
      <c r="R127" s="490"/>
      <c r="S127" s="490"/>
      <c r="T127" s="490"/>
      <c r="U127" s="490"/>
      <c r="V127" s="490"/>
      <c r="W127" s="490"/>
      <c r="X127" s="490"/>
      <c r="Y127" s="490"/>
      <c r="Z127" s="490"/>
      <c r="AA127" s="490"/>
      <c r="AB127" s="490"/>
      <c r="AC127" s="490"/>
      <c r="AD127" s="490"/>
      <c r="AE127" s="490"/>
      <c r="AF127" s="490"/>
      <c r="AG127" s="490"/>
      <c r="AH127" s="490"/>
      <c r="AI127" s="490"/>
      <c r="AJ127" s="490"/>
      <c r="AK127" s="490"/>
      <c r="AL127" s="490"/>
      <c r="AM127" s="490"/>
      <c r="AN127" s="490"/>
      <c r="AO127" s="490"/>
      <c r="AP127" s="490"/>
      <c r="AQ127" s="490"/>
      <c r="AR127" s="490"/>
      <c r="AS127" s="490"/>
      <c r="AT127" s="490"/>
      <c r="AU127" s="490"/>
      <c r="AV127" s="490"/>
      <c r="AW127" s="490"/>
      <c r="AX127" s="490"/>
      <c r="AY127" s="490"/>
      <c r="AZ127" s="490"/>
      <c r="BA127" s="490"/>
      <c r="BB127" s="490"/>
      <c r="BC127" s="490"/>
      <c r="BD127" s="490"/>
      <c r="BE127" s="490"/>
      <c r="BF127" s="490"/>
      <c r="BG127" s="490"/>
      <c r="BH127" s="490"/>
      <c r="BI127" s="490"/>
      <c r="BJ127" s="490"/>
      <c r="BK127" s="490"/>
      <c r="BL127" s="490"/>
      <c r="BM127" s="490"/>
      <c r="BN127" s="490"/>
      <c r="BO127" s="490"/>
      <c r="BP127" s="490"/>
      <c r="BQ127" s="490"/>
      <c r="BR127" s="490"/>
      <c r="BS127" s="490"/>
      <c r="BT127" s="490"/>
      <c r="BU127" s="490"/>
      <c r="BV127" s="490"/>
      <c r="BW127" s="490"/>
      <c r="BX127" s="490"/>
      <c r="BY127" s="490"/>
      <c r="BZ127" s="490"/>
      <c r="CA127" s="490"/>
      <c r="CB127" s="490"/>
      <c r="CC127" s="490"/>
      <c r="CD127" s="490"/>
      <c r="CE127" s="490"/>
      <c r="CF127" s="490"/>
      <c r="CG127" s="490"/>
      <c r="CH127" s="490"/>
      <c r="CI127" s="490"/>
      <c r="CJ127" s="490"/>
      <c r="CK127" s="490"/>
      <c r="CL127" s="490"/>
      <c r="CM127" s="490"/>
      <c r="CN127" s="490"/>
      <c r="CO127" s="490"/>
      <c r="CP127" s="490"/>
      <c r="CQ127" s="490"/>
      <c r="CR127" s="490"/>
      <c r="CS127" s="490"/>
      <c r="CT127" s="490"/>
      <c r="CU127" s="490"/>
      <c r="CV127" s="490"/>
      <c r="CW127" s="490"/>
      <c r="CX127" s="490"/>
      <c r="CY127" s="490"/>
      <c r="CZ127" s="490"/>
      <c r="DA127" s="490"/>
      <c r="DB127" s="490"/>
      <c r="DC127" s="490"/>
      <c r="DD127" s="490"/>
      <c r="DE127" s="490"/>
      <c r="DF127" s="490"/>
      <c r="DG127" s="490"/>
      <c r="DH127" s="490"/>
      <c r="DI127" s="490"/>
      <c r="DJ127" s="490"/>
      <c r="DK127" s="490"/>
      <c r="DL127" s="490"/>
      <c r="DM127" s="490"/>
      <c r="DN127" s="490"/>
      <c r="DO127" s="490"/>
      <c r="DP127" s="490"/>
      <c r="DQ127" s="490"/>
      <c r="DR127" s="490"/>
      <c r="DS127" s="490"/>
      <c r="DT127" s="490"/>
      <c r="DU127" s="490"/>
      <c r="DV127" s="490"/>
      <c r="DW127" s="490"/>
      <c r="DX127" s="490"/>
      <c r="DY127" s="490"/>
      <c r="DZ127" s="490"/>
      <c r="EA127" s="490"/>
      <c r="EB127" s="490"/>
      <c r="EC127" s="490"/>
      <c r="ED127" s="490"/>
      <c r="EE127" s="490"/>
      <c r="EF127" s="490"/>
      <c r="EG127" s="490"/>
      <c r="EH127" s="490"/>
      <c r="EI127" s="490"/>
      <c r="EJ127" s="490"/>
      <c r="EK127" s="490"/>
      <c r="EL127" s="490"/>
      <c r="EM127" s="490"/>
      <c r="EN127" s="490"/>
      <c r="EO127" s="490"/>
      <c r="EP127" s="490"/>
      <c r="EQ127" s="490"/>
      <c r="ER127" s="490"/>
      <c r="ES127" s="490"/>
      <c r="ET127" s="490"/>
      <c r="EU127" s="490"/>
      <c r="EV127" s="490"/>
      <c r="EW127" s="490"/>
      <c r="EX127" s="490"/>
      <c r="EY127" s="490"/>
      <c r="EZ127" s="490"/>
      <c r="FA127" s="490"/>
      <c r="FB127" s="490"/>
      <c r="FC127" s="490"/>
      <c r="FD127" s="490"/>
      <c r="FE127" s="490"/>
      <c r="FF127" s="490"/>
      <c r="FG127" s="490"/>
      <c r="FH127" s="490"/>
      <c r="FI127" s="490"/>
      <c r="FJ127" s="490"/>
      <c r="FK127" s="490"/>
      <c r="FL127" s="490"/>
      <c r="FM127" s="490"/>
      <c r="FN127" s="490"/>
    </row>
    <row r="128" s="492" customFormat="1" spans="1:170">
      <c r="A128" s="519"/>
      <c r="B128" s="509"/>
      <c r="C128" s="538"/>
      <c r="D128" s="509"/>
      <c r="E128" s="509"/>
      <c r="F128" s="544" t="s">
        <v>91</v>
      </c>
      <c r="G128" s="542">
        <v>1.5</v>
      </c>
      <c r="H128" s="542">
        <v>0.48</v>
      </c>
      <c r="I128" s="542" t="s">
        <v>24</v>
      </c>
      <c r="J128" s="542" t="s">
        <v>24</v>
      </c>
      <c r="K128" s="543"/>
      <c r="L128" s="543"/>
      <c r="M128" s="490"/>
      <c r="N128" s="490"/>
      <c r="O128" s="490"/>
      <c r="P128" s="490"/>
      <c r="Q128" s="490"/>
      <c r="R128" s="490"/>
      <c r="S128" s="490"/>
      <c r="T128" s="490"/>
      <c r="U128" s="490"/>
      <c r="V128" s="490"/>
      <c r="W128" s="490"/>
      <c r="X128" s="490"/>
      <c r="Y128" s="490"/>
      <c r="Z128" s="490"/>
      <c r="AA128" s="490"/>
      <c r="AB128" s="490"/>
      <c r="AC128" s="490"/>
      <c r="AD128" s="490"/>
      <c r="AE128" s="490"/>
      <c r="AF128" s="490"/>
      <c r="AG128" s="490"/>
      <c r="AH128" s="490"/>
      <c r="AI128" s="490"/>
      <c r="AJ128" s="490"/>
      <c r="AK128" s="490"/>
      <c r="AL128" s="490"/>
      <c r="AM128" s="490"/>
      <c r="AN128" s="490"/>
      <c r="AO128" s="490"/>
      <c r="AP128" s="490"/>
      <c r="AQ128" s="490"/>
      <c r="AR128" s="490"/>
      <c r="AS128" s="490"/>
      <c r="AT128" s="490"/>
      <c r="AU128" s="490"/>
      <c r="AV128" s="490"/>
      <c r="AW128" s="490"/>
      <c r="AX128" s="490"/>
      <c r="AY128" s="490"/>
      <c r="AZ128" s="490"/>
      <c r="BA128" s="490"/>
      <c r="BB128" s="490"/>
      <c r="BC128" s="490"/>
      <c r="BD128" s="490"/>
      <c r="BE128" s="490"/>
      <c r="BF128" s="490"/>
      <c r="BG128" s="490"/>
      <c r="BH128" s="490"/>
      <c r="BI128" s="490"/>
      <c r="BJ128" s="490"/>
      <c r="BK128" s="490"/>
      <c r="BL128" s="490"/>
      <c r="BM128" s="490"/>
      <c r="BN128" s="490"/>
      <c r="BO128" s="490"/>
      <c r="BP128" s="490"/>
      <c r="BQ128" s="490"/>
      <c r="BR128" s="490"/>
      <c r="BS128" s="490"/>
      <c r="BT128" s="490"/>
      <c r="BU128" s="490"/>
      <c r="BV128" s="490"/>
      <c r="BW128" s="490"/>
      <c r="BX128" s="490"/>
      <c r="BY128" s="490"/>
      <c r="BZ128" s="490"/>
      <c r="CA128" s="490"/>
      <c r="CB128" s="490"/>
      <c r="CC128" s="490"/>
      <c r="CD128" s="490"/>
      <c r="CE128" s="490"/>
      <c r="CF128" s="490"/>
      <c r="CG128" s="490"/>
      <c r="CH128" s="490"/>
      <c r="CI128" s="490"/>
      <c r="CJ128" s="490"/>
      <c r="CK128" s="490"/>
      <c r="CL128" s="490"/>
      <c r="CM128" s="490"/>
      <c r="CN128" s="490"/>
      <c r="CO128" s="490"/>
      <c r="CP128" s="490"/>
      <c r="CQ128" s="490"/>
      <c r="CR128" s="490"/>
      <c r="CS128" s="490"/>
      <c r="CT128" s="490"/>
      <c r="CU128" s="490"/>
      <c r="CV128" s="490"/>
      <c r="CW128" s="490"/>
      <c r="CX128" s="490"/>
      <c r="CY128" s="490"/>
      <c r="CZ128" s="490"/>
      <c r="DA128" s="490"/>
      <c r="DB128" s="490"/>
      <c r="DC128" s="490"/>
      <c r="DD128" s="490"/>
      <c r="DE128" s="490"/>
      <c r="DF128" s="490"/>
      <c r="DG128" s="490"/>
      <c r="DH128" s="490"/>
      <c r="DI128" s="490"/>
      <c r="DJ128" s="490"/>
      <c r="DK128" s="490"/>
      <c r="DL128" s="490"/>
      <c r="DM128" s="490"/>
      <c r="DN128" s="490"/>
      <c r="DO128" s="490"/>
      <c r="DP128" s="490"/>
      <c r="DQ128" s="490"/>
      <c r="DR128" s="490"/>
      <c r="DS128" s="490"/>
      <c r="DT128" s="490"/>
      <c r="DU128" s="490"/>
      <c r="DV128" s="490"/>
      <c r="DW128" s="490"/>
      <c r="DX128" s="490"/>
      <c r="DY128" s="490"/>
      <c r="DZ128" s="490"/>
      <c r="EA128" s="490"/>
      <c r="EB128" s="490"/>
      <c r="EC128" s="490"/>
      <c r="ED128" s="490"/>
      <c r="EE128" s="490"/>
      <c r="EF128" s="490"/>
      <c r="EG128" s="490"/>
      <c r="EH128" s="490"/>
      <c r="EI128" s="490"/>
      <c r="EJ128" s="490"/>
      <c r="EK128" s="490"/>
      <c r="EL128" s="490"/>
      <c r="EM128" s="490"/>
      <c r="EN128" s="490"/>
      <c r="EO128" s="490"/>
      <c r="EP128" s="490"/>
      <c r="EQ128" s="490"/>
      <c r="ER128" s="490"/>
      <c r="ES128" s="490"/>
      <c r="ET128" s="490"/>
      <c r="EU128" s="490"/>
      <c r="EV128" s="490"/>
      <c r="EW128" s="490"/>
      <c r="EX128" s="490"/>
      <c r="EY128" s="490"/>
      <c r="EZ128" s="490"/>
      <c r="FA128" s="490"/>
      <c r="FB128" s="490"/>
      <c r="FC128" s="490"/>
      <c r="FD128" s="490"/>
      <c r="FE128" s="490"/>
      <c r="FF128" s="490"/>
      <c r="FG128" s="490"/>
      <c r="FH128" s="490"/>
      <c r="FI128" s="490"/>
      <c r="FJ128" s="490"/>
      <c r="FK128" s="490"/>
      <c r="FL128" s="490"/>
      <c r="FM128" s="490"/>
      <c r="FN128" s="490"/>
    </row>
    <row r="129" s="492" customFormat="1" spans="1:170">
      <c r="A129" s="539">
        <v>46092</v>
      </c>
      <c r="B129" s="509" t="s">
        <v>745</v>
      </c>
      <c r="C129" s="538">
        <v>4</v>
      </c>
      <c r="D129" s="509" t="s">
        <v>33</v>
      </c>
      <c r="E129" s="509" t="s">
        <v>14</v>
      </c>
      <c r="F129" s="545" t="s">
        <v>158</v>
      </c>
      <c r="G129" s="546">
        <v>1.34</v>
      </c>
      <c r="H129" s="546">
        <v>3.36</v>
      </c>
      <c r="I129" s="546" t="s">
        <v>17</v>
      </c>
      <c r="J129" s="546">
        <v>2.2</v>
      </c>
      <c r="K129" s="527" t="s">
        <v>633</v>
      </c>
      <c r="L129" s="527"/>
      <c r="M129" s="490"/>
      <c r="N129" s="490"/>
      <c r="O129" s="490"/>
      <c r="P129" s="490"/>
      <c r="Q129" s="490"/>
      <c r="R129" s="490"/>
      <c r="S129" s="490"/>
      <c r="T129" s="490"/>
      <c r="U129" s="490"/>
      <c r="V129" s="490"/>
      <c r="W129" s="490"/>
      <c r="X129" s="490"/>
      <c r="Y129" s="490"/>
      <c r="Z129" s="490"/>
      <c r="AA129" s="490"/>
      <c r="AB129" s="490"/>
      <c r="AC129" s="490"/>
      <c r="AD129" s="490"/>
      <c r="AE129" s="490"/>
      <c r="AF129" s="490"/>
      <c r="AG129" s="490"/>
      <c r="AH129" s="490"/>
      <c r="AI129" s="490"/>
      <c r="AJ129" s="490"/>
      <c r="AK129" s="490"/>
      <c r="AL129" s="490"/>
      <c r="AM129" s="490"/>
      <c r="AN129" s="490"/>
      <c r="AO129" s="490"/>
      <c r="AP129" s="490"/>
      <c r="AQ129" s="490"/>
      <c r="AR129" s="490"/>
      <c r="AS129" s="490"/>
      <c r="AT129" s="490"/>
      <c r="AU129" s="490"/>
      <c r="AV129" s="490"/>
      <c r="AW129" s="490"/>
      <c r="AX129" s="490"/>
      <c r="AY129" s="490"/>
      <c r="AZ129" s="490"/>
      <c r="BA129" s="490"/>
      <c r="BB129" s="490"/>
      <c r="BC129" s="490"/>
      <c r="BD129" s="490"/>
      <c r="BE129" s="490"/>
      <c r="BF129" s="490"/>
      <c r="BG129" s="490"/>
      <c r="BH129" s="490"/>
      <c r="BI129" s="490"/>
      <c r="BJ129" s="490"/>
      <c r="BK129" s="490"/>
      <c r="BL129" s="490"/>
      <c r="BM129" s="490"/>
      <c r="BN129" s="490"/>
      <c r="BO129" s="490"/>
      <c r="BP129" s="490"/>
      <c r="BQ129" s="490"/>
      <c r="BR129" s="490"/>
      <c r="BS129" s="490"/>
      <c r="BT129" s="490"/>
      <c r="BU129" s="490"/>
      <c r="BV129" s="490"/>
      <c r="BW129" s="490"/>
      <c r="BX129" s="490"/>
      <c r="BY129" s="490"/>
      <c r="BZ129" s="490"/>
      <c r="CA129" s="490"/>
      <c r="CB129" s="490"/>
      <c r="CC129" s="490"/>
      <c r="CD129" s="490"/>
      <c r="CE129" s="490"/>
      <c r="CF129" s="490"/>
      <c r="CG129" s="490"/>
      <c r="CH129" s="490"/>
      <c r="CI129" s="490"/>
      <c r="CJ129" s="490"/>
      <c r="CK129" s="490"/>
      <c r="CL129" s="490"/>
      <c r="CM129" s="490"/>
      <c r="CN129" s="490"/>
      <c r="CO129" s="490"/>
      <c r="CP129" s="490"/>
      <c r="CQ129" s="490"/>
      <c r="CR129" s="490"/>
      <c r="CS129" s="490"/>
      <c r="CT129" s="490"/>
      <c r="CU129" s="490"/>
      <c r="CV129" s="490"/>
      <c r="CW129" s="490"/>
      <c r="CX129" s="490"/>
      <c r="CY129" s="490"/>
      <c r="CZ129" s="490"/>
      <c r="DA129" s="490"/>
      <c r="DB129" s="490"/>
      <c r="DC129" s="490"/>
      <c r="DD129" s="490"/>
      <c r="DE129" s="490"/>
      <c r="DF129" s="490"/>
      <c r="DG129" s="490"/>
      <c r="DH129" s="490"/>
      <c r="DI129" s="490"/>
      <c r="DJ129" s="490"/>
      <c r="DK129" s="490"/>
      <c r="DL129" s="490"/>
      <c r="DM129" s="490"/>
      <c r="DN129" s="490"/>
      <c r="DO129" s="490"/>
      <c r="DP129" s="490"/>
      <c r="DQ129" s="490"/>
      <c r="DR129" s="490"/>
      <c r="DS129" s="490"/>
      <c r="DT129" s="490"/>
      <c r="DU129" s="490"/>
      <c r="DV129" s="490"/>
      <c r="DW129" s="490"/>
      <c r="DX129" s="490"/>
      <c r="DY129" s="490"/>
      <c r="DZ129" s="490"/>
      <c r="EA129" s="490"/>
      <c r="EB129" s="490"/>
      <c r="EC129" s="490"/>
      <c r="ED129" s="490"/>
      <c r="EE129" s="490"/>
      <c r="EF129" s="490"/>
      <c r="EG129" s="490"/>
      <c r="EH129" s="490"/>
      <c r="EI129" s="490"/>
      <c r="EJ129" s="490"/>
      <c r="EK129" s="490"/>
      <c r="EL129" s="490"/>
      <c r="EM129" s="490"/>
      <c r="EN129" s="490"/>
      <c r="EO129" s="490"/>
      <c r="EP129" s="490"/>
      <c r="EQ129" s="490"/>
      <c r="ER129" s="490"/>
      <c r="ES129" s="490"/>
      <c r="ET129" s="490"/>
      <c r="EU129" s="490"/>
      <c r="EV129" s="490"/>
      <c r="EW129" s="490"/>
      <c r="EX129" s="490"/>
      <c r="EY129" s="490"/>
      <c r="EZ129" s="490"/>
      <c r="FA129" s="490"/>
      <c r="FB129" s="490"/>
      <c r="FC129" s="490"/>
      <c r="FD129" s="490"/>
      <c r="FE129" s="490"/>
      <c r="FF129" s="490"/>
      <c r="FG129" s="490"/>
      <c r="FH129" s="490"/>
      <c r="FI129" s="490"/>
      <c r="FJ129" s="490"/>
      <c r="FK129" s="490"/>
      <c r="FL129" s="490"/>
      <c r="FM129" s="490"/>
      <c r="FN129" s="490"/>
    </row>
    <row r="130" s="492" customFormat="1" spans="1:170">
      <c r="A130" s="539"/>
      <c r="B130" s="509"/>
      <c r="C130" s="538"/>
      <c r="D130" s="509"/>
      <c r="E130" s="509"/>
      <c r="F130" s="545" t="s">
        <v>159</v>
      </c>
      <c r="G130" s="546">
        <v>1.42</v>
      </c>
      <c r="H130" s="546">
        <v>0.16</v>
      </c>
      <c r="I130" s="546" t="s">
        <v>22</v>
      </c>
      <c r="J130" s="546">
        <v>2.7</v>
      </c>
      <c r="K130" s="527"/>
      <c r="L130" s="527"/>
      <c r="M130" s="490"/>
      <c r="N130" s="490"/>
      <c r="O130" s="490"/>
      <c r="P130" s="490"/>
      <c r="Q130" s="490"/>
      <c r="R130" s="490"/>
      <c r="S130" s="490"/>
      <c r="T130" s="490"/>
      <c r="U130" s="490"/>
      <c r="V130" s="490"/>
      <c r="W130" s="490"/>
      <c r="X130" s="490"/>
      <c r="Y130" s="490"/>
      <c r="Z130" s="490"/>
      <c r="AA130" s="490"/>
      <c r="AB130" s="490"/>
      <c r="AC130" s="490"/>
      <c r="AD130" s="490"/>
      <c r="AE130" s="490"/>
      <c r="AF130" s="490"/>
      <c r="AG130" s="490"/>
      <c r="AH130" s="490"/>
      <c r="AI130" s="490"/>
      <c r="AJ130" s="490"/>
      <c r="AK130" s="490"/>
      <c r="AL130" s="490"/>
      <c r="AM130" s="490"/>
      <c r="AN130" s="490"/>
      <c r="AO130" s="490"/>
      <c r="AP130" s="490"/>
      <c r="AQ130" s="490"/>
      <c r="AR130" s="490"/>
      <c r="AS130" s="490"/>
      <c r="AT130" s="490"/>
      <c r="AU130" s="490"/>
      <c r="AV130" s="490"/>
      <c r="AW130" s="490"/>
      <c r="AX130" s="490"/>
      <c r="AY130" s="490"/>
      <c r="AZ130" s="490"/>
      <c r="BA130" s="490"/>
      <c r="BB130" s="490"/>
      <c r="BC130" s="490"/>
      <c r="BD130" s="490"/>
      <c r="BE130" s="490"/>
      <c r="BF130" s="490"/>
      <c r="BG130" s="490"/>
      <c r="BH130" s="490"/>
      <c r="BI130" s="490"/>
      <c r="BJ130" s="490"/>
      <c r="BK130" s="490"/>
      <c r="BL130" s="490"/>
      <c r="BM130" s="490"/>
      <c r="BN130" s="490"/>
      <c r="BO130" s="490"/>
      <c r="BP130" s="490"/>
      <c r="BQ130" s="490"/>
      <c r="BR130" s="490"/>
      <c r="BS130" s="490"/>
      <c r="BT130" s="490"/>
      <c r="BU130" s="490"/>
      <c r="BV130" s="490"/>
      <c r="BW130" s="490"/>
      <c r="BX130" s="490"/>
      <c r="BY130" s="490"/>
      <c r="BZ130" s="490"/>
      <c r="CA130" s="490"/>
      <c r="CB130" s="490"/>
      <c r="CC130" s="490"/>
      <c r="CD130" s="490"/>
      <c r="CE130" s="490"/>
      <c r="CF130" s="490"/>
      <c r="CG130" s="490"/>
      <c r="CH130" s="490"/>
      <c r="CI130" s="490"/>
      <c r="CJ130" s="490"/>
      <c r="CK130" s="490"/>
      <c r="CL130" s="490"/>
      <c r="CM130" s="490"/>
      <c r="CN130" s="490"/>
      <c r="CO130" s="490"/>
      <c r="CP130" s="490"/>
      <c r="CQ130" s="490"/>
      <c r="CR130" s="490"/>
      <c r="CS130" s="490"/>
      <c r="CT130" s="490"/>
      <c r="CU130" s="490"/>
      <c r="CV130" s="490"/>
      <c r="CW130" s="490"/>
      <c r="CX130" s="490"/>
      <c r="CY130" s="490"/>
      <c r="CZ130" s="490"/>
      <c r="DA130" s="490"/>
      <c r="DB130" s="490"/>
      <c r="DC130" s="490"/>
      <c r="DD130" s="490"/>
      <c r="DE130" s="490"/>
      <c r="DF130" s="490"/>
      <c r="DG130" s="490"/>
      <c r="DH130" s="490"/>
      <c r="DI130" s="490"/>
      <c r="DJ130" s="490"/>
      <c r="DK130" s="490"/>
      <c r="DL130" s="490"/>
      <c r="DM130" s="490"/>
      <c r="DN130" s="490"/>
      <c r="DO130" s="490"/>
      <c r="DP130" s="490"/>
      <c r="DQ130" s="490"/>
      <c r="DR130" s="490"/>
      <c r="DS130" s="490"/>
      <c r="DT130" s="490"/>
      <c r="DU130" s="490"/>
      <c r="DV130" s="490"/>
      <c r="DW130" s="490"/>
      <c r="DX130" s="490"/>
      <c r="DY130" s="490"/>
      <c r="DZ130" s="490"/>
      <c r="EA130" s="490"/>
      <c r="EB130" s="490"/>
      <c r="EC130" s="490"/>
      <c r="ED130" s="490"/>
      <c r="EE130" s="490"/>
      <c r="EF130" s="490"/>
      <c r="EG130" s="490"/>
      <c r="EH130" s="490"/>
      <c r="EI130" s="490"/>
      <c r="EJ130" s="490"/>
      <c r="EK130" s="490"/>
      <c r="EL130" s="490"/>
      <c r="EM130" s="490"/>
      <c r="EN130" s="490"/>
      <c r="EO130" s="490"/>
      <c r="EP130" s="490"/>
      <c r="EQ130" s="490"/>
      <c r="ER130" s="490"/>
      <c r="ES130" s="490"/>
      <c r="ET130" s="490"/>
      <c r="EU130" s="490"/>
      <c r="EV130" s="490"/>
      <c r="EW130" s="490"/>
      <c r="EX130" s="490"/>
      <c r="EY130" s="490"/>
      <c r="EZ130" s="490"/>
      <c r="FA130" s="490"/>
      <c r="FB130" s="490"/>
      <c r="FC130" s="490"/>
      <c r="FD130" s="490"/>
      <c r="FE130" s="490"/>
      <c r="FF130" s="490"/>
      <c r="FG130" s="490"/>
      <c r="FH130" s="490"/>
      <c r="FI130" s="490"/>
      <c r="FJ130" s="490"/>
      <c r="FK130" s="490"/>
      <c r="FL130" s="490"/>
      <c r="FM130" s="490"/>
      <c r="FN130" s="490"/>
    </row>
    <row r="131" s="492" customFormat="1" spans="1:170">
      <c r="A131" s="539"/>
      <c r="B131" s="509"/>
      <c r="C131" s="538"/>
      <c r="D131" s="509"/>
      <c r="E131" s="509"/>
      <c r="F131" s="545" t="s">
        <v>148</v>
      </c>
      <c r="G131" s="546">
        <v>2.42</v>
      </c>
      <c r="H131" s="546">
        <v>0.48</v>
      </c>
      <c r="I131" s="546" t="s">
        <v>24</v>
      </c>
      <c r="J131" s="546" t="s">
        <v>24</v>
      </c>
      <c r="K131" s="527"/>
      <c r="L131" s="527"/>
      <c r="M131" s="490"/>
      <c r="N131" s="490"/>
      <c r="O131" s="490"/>
      <c r="P131" s="490"/>
      <c r="Q131" s="490"/>
      <c r="R131" s="490"/>
      <c r="S131" s="490"/>
      <c r="T131" s="490"/>
      <c r="U131" s="490"/>
      <c r="V131" s="490"/>
      <c r="W131" s="490"/>
      <c r="X131" s="490"/>
      <c r="Y131" s="490"/>
      <c r="Z131" s="490"/>
      <c r="AA131" s="490"/>
      <c r="AB131" s="490"/>
      <c r="AC131" s="490"/>
      <c r="AD131" s="490"/>
      <c r="AE131" s="490"/>
      <c r="AF131" s="490"/>
      <c r="AG131" s="490"/>
      <c r="AH131" s="490"/>
      <c r="AI131" s="490"/>
      <c r="AJ131" s="490"/>
      <c r="AK131" s="490"/>
      <c r="AL131" s="490"/>
      <c r="AM131" s="490"/>
      <c r="AN131" s="490"/>
      <c r="AO131" s="490"/>
      <c r="AP131" s="490"/>
      <c r="AQ131" s="490"/>
      <c r="AR131" s="490"/>
      <c r="AS131" s="490"/>
      <c r="AT131" s="490"/>
      <c r="AU131" s="490"/>
      <c r="AV131" s="490"/>
      <c r="AW131" s="490"/>
      <c r="AX131" s="490"/>
      <c r="AY131" s="490"/>
      <c r="AZ131" s="490"/>
      <c r="BA131" s="490"/>
      <c r="BB131" s="490"/>
      <c r="BC131" s="490"/>
      <c r="BD131" s="490"/>
      <c r="BE131" s="490"/>
      <c r="BF131" s="490"/>
      <c r="BG131" s="490"/>
      <c r="BH131" s="490"/>
      <c r="BI131" s="490"/>
      <c r="BJ131" s="490"/>
      <c r="BK131" s="490"/>
      <c r="BL131" s="490"/>
      <c r="BM131" s="490"/>
      <c r="BN131" s="490"/>
      <c r="BO131" s="490"/>
      <c r="BP131" s="490"/>
      <c r="BQ131" s="490"/>
      <c r="BR131" s="490"/>
      <c r="BS131" s="490"/>
      <c r="BT131" s="490"/>
      <c r="BU131" s="490"/>
      <c r="BV131" s="490"/>
      <c r="BW131" s="490"/>
      <c r="BX131" s="490"/>
      <c r="BY131" s="490"/>
      <c r="BZ131" s="490"/>
      <c r="CA131" s="490"/>
      <c r="CB131" s="490"/>
      <c r="CC131" s="490"/>
      <c r="CD131" s="490"/>
      <c r="CE131" s="490"/>
      <c r="CF131" s="490"/>
      <c r="CG131" s="490"/>
      <c r="CH131" s="490"/>
      <c r="CI131" s="490"/>
      <c r="CJ131" s="490"/>
      <c r="CK131" s="490"/>
      <c r="CL131" s="490"/>
      <c r="CM131" s="490"/>
      <c r="CN131" s="490"/>
      <c r="CO131" s="490"/>
      <c r="CP131" s="490"/>
      <c r="CQ131" s="490"/>
      <c r="CR131" s="490"/>
      <c r="CS131" s="490"/>
      <c r="CT131" s="490"/>
      <c r="CU131" s="490"/>
      <c r="CV131" s="490"/>
      <c r="CW131" s="490"/>
      <c r="CX131" s="490"/>
      <c r="CY131" s="490"/>
      <c r="CZ131" s="490"/>
      <c r="DA131" s="490"/>
      <c r="DB131" s="490"/>
      <c r="DC131" s="490"/>
      <c r="DD131" s="490"/>
      <c r="DE131" s="490"/>
      <c r="DF131" s="490"/>
      <c r="DG131" s="490"/>
      <c r="DH131" s="490"/>
      <c r="DI131" s="490"/>
      <c r="DJ131" s="490"/>
      <c r="DK131" s="490"/>
      <c r="DL131" s="490"/>
      <c r="DM131" s="490"/>
      <c r="DN131" s="490"/>
      <c r="DO131" s="490"/>
      <c r="DP131" s="490"/>
      <c r="DQ131" s="490"/>
      <c r="DR131" s="490"/>
      <c r="DS131" s="490"/>
      <c r="DT131" s="490"/>
      <c r="DU131" s="490"/>
      <c r="DV131" s="490"/>
      <c r="DW131" s="490"/>
      <c r="DX131" s="490"/>
      <c r="DY131" s="490"/>
      <c r="DZ131" s="490"/>
      <c r="EA131" s="490"/>
      <c r="EB131" s="490"/>
      <c r="EC131" s="490"/>
      <c r="ED131" s="490"/>
      <c r="EE131" s="490"/>
      <c r="EF131" s="490"/>
      <c r="EG131" s="490"/>
      <c r="EH131" s="490"/>
      <c r="EI131" s="490"/>
      <c r="EJ131" s="490"/>
      <c r="EK131" s="490"/>
      <c r="EL131" s="490"/>
      <c r="EM131" s="490"/>
      <c r="EN131" s="490"/>
      <c r="EO131" s="490"/>
      <c r="EP131" s="490"/>
      <c r="EQ131" s="490"/>
      <c r="ER131" s="490"/>
      <c r="ES131" s="490"/>
      <c r="ET131" s="490"/>
      <c r="EU131" s="490"/>
      <c r="EV131" s="490"/>
      <c r="EW131" s="490"/>
      <c r="EX131" s="490"/>
      <c r="EY131" s="490"/>
      <c r="EZ131" s="490"/>
      <c r="FA131" s="490"/>
      <c r="FB131" s="490"/>
      <c r="FC131" s="490"/>
      <c r="FD131" s="490"/>
      <c r="FE131" s="490"/>
      <c r="FF131" s="490"/>
      <c r="FG131" s="490"/>
      <c r="FH131" s="490"/>
      <c r="FI131" s="490"/>
      <c r="FJ131" s="490"/>
      <c r="FK131" s="490"/>
      <c r="FL131" s="490"/>
      <c r="FM131" s="490"/>
      <c r="FN131" s="490"/>
    </row>
    <row r="132" s="492" customFormat="1" spans="1:170">
      <c r="A132" s="539">
        <v>46094</v>
      </c>
      <c r="B132" s="509" t="s">
        <v>746</v>
      </c>
      <c r="C132" s="538">
        <v>4</v>
      </c>
      <c r="D132" s="509" t="s">
        <v>72</v>
      </c>
      <c r="E132" s="509" t="s">
        <v>14</v>
      </c>
      <c r="F132" s="545" t="s">
        <v>158</v>
      </c>
      <c r="G132" s="546">
        <v>1.84</v>
      </c>
      <c r="H132" s="546">
        <v>3.4</v>
      </c>
      <c r="I132" s="546" t="s">
        <v>17</v>
      </c>
      <c r="J132" s="546">
        <v>2.2</v>
      </c>
      <c r="K132" s="527" t="s">
        <v>633</v>
      </c>
      <c r="L132" s="527"/>
      <c r="M132" s="490"/>
      <c r="N132" s="490"/>
      <c r="O132" s="490"/>
      <c r="P132" s="490"/>
      <c r="Q132" s="490"/>
      <c r="R132" s="490"/>
      <c r="S132" s="490"/>
      <c r="T132" s="490"/>
      <c r="U132" s="490"/>
      <c r="V132" s="490"/>
      <c r="W132" s="490"/>
      <c r="X132" s="490"/>
      <c r="Y132" s="490"/>
      <c r="Z132" s="490"/>
      <c r="AA132" s="490"/>
      <c r="AB132" s="490"/>
      <c r="AC132" s="490"/>
      <c r="AD132" s="490"/>
      <c r="AE132" s="490"/>
      <c r="AF132" s="490"/>
      <c r="AG132" s="490"/>
      <c r="AH132" s="490"/>
      <c r="AI132" s="490"/>
      <c r="AJ132" s="490"/>
      <c r="AK132" s="490"/>
      <c r="AL132" s="490"/>
      <c r="AM132" s="490"/>
      <c r="AN132" s="490"/>
      <c r="AO132" s="490"/>
      <c r="AP132" s="490"/>
      <c r="AQ132" s="490"/>
      <c r="AR132" s="490"/>
      <c r="AS132" s="490"/>
      <c r="AT132" s="490"/>
      <c r="AU132" s="490"/>
      <c r="AV132" s="490"/>
      <c r="AW132" s="490"/>
      <c r="AX132" s="490"/>
      <c r="AY132" s="490"/>
      <c r="AZ132" s="490"/>
      <c r="BA132" s="490"/>
      <c r="BB132" s="490"/>
      <c r="BC132" s="490"/>
      <c r="BD132" s="490"/>
      <c r="BE132" s="490"/>
      <c r="BF132" s="490"/>
      <c r="BG132" s="490"/>
      <c r="BH132" s="490"/>
      <c r="BI132" s="490"/>
      <c r="BJ132" s="490"/>
      <c r="BK132" s="490"/>
      <c r="BL132" s="490"/>
      <c r="BM132" s="490"/>
      <c r="BN132" s="490"/>
      <c r="BO132" s="490"/>
      <c r="BP132" s="490"/>
      <c r="BQ132" s="490"/>
      <c r="BR132" s="490"/>
      <c r="BS132" s="490"/>
      <c r="BT132" s="490"/>
      <c r="BU132" s="490"/>
      <c r="BV132" s="490"/>
      <c r="BW132" s="490"/>
      <c r="BX132" s="490"/>
      <c r="BY132" s="490"/>
      <c r="BZ132" s="490"/>
      <c r="CA132" s="490"/>
      <c r="CB132" s="490"/>
      <c r="CC132" s="490"/>
      <c r="CD132" s="490"/>
      <c r="CE132" s="490"/>
      <c r="CF132" s="490"/>
      <c r="CG132" s="490"/>
      <c r="CH132" s="490"/>
      <c r="CI132" s="490"/>
      <c r="CJ132" s="490"/>
      <c r="CK132" s="490"/>
      <c r="CL132" s="490"/>
      <c r="CM132" s="490"/>
      <c r="CN132" s="490"/>
      <c r="CO132" s="490"/>
      <c r="CP132" s="490"/>
      <c r="CQ132" s="490"/>
      <c r="CR132" s="490"/>
      <c r="CS132" s="490"/>
      <c r="CT132" s="490"/>
      <c r="CU132" s="490"/>
      <c r="CV132" s="490"/>
      <c r="CW132" s="490"/>
      <c r="CX132" s="490"/>
      <c r="CY132" s="490"/>
      <c r="CZ132" s="490"/>
      <c r="DA132" s="490"/>
      <c r="DB132" s="490"/>
      <c r="DC132" s="490"/>
      <c r="DD132" s="490"/>
      <c r="DE132" s="490"/>
      <c r="DF132" s="490"/>
      <c r="DG132" s="490"/>
      <c r="DH132" s="490"/>
      <c r="DI132" s="490"/>
      <c r="DJ132" s="490"/>
      <c r="DK132" s="490"/>
      <c r="DL132" s="490"/>
      <c r="DM132" s="490"/>
      <c r="DN132" s="490"/>
      <c r="DO132" s="490"/>
      <c r="DP132" s="490"/>
      <c r="DQ132" s="490"/>
      <c r="DR132" s="490"/>
      <c r="DS132" s="490"/>
      <c r="DT132" s="490"/>
      <c r="DU132" s="490"/>
      <c r="DV132" s="490"/>
      <c r="DW132" s="490"/>
      <c r="DX132" s="490"/>
      <c r="DY132" s="490"/>
      <c r="DZ132" s="490"/>
      <c r="EA132" s="490"/>
      <c r="EB132" s="490"/>
      <c r="EC132" s="490"/>
      <c r="ED132" s="490"/>
      <c r="EE132" s="490"/>
      <c r="EF132" s="490"/>
      <c r="EG132" s="490"/>
      <c r="EH132" s="490"/>
      <c r="EI132" s="490"/>
      <c r="EJ132" s="490"/>
      <c r="EK132" s="490"/>
      <c r="EL132" s="490"/>
      <c r="EM132" s="490"/>
      <c r="EN132" s="490"/>
      <c r="EO132" s="490"/>
      <c r="EP132" s="490"/>
      <c r="EQ132" s="490"/>
      <c r="ER132" s="490"/>
      <c r="ES132" s="490"/>
      <c r="ET132" s="490"/>
      <c r="EU132" s="490"/>
      <c r="EV132" s="490"/>
      <c r="EW132" s="490"/>
      <c r="EX132" s="490"/>
      <c r="EY132" s="490"/>
      <c r="EZ132" s="490"/>
      <c r="FA132" s="490"/>
      <c r="FB132" s="490"/>
      <c r="FC132" s="490"/>
      <c r="FD132" s="490"/>
      <c r="FE132" s="490"/>
      <c r="FF132" s="490"/>
      <c r="FG132" s="490"/>
      <c r="FH132" s="490"/>
      <c r="FI132" s="490"/>
      <c r="FJ132" s="490"/>
      <c r="FK132" s="490"/>
      <c r="FL132" s="490"/>
      <c r="FM132" s="490"/>
      <c r="FN132" s="490"/>
    </row>
    <row r="133" s="492" customFormat="1" spans="1:170">
      <c r="A133" s="539"/>
      <c r="B133" s="509"/>
      <c r="C133" s="538"/>
      <c r="D133" s="509"/>
      <c r="E133" s="509"/>
      <c r="F133" s="545" t="s">
        <v>159</v>
      </c>
      <c r="G133" s="546">
        <v>1.92</v>
      </c>
      <c r="H133" s="546">
        <v>0.24</v>
      </c>
      <c r="I133" s="546" t="s">
        <v>22</v>
      </c>
      <c r="J133" s="546">
        <v>2.7</v>
      </c>
      <c r="K133" s="527"/>
      <c r="L133" s="527"/>
      <c r="M133" s="490"/>
      <c r="N133" s="490"/>
      <c r="O133" s="490"/>
      <c r="P133" s="490"/>
      <c r="Q133" s="490"/>
      <c r="R133" s="490"/>
      <c r="S133" s="490"/>
      <c r="T133" s="490"/>
      <c r="U133" s="490"/>
      <c r="V133" s="490"/>
      <c r="W133" s="490"/>
      <c r="X133" s="490"/>
      <c r="Y133" s="490"/>
      <c r="Z133" s="490"/>
      <c r="AA133" s="490"/>
      <c r="AB133" s="490"/>
      <c r="AC133" s="490"/>
      <c r="AD133" s="490"/>
      <c r="AE133" s="490"/>
      <c r="AF133" s="490"/>
      <c r="AG133" s="490"/>
      <c r="AH133" s="490"/>
      <c r="AI133" s="490"/>
      <c r="AJ133" s="490"/>
      <c r="AK133" s="490"/>
      <c r="AL133" s="490"/>
      <c r="AM133" s="490"/>
      <c r="AN133" s="490"/>
      <c r="AO133" s="490"/>
      <c r="AP133" s="490"/>
      <c r="AQ133" s="490"/>
      <c r="AR133" s="490"/>
      <c r="AS133" s="490"/>
      <c r="AT133" s="490"/>
      <c r="AU133" s="490"/>
      <c r="AV133" s="490"/>
      <c r="AW133" s="490"/>
      <c r="AX133" s="490"/>
      <c r="AY133" s="490"/>
      <c r="AZ133" s="490"/>
      <c r="BA133" s="490"/>
      <c r="BB133" s="490"/>
      <c r="BC133" s="490"/>
      <c r="BD133" s="490"/>
      <c r="BE133" s="490"/>
      <c r="BF133" s="490"/>
      <c r="BG133" s="490"/>
      <c r="BH133" s="490"/>
      <c r="BI133" s="490"/>
      <c r="BJ133" s="490"/>
      <c r="BK133" s="490"/>
      <c r="BL133" s="490"/>
      <c r="BM133" s="490"/>
      <c r="BN133" s="490"/>
      <c r="BO133" s="490"/>
      <c r="BP133" s="490"/>
      <c r="BQ133" s="490"/>
      <c r="BR133" s="490"/>
      <c r="BS133" s="490"/>
      <c r="BT133" s="490"/>
      <c r="BU133" s="490"/>
      <c r="BV133" s="490"/>
      <c r="BW133" s="490"/>
      <c r="BX133" s="490"/>
      <c r="BY133" s="490"/>
      <c r="BZ133" s="490"/>
      <c r="CA133" s="490"/>
      <c r="CB133" s="490"/>
      <c r="CC133" s="490"/>
      <c r="CD133" s="490"/>
      <c r="CE133" s="490"/>
      <c r="CF133" s="490"/>
      <c r="CG133" s="490"/>
      <c r="CH133" s="490"/>
      <c r="CI133" s="490"/>
      <c r="CJ133" s="490"/>
      <c r="CK133" s="490"/>
      <c r="CL133" s="490"/>
      <c r="CM133" s="490"/>
      <c r="CN133" s="490"/>
      <c r="CO133" s="490"/>
      <c r="CP133" s="490"/>
      <c r="CQ133" s="490"/>
      <c r="CR133" s="490"/>
      <c r="CS133" s="490"/>
      <c r="CT133" s="490"/>
      <c r="CU133" s="490"/>
      <c r="CV133" s="490"/>
      <c r="CW133" s="490"/>
      <c r="CX133" s="490"/>
      <c r="CY133" s="490"/>
      <c r="CZ133" s="490"/>
      <c r="DA133" s="490"/>
      <c r="DB133" s="490"/>
      <c r="DC133" s="490"/>
      <c r="DD133" s="490"/>
      <c r="DE133" s="490"/>
      <c r="DF133" s="490"/>
      <c r="DG133" s="490"/>
      <c r="DH133" s="490"/>
      <c r="DI133" s="490"/>
      <c r="DJ133" s="490"/>
      <c r="DK133" s="490"/>
      <c r="DL133" s="490"/>
      <c r="DM133" s="490"/>
      <c r="DN133" s="490"/>
      <c r="DO133" s="490"/>
      <c r="DP133" s="490"/>
      <c r="DQ133" s="490"/>
      <c r="DR133" s="490"/>
      <c r="DS133" s="490"/>
      <c r="DT133" s="490"/>
      <c r="DU133" s="490"/>
      <c r="DV133" s="490"/>
      <c r="DW133" s="490"/>
      <c r="DX133" s="490"/>
      <c r="DY133" s="490"/>
      <c r="DZ133" s="490"/>
      <c r="EA133" s="490"/>
      <c r="EB133" s="490"/>
      <c r="EC133" s="490"/>
      <c r="ED133" s="490"/>
      <c r="EE133" s="490"/>
      <c r="EF133" s="490"/>
      <c r="EG133" s="490"/>
      <c r="EH133" s="490"/>
      <c r="EI133" s="490"/>
      <c r="EJ133" s="490"/>
      <c r="EK133" s="490"/>
      <c r="EL133" s="490"/>
      <c r="EM133" s="490"/>
      <c r="EN133" s="490"/>
      <c r="EO133" s="490"/>
      <c r="EP133" s="490"/>
      <c r="EQ133" s="490"/>
      <c r="ER133" s="490"/>
      <c r="ES133" s="490"/>
      <c r="ET133" s="490"/>
      <c r="EU133" s="490"/>
      <c r="EV133" s="490"/>
      <c r="EW133" s="490"/>
      <c r="EX133" s="490"/>
      <c r="EY133" s="490"/>
      <c r="EZ133" s="490"/>
      <c r="FA133" s="490"/>
      <c r="FB133" s="490"/>
      <c r="FC133" s="490"/>
      <c r="FD133" s="490"/>
      <c r="FE133" s="490"/>
      <c r="FF133" s="490"/>
      <c r="FG133" s="490"/>
      <c r="FH133" s="490"/>
      <c r="FI133" s="490"/>
      <c r="FJ133" s="490"/>
      <c r="FK133" s="490"/>
      <c r="FL133" s="490"/>
      <c r="FM133" s="490"/>
      <c r="FN133" s="490"/>
    </row>
    <row r="134" s="492" customFormat="1" spans="1:170">
      <c r="A134" s="539"/>
      <c r="B134" s="509"/>
      <c r="C134" s="538"/>
      <c r="D134" s="509"/>
      <c r="E134" s="509"/>
      <c r="F134" s="545" t="s">
        <v>148</v>
      </c>
      <c r="G134" s="546">
        <v>2.59</v>
      </c>
      <c r="H134" s="546">
        <v>0.36</v>
      </c>
      <c r="I134" s="546" t="s">
        <v>24</v>
      </c>
      <c r="J134" s="546" t="s">
        <v>24</v>
      </c>
      <c r="K134" s="527"/>
      <c r="L134" s="527"/>
      <c r="M134" s="490"/>
      <c r="N134" s="490"/>
      <c r="O134" s="490"/>
      <c r="P134" s="490"/>
      <c r="Q134" s="490"/>
      <c r="R134" s="490"/>
      <c r="S134" s="490"/>
      <c r="T134" s="490"/>
      <c r="U134" s="490"/>
      <c r="V134" s="490"/>
      <c r="W134" s="490"/>
      <c r="X134" s="490"/>
      <c r="Y134" s="490"/>
      <c r="Z134" s="490"/>
      <c r="AA134" s="490"/>
      <c r="AB134" s="490"/>
      <c r="AC134" s="490"/>
      <c r="AD134" s="490"/>
      <c r="AE134" s="490"/>
      <c r="AF134" s="490"/>
      <c r="AG134" s="490"/>
      <c r="AH134" s="490"/>
      <c r="AI134" s="490"/>
      <c r="AJ134" s="490"/>
      <c r="AK134" s="490"/>
      <c r="AL134" s="490"/>
      <c r="AM134" s="490"/>
      <c r="AN134" s="490"/>
      <c r="AO134" s="490"/>
      <c r="AP134" s="490"/>
      <c r="AQ134" s="490"/>
      <c r="AR134" s="490"/>
      <c r="AS134" s="490"/>
      <c r="AT134" s="490"/>
      <c r="AU134" s="490"/>
      <c r="AV134" s="490"/>
      <c r="AW134" s="490"/>
      <c r="AX134" s="490"/>
      <c r="AY134" s="490"/>
      <c r="AZ134" s="490"/>
      <c r="BA134" s="490"/>
      <c r="BB134" s="490"/>
      <c r="BC134" s="490"/>
      <c r="BD134" s="490"/>
      <c r="BE134" s="490"/>
      <c r="BF134" s="490"/>
      <c r="BG134" s="490"/>
      <c r="BH134" s="490"/>
      <c r="BI134" s="490"/>
      <c r="BJ134" s="490"/>
      <c r="BK134" s="490"/>
      <c r="BL134" s="490"/>
      <c r="BM134" s="490"/>
      <c r="BN134" s="490"/>
      <c r="BO134" s="490"/>
      <c r="BP134" s="490"/>
      <c r="BQ134" s="490"/>
      <c r="BR134" s="490"/>
      <c r="BS134" s="490"/>
      <c r="BT134" s="490"/>
      <c r="BU134" s="490"/>
      <c r="BV134" s="490"/>
      <c r="BW134" s="490"/>
      <c r="BX134" s="490"/>
      <c r="BY134" s="490"/>
      <c r="BZ134" s="490"/>
      <c r="CA134" s="490"/>
      <c r="CB134" s="490"/>
      <c r="CC134" s="490"/>
      <c r="CD134" s="490"/>
      <c r="CE134" s="490"/>
      <c r="CF134" s="490"/>
      <c r="CG134" s="490"/>
      <c r="CH134" s="490"/>
      <c r="CI134" s="490"/>
      <c r="CJ134" s="490"/>
      <c r="CK134" s="490"/>
      <c r="CL134" s="490"/>
      <c r="CM134" s="490"/>
      <c r="CN134" s="490"/>
      <c r="CO134" s="490"/>
      <c r="CP134" s="490"/>
      <c r="CQ134" s="490"/>
      <c r="CR134" s="490"/>
      <c r="CS134" s="490"/>
      <c r="CT134" s="490"/>
      <c r="CU134" s="490"/>
      <c r="CV134" s="490"/>
      <c r="CW134" s="490"/>
      <c r="CX134" s="490"/>
      <c r="CY134" s="490"/>
      <c r="CZ134" s="490"/>
      <c r="DA134" s="490"/>
      <c r="DB134" s="490"/>
      <c r="DC134" s="490"/>
      <c r="DD134" s="490"/>
      <c r="DE134" s="490"/>
      <c r="DF134" s="490"/>
      <c r="DG134" s="490"/>
      <c r="DH134" s="490"/>
      <c r="DI134" s="490"/>
      <c r="DJ134" s="490"/>
      <c r="DK134" s="490"/>
      <c r="DL134" s="490"/>
      <c r="DM134" s="490"/>
      <c r="DN134" s="490"/>
      <c r="DO134" s="490"/>
      <c r="DP134" s="490"/>
      <c r="DQ134" s="490"/>
      <c r="DR134" s="490"/>
      <c r="DS134" s="490"/>
      <c r="DT134" s="490"/>
      <c r="DU134" s="490"/>
      <c r="DV134" s="490"/>
      <c r="DW134" s="490"/>
      <c r="DX134" s="490"/>
      <c r="DY134" s="490"/>
      <c r="DZ134" s="490"/>
      <c r="EA134" s="490"/>
      <c r="EB134" s="490"/>
      <c r="EC134" s="490"/>
      <c r="ED134" s="490"/>
      <c r="EE134" s="490"/>
      <c r="EF134" s="490"/>
      <c r="EG134" s="490"/>
      <c r="EH134" s="490"/>
      <c r="EI134" s="490"/>
      <c r="EJ134" s="490"/>
      <c r="EK134" s="490"/>
      <c r="EL134" s="490"/>
      <c r="EM134" s="490"/>
      <c r="EN134" s="490"/>
      <c r="EO134" s="490"/>
      <c r="EP134" s="490"/>
      <c r="EQ134" s="490"/>
      <c r="ER134" s="490"/>
      <c r="ES134" s="490"/>
      <c r="ET134" s="490"/>
      <c r="EU134" s="490"/>
      <c r="EV134" s="490"/>
      <c r="EW134" s="490"/>
      <c r="EX134" s="490"/>
      <c r="EY134" s="490"/>
      <c r="EZ134" s="490"/>
      <c r="FA134" s="490"/>
      <c r="FB134" s="490"/>
      <c r="FC134" s="490"/>
      <c r="FD134" s="490"/>
      <c r="FE134" s="490"/>
      <c r="FF134" s="490"/>
      <c r="FG134" s="490"/>
      <c r="FH134" s="490"/>
      <c r="FI134" s="490"/>
      <c r="FJ134" s="490"/>
      <c r="FK134" s="490"/>
      <c r="FL134" s="490"/>
      <c r="FM134" s="490"/>
      <c r="FN134" s="490"/>
    </row>
    <row r="135" s="492" customFormat="1" spans="1:170">
      <c r="A135" s="539">
        <v>46094</v>
      </c>
      <c r="B135" s="509" t="s">
        <v>747</v>
      </c>
      <c r="C135" s="538">
        <v>3</v>
      </c>
      <c r="D135" s="509" t="s">
        <v>72</v>
      </c>
      <c r="E135" s="509" t="s">
        <v>72</v>
      </c>
      <c r="F135" s="545" t="s">
        <v>158</v>
      </c>
      <c r="G135" s="546">
        <v>1.04</v>
      </c>
      <c r="H135" s="546">
        <v>2.64</v>
      </c>
      <c r="I135" s="546" t="s">
        <v>17</v>
      </c>
      <c r="J135" s="546">
        <v>1.87</v>
      </c>
      <c r="K135" s="527" t="s">
        <v>601</v>
      </c>
      <c r="L135" s="527" t="s">
        <v>28</v>
      </c>
      <c r="M135" s="490"/>
      <c r="N135" s="490"/>
      <c r="O135" s="490"/>
      <c r="P135" s="490"/>
      <c r="Q135" s="490"/>
      <c r="R135" s="490"/>
      <c r="S135" s="490"/>
      <c r="T135" s="490"/>
      <c r="U135" s="490"/>
      <c r="V135" s="490"/>
      <c r="W135" s="490"/>
      <c r="X135" s="490"/>
      <c r="Y135" s="490"/>
      <c r="Z135" s="490"/>
      <c r="AA135" s="490"/>
      <c r="AB135" s="490"/>
      <c r="AC135" s="490"/>
      <c r="AD135" s="490"/>
      <c r="AE135" s="490"/>
      <c r="AF135" s="490"/>
      <c r="AG135" s="490"/>
      <c r="AH135" s="490"/>
      <c r="AI135" s="490"/>
      <c r="AJ135" s="490"/>
      <c r="AK135" s="490"/>
      <c r="AL135" s="490"/>
      <c r="AM135" s="490"/>
      <c r="AN135" s="490"/>
      <c r="AO135" s="490"/>
      <c r="AP135" s="490"/>
      <c r="AQ135" s="490"/>
      <c r="AR135" s="490"/>
      <c r="AS135" s="490"/>
      <c r="AT135" s="490"/>
      <c r="AU135" s="490"/>
      <c r="AV135" s="490"/>
      <c r="AW135" s="490"/>
      <c r="AX135" s="490"/>
      <c r="AY135" s="490"/>
      <c r="AZ135" s="490"/>
      <c r="BA135" s="490"/>
      <c r="BB135" s="490"/>
      <c r="BC135" s="490"/>
      <c r="BD135" s="490"/>
      <c r="BE135" s="490"/>
      <c r="BF135" s="490"/>
      <c r="BG135" s="490"/>
      <c r="BH135" s="490"/>
      <c r="BI135" s="490"/>
      <c r="BJ135" s="490"/>
      <c r="BK135" s="490"/>
      <c r="BL135" s="490"/>
      <c r="BM135" s="490"/>
      <c r="BN135" s="490"/>
      <c r="BO135" s="490"/>
      <c r="BP135" s="490"/>
      <c r="BQ135" s="490"/>
      <c r="BR135" s="490"/>
      <c r="BS135" s="490"/>
      <c r="BT135" s="490"/>
      <c r="BU135" s="490"/>
      <c r="BV135" s="490"/>
      <c r="BW135" s="490"/>
      <c r="BX135" s="490"/>
      <c r="BY135" s="490"/>
      <c r="BZ135" s="490"/>
      <c r="CA135" s="490"/>
      <c r="CB135" s="490"/>
      <c r="CC135" s="490"/>
      <c r="CD135" s="490"/>
      <c r="CE135" s="490"/>
      <c r="CF135" s="490"/>
      <c r="CG135" s="490"/>
      <c r="CH135" s="490"/>
      <c r="CI135" s="490"/>
      <c r="CJ135" s="490"/>
      <c r="CK135" s="490"/>
      <c r="CL135" s="490"/>
      <c r="CM135" s="490"/>
      <c r="CN135" s="490"/>
      <c r="CO135" s="490"/>
      <c r="CP135" s="490"/>
      <c r="CQ135" s="490"/>
      <c r="CR135" s="490"/>
      <c r="CS135" s="490"/>
      <c r="CT135" s="490"/>
      <c r="CU135" s="490"/>
      <c r="CV135" s="490"/>
      <c r="CW135" s="490"/>
      <c r="CX135" s="490"/>
      <c r="CY135" s="490"/>
      <c r="CZ135" s="490"/>
      <c r="DA135" s="490"/>
      <c r="DB135" s="490"/>
      <c r="DC135" s="490"/>
      <c r="DD135" s="490"/>
      <c r="DE135" s="490"/>
      <c r="DF135" s="490"/>
      <c r="DG135" s="490"/>
      <c r="DH135" s="490"/>
      <c r="DI135" s="490"/>
      <c r="DJ135" s="490"/>
      <c r="DK135" s="490"/>
      <c r="DL135" s="490"/>
      <c r="DM135" s="490"/>
      <c r="DN135" s="490"/>
      <c r="DO135" s="490"/>
      <c r="DP135" s="490"/>
      <c r="DQ135" s="490"/>
      <c r="DR135" s="490"/>
      <c r="DS135" s="490"/>
      <c r="DT135" s="490"/>
      <c r="DU135" s="490"/>
      <c r="DV135" s="490"/>
      <c r="DW135" s="490"/>
      <c r="DX135" s="490"/>
      <c r="DY135" s="490"/>
      <c r="DZ135" s="490"/>
      <c r="EA135" s="490"/>
      <c r="EB135" s="490"/>
      <c r="EC135" s="490"/>
      <c r="ED135" s="490"/>
      <c r="EE135" s="490"/>
      <c r="EF135" s="490"/>
      <c r="EG135" s="490"/>
      <c r="EH135" s="490"/>
      <c r="EI135" s="490"/>
      <c r="EJ135" s="490"/>
      <c r="EK135" s="490"/>
      <c r="EL135" s="490"/>
      <c r="EM135" s="490"/>
      <c r="EN135" s="490"/>
      <c r="EO135" s="490"/>
      <c r="EP135" s="490"/>
      <c r="EQ135" s="490"/>
      <c r="ER135" s="490"/>
      <c r="ES135" s="490"/>
      <c r="ET135" s="490"/>
      <c r="EU135" s="490"/>
      <c r="EV135" s="490"/>
      <c r="EW135" s="490"/>
      <c r="EX135" s="490"/>
      <c r="EY135" s="490"/>
      <c r="EZ135" s="490"/>
      <c r="FA135" s="490"/>
      <c r="FB135" s="490"/>
      <c r="FC135" s="490"/>
      <c r="FD135" s="490"/>
      <c r="FE135" s="490"/>
      <c r="FF135" s="490"/>
      <c r="FG135" s="490"/>
      <c r="FH135" s="490"/>
      <c r="FI135" s="490"/>
      <c r="FJ135" s="490"/>
      <c r="FK135" s="490"/>
      <c r="FL135" s="490"/>
      <c r="FM135" s="490"/>
      <c r="FN135" s="490"/>
    </row>
    <row r="136" s="492" customFormat="1" spans="1:170">
      <c r="A136" s="539"/>
      <c r="B136" s="509"/>
      <c r="C136" s="538"/>
      <c r="D136" s="509"/>
      <c r="E136" s="509"/>
      <c r="F136" s="545" t="s">
        <v>159</v>
      </c>
      <c r="G136" s="546">
        <v>1.04</v>
      </c>
      <c r="H136" s="546">
        <v>0.14</v>
      </c>
      <c r="I136" s="546" t="s">
        <v>22</v>
      </c>
      <c r="J136" s="546">
        <v>1.9</v>
      </c>
      <c r="K136" s="527"/>
      <c r="L136" s="527"/>
      <c r="M136" s="490"/>
      <c r="N136" s="490"/>
      <c r="O136" s="490"/>
      <c r="P136" s="490"/>
      <c r="Q136" s="490"/>
      <c r="R136" s="490"/>
      <c r="S136" s="490"/>
      <c r="T136" s="490"/>
      <c r="U136" s="490"/>
      <c r="V136" s="490"/>
      <c r="W136" s="490"/>
      <c r="X136" s="490"/>
      <c r="Y136" s="490"/>
      <c r="Z136" s="490"/>
      <c r="AA136" s="490"/>
      <c r="AB136" s="490"/>
      <c r="AC136" s="490"/>
      <c r="AD136" s="490"/>
      <c r="AE136" s="490"/>
      <c r="AF136" s="490"/>
      <c r="AG136" s="490"/>
      <c r="AH136" s="490"/>
      <c r="AI136" s="490"/>
      <c r="AJ136" s="490"/>
      <c r="AK136" s="490"/>
      <c r="AL136" s="490"/>
      <c r="AM136" s="490"/>
      <c r="AN136" s="490"/>
      <c r="AO136" s="490"/>
      <c r="AP136" s="490"/>
      <c r="AQ136" s="490"/>
      <c r="AR136" s="490"/>
      <c r="AS136" s="490"/>
      <c r="AT136" s="490"/>
      <c r="AU136" s="490"/>
      <c r="AV136" s="490"/>
      <c r="AW136" s="490"/>
      <c r="AX136" s="490"/>
      <c r="AY136" s="490"/>
      <c r="AZ136" s="490"/>
      <c r="BA136" s="490"/>
      <c r="BB136" s="490"/>
      <c r="BC136" s="490"/>
      <c r="BD136" s="490"/>
      <c r="BE136" s="490"/>
      <c r="BF136" s="490"/>
      <c r="BG136" s="490"/>
      <c r="BH136" s="490"/>
      <c r="BI136" s="490"/>
      <c r="BJ136" s="490"/>
      <c r="BK136" s="490"/>
      <c r="BL136" s="490"/>
      <c r="BM136" s="490"/>
      <c r="BN136" s="490"/>
      <c r="BO136" s="490"/>
      <c r="BP136" s="490"/>
      <c r="BQ136" s="490"/>
      <c r="BR136" s="490"/>
      <c r="BS136" s="490"/>
      <c r="BT136" s="490"/>
      <c r="BU136" s="490"/>
      <c r="BV136" s="490"/>
      <c r="BW136" s="490"/>
      <c r="BX136" s="490"/>
      <c r="BY136" s="490"/>
      <c r="BZ136" s="490"/>
      <c r="CA136" s="490"/>
      <c r="CB136" s="490"/>
      <c r="CC136" s="490"/>
      <c r="CD136" s="490"/>
      <c r="CE136" s="490"/>
      <c r="CF136" s="490"/>
      <c r="CG136" s="490"/>
      <c r="CH136" s="490"/>
      <c r="CI136" s="490"/>
      <c r="CJ136" s="490"/>
      <c r="CK136" s="490"/>
      <c r="CL136" s="490"/>
      <c r="CM136" s="490"/>
      <c r="CN136" s="490"/>
      <c r="CO136" s="490"/>
      <c r="CP136" s="490"/>
      <c r="CQ136" s="490"/>
      <c r="CR136" s="490"/>
      <c r="CS136" s="490"/>
      <c r="CT136" s="490"/>
      <c r="CU136" s="490"/>
      <c r="CV136" s="490"/>
      <c r="CW136" s="490"/>
      <c r="CX136" s="490"/>
      <c r="CY136" s="490"/>
      <c r="CZ136" s="490"/>
      <c r="DA136" s="490"/>
      <c r="DB136" s="490"/>
      <c r="DC136" s="490"/>
      <c r="DD136" s="490"/>
      <c r="DE136" s="490"/>
      <c r="DF136" s="490"/>
      <c r="DG136" s="490"/>
      <c r="DH136" s="490"/>
      <c r="DI136" s="490"/>
      <c r="DJ136" s="490"/>
      <c r="DK136" s="490"/>
      <c r="DL136" s="490"/>
      <c r="DM136" s="490"/>
      <c r="DN136" s="490"/>
      <c r="DO136" s="490"/>
      <c r="DP136" s="490"/>
      <c r="DQ136" s="490"/>
      <c r="DR136" s="490"/>
      <c r="DS136" s="490"/>
      <c r="DT136" s="490"/>
      <c r="DU136" s="490"/>
      <c r="DV136" s="490"/>
      <c r="DW136" s="490"/>
      <c r="DX136" s="490"/>
      <c r="DY136" s="490"/>
      <c r="DZ136" s="490"/>
      <c r="EA136" s="490"/>
      <c r="EB136" s="490"/>
      <c r="EC136" s="490"/>
      <c r="ED136" s="490"/>
      <c r="EE136" s="490"/>
      <c r="EF136" s="490"/>
      <c r="EG136" s="490"/>
      <c r="EH136" s="490"/>
      <c r="EI136" s="490"/>
      <c r="EJ136" s="490"/>
      <c r="EK136" s="490"/>
      <c r="EL136" s="490"/>
      <c r="EM136" s="490"/>
      <c r="EN136" s="490"/>
      <c r="EO136" s="490"/>
      <c r="EP136" s="490"/>
      <c r="EQ136" s="490"/>
      <c r="ER136" s="490"/>
      <c r="ES136" s="490"/>
      <c r="ET136" s="490"/>
      <c r="EU136" s="490"/>
      <c r="EV136" s="490"/>
      <c r="EW136" s="490"/>
      <c r="EX136" s="490"/>
      <c r="EY136" s="490"/>
      <c r="EZ136" s="490"/>
      <c r="FA136" s="490"/>
      <c r="FB136" s="490"/>
      <c r="FC136" s="490"/>
      <c r="FD136" s="490"/>
      <c r="FE136" s="490"/>
      <c r="FF136" s="490"/>
      <c r="FG136" s="490"/>
      <c r="FH136" s="490"/>
      <c r="FI136" s="490"/>
      <c r="FJ136" s="490"/>
      <c r="FK136" s="490"/>
      <c r="FL136" s="490"/>
      <c r="FM136" s="490"/>
      <c r="FN136" s="490"/>
    </row>
    <row r="137" s="492" customFormat="1" spans="1:170">
      <c r="A137" s="539"/>
      <c r="B137" s="509"/>
      <c r="C137" s="538"/>
      <c r="D137" s="509"/>
      <c r="E137" s="509"/>
      <c r="F137" s="545" t="s">
        <v>175</v>
      </c>
      <c r="G137" s="546">
        <v>1.12</v>
      </c>
      <c r="H137" s="546">
        <v>0.07</v>
      </c>
      <c r="I137" s="546" t="s">
        <v>22</v>
      </c>
      <c r="J137" s="546">
        <v>3.3</v>
      </c>
      <c r="K137" s="527"/>
      <c r="L137" s="527"/>
      <c r="M137" s="490"/>
      <c r="N137" s="490"/>
      <c r="O137" s="490"/>
      <c r="P137" s="490"/>
      <c r="Q137" s="490"/>
      <c r="R137" s="490"/>
      <c r="S137" s="490"/>
      <c r="T137" s="490"/>
      <c r="U137" s="490"/>
      <c r="V137" s="490"/>
      <c r="W137" s="490"/>
      <c r="X137" s="490"/>
      <c r="Y137" s="490"/>
      <c r="Z137" s="490"/>
      <c r="AA137" s="490"/>
      <c r="AB137" s="490"/>
      <c r="AC137" s="490"/>
      <c r="AD137" s="490"/>
      <c r="AE137" s="490"/>
      <c r="AF137" s="490"/>
      <c r="AG137" s="490"/>
      <c r="AH137" s="490"/>
      <c r="AI137" s="490"/>
      <c r="AJ137" s="490"/>
      <c r="AK137" s="490"/>
      <c r="AL137" s="490"/>
      <c r="AM137" s="490"/>
      <c r="AN137" s="490"/>
      <c r="AO137" s="490"/>
      <c r="AP137" s="490"/>
      <c r="AQ137" s="490"/>
      <c r="AR137" s="490"/>
      <c r="AS137" s="490"/>
      <c r="AT137" s="490"/>
      <c r="AU137" s="490"/>
      <c r="AV137" s="490"/>
      <c r="AW137" s="490"/>
      <c r="AX137" s="490"/>
      <c r="AY137" s="490"/>
      <c r="AZ137" s="490"/>
      <c r="BA137" s="490"/>
      <c r="BB137" s="490"/>
      <c r="BC137" s="490"/>
      <c r="BD137" s="490"/>
      <c r="BE137" s="490"/>
      <c r="BF137" s="490"/>
      <c r="BG137" s="490"/>
      <c r="BH137" s="490"/>
      <c r="BI137" s="490"/>
      <c r="BJ137" s="490"/>
      <c r="BK137" s="490"/>
      <c r="BL137" s="490"/>
      <c r="BM137" s="490"/>
      <c r="BN137" s="490"/>
      <c r="BO137" s="490"/>
      <c r="BP137" s="490"/>
      <c r="BQ137" s="490"/>
      <c r="BR137" s="490"/>
      <c r="BS137" s="490"/>
      <c r="BT137" s="490"/>
      <c r="BU137" s="490"/>
      <c r="BV137" s="490"/>
      <c r="BW137" s="490"/>
      <c r="BX137" s="490"/>
      <c r="BY137" s="490"/>
      <c r="BZ137" s="490"/>
      <c r="CA137" s="490"/>
      <c r="CB137" s="490"/>
      <c r="CC137" s="490"/>
      <c r="CD137" s="490"/>
      <c r="CE137" s="490"/>
      <c r="CF137" s="490"/>
      <c r="CG137" s="490"/>
      <c r="CH137" s="490"/>
      <c r="CI137" s="490"/>
      <c r="CJ137" s="490"/>
      <c r="CK137" s="490"/>
      <c r="CL137" s="490"/>
      <c r="CM137" s="490"/>
      <c r="CN137" s="490"/>
      <c r="CO137" s="490"/>
      <c r="CP137" s="490"/>
      <c r="CQ137" s="490"/>
      <c r="CR137" s="490"/>
      <c r="CS137" s="490"/>
      <c r="CT137" s="490"/>
      <c r="CU137" s="490"/>
      <c r="CV137" s="490"/>
      <c r="CW137" s="490"/>
      <c r="CX137" s="490"/>
      <c r="CY137" s="490"/>
      <c r="CZ137" s="490"/>
      <c r="DA137" s="490"/>
      <c r="DB137" s="490"/>
      <c r="DC137" s="490"/>
      <c r="DD137" s="490"/>
      <c r="DE137" s="490"/>
      <c r="DF137" s="490"/>
      <c r="DG137" s="490"/>
      <c r="DH137" s="490"/>
      <c r="DI137" s="490"/>
      <c r="DJ137" s="490"/>
      <c r="DK137" s="490"/>
      <c r="DL137" s="490"/>
      <c r="DM137" s="490"/>
      <c r="DN137" s="490"/>
      <c r="DO137" s="490"/>
      <c r="DP137" s="490"/>
      <c r="DQ137" s="490"/>
      <c r="DR137" s="490"/>
      <c r="DS137" s="490"/>
      <c r="DT137" s="490"/>
      <c r="DU137" s="490"/>
      <c r="DV137" s="490"/>
      <c r="DW137" s="490"/>
      <c r="DX137" s="490"/>
      <c r="DY137" s="490"/>
      <c r="DZ137" s="490"/>
      <c r="EA137" s="490"/>
      <c r="EB137" s="490"/>
      <c r="EC137" s="490"/>
      <c r="ED137" s="490"/>
      <c r="EE137" s="490"/>
      <c r="EF137" s="490"/>
      <c r="EG137" s="490"/>
      <c r="EH137" s="490"/>
      <c r="EI137" s="490"/>
      <c r="EJ137" s="490"/>
      <c r="EK137" s="490"/>
      <c r="EL137" s="490"/>
      <c r="EM137" s="490"/>
      <c r="EN137" s="490"/>
      <c r="EO137" s="490"/>
      <c r="EP137" s="490"/>
      <c r="EQ137" s="490"/>
      <c r="ER137" s="490"/>
      <c r="ES137" s="490"/>
      <c r="ET137" s="490"/>
      <c r="EU137" s="490"/>
      <c r="EV137" s="490"/>
      <c r="EW137" s="490"/>
      <c r="EX137" s="490"/>
      <c r="EY137" s="490"/>
      <c r="EZ137" s="490"/>
      <c r="FA137" s="490"/>
      <c r="FB137" s="490"/>
      <c r="FC137" s="490"/>
      <c r="FD137" s="490"/>
      <c r="FE137" s="490"/>
      <c r="FF137" s="490"/>
      <c r="FG137" s="490"/>
      <c r="FH137" s="490"/>
      <c r="FI137" s="490"/>
      <c r="FJ137" s="490"/>
      <c r="FK137" s="490"/>
      <c r="FL137" s="490"/>
      <c r="FM137" s="490"/>
      <c r="FN137" s="490"/>
    </row>
    <row r="138" s="492" customFormat="1" spans="1:170">
      <c r="A138" s="539"/>
      <c r="B138" s="509"/>
      <c r="C138" s="538"/>
      <c r="D138" s="509"/>
      <c r="E138" s="509"/>
      <c r="F138" s="545" t="s">
        <v>148</v>
      </c>
      <c r="G138" s="546">
        <v>1.12</v>
      </c>
      <c r="H138" s="546">
        <v>0.15</v>
      </c>
      <c r="I138" s="546" t="s">
        <v>24</v>
      </c>
      <c r="J138" s="546" t="s">
        <v>24</v>
      </c>
      <c r="K138" s="527"/>
      <c r="L138" s="527"/>
      <c r="M138" s="490"/>
      <c r="N138" s="490"/>
      <c r="O138" s="490"/>
      <c r="P138" s="490"/>
      <c r="Q138" s="490"/>
      <c r="R138" s="490"/>
      <c r="S138" s="490"/>
      <c r="T138" s="490"/>
      <c r="U138" s="490"/>
      <c r="V138" s="490"/>
      <c r="W138" s="490"/>
      <c r="X138" s="490"/>
      <c r="Y138" s="490"/>
      <c r="Z138" s="490"/>
      <c r="AA138" s="490"/>
      <c r="AB138" s="490"/>
      <c r="AC138" s="490"/>
      <c r="AD138" s="490"/>
      <c r="AE138" s="490"/>
      <c r="AF138" s="490"/>
      <c r="AG138" s="490"/>
      <c r="AH138" s="490"/>
      <c r="AI138" s="490"/>
      <c r="AJ138" s="490"/>
      <c r="AK138" s="490"/>
      <c r="AL138" s="490"/>
      <c r="AM138" s="490"/>
      <c r="AN138" s="490"/>
      <c r="AO138" s="490"/>
      <c r="AP138" s="490"/>
      <c r="AQ138" s="490"/>
      <c r="AR138" s="490"/>
      <c r="AS138" s="490"/>
      <c r="AT138" s="490"/>
      <c r="AU138" s="490"/>
      <c r="AV138" s="490"/>
      <c r="AW138" s="490"/>
      <c r="AX138" s="490"/>
      <c r="AY138" s="490"/>
      <c r="AZ138" s="490"/>
      <c r="BA138" s="490"/>
      <c r="BB138" s="490"/>
      <c r="BC138" s="490"/>
      <c r="BD138" s="490"/>
      <c r="BE138" s="490"/>
      <c r="BF138" s="490"/>
      <c r="BG138" s="490"/>
      <c r="BH138" s="490"/>
      <c r="BI138" s="490"/>
      <c r="BJ138" s="490"/>
      <c r="BK138" s="490"/>
      <c r="BL138" s="490"/>
      <c r="BM138" s="490"/>
      <c r="BN138" s="490"/>
      <c r="BO138" s="490"/>
      <c r="BP138" s="490"/>
      <c r="BQ138" s="490"/>
      <c r="BR138" s="490"/>
      <c r="BS138" s="490"/>
      <c r="BT138" s="490"/>
      <c r="BU138" s="490"/>
      <c r="BV138" s="490"/>
      <c r="BW138" s="490"/>
      <c r="BX138" s="490"/>
      <c r="BY138" s="490"/>
      <c r="BZ138" s="490"/>
      <c r="CA138" s="490"/>
      <c r="CB138" s="490"/>
      <c r="CC138" s="490"/>
      <c r="CD138" s="490"/>
      <c r="CE138" s="490"/>
      <c r="CF138" s="490"/>
      <c r="CG138" s="490"/>
      <c r="CH138" s="490"/>
      <c r="CI138" s="490"/>
      <c r="CJ138" s="490"/>
      <c r="CK138" s="490"/>
      <c r="CL138" s="490"/>
      <c r="CM138" s="490"/>
      <c r="CN138" s="490"/>
      <c r="CO138" s="490"/>
      <c r="CP138" s="490"/>
      <c r="CQ138" s="490"/>
      <c r="CR138" s="490"/>
      <c r="CS138" s="490"/>
      <c r="CT138" s="490"/>
      <c r="CU138" s="490"/>
      <c r="CV138" s="490"/>
      <c r="CW138" s="490"/>
      <c r="CX138" s="490"/>
      <c r="CY138" s="490"/>
      <c r="CZ138" s="490"/>
      <c r="DA138" s="490"/>
      <c r="DB138" s="490"/>
      <c r="DC138" s="490"/>
      <c r="DD138" s="490"/>
      <c r="DE138" s="490"/>
      <c r="DF138" s="490"/>
      <c r="DG138" s="490"/>
      <c r="DH138" s="490"/>
      <c r="DI138" s="490"/>
      <c r="DJ138" s="490"/>
      <c r="DK138" s="490"/>
      <c r="DL138" s="490"/>
      <c r="DM138" s="490"/>
      <c r="DN138" s="490"/>
      <c r="DO138" s="490"/>
      <c r="DP138" s="490"/>
      <c r="DQ138" s="490"/>
      <c r="DR138" s="490"/>
      <c r="DS138" s="490"/>
      <c r="DT138" s="490"/>
      <c r="DU138" s="490"/>
      <c r="DV138" s="490"/>
      <c r="DW138" s="490"/>
      <c r="DX138" s="490"/>
      <c r="DY138" s="490"/>
      <c r="DZ138" s="490"/>
      <c r="EA138" s="490"/>
      <c r="EB138" s="490"/>
      <c r="EC138" s="490"/>
      <c r="ED138" s="490"/>
      <c r="EE138" s="490"/>
      <c r="EF138" s="490"/>
      <c r="EG138" s="490"/>
      <c r="EH138" s="490"/>
      <c r="EI138" s="490"/>
      <c r="EJ138" s="490"/>
      <c r="EK138" s="490"/>
      <c r="EL138" s="490"/>
      <c r="EM138" s="490"/>
      <c r="EN138" s="490"/>
      <c r="EO138" s="490"/>
      <c r="EP138" s="490"/>
      <c r="EQ138" s="490"/>
      <c r="ER138" s="490"/>
      <c r="ES138" s="490"/>
      <c r="ET138" s="490"/>
      <c r="EU138" s="490"/>
      <c r="EV138" s="490"/>
      <c r="EW138" s="490"/>
      <c r="EX138" s="490"/>
      <c r="EY138" s="490"/>
      <c r="EZ138" s="490"/>
      <c r="FA138" s="490"/>
      <c r="FB138" s="490"/>
      <c r="FC138" s="490"/>
      <c r="FD138" s="490"/>
      <c r="FE138" s="490"/>
      <c r="FF138" s="490"/>
      <c r="FG138" s="490"/>
      <c r="FH138" s="490"/>
      <c r="FI138" s="490"/>
      <c r="FJ138" s="490"/>
      <c r="FK138" s="490"/>
      <c r="FL138" s="490"/>
      <c r="FM138" s="490"/>
      <c r="FN138" s="490"/>
    </row>
    <row r="139" s="492" customFormat="1" spans="1:170">
      <c r="A139" s="547">
        <v>46094</v>
      </c>
      <c r="B139" s="548" t="s">
        <v>748</v>
      </c>
      <c r="C139" s="549">
        <v>4</v>
      </c>
      <c r="D139" s="507" t="s">
        <v>14</v>
      </c>
      <c r="E139" s="507" t="s">
        <v>14</v>
      </c>
      <c r="F139" s="545" t="s">
        <v>158</v>
      </c>
      <c r="G139" s="546">
        <v>1.86</v>
      </c>
      <c r="H139" s="546">
        <v>3.27</v>
      </c>
      <c r="I139" s="546" t="s">
        <v>17</v>
      </c>
      <c r="J139" s="546">
        <v>2.5</v>
      </c>
      <c r="K139" s="526" t="s">
        <v>609</v>
      </c>
      <c r="L139" s="527"/>
      <c r="M139" s="490"/>
      <c r="N139" s="490"/>
      <c r="O139" s="490"/>
      <c r="P139" s="490"/>
      <c r="Q139" s="490"/>
      <c r="R139" s="490"/>
      <c r="S139" s="490"/>
      <c r="T139" s="490"/>
      <c r="U139" s="490"/>
      <c r="V139" s="490"/>
      <c r="W139" s="490"/>
      <c r="X139" s="490"/>
      <c r="Y139" s="490"/>
      <c r="Z139" s="490"/>
      <c r="AA139" s="490"/>
      <c r="AB139" s="490"/>
      <c r="AC139" s="490"/>
      <c r="AD139" s="490"/>
      <c r="AE139" s="490"/>
      <c r="AF139" s="490"/>
      <c r="AG139" s="490"/>
      <c r="AH139" s="490"/>
      <c r="AI139" s="490"/>
      <c r="AJ139" s="490"/>
      <c r="AK139" s="490"/>
      <c r="AL139" s="490"/>
      <c r="AM139" s="490"/>
      <c r="AN139" s="490"/>
      <c r="AO139" s="490"/>
      <c r="AP139" s="490"/>
      <c r="AQ139" s="490"/>
      <c r="AR139" s="490"/>
      <c r="AS139" s="490"/>
      <c r="AT139" s="490"/>
      <c r="AU139" s="490"/>
      <c r="AV139" s="490"/>
      <c r="AW139" s="490"/>
      <c r="AX139" s="490"/>
      <c r="AY139" s="490"/>
      <c r="AZ139" s="490"/>
      <c r="BA139" s="490"/>
      <c r="BB139" s="490"/>
      <c r="BC139" s="490"/>
      <c r="BD139" s="490"/>
      <c r="BE139" s="490"/>
      <c r="BF139" s="490"/>
      <c r="BG139" s="490"/>
      <c r="BH139" s="490"/>
      <c r="BI139" s="490"/>
      <c r="BJ139" s="490"/>
      <c r="BK139" s="490"/>
      <c r="BL139" s="490"/>
      <c r="BM139" s="490"/>
      <c r="BN139" s="490"/>
      <c r="BO139" s="490"/>
      <c r="BP139" s="490"/>
      <c r="BQ139" s="490"/>
      <c r="BR139" s="490"/>
      <c r="BS139" s="490"/>
      <c r="BT139" s="490"/>
      <c r="BU139" s="490"/>
      <c r="BV139" s="490"/>
      <c r="BW139" s="490"/>
      <c r="BX139" s="490"/>
      <c r="BY139" s="490"/>
      <c r="BZ139" s="490"/>
      <c r="CA139" s="490"/>
      <c r="CB139" s="490"/>
      <c r="CC139" s="490"/>
      <c r="CD139" s="490"/>
      <c r="CE139" s="490"/>
      <c r="CF139" s="490"/>
      <c r="CG139" s="490"/>
      <c r="CH139" s="490"/>
      <c r="CI139" s="490"/>
      <c r="CJ139" s="490"/>
      <c r="CK139" s="490"/>
      <c r="CL139" s="490"/>
      <c r="CM139" s="490"/>
      <c r="CN139" s="490"/>
      <c r="CO139" s="490"/>
      <c r="CP139" s="490"/>
      <c r="CQ139" s="490"/>
      <c r="CR139" s="490"/>
      <c r="CS139" s="490"/>
      <c r="CT139" s="490"/>
      <c r="CU139" s="490"/>
      <c r="CV139" s="490"/>
      <c r="CW139" s="490"/>
      <c r="CX139" s="490"/>
      <c r="CY139" s="490"/>
      <c r="CZ139" s="490"/>
      <c r="DA139" s="490"/>
      <c r="DB139" s="490"/>
      <c r="DC139" s="490"/>
      <c r="DD139" s="490"/>
      <c r="DE139" s="490"/>
      <c r="DF139" s="490"/>
      <c r="DG139" s="490"/>
      <c r="DH139" s="490"/>
      <c r="DI139" s="490"/>
      <c r="DJ139" s="490"/>
      <c r="DK139" s="490"/>
      <c r="DL139" s="490"/>
      <c r="DM139" s="490"/>
      <c r="DN139" s="490"/>
      <c r="DO139" s="490"/>
      <c r="DP139" s="490"/>
      <c r="DQ139" s="490"/>
      <c r="DR139" s="490"/>
      <c r="DS139" s="490"/>
      <c r="DT139" s="490"/>
      <c r="DU139" s="490"/>
      <c r="DV139" s="490"/>
      <c r="DW139" s="490"/>
      <c r="DX139" s="490"/>
      <c r="DY139" s="490"/>
      <c r="DZ139" s="490"/>
      <c r="EA139" s="490"/>
      <c r="EB139" s="490"/>
      <c r="EC139" s="490"/>
      <c r="ED139" s="490"/>
      <c r="EE139" s="490"/>
      <c r="EF139" s="490"/>
      <c r="EG139" s="490"/>
      <c r="EH139" s="490"/>
      <c r="EI139" s="490"/>
      <c r="EJ139" s="490"/>
      <c r="EK139" s="490"/>
      <c r="EL139" s="490"/>
      <c r="EM139" s="490"/>
      <c r="EN139" s="490"/>
      <c r="EO139" s="490"/>
      <c r="EP139" s="490"/>
      <c r="EQ139" s="490"/>
      <c r="ER139" s="490"/>
      <c r="ES139" s="490"/>
      <c r="ET139" s="490"/>
      <c r="EU139" s="490"/>
      <c r="EV139" s="490"/>
      <c r="EW139" s="490"/>
      <c r="EX139" s="490"/>
      <c r="EY139" s="490"/>
      <c r="EZ139" s="490"/>
      <c r="FA139" s="490"/>
      <c r="FB139" s="490"/>
      <c r="FC139" s="490"/>
      <c r="FD139" s="490"/>
      <c r="FE139" s="490"/>
      <c r="FF139" s="490"/>
      <c r="FG139" s="490"/>
      <c r="FH139" s="490"/>
      <c r="FI139" s="490"/>
      <c r="FJ139" s="490"/>
      <c r="FK139" s="490"/>
      <c r="FL139" s="490"/>
      <c r="FM139" s="490"/>
      <c r="FN139" s="490"/>
    </row>
    <row r="140" s="492" customFormat="1" spans="1:170">
      <c r="A140" s="550"/>
      <c r="B140" s="551"/>
      <c r="C140" s="552"/>
      <c r="D140" s="513"/>
      <c r="E140" s="513"/>
      <c r="F140" s="545" t="s">
        <v>159</v>
      </c>
      <c r="G140" s="546">
        <v>1.95</v>
      </c>
      <c r="H140" s="546">
        <v>0.33</v>
      </c>
      <c r="I140" s="546" t="s">
        <v>22</v>
      </c>
      <c r="J140" s="546">
        <v>3</v>
      </c>
      <c r="K140" s="531"/>
      <c r="L140" s="527"/>
      <c r="M140" s="490"/>
      <c r="N140" s="490"/>
      <c r="O140" s="490"/>
      <c r="P140" s="490"/>
      <c r="Q140" s="490"/>
      <c r="R140" s="490"/>
      <c r="S140" s="490"/>
      <c r="T140" s="490"/>
      <c r="U140" s="490"/>
      <c r="V140" s="490"/>
      <c r="W140" s="490"/>
      <c r="X140" s="490"/>
      <c r="Y140" s="490"/>
      <c r="Z140" s="490"/>
      <c r="AA140" s="490"/>
      <c r="AB140" s="490"/>
      <c r="AC140" s="490"/>
      <c r="AD140" s="490"/>
      <c r="AE140" s="490"/>
      <c r="AF140" s="490"/>
      <c r="AG140" s="490"/>
      <c r="AH140" s="490"/>
      <c r="AI140" s="490"/>
      <c r="AJ140" s="490"/>
      <c r="AK140" s="490"/>
      <c r="AL140" s="490"/>
      <c r="AM140" s="490"/>
      <c r="AN140" s="490"/>
      <c r="AO140" s="490"/>
      <c r="AP140" s="490"/>
      <c r="AQ140" s="490"/>
      <c r="AR140" s="490"/>
      <c r="AS140" s="490"/>
      <c r="AT140" s="490"/>
      <c r="AU140" s="490"/>
      <c r="AV140" s="490"/>
      <c r="AW140" s="490"/>
      <c r="AX140" s="490"/>
      <c r="AY140" s="490"/>
      <c r="AZ140" s="490"/>
      <c r="BA140" s="490"/>
      <c r="BB140" s="490"/>
      <c r="BC140" s="490"/>
      <c r="BD140" s="490"/>
      <c r="BE140" s="490"/>
      <c r="BF140" s="490"/>
      <c r="BG140" s="490"/>
      <c r="BH140" s="490"/>
      <c r="BI140" s="490"/>
      <c r="BJ140" s="490"/>
      <c r="BK140" s="490"/>
      <c r="BL140" s="490"/>
      <c r="BM140" s="490"/>
      <c r="BN140" s="490"/>
      <c r="BO140" s="490"/>
      <c r="BP140" s="490"/>
      <c r="BQ140" s="490"/>
      <c r="BR140" s="490"/>
      <c r="BS140" s="490"/>
      <c r="BT140" s="490"/>
      <c r="BU140" s="490"/>
      <c r="BV140" s="490"/>
      <c r="BW140" s="490"/>
      <c r="BX140" s="490"/>
      <c r="BY140" s="490"/>
      <c r="BZ140" s="490"/>
      <c r="CA140" s="490"/>
      <c r="CB140" s="490"/>
      <c r="CC140" s="490"/>
      <c r="CD140" s="490"/>
      <c r="CE140" s="490"/>
      <c r="CF140" s="490"/>
      <c r="CG140" s="490"/>
      <c r="CH140" s="490"/>
      <c r="CI140" s="490"/>
      <c r="CJ140" s="490"/>
      <c r="CK140" s="490"/>
      <c r="CL140" s="490"/>
      <c r="CM140" s="490"/>
      <c r="CN140" s="490"/>
      <c r="CO140" s="490"/>
      <c r="CP140" s="490"/>
      <c r="CQ140" s="490"/>
      <c r="CR140" s="490"/>
      <c r="CS140" s="490"/>
      <c r="CT140" s="490"/>
      <c r="CU140" s="490"/>
      <c r="CV140" s="490"/>
      <c r="CW140" s="490"/>
      <c r="CX140" s="490"/>
      <c r="CY140" s="490"/>
      <c r="CZ140" s="490"/>
      <c r="DA140" s="490"/>
      <c r="DB140" s="490"/>
      <c r="DC140" s="490"/>
      <c r="DD140" s="490"/>
      <c r="DE140" s="490"/>
      <c r="DF140" s="490"/>
      <c r="DG140" s="490"/>
      <c r="DH140" s="490"/>
      <c r="DI140" s="490"/>
      <c r="DJ140" s="490"/>
      <c r="DK140" s="490"/>
      <c r="DL140" s="490"/>
      <c r="DM140" s="490"/>
      <c r="DN140" s="490"/>
      <c r="DO140" s="490"/>
      <c r="DP140" s="490"/>
      <c r="DQ140" s="490"/>
      <c r="DR140" s="490"/>
      <c r="DS140" s="490"/>
      <c r="DT140" s="490"/>
      <c r="DU140" s="490"/>
      <c r="DV140" s="490"/>
      <c r="DW140" s="490"/>
      <c r="DX140" s="490"/>
      <c r="DY140" s="490"/>
      <c r="DZ140" s="490"/>
      <c r="EA140" s="490"/>
      <c r="EB140" s="490"/>
      <c r="EC140" s="490"/>
      <c r="ED140" s="490"/>
      <c r="EE140" s="490"/>
      <c r="EF140" s="490"/>
      <c r="EG140" s="490"/>
      <c r="EH140" s="490"/>
      <c r="EI140" s="490"/>
      <c r="EJ140" s="490"/>
      <c r="EK140" s="490"/>
      <c r="EL140" s="490"/>
      <c r="EM140" s="490"/>
      <c r="EN140" s="490"/>
      <c r="EO140" s="490"/>
      <c r="EP140" s="490"/>
      <c r="EQ140" s="490"/>
      <c r="ER140" s="490"/>
      <c r="ES140" s="490"/>
      <c r="ET140" s="490"/>
      <c r="EU140" s="490"/>
      <c r="EV140" s="490"/>
      <c r="EW140" s="490"/>
      <c r="EX140" s="490"/>
      <c r="EY140" s="490"/>
      <c r="EZ140" s="490"/>
      <c r="FA140" s="490"/>
      <c r="FB140" s="490"/>
      <c r="FC140" s="490"/>
      <c r="FD140" s="490"/>
      <c r="FE140" s="490"/>
      <c r="FF140" s="490"/>
      <c r="FG140" s="490"/>
      <c r="FH140" s="490"/>
      <c r="FI140" s="490"/>
      <c r="FJ140" s="490"/>
      <c r="FK140" s="490"/>
      <c r="FL140" s="490"/>
      <c r="FM140" s="490"/>
      <c r="FN140" s="490"/>
    </row>
    <row r="141" s="492" customFormat="1" spans="1:170">
      <c r="A141" s="553"/>
      <c r="B141" s="554"/>
      <c r="C141" s="555"/>
      <c r="D141" s="517"/>
      <c r="E141" s="517"/>
      <c r="F141" s="545" t="s">
        <v>148</v>
      </c>
      <c r="G141" s="546">
        <v>2.7</v>
      </c>
      <c r="H141" s="546">
        <v>0.4</v>
      </c>
      <c r="I141" s="546" t="s">
        <v>24</v>
      </c>
      <c r="J141" s="546" t="s">
        <v>24</v>
      </c>
      <c r="K141" s="534"/>
      <c r="L141" s="527"/>
      <c r="M141" s="490"/>
      <c r="N141" s="490"/>
      <c r="O141" s="490"/>
      <c r="P141" s="490"/>
      <c r="Q141" s="490"/>
      <c r="R141" s="490"/>
      <c r="S141" s="490"/>
      <c r="T141" s="490"/>
      <c r="U141" s="490"/>
      <c r="V141" s="490"/>
      <c r="W141" s="490"/>
      <c r="X141" s="490"/>
      <c r="Y141" s="490"/>
      <c r="Z141" s="490"/>
      <c r="AA141" s="490"/>
      <c r="AB141" s="490"/>
      <c r="AC141" s="490"/>
      <c r="AD141" s="490"/>
      <c r="AE141" s="490"/>
      <c r="AF141" s="490"/>
      <c r="AG141" s="490"/>
      <c r="AH141" s="490"/>
      <c r="AI141" s="490"/>
      <c r="AJ141" s="490"/>
      <c r="AK141" s="490"/>
      <c r="AL141" s="490"/>
      <c r="AM141" s="490"/>
      <c r="AN141" s="490"/>
      <c r="AO141" s="490"/>
      <c r="AP141" s="490"/>
      <c r="AQ141" s="490"/>
      <c r="AR141" s="490"/>
      <c r="AS141" s="490"/>
      <c r="AT141" s="490"/>
      <c r="AU141" s="490"/>
      <c r="AV141" s="490"/>
      <c r="AW141" s="490"/>
      <c r="AX141" s="490"/>
      <c r="AY141" s="490"/>
      <c r="AZ141" s="490"/>
      <c r="BA141" s="490"/>
      <c r="BB141" s="490"/>
      <c r="BC141" s="490"/>
      <c r="BD141" s="490"/>
      <c r="BE141" s="490"/>
      <c r="BF141" s="490"/>
      <c r="BG141" s="490"/>
      <c r="BH141" s="490"/>
      <c r="BI141" s="490"/>
      <c r="BJ141" s="490"/>
      <c r="BK141" s="490"/>
      <c r="BL141" s="490"/>
      <c r="BM141" s="490"/>
      <c r="BN141" s="490"/>
      <c r="BO141" s="490"/>
      <c r="BP141" s="490"/>
      <c r="BQ141" s="490"/>
      <c r="BR141" s="490"/>
      <c r="BS141" s="490"/>
      <c r="BT141" s="490"/>
      <c r="BU141" s="490"/>
      <c r="BV141" s="490"/>
      <c r="BW141" s="490"/>
      <c r="BX141" s="490"/>
      <c r="BY141" s="490"/>
      <c r="BZ141" s="490"/>
      <c r="CA141" s="490"/>
      <c r="CB141" s="490"/>
      <c r="CC141" s="490"/>
      <c r="CD141" s="490"/>
      <c r="CE141" s="490"/>
      <c r="CF141" s="490"/>
      <c r="CG141" s="490"/>
      <c r="CH141" s="490"/>
      <c r="CI141" s="490"/>
      <c r="CJ141" s="490"/>
      <c r="CK141" s="490"/>
      <c r="CL141" s="490"/>
      <c r="CM141" s="490"/>
      <c r="CN141" s="490"/>
      <c r="CO141" s="490"/>
      <c r="CP141" s="490"/>
      <c r="CQ141" s="490"/>
      <c r="CR141" s="490"/>
      <c r="CS141" s="490"/>
      <c r="CT141" s="490"/>
      <c r="CU141" s="490"/>
      <c r="CV141" s="490"/>
      <c r="CW141" s="490"/>
      <c r="CX141" s="490"/>
      <c r="CY141" s="490"/>
      <c r="CZ141" s="490"/>
      <c r="DA141" s="490"/>
      <c r="DB141" s="490"/>
      <c r="DC141" s="490"/>
      <c r="DD141" s="490"/>
      <c r="DE141" s="490"/>
      <c r="DF141" s="490"/>
      <c r="DG141" s="490"/>
      <c r="DH141" s="490"/>
      <c r="DI141" s="490"/>
      <c r="DJ141" s="490"/>
      <c r="DK141" s="490"/>
      <c r="DL141" s="490"/>
      <c r="DM141" s="490"/>
      <c r="DN141" s="490"/>
      <c r="DO141" s="490"/>
      <c r="DP141" s="490"/>
      <c r="DQ141" s="490"/>
      <c r="DR141" s="490"/>
      <c r="DS141" s="490"/>
      <c r="DT141" s="490"/>
      <c r="DU141" s="490"/>
      <c r="DV141" s="490"/>
      <c r="DW141" s="490"/>
      <c r="DX141" s="490"/>
      <c r="DY141" s="490"/>
      <c r="DZ141" s="490"/>
      <c r="EA141" s="490"/>
      <c r="EB141" s="490"/>
      <c r="EC141" s="490"/>
      <c r="ED141" s="490"/>
      <c r="EE141" s="490"/>
      <c r="EF141" s="490"/>
      <c r="EG141" s="490"/>
      <c r="EH141" s="490"/>
      <c r="EI141" s="490"/>
      <c r="EJ141" s="490"/>
      <c r="EK141" s="490"/>
      <c r="EL141" s="490"/>
      <c r="EM141" s="490"/>
      <c r="EN141" s="490"/>
      <c r="EO141" s="490"/>
      <c r="EP141" s="490"/>
      <c r="EQ141" s="490"/>
      <c r="ER141" s="490"/>
      <c r="ES141" s="490"/>
      <c r="ET141" s="490"/>
      <c r="EU141" s="490"/>
      <c r="EV141" s="490"/>
      <c r="EW141" s="490"/>
      <c r="EX141" s="490"/>
      <c r="EY141" s="490"/>
      <c r="EZ141" s="490"/>
      <c r="FA141" s="490"/>
      <c r="FB141" s="490"/>
      <c r="FC141" s="490"/>
      <c r="FD141" s="490"/>
      <c r="FE141" s="490"/>
      <c r="FF141" s="490"/>
      <c r="FG141" s="490"/>
      <c r="FH141" s="490"/>
      <c r="FI141" s="490"/>
      <c r="FJ141" s="490"/>
      <c r="FK141" s="490"/>
      <c r="FL141" s="490"/>
      <c r="FM141" s="490"/>
      <c r="FN141" s="490"/>
    </row>
    <row r="142" s="492" customFormat="1" spans="1:170">
      <c r="A142" s="556">
        <v>46094</v>
      </c>
      <c r="B142" s="543" t="s">
        <v>749</v>
      </c>
      <c r="C142" s="557">
        <v>10</v>
      </c>
      <c r="D142" s="509" t="s">
        <v>208</v>
      </c>
      <c r="E142" s="509" t="s">
        <v>208</v>
      </c>
      <c r="F142" s="545" t="s">
        <v>144</v>
      </c>
      <c r="G142" s="546">
        <v>0.76</v>
      </c>
      <c r="H142" s="546">
        <v>9</v>
      </c>
      <c r="I142" s="546" t="s">
        <v>17</v>
      </c>
      <c r="J142" s="546">
        <v>1.77</v>
      </c>
      <c r="K142" s="558" t="s">
        <v>603</v>
      </c>
      <c r="L142" s="558" t="s">
        <v>691</v>
      </c>
      <c r="M142" s="490"/>
      <c r="N142" s="490"/>
      <c r="O142" s="490"/>
      <c r="P142" s="490"/>
      <c r="Q142" s="490"/>
      <c r="R142" s="490"/>
      <c r="S142" s="490"/>
      <c r="T142" s="490"/>
      <c r="U142" s="490"/>
      <c r="V142" s="490"/>
      <c r="W142" s="490"/>
      <c r="X142" s="490"/>
      <c r="Y142" s="490"/>
      <c r="Z142" s="490"/>
      <c r="AA142" s="490"/>
      <c r="AB142" s="490"/>
      <c r="AC142" s="490"/>
      <c r="AD142" s="490"/>
      <c r="AE142" s="490"/>
      <c r="AF142" s="490"/>
      <c r="AG142" s="490"/>
      <c r="AH142" s="490"/>
      <c r="AI142" s="490"/>
      <c r="AJ142" s="490"/>
      <c r="AK142" s="490"/>
      <c r="AL142" s="490"/>
      <c r="AM142" s="490"/>
      <c r="AN142" s="490"/>
      <c r="AO142" s="490"/>
      <c r="AP142" s="490"/>
      <c r="AQ142" s="490"/>
      <c r="AR142" s="490"/>
      <c r="AS142" s="490"/>
      <c r="AT142" s="490"/>
      <c r="AU142" s="490"/>
      <c r="AV142" s="490"/>
      <c r="AW142" s="490"/>
      <c r="AX142" s="490"/>
      <c r="AY142" s="490"/>
      <c r="AZ142" s="490"/>
      <c r="BA142" s="490"/>
      <c r="BB142" s="490"/>
      <c r="BC142" s="490"/>
      <c r="BD142" s="490"/>
      <c r="BE142" s="490"/>
      <c r="BF142" s="490"/>
      <c r="BG142" s="490"/>
      <c r="BH142" s="490"/>
      <c r="BI142" s="490"/>
      <c r="BJ142" s="490"/>
      <c r="BK142" s="490"/>
      <c r="BL142" s="490"/>
      <c r="BM142" s="490"/>
      <c r="BN142" s="490"/>
      <c r="BO142" s="490"/>
      <c r="BP142" s="490"/>
      <c r="BQ142" s="490"/>
      <c r="BR142" s="490"/>
      <c r="BS142" s="490"/>
      <c r="BT142" s="490"/>
      <c r="BU142" s="490"/>
      <c r="BV142" s="490"/>
      <c r="BW142" s="490"/>
      <c r="BX142" s="490"/>
      <c r="BY142" s="490"/>
      <c r="BZ142" s="490"/>
      <c r="CA142" s="490"/>
      <c r="CB142" s="490"/>
      <c r="CC142" s="490"/>
      <c r="CD142" s="490"/>
      <c r="CE142" s="490"/>
      <c r="CF142" s="490"/>
      <c r="CG142" s="490"/>
      <c r="CH142" s="490"/>
      <c r="CI142" s="490"/>
      <c r="CJ142" s="490"/>
      <c r="CK142" s="490"/>
      <c r="CL142" s="490"/>
      <c r="CM142" s="490"/>
      <c r="CN142" s="490"/>
      <c r="CO142" s="490"/>
      <c r="CP142" s="490"/>
      <c r="CQ142" s="490"/>
      <c r="CR142" s="490"/>
      <c r="CS142" s="490"/>
      <c r="CT142" s="490"/>
      <c r="CU142" s="490"/>
      <c r="CV142" s="490"/>
      <c r="CW142" s="490"/>
      <c r="CX142" s="490"/>
      <c r="CY142" s="490"/>
      <c r="CZ142" s="490"/>
      <c r="DA142" s="490"/>
      <c r="DB142" s="490"/>
      <c r="DC142" s="490"/>
      <c r="DD142" s="490"/>
      <c r="DE142" s="490"/>
      <c r="DF142" s="490"/>
      <c r="DG142" s="490"/>
      <c r="DH142" s="490"/>
      <c r="DI142" s="490"/>
      <c r="DJ142" s="490"/>
      <c r="DK142" s="490"/>
      <c r="DL142" s="490"/>
      <c r="DM142" s="490"/>
      <c r="DN142" s="490"/>
      <c r="DO142" s="490"/>
      <c r="DP142" s="490"/>
      <c r="DQ142" s="490"/>
      <c r="DR142" s="490"/>
      <c r="DS142" s="490"/>
      <c r="DT142" s="490"/>
      <c r="DU142" s="490"/>
      <c r="DV142" s="490"/>
      <c r="DW142" s="490"/>
      <c r="DX142" s="490"/>
      <c r="DY142" s="490"/>
      <c r="DZ142" s="490"/>
      <c r="EA142" s="490"/>
      <c r="EB142" s="490"/>
      <c r="EC142" s="490"/>
      <c r="ED142" s="490"/>
      <c r="EE142" s="490"/>
      <c r="EF142" s="490"/>
      <c r="EG142" s="490"/>
      <c r="EH142" s="490"/>
      <c r="EI142" s="490"/>
      <c r="EJ142" s="490"/>
      <c r="EK142" s="490"/>
      <c r="EL142" s="490"/>
      <c r="EM142" s="490"/>
      <c r="EN142" s="490"/>
      <c r="EO142" s="490"/>
      <c r="EP142" s="490"/>
      <c r="EQ142" s="490"/>
      <c r="ER142" s="490"/>
      <c r="ES142" s="490"/>
      <c r="ET142" s="490"/>
      <c r="EU142" s="490"/>
      <c r="EV142" s="490"/>
      <c r="EW142" s="490"/>
      <c r="EX142" s="490"/>
      <c r="EY142" s="490"/>
      <c r="EZ142" s="490"/>
      <c r="FA142" s="490"/>
      <c r="FB142" s="490"/>
      <c r="FC142" s="490"/>
      <c r="FD142" s="490"/>
      <c r="FE142" s="490"/>
      <c r="FF142" s="490"/>
      <c r="FG142" s="490"/>
      <c r="FH142" s="490"/>
      <c r="FI142" s="490"/>
      <c r="FJ142" s="490"/>
      <c r="FK142" s="490"/>
      <c r="FL142" s="490"/>
      <c r="FM142" s="490"/>
      <c r="FN142" s="490"/>
    </row>
    <row r="143" s="492" customFormat="1" spans="1:170">
      <c r="A143" s="556"/>
      <c r="B143" s="543"/>
      <c r="C143" s="557"/>
      <c r="D143" s="509"/>
      <c r="E143" s="509"/>
      <c r="F143" s="545" t="s">
        <v>750</v>
      </c>
      <c r="G143" s="546">
        <v>1.01</v>
      </c>
      <c r="H143" s="546">
        <v>0.4</v>
      </c>
      <c r="I143" s="546" t="s">
        <v>22</v>
      </c>
      <c r="J143" s="546">
        <v>1.9</v>
      </c>
      <c r="K143" s="558"/>
      <c r="L143" s="558"/>
      <c r="M143" s="490"/>
      <c r="N143" s="490"/>
      <c r="O143" s="490"/>
      <c r="P143" s="490"/>
      <c r="Q143" s="490"/>
      <c r="R143" s="490"/>
      <c r="S143" s="490"/>
      <c r="T143" s="490"/>
      <c r="U143" s="490"/>
      <c r="V143" s="490"/>
      <c r="W143" s="490"/>
      <c r="X143" s="490"/>
      <c r="Y143" s="490"/>
      <c r="Z143" s="490"/>
      <c r="AA143" s="490"/>
      <c r="AB143" s="490"/>
      <c r="AC143" s="490"/>
      <c r="AD143" s="490"/>
      <c r="AE143" s="490"/>
      <c r="AF143" s="490"/>
      <c r="AG143" s="490"/>
      <c r="AH143" s="490"/>
      <c r="AI143" s="490"/>
      <c r="AJ143" s="490"/>
      <c r="AK143" s="490"/>
      <c r="AL143" s="490"/>
      <c r="AM143" s="490"/>
      <c r="AN143" s="490"/>
      <c r="AO143" s="490"/>
      <c r="AP143" s="490"/>
      <c r="AQ143" s="490"/>
      <c r="AR143" s="490"/>
      <c r="AS143" s="490"/>
      <c r="AT143" s="490"/>
      <c r="AU143" s="490"/>
      <c r="AV143" s="490"/>
      <c r="AW143" s="490"/>
      <c r="AX143" s="490"/>
      <c r="AY143" s="490"/>
      <c r="AZ143" s="490"/>
      <c r="BA143" s="490"/>
      <c r="BB143" s="490"/>
      <c r="BC143" s="490"/>
      <c r="BD143" s="490"/>
      <c r="BE143" s="490"/>
      <c r="BF143" s="490"/>
      <c r="BG143" s="490"/>
      <c r="BH143" s="490"/>
      <c r="BI143" s="490"/>
      <c r="BJ143" s="490"/>
      <c r="BK143" s="490"/>
      <c r="BL143" s="490"/>
      <c r="BM143" s="490"/>
      <c r="BN143" s="490"/>
      <c r="BO143" s="490"/>
      <c r="BP143" s="490"/>
      <c r="BQ143" s="490"/>
      <c r="BR143" s="490"/>
      <c r="BS143" s="490"/>
      <c r="BT143" s="490"/>
      <c r="BU143" s="490"/>
      <c r="BV143" s="490"/>
      <c r="BW143" s="490"/>
      <c r="BX143" s="490"/>
      <c r="BY143" s="490"/>
      <c r="BZ143" s="490"/>
      <c r="CA143" s="490"/>
      <c r="CB143" s="490"/>
      <c r="CC143" s="490"/>
      <c r="CD143" s="490"/>
      <c r="CE143" s="490"/>
      <c r="CF143" s="490"/>
      <c r="CG143" s="490"/>
      <c r="CH143" s="490"/>
      <c r="CI143" s="490"/>
      <c r="CJ143" s="490"/>
      <c r="CK143" s="490"/>
      <c r="CL143" s="490"/>
      <c r="CM143" s="490"/>
      <c r="CN143" s="490"/>
      <c r="CO143" s="490"/>
      <c r="CP143" s="490"/>
      <c r="CQ143" s="490"/>
      <c r="CR143" s="490"/>
      <c r="CS143" s="490"/>
      <c r="CT143" s="490"/>
      <c r="CU143" s="490"/>
      <c r="CV143" s="490"/>
      <c r="CW143" s="490"/>
      <c r="CX143" s="490"/>
      <c r="CY143" s="490"/>
      <c r="CZ143" s="490"/>
      <c r="DA143" s="490"/>
      <c r="DB143" s="490"/>
      <c r="DC143" s="490"/>
      <c r="DD143" s="490"/>
      <c r="DE143" s="490"/>
      <c r="DF143" s="490"/>
      <c r="DG143" s="490"/>
      <c r="DH143" s="490"/>
      <c r="DI143" s="490"/>
      <c r="DJ143" s="490"/>
      <c r="DK143" s="490"/>
      <c r="DL143" s="490"/>
      <c r="DM143" s="490"/>
      <c r="DN143" s="490"/>
      <c r="DO143" s="490"/>
      <c r="DP143" s="490"/>
      <c r="DQ143" s="490"/>
      <c r="DR143" s="490"/>
      <c r="DS143" s="490"/>
      <c r="DT143" s="490"/>
      <c r="DU143" s="490"/>
      <c r="DV143" s="490"/>
      <c r="DW143" s="490"/>
      <c r="DX143" s="490"/>
      <c r="DY143" s="490"/>
      <c r="DZ143" s="490"/>
      <c r="EA143" s="490"/>
      <c r="EB143" s="490"/>
      <c r="EC143" s="490"/>
      <c r="ED143" s="490"/>
      <c r="EE143" s="490"/>
      <c r="EF143" s="490"/>
      <c r="EG143" s="490"/>
      <c r="EH143" s="490"/>
      <c r="EI143" s="490"/>
      <c r="EJ143" s="490"/>
      <c r="EK143" s="490"/>
      <c r="EL143" s="490"/>
      <c r="EM143" s="490"/>
      <c r="EN143" s="490"/>
      <c r="EO143" s="490"/>
      <c r="EP143" s="490"/>
      <c r="EQ143" s="490"/>
      <c r="ER143" s="490"/>
      <c r="ES143" s="490"/>
      <c r="ET143" s="490"/>
      <c r="EU143" s="490"/>
      <c r="EV143" s="490"/>
      <c r="EW143" s="490"/>
      <c r="EX143" s="490"/>
      <c r="EY143" s="490"/>
      <c r="EZ143" s="490"/>
      <c r="FA143" s="490"/>
      <c r="FB143" s="490"/>
      <c r="FC143" s="490"/>
      <c r="FD143" s="490"/>
      <c r="FE143" s="490"/>
      <c r="FF143" s="490"/>
      <c r="FG143" s="490"/>
      <c r="FH143" s="490"/>
      <c r="FI143" s="490"/>
      <c r="FJ143" s="490"/>
      <c r="FK143" s="490"/>
      <c r="FL143" s="490"/>
      <c r="FM143" s="490"/>
      <c r="FN143" s="490"/>
    </row>
    <row r="144" s="492" customFormat="1" spans="1:170">
      <c r="A144" s="556"/>
      <c r="B144" s="543"/>
      <c r="C144" s="557"/>
      <c r="D144" s="509"/>
      <c r="E144" s="509"/>
      <c r="F144" s="545" t="s">
        <v>148</v>
      </c>
      <c r="G144" s="546">
        <v>1.5</v>
      </c>
      <c r="H144" s="546">
        <v>0.6</v>
      </c>
      <c r="I144" s="546" t="s">
        <v>24</v>
      </c>
      <c r="J144" s="546" t="s">
        <v>24</v>
      </c>
      <c r="K144" s="558"/>
      <c r="L144" s="558"/>
      <c r="M144" s="490"/>
      <c r="N144" s="490"/>
      <c r="O144" s="490"/>
      <c r="P144" s="490"/>
      <c r="Q144" s="490"/>
      <c r="R144" s="490"/>
      <c r="S144" s="490"/>
      <c r="T144" s="490"/>
      <c r="U144" s="490"/>
      <c r="V144" s="490"/>
      <c r="W144" s="490"/>
      <c r="X144" s="490"/>
      <c r="Y144" s="490"/>
      <c r="Z144" s="490"/>
      <c r="AA144" s="490"/>
      <c r="AB144" s="490"/>
      <c r="AC144" s="490"/>
      <c r="AD144" s="490"/>
      <c r="AE144" s="490"/>
      <c r="AF144" s="490"/>
      <c r="AG144" s="490"/>
      <c r="AH144" s="490"/>
      <c r="AI144" s="490"/>
      <c r="AJ144" s="490"/>
      <c r="AK144" s="490"/>
      <c r="AL144" s="490"/>
      <c r="AM144" s="490"/>
      <c r="AN144" s="490"/>
      <c r="AO144" s="490"/>
      <c r="AP144" s="490"/>
      <c r="AQ144" s="490"/>
      <c r="AR144" s="490"/>
      <c r="AS144" s="490"/>
      <c r="AT144" s="490"/>
      <c r="AU144" s="490"/>
      <c r="AV144" s="490"/>
      <c r="AW144" s="490"/>
      <c r="AX144" s="490"/>
      <c r="AY144" s="490"/>
      <c r="AZ144" s="490"/>
      <c r="BA144" s="490"/>
      <c r="BB144" s="490"/>
      <c r="BC144" s="490"/>
      <c r="BD144" s="490"/>
      <c r="BE144" s="490"/>
      <c r="BF144" s="490"/>
      <c r="BG144" s="490"/>
      <c r="BH144" s="490"/>
      <c r="BI144" s="490"/>
      <c r="BJ144" s="490"/>
      <c r="BK144" s="490"/>
      <c r="BL144" s="490"/>
      <c r="BM144" s="490"/>
      <c r="BN144" s="490"/>
      <c r="BO144" s="490"/>
      <c r="BP144" s="490"/>
      <c r="BQ144" s="490"/>
      <c r="BR144" s="490"/>
      <c r="BS144" s="490"/>
      <c r="BT144" s="490"/>
      <c r="BU144" s="490"/>
      <c r="BV144" s="490"/>
      <c r="BW144" s="490"/>
      <c r="BX144" s="490"/>
      <c r="BY144" s="490"/>
      <c r="BZ144" s="490"/>
      <c r="CA144" s="490"/>
      <c r="CB144" s="490"/>
      <c r="CC144" s="490"/>
      <c r="CD144" s="490"/>
      <c r="CE144" s="490"/>
      <c r="CF144" s="490"/>
      <c r="CG144" s="490"/>
      <c r="CH144" s="490"/>
      <c r="CI144" s="490"/>
      <c r="CJ144" s="490"/>
      <c r="CK144" s="490"/>
      <c r="CL144" s="490"/>
      <c r="CM144" s="490"/>
      <c r="CN144" s="490"/>
      <c r="CO144" s="490"/>
      <c r="CP144" s="490"/>
      <c r="CQ144" s="490"/>
      <c r="CR144" s="490"/>
      <c r="CS144" s="490"/>
      <c r="CT144" s="490"/>
      <c r="CU144" s="490"/>
      <c r="CV144" s="490"/>
      <c r="CW144" s="490"/>
      <c r="CX144" s="490"/>
      <c r="CY144" s="490"/>
      <c r="CZ144" s="490"/>
      <c r="DA144" s="490"/>
      <c r="DB144" s="490"/>
      <c r="DC144" s="490"/>
      <c r="DD144" s="490"/>
      <c r="DE144" s="490"/>
      <c r="DF144" s="490"/>
      <c r="DG144" s="490"/>
      <c r="DH144" s="490"/>
      <c r="DI144" s="490"/>
      <c r="DJ144" s="490"/>
      <c r="DK144" s="490"/>
      <c r="DL144" s="490"/>
      <c r="DM144" s="490"/>
      <c r="DN144" s="490"/>
      <c r="DO144" s="490"/>
      <c r="DP144" s="490"/>
      <c r="DQ144" s="490"/>
      <c r="DR144" s="490"/>
      <c r="DS144" s="490"/>
      <c r="DT144" s="490"/>
      <c r="DU144" s="490"/>
      <c r="DV144" s="490"/>
      <c r="DW144" s="490"/>
      <c r="DX144" s="490"/>
      <c r="DY144" s="490"/>
      <c r="DZ144" s="490"/>
      <c r="EA144" s="490"/>
      <c r="EB144" s="490"/>
      <c r="EC144" s="490"/>
      <c r="ED144" s="490"/>
      <c r="EE144" s="490"/>
      <c r="EF144" s="490"/>
      <c r="EG144" s="490"/>
      <c r="EH144" s="490"/>
      <c r="EI144" s="490"/>
      <c r="EJ144" s="490"/>
      <c r="EK144" s="490"/>
      <c r="EL144" s="490"/>
      <c r="EM144" s="490"/>
      <c r="EN144" s="490"/>
      <c r="EO144" s="490"/>
      <c r="EP144" s="490"/>
      <c r="EQ144" s="490"/>
      <c r="ER144" s="490"/>
      <c r="ES144" s="490"/>
      <c r="ET144" s="490"/>
      <c r="EU144" s="490"/>
      <c r="EV144" s="490"/>
      <c r="EW144" s="490"/>
      <c r="EX144" s="490"/>
      <c r="EY144" s="490"/>
      <c r="EZ144" s="490"/>
      <c r="FA144" s="490"/>
      <c r="FB144" s="490"/>
      <c r="FC144" s="490"/>
      <c r="FD144" s="490"/>
      <c r="FE144" s="490"/>
      <c r="FF144" s="490"/>
      <c r="FG144" s="490"/>
      <c r="FH144" s="490"/>
      <c r="FI144" s="490"/>
      <c r="FJ144" s="490"/>
      <c r="FK144" s="490"/>
      <c r="FL144" s="490"/>
      <c r="FM144" s="490"/>
      <c r="FN144" s="490"/>
    </row>
    <row r="145" s="492" customFormat="1" spans="1:170">
      <c r="A145" s="556">
        <v>46097</v>
      </c>
      <c r="B145" s="543" t="s">
        <v>751</v>
      </c>
      <c r="C145" s="557">
        <v>10</v>
      </c>
      <c r="D145" s="509" t="s">
        <v>208</v>
      </c>
      <c r="E145" s="509" t="s">
        <v>208</v>
      </c>
      <c r="F145" s="545" t="s">
        <v>144</v>
      </c>
      <c r="G145" s="546">
        <v>1</v>
      </c>
      <c r="H145" s="546">
        <v>8.9</v>
      </c>
      <c r="I145" s="546" t="s">
        <v>17</v>
      </c>
      <c r="J145" s="546">
        <v>1.75</v>
      </c>
      <c r="K145" s="527" t="s">
        <v>603</v>
      </c>
      <c r="L145" s="527" t="s">
        <v>130</v>
      </c>
      <c r="M145" s="490"/>
      <c r="N145" s="490"/>
      <c r="O145" s="490"/>
      <c r="P145" s="490"/>
      <c r="Q145" s="490"/>
      <c r="R145" s="490"/>
      <c r="S145" s="490"/>
      <c r="T145" s="490"/>
      <c r="U145" s="490"/>
      <c r="V145" s="490"/>
      <c r="W145" s="490"/>
      <c r="X145" s="490"/>
      <c r="Y145" s="490"/>
      <c r="Z145" s="490"/>
      <c r="AA145" s="490"/>
      <c r="AB145" s="490"/>
      <c r="AC145" s="490"/>
      <c r="AD145" s="490"/>
      <c r="AE145" s="490"/>
      <c r="AF145" s="490"/>
      <c r="AG145" s="490"/>
      <c r="AH145" s="490"/>
      <c r="AI145" s="490"/>
      <c r="AJ145" s="490"/>
      <c r="AK145" s="490"/>
      <c r="AL145" s="490"/>
      <c r="AM145" s="490"/>
      <c r="AN145" s="490"/>
      <c r="AO145" s="490"/>
      <c r="AP145" s="490"/>
      <c r="AQ145" s="490"/>
      <c r="AR145" s="490"/>
      <c r="AS145" s="490"/>
      <c r="AT145" s="490"/>
      <c r="AU145" s="490"/>
      <c r="AV145" s="490"/>
      <c r="AW145" s="490"/>
      <c r="AX145" s="490"/>
      <c r="AY145" s="490"/>
      <c r="AZ145" s="490"/>
      <c r="BA145" s="490"/>
      <c r="BB145" s="490"/>
      <c r="BC145" s="490"/>
      <c r="BD145" s="490"/>
      <c r="BE145" s="490"/>
      <c r="BF145" s="490"/>
      <c r="BG145" s="490"/>
      <c r="BH145" s="490"/>
      <c r="BI145" s="490"/>
      <c r="BJ145" s="490"/>
      <c r="BK145" s="490"/>
      <c r="BL145" s="490"/>
      <c r="BM145" s="490"/>
      <c r="BN145" s="490"/>
      <c r="BO145" s="490"/>
      <c r="BP145" s="490"/>
      <c r="BQ145" s="490"/>
      <c r="BR145" s="490"/>
      <c r="BS145" s="490"/>
      <c r="BT145" s="490"/>
      <c r="BU145" s="490"/>
      <c r="BV145" s="490"/>
      <c r="BW145" s="490"/>
      <c r="BX145" s="490"/>
      <c r="BY145" s="490"/>
      <c r="BZ145" s="490"/>
      <c r="CA145" s="490"/>
      <c r="CB145" s="490"/>
      <c r="CC145" s="490"/>
      <c r="CD145" s="490"/>
      <c r="CE145" s="490"/>
      <c r="CF145" s="490"/>
      <c r="CG145" s="490"/>
      <c r="CH145" s="490"/>
      <c r="CI145" s="490"/>
      <c r="CJ145" s="490"/>
      <c r="CK145" s="490"/>
      <c r="CL145" s="490"/>
      <c r="CM145" s="490"/>
      <c r="CN145" s="490"/>
      <c r="CO145" s="490"/>
      <c r="CP145" s="490"/>
      <c r="CQ145" s="490"/>
      <c r="CR145" s="490"/>
      <c r="CS145" s="490"/>
      <c r="CT145" s="490"/>
      <c r="CU145" s="490"/>
      <c r="CV145" s="490"/>
      <c r="CW145" s="490"/>
      <c r="CX145" s="490"/>
      <c r="CY145" s="490"/>
      <c r="CZ145" s="490"/>
      <c r="DA145" s="490"/>
      <c r="DB145" s="490"/>
      <c r="DC145" s="490"/>
      <c r="DD145" s="490"/>
      <c r="DE145" s="490"/>
      <c r="DF145" s="490"/>
      <c r="DG145" s="490"/>
      <c r="DH145" s="490"/>
      <c r="DI145" s="490"/>
      <c r="DJ145" s="490"/>
      <c r="DK145" s="490"/>
      <c r="DL145" s="490"/>
      <c r="DM145" s="490"/>
      <c r="DN145" s="490"/>
      <c r="DO145" s="490"/>
      <c r="DP145" s="490"/>
      <c r="DQ145" s="490"/>
      <c r="DR145" s="490"/>
      <c r="DS145" s="490"/>
      <c r="DT145" s="490"/>
      <c r="DU145" s="490"/>
      <c r="DV145" s="490"/>
      <c r="DW145" s="490"/>
      <c r="DX145" s="490"/>
      <c r="DY145" s="490"/>
      <c r="DZ145" s="490"/>
      <c r="EA145" s="490"/>
      <c r="EB145" s="490"/>
      <c r="EC145" s="490"/>
      <c r="ED145" s="490"/>
      <c r="EE145" s="490"/>
      <c r="EF145" s="490"/>
      <c r="EG145" s="490"/>
      <c r="EH145" s="490"/>
      <c r="EI145" s="490"/>
      <c r="EJ145" s="490"/>
      <c r="EK145" s="490"/>
      <c r="EL145" s="490"/>
      <c r="EM145" s="490"/>
      <c r="EN145" s="490"/>
      <c r="EO145" s="490"/>
      <c r="EP145" s="490"/>
      <c r="EQ145" s="490"/>
      <c r="ER145" s="490"/>
      <c r="ES145" s="490"/>
      <c r="ET145" s="490"/>
      <c r="EU145" s="490"/>
      <c r="EV145" s="490"/>
      <c r="EW145" s="490"/>
      <c r="EX145" s="490"/>
      <c r="EY145" s="490"/>
      <c r="EZ145" s="490"/>
      <c r="FA145" s="490"/>
      <c r="FB145" s="490"/>
      <c r="FC145" s="490"/>
      <c r="FD145" s="490"/>
      <c r="FE145" s="490"/>
      <c r="FF145" s="490"/>
      <c r="FG145" s="490"/>
      <c r="FH145" s="490"/>
      <c r="FI145" s="490"/>
      <c r="FJ145" s="490"/>
      <c r="FK145" s="490"/>
      <c r="FL145" s="490"/>
      <c r="FM145" s="490"/>
      <c r="FN145" s="490"/>
    </row>
    <row r="146" s="492" customFormat="1" spans="1:170">
      <c r="A146" s="556"/>
      <c r="B146" s="543"/>
      <c r="C146" s="557"/>
      <c r="D146" s="509"/>
      <c r="E146" s="509"/>
      <c r="F146" s="545" t="s">
        <v>144</v>
      </c>
      <c r="G146" s="546">
        <v>1.17</v>
      </c>
      <c r="H146" s="546">
        <v>0.5</v>
      </c>
      <c r="I146" s="546" t="s">
        <v>22</v>
      </c>
      <c r="J146" s="546">
        <v>1.88</v>
      </c>
      <c r="K146" s="527"/>
      <c r="L146" s="527"/>
      <c r="M146" s="490"/>
      <c r="N146" s="490"/>
      <c r="O146" s="490"/>
      <c r="P146" s="490"/>
      <c r="Q146" s="490"/>
      <c r="R146" s="490"/>
      <c r="S146" s="490"/>
      <c r="T146" s="490"/>
      <c r="U146" s="490"/>
      <c r="V146" s="490"/>
      <c r="W146" s="490"/>
      <c r="X146" s="490"/>
      <c r="Y146" s="490"/>
      <c r="Z146" s="490"/>
      <c r="AA146" s="490"/>
      <c r="AB146" s="490"/>
      <c r="AC146" s="490"/>
      <c r="AD146" s="490"/>
      <c r="AE146" s="490"/>
      <c r="AF146" s="490"/>
      <c r="AG146" s="490"/>
      <c r="AH146" s="490"/>
      <c r="AI146" s="490"/>
      <c r="AJ146" s="490"/>
      <c r="AK146" s="490"/>
      <c r="AL146" s="490"/>
      <c r="AM146" s="490"/>
      <c r="AN146" s="490"/>
      <c r="AO146" s="490"/>
      <c r="AP146" s="490"/>
      <c r="AQ146" s="490"/>
      <c r="AR146" s="490"/>
      <c r="AS146" s="490"/>
      <c r="AT146" s="490"/>
      <c r="AU146" s="490"/>
      <c r="AV146" s="490"/>
      <c r="AW146" s="490"/>
      <c r="AX146" s="490"/>
      <c r="AY146" s="490"/>
      <c r="AZ146" s="490"/>
      <c r="BA146" s="490"/>
      <c r="BB146" s="490"/>
      <c r="BC146" s="490"/>
      <c r="BD146" s="490"/>
      <c r="BE146" s="490"/>
      <c r="BF146" s="490"/>
      <c r="BG146" s="490"/>
      <c r="BH146" s="490"/>
      <c r="BI146" s="490"/>
      <c r="BJ146" s="490"/>
      <c r="BK146" s="490"/>
      <c r="BL146" s="490"/>
      <c r="BM146" s="490"/>
      <c r="BN146" s="490"/>
      <c r="BO146" s="490"/>
      <c r="BP146" s="490"/>
      <c r="BQ146" s="490"/>
      <c r="BR146" s="490"/>
      <c r="BS146" s="490"/>
      <c r="BT146" s="490"/>
      <c r="BU146" s="490"/>
      <c r="BV146" s="490"/>
      <c r="BW146" s="490"/>
      <c r="BX146" s="490"/>
      <c r="BY146" s="490"/>
      <c r="BZ146" s="490"/>
      <c r="CA146" s="490"/>
      <c r="CB146" s="490"/>
      <c r="CC146" s="490"/>
      <c r="CD146" s="490"/>
      <c r="CE146" s="490"/>
      <c r="CF146" s="490"/>
      <c r="CG146" s="490"/>
      <c r="CH146" s="490"/>
      <c r="CI146" s="490"/>
      <c r="CJ146" s="490"/>
      <c r="CK146" s="490"/>
      <c r="CL146" s="490"/>
      <c r="CM146" s="490"/>
      <c r="CN146" s="490"/>
      <c r="CO146" s="490"/>
      <c r="CP146" s="490"/>
      <c r="CQ146" s="490"/>
      <c r="CR146" s="490"/>
      <c r="CS146" s="490"/>
      <c r="CT146" s="490"/>
      <c r="CU146" s="490"/>
      <c r="CV146" s="490"/>
      <c r="CW146" s="490"/>
      <c r="CX146" s="490"/>
      <c r="CY146" s="490"/>
      <c r="CZ146" s="490"/>
      <c r="DA146" s="490"/>
      <c r="DB146" s="490"/>
      <c r="DC146" s="490"/>
      <c r="DD146" s="490"/>
      <c r="DE146" s="490"/>
      <c r="DF146" s="490"/>
      <c r="DG146" s="490"/>
      <c r="DH146" s="490"/>
      <c r="DI146" s="490"/>
      <c r="DJ146" s="490"/>
      <c r="DK146" s="490"/>
      <c r="DL146" s="490"/>
      <c r="DM146" s="490"/>
      <c r="DN146" s="490"/>
      <c r="DO146" s="490"/>
      <c r="DP146" s="490"/>
      <c r="DQ146" s="490"/>
      <c r="DR146" s="490"/>
      <c r="DS146" s="490"/>
      <c r="DT146" s="490"/>
      <c r="DU146" s="490"/>
      <c r="DV146" s="490"/>
      <c r="DW146" s="490"/>
      <c r="DX146" s="490"/>
      <c r="DY146" s="490"/>
      <c r="DZ146" s="490"/>
      <c r="EA146" s="490"/>
      <c r="EB146" s="490"/>
      <c r="EC146" s="490"/>
      <c r="ED146" s="490"/>
      <c r="EE146" s="490"/>
      <c r="EF146" s="490"/>
      <c r="EG146" s="490"/>
      <c r="EH146" s="490"/>
      <c r="EI146" s="490"/>
      <c r="EJ146" s="490"/>
      <c r="EK146" s="490"/>
      <c r="EL146" s="490"/>
      <c r="EM146" s="490"/>
      <c r="EN146" s="490"/>
      <c r="EO146" s="490"/>
      <c r="EP146" s="490"/>
      <c r="EQ146" s="490"/>
      <c r="ER146" s="490"/>
      <c r="ES146" s="490"/>
      <c r="ET146" s="490"/>
      <c r="EU146" s="490"/>
      <c r="EV146" s="490"/>
      <c r="EW146" s="490"/>
      <c r="EX146" s="490"/>
      <c r="EY146" s="490"/>
      <c r="EZ146" s="490"/>
      <c r="FA146" s="490"/>
      <c r="FB146" s="490"/>
      <c r="FC146" s="490"/>
      <c r="FD146" s="490"/>
      <c r="FE146" s="490"/>
      <c r="FF146" s="490"/>
      <c r="FG146" s="490"/>
      <c r="FH146" s="490"/>
      <c r="FI146" s="490"/>
      <c r="FJ146" s="490"/>
      <c r="FK146" s="490"/>
      <c r="FL146" s="490"/>
      <c r="FM146" s="490"/>
      <c r="FN146" s="490"/>
    </row>
    <row r="147" s="492" customFormat="1" spans="1:170">
      <c r="A147" s="556"/>
      <c r="B147" s="543"/>
      <c r="C147" s="557"/>
      <c r="D147" s="509"/>
      <c r="E147" s="509"/>
      <c r="F147" s="545" t="s">
        <v>148</v>
      </c>
      <c r="G147" s="546">
        <v>1.75</v>
      </c>
      <c r="H147" s="546">
        <v>0.6</v>
      </c>
      <c r="I147" s="546" t="s">
        <v>24</v>
      </c>
      <c r="J147" s="546" t="s">
        <v>24</v>
      </c>
      <c r="K147" s="527"/>
      <c r="L147" s="527"/>
      <c r="M147" s="490"/>
      <c r="N147" s="490"/>
      <c r="O147" s="490"/>
      <c r="P147" s="490"/>
      <c r="Q147" s="490"/>
      <c r="R147" s="490"/>
      <c r="S147" s="490"/>
      <c r="T147" s="490"/>
      <c r="U147" s="490"/>
      <c r="V147" s="490"/>
      <c r="W147" s="490"/>
      <c r="X147" s="490"/>
      <c r="Y147" s="490"/>
      <c r="Z147" s="490"/>
      <c r="AA147" s="490"/>
      <c r="AB147" s="490"/>
      <c r="AC147" s="490"/>
      <c r="AD147" s="490"/>
      <c r="AE147" s="490"/>
      <c r="AF147" s="490"/>
      <c r="AG147" s="490"/>
      <c r="AH147" s="490"/>
      <c r="AI147" s="490"/>
      <c r="AJ147" s="490"/>
      <c r="AK147" s="490"/>
      <c r="AL147" s="490"/>
      <c r="AM147" s="490"/>
      <c r="AN147" s="490"/>
      <c r="AO147" s="490"/>
      <c r="AP147" s="490"/>
      <c r="AQ147" s="490"/>
      <c r="AR147" s="490"/>
      <c r="AS147" s="490"/>
      <c r="AT147" s="490"/>
      <c r="AU147" s="490"/>
      <c r="AV147" s="490"/>
      <c r="AW147" s="490"/>
      <c r="AX147" s="490"/>
      <c r="AY147" s="490"/>
      <c r="AZ147" s="490"/>
      <c r="BA147" s="490"/>
      <c r="BB147" s="490"/>
      <c r="BC147" s="490"/>
      <c r="BD147" s="490"/>
      <c r="BE147" s="490"/>
      <c r="BF147" s="490"/>
      <c r="BG147" s="490"/>
      <c r="BH147" s="490"/>
      <c r="BI147" s="490"/>
      <c r="BJ147" s="490"/>
      <c r="BK147" s="490"/>
      <c r="BL147" s="490"/>
      <c r="BM147" s="490"/>
      <c r="BN147" s="490"/>
      <c r="BO147" s="490"/>
      <c r="BP147" s="490"/>
      <c r="BQ147" s="490"/>
      <c r="BR147" s="490"/>
      <c r="BS147" s="490"/>
      <c r="BT147" s="490"/>
      <c r="BU147" s="490"/>
      <c r="BV147" s="490"/>
      <c r="BW147" s="490"/>
      <c r="BX147" s="490"/>
      <c r="BY147" s="490"/>
      <c r="BZ147" s="490"/>
      <c r="CA147" s="490"/>
      <c r="CB147" s="490"/>
      <c r="CC147" s="490"/>
      <c r="CD147" s="490"/>
      <c r="CE147" s="490"/>
      <c r="CF147" s="490"/>
      <c r="CG147" s="490"/>
      <c r="CH147" s="490"/>
      <c r="CI147" s="490"/>
      <c r="CJ147" s="490"/>
      <c r="CK147" s="490"/>
      <c r="CL147" s="490"/>
      <c r="CM147" s="490"/>
      <c r="CN147" s="490"/>
      <c r="CO147" s="490"/>
      <c r="CP147" s="490"/>
      <c r="CQ147" s="490"/>
      <c r="CR147" s="490"/>
      <c r="CS147" s="490"/>
      <c r="CT147" s="490"/>
      <c r="CU147" s="490"/>
      <c r="CV147" s="490"/>
      <c r="CW147" s="490"/>
      <c r="CX147" s="490"/>
      <c r="CY147" s="490"/>
      <c r="CZ147" s="490"/>
      <c r="DA147" s="490"/>
      <c r="DB147" s="490"/>
      <c r="DC147" s="490"/>
      <c r="DD147" s="490"/>
      <c r="DE147" s="490"/>
      <c r="DF147" s="490"/>
      <c r="DG147" s="490"/>
      <c r="DH147" s="490"/>
      <c r="DI147" s="490"/>
      <c r="DJ147" s="490"/>
      <c r="DK147" s="490"/>
      <c r="DL147" s="490"/>
      <c r="DM147" s="490"/>
      <c r="DN147" s="490"/>
      <c r="DO147" s="490"/>
      <c r="DP147" s="490"/>
      <c r="DQ147" s="490"/>
      <c r="DR147" s="490"/>
      <c r="DS147" s="490"/>
      <c r="DT147" s="490"/>
      <c r="DU147" s="490"/>
      <c r="DV147" s="490"/>
      <c r="DW147" s="490"/>
      <c r="DX147" s="490"/>
      <c r="DY147" s="490"/>
      <c r="DZ147" s="490"/>
      <c r="EA147" s="490"/>
      <c r="EB147" s="490"/>
      <c r="EC147" s="490"/>
      <c r="ED147" s="490"/>
      <c r="EE147" s="490"/>
      <c r="EF147" s="490"/>
      <c r="EG147" s="490"/>
      <c r="EH147" s="490"/>
      <c r="EI147" s="490"/>
      <c r="EJ147" s="490"/>
      <c r="EK147" s="490"/>
      <c r="EL147" s="490"/>
      <c r="EM147" s="490"/>
      <c r="EN147" s="490"/>
      <c r="EO147" s="490"/>
      <c r="EP147" s="490"/>
      <c r="EQ147" s="490"/>
      <c r="ER147" s="490"/>
      <c r="ES147" s="490"/>
      <c r="ET147" s="490"/>
      <c r="EU147" s="490"/>
      <c r="EV147" s="490"/>
      <c r="EW147" s="490"/>
      <c r="EX147" s="490"/>
      <c r="EY147" s="490"/>
      <c r="EZ147" s="490"/>
      <c r="FA147" s="490"/>
      <c r="FB147" s="490"/>
      <c r="FC147" s="490"/>
      <c r="FD147" s="490"/>
      <c r="FE147" s="490"/>
      <c r="FF147" s="490"/>
      <c r="FG147" s="490"/>
      <c r="FH147" s="490"/>
      <c r="FI147" s="490"/>
      <c r="FJ147" s="490"/>
      <c r="FK147" s="490"/>
      <c r="FL147" s="490"/>
      <c r="FM147" s="490"/>
      <c r="FN147" s="490"/>
    </row>
    <row r="148" s="492" customFormat="1" spans="1:170">
      <c r="A148" s="556">
        <v>46097</v>
      </c>
      <c r="B148" s="543" t="s">
        <v>752</v>
      </c>
      <c r="C148" s="557">
        <v>7.52</v>
      </c>
      <c r="D148" s="509" t="s">
        <v>66</v>
      </c>
      <c r="E148" s="509" t="s">
        <v>14</v>
      </c>
      <c r="F148" s="545" t="s">
        <v>158</v>
      </c>
      <c r="G148" s="546">
        <v>1</v>
      </c>
      <c r="H148" s="546">
        <v>7.04</v>
      </c>
      <c r="I148" s="546" t="s">
        <v>17</v>
      </c>
      <c r="J148" s="546">
        <v>1.78</v>
      </c>
      <c r="K148" s="527" t="s">
        <v>630</v>
      </c>
      <c r="L148" s="527" t="s">
        <v>95</v>
      </c>
      <c r="M148" s="490"/>
      <c r="N148" s="490"/>
      <c r="O148" s="490"/>
      <c r="P148" s="490"/>
      <c r="Q148" s="490"/>
      <c r="R148" s="490"/>
      <c r="S148" s="490"/>
      <c r="T148" s="490"/>
      <c r="U148" s="490"/>
      <c r="V148" s="490"/>
      <c r="W148" s="490"/>
      <c r="X148" s="490"/>
      <c r="Y148" s="490"/>
      <c r="Z148" s="490"/>
      <c r="AA148" s="490"/>
      <c r="AB148" s="490"/>
      <c r="AC148" s="490"/>
      <c r="AD148" s="490"/>
      <c r="AE148" s="490"/>
      <c r="AF148" s="490"/>
      <c r="AG148" s="490"/>
      <c r="AH148" s="490"/>
      <c r="AI148" s="490"/>
      <c r="AJ148" s="490"/>
      <c r="AK148" s="490"/>
      <c r="AL148" s="490"/>
      <c r="AM148" s="490"/>
      <c r="AN148" s="490"/>
      <c r="AO148" s="490"/>
      <c r="AP148" s="490"/>
      <c r="AQ148" s="490"/>
      <c r="AR148" s="490"/>
      <c r="AS148" s="490"/>
      <c r="AT148" s="490"/>
      <c r="AU148" s="490"/>
      <c r="AV148" s="490"/>
      <c r="AW148" s="490"/>
      <c r="AX148" s="490"/>
      <c r="AY148" s="490"/>
      <c r="AZ148" s="490"/>
      <c r="BA148" s="490"/>
      <c r="BB148" s="490"/>
      <c r="BC148" s="490"/>
      <c r="BD148" s="490"/>
      <c r="BE148" s="490"/>
      <c r="BF148" s="490"/>
      <c r="BG148" s="490"/>
      <c r="BH148" s="490"/>
      <c r="BI148" s="490"/>
      <c r="BJ148" s="490"/>
      <c r="BK148" s="490"/>
      <c r="BL148" s="490"/>
      <c r="BM148" s="490"/>
      <c r="BN148" s="490"/>
      <c r="BO148" s="490"/>
      <c r="BP148" s="490"/>
      <c r="BQ148" s="490"/>
      <c r="BR148" s="490"/>
      <c r="BS148" s="490"/>
      <c r="BT148" s="490"/>
      <c r="BU148" s="490"/>
      <c r="BV148" s="490"/>
      <c r="BW148" s="490"/>
      <c r="BX148" s="490"/>
      <c r="BY148" s="490"/>
      <c r="BZ148" s="490"/>
      <c r="CA148" s="490"/>
      <c r="CB148" s="490"/>
      <c r="CC148" s="490"/>
      <c r="CD148" s="490"/>
      <c r="CE148" s="490"/>
      <c r="CF148" s="490"/>
      <c r="CG148" s="490"/>
      <c r="CH148" s="490"/>
      <c r="CI148" s="490"/>
      <c r="CJ148" s="490"/>
      <c r="CK148" s="490"/>
      <c r="CL148" s="490"/>
      <c r="CM148" s="490"/>
      <c r="CN148" s="490"/>
      <c r="CO148" s="490"/>
      <c r="CP148" s="490"/>
      <c r="CQ148" s="490"/>
      <c r="CR148" s="490"/>
      <c r="CS148" s="490"/>
      <c r="CT148" s="490"/>
      <c r="CU148" s="490"/>
      <c r="CV148" s="490"/>
      <c r="CW148" s="490"/>
      <c r="CX148" s="490"/>
      <c r="CY148" s="490"/>
      <c r="CZ148" s="490"/>
      <c r="DA148" s="490"/>
      <c r="DB148" s="490"/>
      <c r="DC148" s="490"/>
      <c r="DD148" s="490"/>
      <c r="DE148" s="490"/>
      <c r="DF148" s="490"/>
      <c r="DG148" s="490"/>
      <c r="DH148" s="490"/>
      <c r="DI148" s="490"/>
      <c r="DJ148" s="490"/>
      <c r="DK148" s="490"/>
      <c r="DL148" s="490"/>
      <c r="DM148" s="490"/>
      <c r="DN148" s="490"/>
      <c r="DO148" s="490"/>
      <c r="DP148" s="490"/>
      <c r="DQ148" s="490"/>
      <c r="DR148" s="490"/>
      <c r="DS148" s="490"/>
      <c r="DT148" s="490"/>
      <c r="DU148" s="490"/>
      <c r="DV148" s="490"/>
      <c r="DW148" s="490"/>
      <c r="DX148" s="490"/>
      <c r="DY148" s="490"/>
      <c r="DZ148" s="490"/>
      <c r="EA148" s="490"/>
      <c r="EB148" s="490"/>
      <c r="EC148" s="490"/>
      <c r="ED148" s="490"/>
      <c r="EE148" s="490"/>
      <c r="EF148" s="490"/>
      <c r="EG148" s="490"/>
      <c r="EH148" s="490"/>
      <c r="EI148" s="490"/>
      <c r="EJ148" s="490"/>
      <c r="EK148" s="490"/>
      <c r="EL148" s="490"/>
      <c r="EM148" s="490"/>
      <c r="EN148" s="490"/>
      <c r="EO148" s="490"/>
      <c r="EP148" s="490"/>
      <c r="EQ148" s="490"/>
      <c r="ER148" s="490"/>
      <c r="ES148" s="490"/>
      <c r="ET148" s="490"/>
      <c r="EU148" s="490"/>
      <c r="EV148" s="490"/>
      <c r="EW148" s="490"/>
      <c r="EX148" s="490"/>
      <c r="EY148" s="490"/>
      <c r="EZ148" s="490"/>
      <c r="FA148" s="490"/>
      <c r="FB148" s="490"/>
      <c r="FC148" s="490"/>
      <c r="FD148" s="490"/>
      <c r="FE148" s="490"/>
      <c r="FF148" s="490"/>
      <c r="FG148" s="490"/>
      <c r="FH148" s="490"/>
      <c r="FI148" s="490"/>
      <c r="FJ148" s="490"/>
      <c r="FK148" s="490"/>
      <c r="FL148" s="490"/>
      <c r="FM148" s="490"/>
      <c r="FN148" s="490"/>
    </row>
    <row r="149" s="492" customFormat="1" spans="1:170">
      <c r="A149" s="556"/>
      <c r="B149" s="543"/>
      <c r="C149" s="557"/>
      <c r="D149" s="509"/>
      <c r="E149" s="509"/>
      <c r="F149" s="545" t="s">
        <v>159</v>
      </c>
      <c r="G149" s="546">
        <v>1</v>
      </c>
      <c r="H149" s="546">
        <v>0.48</v>
      </c>
      <c r="I149" s="546" t="s">
        <v>22</v>
      </c>
      <c r="J149" s="546">
        <v>1.95</v>
      </c>
      <c r="K149" s="527"/>
      <c r="L149" s="527"/>
      <c r="M149" s="490"/>
      <c r="N149" s="490"/>
      <c r="O149" s="490"/>
      <c r="P149" s="490"/>
      <c r="Q149" s="490"/>
      <c r="R149" s="490"/>
      <c r="S149" s="490"/>
      <c r="T149" s="490"/>
      <c r="U149" s="490"/>
      <c r="V149" s="490"/>
      <c r="W149" s="490"/>
      <c r="X149" s="490"/>
      <c r="Y149" s="490"/>
      <c r="Z149" s="490"/>
      <c r="AA149" s="490"/>
      <c r="AB149" s="490"/>
      <c r="AC149" s="490"/>
      <c r="AD149" s="490"/>
      <c r="AE149" s="490"/>
      <c r="AF149" s="490"/>
      <c r="AG149" s="490"/>
      <c r="AH149" s="490"/>
      <c r="AI149" s="490"/>
      <c r="AJ149" s="490"/>
      <c r="AK149" s="490"/>
      <c r="AL149" s="490"/>
      <c r="AM149" s="490"/>
      <c r="AN149" s="490"/>
      <c r="AO149" s="490"/>
      <c r="AP149" s="490"/>
      <c r="AQ149" s="490"/>
      <c r="AR149" s="490"/>
      <c r="AS149" s="490"/>
      <c r="AT149" s="490"/>
      <c r="AU149" s="490"/>
      <c r="AV149" s="490"/>
      <c r="AW149" s="490"/>
      <c r="AX149" s="490"/>
      <c r="AY149" s="490"/>
      <c r="AZ149" s="490"/>
      <c r="BA149" s="490"/>
      <c r="BB149" s="490"/>
      <c r="BC149" s="490"/>
      <c r="BD149" s="490"/>
      <c r="BE149" s="490"/>
      <c r="BF149" s="490"/>
      <c r="BG149" s="490"/>
      <c r="BH149" s="490"/>
      <c r="BI149" s="490"/>
      <c r="BJ149" s="490"/>
      <c r="BK149" s="490"/>
      <c r="BL149" s="490"/>
      <c r="BM149" s="490"/>
      <c r="BN149" s="490"/>
      <c r="BO149" s="490"/>
      <c r="BP149" s="490"/>
      <c r="BQ149" s="490"/>
      <c r="BR149" s="490"/>
      <c r="BS149" s="490"/>
      <c r="BT149" s="490"/>
      <c r="BU149" s="490"/>
      <c r="BV149" s="490"/>
      <c r="BW149" s="490"/>
      <c r="BX149" s="490"/>
      <c r="BY149" s="490"/>
      <c r="BZ149" s="490"/>
      <c r="CA149" s="490"/>
      <c r="CB149" s="490"/>
      <c r="CC149" s="490"/>
      <c r="CD149" s="490"/>
      <c r="CE149" s="490"/>
      <c r="CF149" s="490"/>
      <c r="CG149" s="490"/>
      <c r="CH149" s="490"/>
      <c r="CI149" s="490"/>
      <c r="CJ149" s="490"/>
      <c r="CK149" s="490"/>
      <c r="CL149" s="490"/>
      <c r="CM149" s="490"/>
      <c r="CN149" s="490"/>
      <c r="CO149" s="490"/>
      <c r="CP149" s="490"/>
      <c r="CQ149" s="490"/>
      <c r="CR149" s="490"/>
      <c r="CS149" s="490"/>
      <c r="CT149" s="490"/>
      <c r="CU149" s="490"/>
      <c r="CV149" s="490"/>
      <c r="CW149" s="490"/>
      <c r="CX149" s="490"/>
      <c r="CY149" s="490"/>
      <c r="CZ149" s="490"/>
      <c r="DA149" s="490"/>
      <c r="DB149" s="490"/>
      <c r="DC149" s="490"/>
      <c r="DD149" s="490"/>
      <c r="DE149" s="490"/>
      <c r="DF149" s="490"/>
      <c r="DG149" s="490"/>
      <c r="DH149" s="490"/>
      <c r="DI149" s="490"/>
      <c r="DJ149" s="490"/>
      <c r="DK149" s="490"/>
      <c r="DL149" s="490"/>
      <c r="DM149" s="490"/>
      <c r="DN149" s="490"/>
      <c r="DO149" s="490"/>
      <c r="DP149" s="490"/>
      <c r="DQ149" s="490"/>
      <c r="DR149" s="490"/>
      <c r="DS149" s="490"/>
      <c r="DT149" s="490"/>
      <c r="DU149" s="490"/>
      <c r="DV149" s="490"/>
      <c r="DW149" s="490"/>
      <c r="DX149" s="490"/>
      <c r="DY149" s="490"/>
      <c r="DZ149" s="490"/>
      <c r="EA149" s="490"/>
      <c r="EB149" s="490"/>
      <c r="EC149" s="490"/>
      <c r="ED149" s="490"/>
      <c r="EE149" s="490"/>
      <c r="EF149" s="490"/>
      <c r="EG149" s="490"/>
      <c r="EH149" s="490"/>
      <c r="EI149" s="490"/>
      <c r="EJ149" s="490"/>
      <c r="EK149" s="490"/>
      <c r="EL149" s="490"/>
      <c r="EM149" s="490"/>
      <c r="EN149" s="490"/>
      <c r="EO149" s="490"/>
      <c r="EP149" s="490"/>
      <c r="EQ149" s="490"/>
      <c r="ER149" s="490"/>
      <c r="ES149" s="490"/>
      <c r="ET149" s="490"/>
      <c r="EU149" s="490"/>
      <c r="EV149" s="490"/>
      <c r="EW149" s="490"/>
      <c r="EX149" s="490"/>
      <c r="EY149" s="490"/>
      <c r="EZ149" s="490"/>
      <c r="FA149" s="490"/>
      <c r="FB149" s="490"/>
      <c r="FC149" s="490"/>
      <c r="FD149" s="490"/>
      <c r="FE149" s="490"/>
      <c r="FF149" s="490"/>
      <c r="FG149" s="490"/>
      <c r="FH149" s="490"/>
      <c r="FI149" s="490"/>
      <c r="FJ149" s="490"/>
      <c r="FK149" s="490"/>
      <c r="FL149" s="490"/>
      <c r="FM149" s="490"/>
      <c r="FN149" s="490"/>
    </row>
    <row r="150" s="492" customFormat="1" spans="1:170">
      <c r="A150" s="556">
        <v>46098</v>
      </c>
      <c r="B150" s="543" t="s">
        <v>753</v>
      </c>
      <c r="C150" s="557">
        <v>6</v>
      </c>
      <c r="D150" s="509" t="s">
        <v>33</v>
      </c>
      <c r="E150" s="509" t="s">
        <v>143</v>
      </c>
      <c r="F150" s="545" t="s">
        <v>158</v>
      </c>
      <c r="G150" s="546">
        <v>1.25</v>
      </c>
      <c r="H150" s="546">
        <v>5</v>
      </c>
      <c r="I150" s="546" t="s">
        <v>17</v>
      </c>
      <c r="J150" s="546">
        <v>2.45</v>
      </c>
      <c r="K150" s="527" t="s">
        <v>597</v>
      </c>
      <c r="L150" s="527"/>
      <c r="M150" s="490"/>
      <c r="N150" s="490"/>
      <c r="O150" s="490"/>
      <c r="P150" s="490"/>
      <c r="Q150" s="490"/>
      <c r="R150" s="490"/>
      <c r="S150" s="490"/>
      <c r="T150" s="490"/>
      <c r="U150" s="490"/>
      <c r="V150" s="490"/>
      <c r="W150" s="490"/>
      <c r="X150" s="490"/>
      <c r="Y150" s="490"/>
      <c r="Z150" s="490"/>
      <c r="AA150" s="490"/>
      <c r="AB150" s="490"/>
      <c r="AC150" s="490"/>
      <c r="AD150" s="490"/>
      <c r="AE150" s="490"/>
      <c r="AF150" s="490"/>
      <c r="AG150" s="490"/>
      <c r="AH150" s="490"/>
      <c r="AI150" s="490"/>
      <c r="AJ150" s="490"/>
      <c r="AK150" s="490"/>
      <c r="AL150" s="490"/>
      <c r="AM150" s="490"/>
      <c r="AN150" s="490"/>
      <c r="AO150" s="490"/>
      <c r="AP150" s="490"/>
      <c r="AQ150" s="490"/>
      <c r="AR150" s="490"/>
      <c r="AS150" s="490"/>
      <c r="AT150" s="490"/>
      <c r="AU150" s="490"/>
      <c r="AV150" s="490"/>
      <c r="AW150" s="490"/>
      <c r="AX150" s="490"/>
      <c r="AY150" s="490"/>
      <c r="AZ150" s="490"/>
      <c r="BA150" s="490"/>
      <c r="BB150" s="490"/>
      <c r="BC150" s="490"/>
      <c r="BD150" s="490"/>
      <c r="BE150" s="490"/>
      <c r="BF150" s="490"/>
      <c r="BG150" s="490"/>
      <c r="BH150" s="490"/>
      <c r="BI150" s="490"/>
      <c r="BJ150" s="490"/>
      <c r="BK150" s="490"/>
      <c r="BL150" s="490"/>
      <c r="BM150" s="490"/>
      <c r="BN150" s="490"/>
      <c r="BO150" s="490"/>
      <c r="BP150" s="490"/>
      <c r="BQ150" s="490"/>
      <c r="BR150" s="490"/>
      <c r="BS150" s="490"/>
      <c r="BT150" s="490"/>
      <c r="BU150" s="490"/>
      <c r="BV150" s="490"/>
      <c r="BW150" s="490"/>
      <c r="BX150" s="490"/>
      <c r="BY150" s="490"/>
      <c r="BZ150" s="490"/>
      <c r="CA150" s="490"/>
      <c r="CB150" s="490"/>
      <c r="CC150" s="490"/>
      <c r="CD150" s="490"/>
      <c r="CE150" s="490"/>
      <c r="CF150" s="490"/>
      <c r="CG150" s="490"/>
      <c r="CH150" s="490"/>
      <c r="CI150" s="490"/>
      <c r="CJ150" s="490"/>
      <c r="CK150" s="490"/>
      <c r="CL150" s="490"/>
      <c r="CM150" s="490"/>
      <c r="CN150" s="490"/>
      <c r="CO150" s="490"/>
      <c r="CP150" s="490"/>
      <c r="CQ150" s="490"/>
      <c r="CR150" s="490"/>
      <c r="CS150" s="490"/>
      <c r="CT150" s="490"/>
      <c r="CU150" s="490"/>
      <c r="CV150" s="490"/>
      <c r="CW150" s="490"/>
      <c r="CX150" s="490"/>
      <c r="CY150" s="490"/>
      <c r="CZ150" s="490"/>
      <c r="DA150" s="490"/>
      <c r="DB150" s="490"/>
      <c r="DC150" s="490"/>
      <c r="DD150" s="490"/>
      <c r="DE150" s="490"/>
      <c r="DF150" s="490"/>
      <c r="DG150" s="490"/>
      <c r="DH150" s="490"/>
      <c r="DI150" s="490"/>
      <c r="DJ150" s="490"/>
      <c r="DK150" s="490"/>
      <c r="DL150" s="490"/>
      <c r="DM150" s="490"/>
      <c r="DN150" s="490"/>
      <c r="DO150" s="490"/>
      <c r="DP150" s="490"/>
      <c r="DQ150" s="490"/>
      <c r="DR150" s="490"/>
      <c r="DS150" s="490"/>
      <c r="DT150" s="490"/>
      <c r="DU150" s="490"/>
      <c r="DV150" s="490"/>
      <c r="DW150" s="490"/>
      <c r="DX150" s="490"/>
      <c r="DY150" s="490"/>
      <c r="DZ150" s="490"/>
      <c r="EA150" s="490"/>
      <c r="EB150" s="490"/>
      <c r="EC150" s="490"/>
      <c r="ED150" s="490"/>
      <c r="EE150" s="490"/>
      <c r="EF150" s="490"/>
      <c r="EG150" s="490"/>
      <c r="EH150" s="490"/>
      <c r="EI150" s="490"/>
      <c r="EJ150" s="490"/>
      <c r="EK150" s="490"/>
      <c r="EL150" s="490"/>
      <c r="EM150" s="490"/>
      <c r="EN150" s="490"/>
      <c r="EO150" s="490"/>
      <c r="EP150" s="490"/>
      <c r="EQ150" s="490"/>
      <c r="ER150" s="490"/>
      <c r="ES150" s="490"/>
      <c r="ET150" s="490"/>
      <c r="EU150" s="490"/>
      <c r="EV150" s="490"/>
      <c r="EW150" s="490"/>
      <c r="EX150" s="490"/>
      <c r="EY150" s="490"/>
      <c r="EZ150" s="490"/>
      <c r="FA150" s="490"/>
      <c r="FB150" s="490"/>
      <c r="FC150" s="490"/>
      <c r="FD150" s="490"/>
      <c r="FE150" s="490"/>
      <c r="FF150" s="490"/>
      <c r="FG150" s="490"/>
      <c r="FH150" s="490"/>
      <c r="FI150" s="490"/>
      <c r="FJ150" s="490"/>
      <c r="FK150" s="490"/>
      <c r="FL150" s="490"/>
      <c r="FM150" s="490"/>
      <c r="FN150" s="490"/>
    </row>
    <row r="151" s="492" customFormat="1" spans="1:170">
      <c r="A151" s="556"/>
      <c r="B151" s="543"/>
      <c r="C151" s="557"/>
      <c r="D151" s="509"/>
      <c r="E151" s="509"/>
      <c r="F151" s="545" t="s">
        <v>159</v>
      </c>
      <c r="G151" s="546">
        <v>1.25</v>
      </c>
      <c r="H151" s="546">
        <v>0.3</v>
      </c>
      <c r="I151" s="546" t="s">
        <v>22</v>
      </c>
      <c r="J151" s="546">
        <v>2.8</v>
      </c>
      <c r="K151" s="527"/>
      <c r="L151" s="527"/>
      <c r="M151" s="490"/>
      <c r="N151" s="490"/>
      <c r="O151" s="490"/>
      <c r="P151" s="490"/>
      <c r="Q151" s="490"/>
      <c r="R151" s="490"/>
      <c r="S151" s="490"/>
      <c r="T151" s="490"/>
      <c r="U151" s="490"/>
      <c r="V151" s="490"/>
      <c r="W151" s="490"/>
      <c r="X151" s="490"/>
      <c r="Y151" s="490"/>
      <c r="Z151" s="490"/>
      <c r="AA151" s="490"/>
      <c r="AB151" s="490"/>
      <c r="AC151" s="490"/>
      <c r="AD151" s="490"/>
      <c r="AE151" s="490"/>
      <c r="AF151" s="490"/>
      <c r="AG151" s="490"/>
      <c r="AH151" s="490"/>
      <c r="AI151" s="490"/>
      <c r="AJ151" s="490"/>
      <c r="AK151" s="490"/>
      <c r="AL151" s="490"/>
      <c r="AM151" s="490"/>
      <c r="AN151" s="490"/>
      <c r="AO151" s="490"/>
      <c r="AP151" s="490"/>
      <c r="AQ151" s="490"/>
      <c r="AR151" s="490"/>
      <c r="AS151" s="490"/>
      <c r="AT151" s="490"/>
      <c r="AU151" s="490"/>
      <c r="AV151" s="490"/>
      <c r="AW151" s="490"/>
      <c r="AX151" s="490"/>
      <c r="AY151" s="490"/>
      <c r="AZ151" s="490"/>
      <c r="BA151" s="490"/>
      <c r="BB151" s="490"/>
      <c r="BC151" s="490"/>
      <c r="BD151" s="490"/>
      <c r="BE151" s="490"/>
      <c r="BF151" s="490"/>
      <c r="BG151" s="490"/>
      <c r="BH151" s="490"/>
      <c r="BI151" s="490"/>
      <c r="BJ151" s="490"/>
      <c r="BK151" s="490"/>
      <c r="BL151" s="490"/>
      <c r="BM151" s="490"/>
      <c r="BN151" s="490"/>
      <c r="BO151" s="490"/>
      <c r="BP151" s="490"/>
      <c r="BQ151" s="490"/>
      <c r="BR151" s="490"/>
      <c r="BS151" s="490"/>
      <c r="BT151" s="490"/>
      <c r="BU151" s="490"/>
      <c r="BV151" s="490"/>
      <c r="BW151" s="490"/>
      <c r="BX151" s="490"/>
      <c r="BY151" s="490"/>
      <c r="BZ151" s="490"/>
      <c r="CA151" s="490"/>
      <c r="CB151" s="490"/>
      <c r="CC151" s="490"/>
      <c r="CD151" s="490"/>
      <c r="CE151" s="490"/>
      <c r="CF151" s="490"/>
      <c r="CG151" s="490"/>
      <c r="CH151" s="490"/>
      <c r="CI151" s="490"/>
      <c r="CJ151" s="490"/>
      <c r="CK151" s="490"/>
      <c r="CL151" s="490"/>
      <c r="CM151" s="490"/>
      <c r="CN151" s="490"/>
      <c r="CO151" s="490"/>
      <c r="CP151" s="490"/>
      <c r="CQ151" s="490"/>
      <c r="CR151" s="490"/>
      <c r="CS151" s="490"/>
      <c r="CT151" s="490"/>
      <c r="CU151" s="490"/>
      <c r="CV151" s="490"/>
      <c r="CW151" s="490"/>
      <c r="CX151" s="490"/>
      <c r="CY151" s="490"/>
      <c r="CZ151" s="490"/>
      <c r="DA151" s="490"/>
      <c r="DB151" s="490"/>
      <c r="DC151" s="490"/>
      <c r="DD151" s="490"/>
      <c r="DE151" s="490"/>
      <c r="DF151" s="490"/>
      <c r="DG151" s="490"/>
      <c r="DH151" s="490"/>
      <c r="DI151" s="490"/>
      <c r="DJ151" s="490"/>
      <c r="DK151" s="490"/>
      <c r="DL151" s="490"/>
      <c r="DM151" s="490"/>
      <c r="DN151" s="490"/>
      <c r="DO151" s="490"/>
      <c r="DP151" s="490"/>
      <c r="DQ151" s="490"/>
      <c r="DR151" s="490"/>
      <c r="DS151" s="490"/>
      <c r="DT151" s="490"/>
      <c r="DU151" s="490"/>
      <c r="DV151" s="490"/>
      <c r="DW151" s="490"/>
      <c r="DX151" s="490"/>
      <c r="DY151" s="490"/>
      <c r="DZ151" s="490"/>
      <c r="EA151" s="490"/>
      <c r="EB151" s="490"/>
      <c r="EC151" s="490"/>
      <c r="ED151" s="490"/>
      <c r="EE151" s="490"/>
      <c r="EF151" s="490"/>
      <c r="EG151" s="490"/>
      <c r="EH151" s="490"/>
      <c r="EI151" s="490"/>
      <c r="EJ151" s="490"/>
      <c r="EK151" s="490"/>
      <c r="EL151" s="490"/>
      <c r="EM151" s="490"/>
      <c r="EN151" s="490"/>
      <c r="EO151" s="490"/>
      <c r="EP151" s="490"/>
      <c r="EQ151" s="490"/>
      <c r="ER151" s="490"/>
      <c r="ES151" s="490"/>
      <c r="ET151" s="490"/>
      <c r="EU151" s="490"/>
      <c r="EV151" s="490"/>
      <c r="EW151" s="490"/>
      <c r="EX151" s="490"/>
      <c r="EY151" s="490"/>
      <c r="EZ151" s="490"/>
      <c r="FA151" s="490"/>
      <c r="FB151" s="490"/>
      <c r="FC151" s="490"/>
      <c r="FD151" s="490"/>
      <c r="FE151" s="490"/>
      <c r="FF151" s="490"/>
      <c r="FG151" s="490"/>
      <c r="FH151" s="490"/>
      <c r="FI151" s="490"/>
      <c r="FJ151" s="490"/>
      <c r="FK151" s="490"/>
      <c r="FL151" s="490"/>
      <c r="FM151" s="490"/>
      <c r="FN151" s="490"/>
    </row>
    <row r="152" s="492" customFormat="1" spans="1:170">
      <c r="A152" s="556"/>
      <c r="B152" s="543"/>
      <c r="C152" s="557"/>
      <c r="D152" s="509"/>
      <c r="E152" s="509"/>
      <c r="F152" s="545" t="s">
        <v>160</v>
      </c>
      <c r="G152" s="546">
        <v>1.25</v>
      </c>
      <c r="H152" s="546">
        <v>0.28</v>
      </c>
      <c r="I152" s="546" t="s">
        <v>44</v>
      </c>
      <c r="J152" s="546">
        <v>4</v>
      </c>
      <c r="K152" s="527"/>
      <c r="L152" s="527"/>
      <c r="M152" s="490"/>
      <c r="N152" s="490"/>
      <c r="O152" s="490"/>
      <c r="P152" s="490"/>
      <c r="Q152" s="490"/>
      <c r="R152" s="490"/>
      <c r="S152" s="490"/>
      <c r="T152" s="490"/>
      <c r="U152" s="490"/>
      <c r="V152" s="490"/>
      <c r="W152" s="490"/>
      <c r="X152" s="490"/>
      <c r="Y152" s="490"/>
      <c r="Z152" s="490"/>
      <c r="AA152" s="490"/>
      <c r="AB152" s="490"/>
      <c r="AC152" s="490"/>
      <c r="AD152" s="490"/>
      <c r="AE152" s="490"/>
      <c r="AF152" s="490"/>
      <c r="AG152" s="490"/>
      <c r="AH152" s="490"/>
      <c r="AI152" s="490"/>
      <c r="AJ152" s="490"/>
      <c r="AK152" s="490"/>
      <c r="AL152" s="490"/>
      <c r="AM152" s="490"/>
      <c r="AN152" s="490"/>
      <c r="AO152" s="490"/>
      <c r="AP152" s="490"/>
      <c r="AQ152" s="490"/>
      <c r="AR152" s="490"/>
      <c r="AS152" s="490"/>
      <c r="AT152" s="490"/>
      <c r="AU152" s="490"/>
      <c r="AV152" s="490"/>
      <c r="AW152" s="490"/>
      <c r="AX152" s="490"/>
      <c r="AY152" s="490"/>
      <c r="AZ152" s="490"/>
      <c r="BA152" s="490"/>
      <c r="BB152" s="490"/>
      <c r="BC152" s="490"/>
      <c r="BD152" s="490"/>
      <c r="BE152" s="490"/>
      <c r="BF152" s="490"/>
      <c r="BG152" s="490"/>
      <c r="BH152" s="490"/>
      <c r="BI152" s="490"/>
      <c r="BJ152" s="490"/>
      <c r="BK152" s="490"/>
      <c r="BL152" s="490"/>
      <c r="BM152" s="490"/>
      <c r="BN152" s="490"/>
      <c r="BO152" s="490"/>
      <c r="BP152" s="490"/>
      <c r="BQ152" s="490"/>
      <c r="BR152" s="490"/>
      <c r="BS152" s="490"/>
      <c r="BT152" s="490"/>
      <c r="BU152" s="490"/>
      <c r="BV152" s="490"/>
      <c r="BW152" s="490"/>
      <c r="BX152" s="490"/>
      <c r="BY152" s="490"/>
      <c r="BZ152" s="490"/>
      <c r="CA152" s="490"/>
      <c r="CB152" s="490"/>
      <c r="CC152" s="490"/>
      <c r="CD152" s="490"/>
      <c r="CE152" s="490"/>
      <c r="CF152" s="490"/>
      <c r="CG152" s="490"/>
      <c r="CH152" s="490"/>
      <c r="CI152" s="490"/>
      <c r="CJ152" s="490"/>
      <c r="CK152" s="490"/>
      <c r="CL152" s="490"/>
      <c r="CM152" s="490"/>
      <c r="CN152" s="490"/>
      <c r="CO152" s="490"/>
      <c r="CP152" s="490"/>
      <c r="CQ152" s="490"/>
      <c r="CR152" s="490"/>
      <c r="CS152" s="490"/>
      <c r="CT152" s="490"/>
      <c r="CU152" s="490"/>
      <c r="CV152" s="490"/>
      <c r="CW152" s="490"/>
      <c r="CX152" s="490"/>
      <c r="CY152" s="490"/>
      <c r="CZ152" s="490"/>
      <c r="DA152" s="490"/>
      <c r="DB152" s="490"/>
      <c r="DC152" s="490"/>
      <c r="DD152" s="490"/>
      <c r="DE152" s="490"/>
      <c r="DF152" s="490"/>
      <c r="DG152" s="490"/>
      <c r="DH152" s="490"/>
      <c r="DI152" s="490"/>
      <c r="DJ152" s="490"/>
      <c r="DK152" s="490"/>
      <c r="DL152" s="490"/>
      <c r="DM152" s="490"/>
      <c r="DN152" s="490"/>
      <c r="DO152" s="490"/>
      <c r="DP152" s="490"/>
      <c r="DQ152" s="490"/>
      <c r="DR152" s="490"/>
      <c r="DS152" s="490"/>
      <c r="DT152" s="490"/>
      <c r="DU152" s="490"/>
      <c r="DV152" s="490"/>
      <c r="DW152" s="490"/>
      <c r="DX152" s="490"/>
      <c r="DY152" s="490"/>
      <c r="DZ152" s="490"/>
      <c r="EA152" s="490"/>
      <c r="EB152" s="490"/>
      <c r="EC152" s="490"/>
      <c r="ED152" s="490"/>
      <c r="EE152" s="490"/>
      <c r="EF152" s="490"/>
      <c r="EG152" s="490"/>
      <c r="EH152" s="490"/>
      <c r="EI152" s="490"/>
      <c r="EJ152" s="490"/>
      <c r="EK152" s="490"/>
      <c r="EL152" s="490"/>
      <c r="EM152" s="490"/>
      <c r="EN152" s="490"/>
      <c r="EO152" s="490"/>
      <c r="EP152" s="490"/>
      <c r="EQ152" s="490"/>
      <c r="ER152" s="490"/>
      <c r="ES152" s="490"/>
      <c r="ET152" s="490"/>
      <c r="EU152" s="490"/>
      <c r="EV152" s="490"/>
      <c r="EW152" s="490"/>
      <c r="EX152" s="490"/>
      <c r="EY152" s="490"/>
      <c r="EZ152" s="490"/>
      <c r="FA152" s="490"/>
      <c r="FB152" s="490"/>
      <c r="FC152" s="490"/>
      <c r="FD152" s="490"/>
      <c r="FE152" s="490"/>
      <c r="FF152" s="490"/>
      <c r="FG152" s="490"/>
      <c r="FH152" s="490"/>
      <c r="FI152" s="490"/>
      <c r="FJ152" s="490"/>
      <c r="FK152" s="490"/>
      <c r="FL152" s="490"/>
      <c r="FM152" s="490"/>
      <c r="FN152" s="490"/>
    </row>
    <row r="153" s="492" customFormat="1" spans="1:170">
      <c r="A153" s="556"/>
      <c r="B153" s="543"/>
      <c r="C153" s="557"/>
      <c r="D153" s="509"/>
      <c r="E153" s="509"/>
      <c r="F153" s="545" t="s">
        <v>148</v>
      </c>
      <c r="G153" s="546">
        <v>1.25</v>
      </c>
      <c r="H153" s="546">
        <v>0.42</v>
      </c>
      <c r="I153" s="546" t="s">
        <v>24</v>
      </c>
      <c r="J153" s="546" t="s">
        <v>24</v>
      </c>
      <c r="K153" s="527"/>
      <c r="L153" s="527"/>
      <c r="M153" s="490"/>
      <c r="N153" s="490"/>
      <c r="O153" s="490"/>
      <c r="P153" s="490"/>
      <c r="Q153" s="490"/>
      <c r="R153" s="490"/>
      <c r="S153" s="490"/>
      <c r="T153" s="490"/>
      <c r="U153" s="490"/>
      <c r="V153" s="490"/>
      <c r="W153" s="490"/>
      <c r="X153" s="490"/>
      <c r="Y153" s="490"/>
      <c r="Z153" s="490"/>
      <c r="AA153" s="490"/>
      <c r="AB153" s="490"/>
      <c r="AC153" s="490"/>
      <c r="AD153" s="490"/>
      <c r="AE153" s="490"/>
      <c r="AF153" s="490"/>
      <c r="AG153" s="490"/>
      <c r="AH153" s="490"/>
      <c r="AI153" s="490"/>
      <c r="AJ153" s="490"/>
      <c r="AK153" s="490"/>
      <c r="AL153" s="490"/>
      <c r="AM153" s="490"/>
      <c r="AN153" s="490"/>
      <c r="AO153" s="490"/>
      <c r="AP153" s="490"/>
      <c r="AQ153" s="490"/>
      <c r="AR153" s="490"/>
      <c r="AS153" s="490"/>
      <c r="AT153" s="490"/>
      <c r="AU153" s="490"/>
      <c r="AV153" s="490"/>
      <c r="AW153" s="490"/>
      <c r="AX153" s="490"/>
      <c r="AY153" s="490"/>
      <c r="AZ153" s="490"/>
      <c r="BA153" s="490"/>
      <c r="BB153" s="490"/>
      <c r="BC153" s="490"/>
      <c r="BD153" s="490"/>
      <c r="BE153" s="490"/>
      <c r="BF153" s="490"/>
      <c r="BG153" s="490"/>
      <c r="BH153" s="490"/>
      <c r="BI153" s="490"/>
      <c r="BJ153" s="490"/>
      <c r="BK153" s="490"/>
      <c r="BL153" s="490"/>
      <c r="BM153" s="490"/>
      <c r="BN153" s="490"/>
      <c r="BO153" s="490"/>
      <c r="BP153" s="490"/>
      <c r="BQ153" s="490"/>
      <c r="BR153" s="490"/>
      <c r="BS153" s="490"/>
      <c r="BT153" s="490"/>
      <c r="BU153" s="490"/>
      <c r="BV153" s="490"/>
      <c r="BW153" s="490"/>
      <c r="BX153" s="490"/>
      <c r="BY153" s="490"/>
      <c r="BZ153" s="490"/>
      <c r="CA153" s="490"/>
      <c r="CB153" s="490"/>
      <c r="CC153" s="490"/>
      <c r="CD153" s="490"/>
      <c r="CE153" s="490"/>
      <c r="CF153" s="490"/>
      <c r="CG153" s="490"/>
      <c r="CH153" s="490"/>
      <c r="CI153" s="490"/>
      <c r="CJ153" s="490"/>
      <c r="CK153" s="490"/>
      <c r="CL153" s="490"/>
      <c r="CM153" s="490"/>
      <c r="CN153" s="490"/>
      <c r="CO153" s="490"/>
      <c r="CP153" s="490"/>
      <c r="CQ153" s="490"/>
      <c r="CR153" s="490"/>
      <c r="CS153" s="490"/>
      <c r="CT153" s="490"/>
      <c r="CU153" s="490"/>
      <c r="CV153" s="490"/>
      <c r="CW153" s="490"/>
      <c r="CX153" s="490"/>
      <c r="CY153" s="490"/>
      <c r="CZ153" s="490"/>
      <c r="DA153" s="490"/>
      <c r="DB153" s="490"/>
      <c r="DC153" s="490"/>
      <c r="DD153" s="490"/>
      <c r="DE153" s="490"/>
      <c r="DF153" s="490"/>
      <c r="DG153" s="490"/>
      <c r="DH153" s="490"/>
      <c r="DI153" s="490"/>
      <c r="DJ153" s="490"/>
      <c r="DK153" s="490"/>
      <c r="DL153" s="490"/>
      <c r="DM153" s="490"/>
      <c r="DN153" s="490"/>
      <c r="DO153" s="490"/>
      <c r="DP153" s="490"/>
      <c r="DQ153" s="490"/>
      <c r="DR153" s="490"/>
      <c r="DS153" s="490"/>
      <c r="DT153" s="490"/>
      <c r="DU153" s="490"/>
      <c r="DV153" s="490"/>
      <c r="DW153" s="490"/>
      <c r="DX153" s="490"/>
      <c r="DY153" s="490"/>
      <c r="DZ153" s="490"/>
      <c r="EA153" s="490"/>
      <c r="EB153" s="490"/>
      <c r="EC153" s="490"/>
      <c r="ED153" s="490"/>
      <c r="EE153" s="490"/>
      <c r="EF153" s="490"/>
      <c r="EG153" s="490"/>
      <c r="EH153" s="490"/>
      <c r="EI153" s="490"/>
      <c r="EJ153" s="490"/>
      <c r="EK153" s="490"/>
      <c r="EL153" s="490"/>
      <c r="EM153" s="490"/>
      <c r="EN153" s="490"/>
      <c r="EO153" s="490"/>
      <c r="EP153" s="490"/>
      <c r="EQ153" s="490"/>
      <c r="ER153" s="490"/>
      <c r="ES153" s="490"/>
      <c r="ET153" s="490"/>
      <c r="EU153" s="490"/>
      <c r="EV153" s="490"/>
      <c r="EW153" s="490"/>
      <c r="EX153" s="490"/>
      <c r="EY153" s="490"/>
      <c r="EZ153" s="490"/>
      <c r="FA153" s="490"/>
      <c r="FB153" s="490"/>
      <c r="FC153" s="490"/>
      <c r="FD153" s="490"/>
      <c r="FE153" s="490"/>
      <c r="FF153" s="490"/>
      <c r="FG153" s="490"/>
      <c r="FH153" s="490"/>
      <c r="FI153" s="490"/>
      <c r="FJ153" s="490"/>
      <c r="FK153" s="490"/>
      <c r="FL153" s="490"/>
      <c r="FM153" s="490"/>
      <c r="FN153" s="490"/>
    </row>
    <row r="154" s="492" customFormat="1" spans="1:170">
      <c r="A154" s="556">
        <v>46098</v>
      </c>
      <c r="B154" s="543" t="s">
        <v>754</v>
      </c>
      <c r="C154" s="557">
        <v>10</v>
      </c>
      <c r="D154" s="509" t="s">
        <v>177</v>
      </c>
      <c r="E154" s="509" t="s">
        <v>14</v>
      </c>
      <c r="F154" s="545" t="s">
        <v>158</v>
      </c>
      <c r="G154" s="546">
        <v>1.02</v>
      </c>
      <c r="H154" s="546">
        <v>8.35</v>
      </c>
      <c r="I154" s="546" t="s">
        <v>17</v>
      </c>
      <c r="J154" s="546">
        <v>1.79</v>
      </c>
      <c r="K154" s="527" t="s">
        <v>601</v>
      </c>
      <c r="L154" s="527" t="s">
        <v>28</v>
      </c>
      <c r="M154" s="490"/>
      <c r="N154" s="490"/>
      <c r="O154" s="490"/>
      <c r="P154" s="490"/>
      <c r="Q154" s="490"/>
      <c r="R154" s="490"/>
      <c r="S154" s="490"/>
      <c r="T154" s="490"/>
      <c r="U154" s="490"/>
      <c r="V154" s="490"/>
      <c r="W154" s="490"/>
      <c r="X154" s="490"/>
      <c r="Y154" s="490"/>
      <c r="Z154" s="490"/>
      <c r="AA154" s="490"/>
      <c r="AB154" s="490"/>
      <c r="AC154" s="490"/>
      <c r="AD154" s="490"/>
      <c r="AE154" s="490"/>
      <c r="AF154" s="490"/>
      <c r="AG154" s="490"/>
      <c r="AH154" s="490"/>
      <c r="AI154" s="490"/>
      <c r="AJ154" s="490"/>
      <c r="AK154" s="490"/>
      <c r="AL154" s="490"/>
      <c r="AM154" s="490"/>
      <c r="AN154" s="490"/>
      <c r="AO154" s="490"/>
      <c r="AP154" s="490"/>
      <c r="AQ154" s="490"/>
      <c r="AR154" s="490"/>
      <c r="AS154" s="490"/>
      <c r="AT154" s="490"/>
      <c r="AU154" s="490"/>
      <c r="AV154" s="490"/>
      <c r="AW154" s="490"/>
      <c r="AX154" s="490"/>
      <c r="AY154" s="490"/>
      <c r="AZ154" s="490"/>
      <c r="BA154" s="490"/>
      <c r="BB154" s="490"/>
      <c r="BC154" s="490"/>
      <c r="BD154" s="490"/>
      <c r="BE154" s="490"/>
      <c r="BF154" s="490"/>
      <c r="BG154" s="490"/>
      <c r="BH154" s="490"/>
      <c r="BI154" s="490"/>
      <c r="BJ154" s="490"/>
      <c r="BK154" s="490"/>
      <c r="BL154" s="490"/>
      <c r="BM154" s="490"/>
      <c r="BN154" s="490"/>
      <c r="BO154" s="490"/>
      <c r="BP154" s="490"/>
      <c r="BQ154" s="490"/>
      <c r="BR154" s="490"/>
      <c r="BS154" s="490"/>
      <c r="BT154" s="490"/>
      <c r="BU154" s="490"/>
      <c r="BV154" s="490"/>
      <c r="BW154" s="490"/>
      <c r="BX154" s="490"/>
      <c r="BY154" s="490"/>
      <c r="BZ154" s="490"/>
      <c r="CA154" s="490"/>
      <c r="CB154" s="490"/>
      <c r="CC154" s="490"/>
      <c r="CD154" s="490"/>
      <c r="CE154" s="490"/>
      <c r="CF154" s="490"/>
      <c r="CG154" s="490"/>
      <c r="CH154" s="490"/>
      <c r="CI154" s="490"/>
      <c r="CJ154" s="490"/>
      <c r="CK154" s="490"/>
      <c r="CL154" s="490"/>
      <c r="CM154" s="490"/>
      <c r="CN154" s="490"/>
      <c r="CO154" s="490"/>
      <c r="CP154" s="490"/>
      <c r="CQ154" s="490"/>
      <c r="CR154" s="490"/>
      <c r="CS154" s="490"/>
      <c r="CT154" s="490"/>
      <c r="CU154" s="490"/>
      <c r="CV154" s="490"/>
      <c r="CW154" s="490"/>
      <c r="CX154" s="490"/>
      <c r="CY154" s="490"/>
      <c r="CZ154" s="490"/>
      <c r="DA154" s="490"/>
      <c r="DB154" s="490"/>
      <c r="DC154" s="490"/>
      <c r="DD154" s="490"/>
      <c r="DE154" s="490"/>
      <c r="DF154" s="490"/>
      <c r="DG154" s="490"/>
      <c r="DH154" s="490"/>
      <c r="DI154" s="490"/>
      <c r="DJ154" s="490"/>
      <c r="DK154" s="490"/>
      <c r="DL154" s="490"/>
      <c r="DM154" s="490"/>
      <c r="DN154" s="490"/>
      <c r="DO154" s="490"/>
      <c r="DP154" s="490"/>
      <c r="DQ154" s="490"/>
      <c r="DR154" s="490"/>
      <c r="DS154" s="490"/>
      <c r="DT154" s="490"/>
      <c r="DU154" s="490"/>
      <c r="DV154" s="490"/>
      <c r="DW154" s="490"/>
      <c r="DX154" s="490"/>
      <c r="DY154" s="490"/>
      <c r="DZ154" s="490"/>
      <c r="EA154" s="490"/>
      <c r="EB154" s="490"/>
      <c r="EC154" s="490"/>
      <c r="ED154" s="490"/>
      <c r="EE154" s="490"/>
      <c r="EF154" s="490"/>
      <c r="EG154" s="490"/>
      <c r="EH154" s="490"/>
      <c r="EI154" s="490"/>
      <c r="EJ154" s="490"/>
      <c r="EK154" s="490"/>
      <c r="EL154" s="490"/>
      <c r="EM154" s="490"/>
      <c r="EN154" s="490"/>
      <c r="EO154" s="490"/>
      <c r="EP154" s="490"/>
      <c r="EQ154" s="490"/>
      <c r="ER154" s="490"/>
      <c r="ES154" s="490"/>
      <c r="ET154" s="490"/>
      <c r="EU154" s="490"/>
      <c r="EV154" s="490"/>
      <c r="EW154" s="490"/>
      <c r="EX154" s="490"/>
      <c r="EY154" s="490"/>
      <c r="EZ154" s="490"/>
      <c r="FA154" s="490"/>
      <c r="FB154" s="490"/>
      <c r="FC154" s="490"/>
      <c r="FD154" s="490"/>
      <c r="FE154" s="490"/>
      <c r="FF154" s="490"/>
      <c r="FG154" s="490"/>
      <c r="FH154" s="490"/>
      <c r="FI154" s="490"/>
      <c r="FJ154" s="490"/>
      <c r="FK154" s="490"/>
      <c r="FL154" s="490"/>
      <c r="FM154" s="490"/>
      <c r="FN154" s="490"/>
    </row>
    <row r="155" s="492" customFormat="1" spans="1:170">
      <c r="A155" s="556"/>
      <c r="B155" s="543"/>
      <c r="C155" s="557"/>
      <c r="D155" s="509"/>
      <c r="E155" s="509"/>
      <c r="F155" s="545" t="s">
        <v>159</v>
      </c>
      <c r="G155" s="546">
        <v>1.02</v>
      </c>
      <c r="H155" s="546">
        <v>0.7</v>
      </c>
      <c r="I155" s="546" t="s">
        <v>22</v>
      </c>
      <c r="J155" s="546">
        <v>1.8</v>
      </c>
      <c r="K155" s="527"/>
      <c r="L155" s="527"/>
      <c r="M155" s="490"/>
      <c r="N155" s="490"/>
      <c r="O155" s="490"/>
      <c r="P155" s="490"/>
      <c r="Q155" s="490"/>
      <c r="R155" s="490"/>
      <c r="S155" s="490"/>
      <c r="T155" s="490"/>
      <c r="U155" s="490"/>
      <c r="V155" s="490"/>
      <c r="W155" s="490"/>
      <c r="X155" s="490"/>
      <c r="Y155" s="490"/>
      <c r="Z155" s="490"/>
      <c r="AA155" s="490"/>
      <c r="AB155" s="490"/>
      <c r="AC155" s="490"/>
      <c r="AD155" s="490"/>
      <c r="AE155" s="490"/>
      <c r="AF155" s="490"/>
      <c r="AG155" s="490"/>
      <c r="AH155" s="490"/>
      <c r="AI155" s="490"/>
      <c r="AJ155" s="490"/>
      <c r="AK155" s="490"/>
      <c r="AL155" s="490"/>
      <c r="AM155" s="490"/>
      <c r="AN155" s="490"/>
      <c r="AO155" s="490"/>
      <c r="AP155" s="490"/>
      <c r="AQ155" s="490"/>
      <c r="AR155" s="490"/>
      <c r="AS155" s="490"/>
      <c r="AT155" s="490"/>
      <c r="AU155" s="490"/>
      <c r="AV155" s="490"/>
      <c r="AW155" s="490"/>
      <c r="AX155" s="490"/>
      <c r="AY155" s="490"/>
      <c r="AZ155" s="490"/>
      <c r="BA155" s="490"/>
      <c r="BB155" s="490"/>
      <c r="BC155" s="490"/>
      <c r="BD155" s="490"/>
      <c r="BE155" s="490"/>
      <c r="BF155" s="490"/>
      <c r="BG155" s="490"/>
      <c r="BH155" s="490"/>
      <c r="BI155" s="490"/>
      <c r="BJ155" s="490"/>
      <c r="BK155" s="490"/>
      <c r="BL155" s="490"/>
      <c r="BM155" s="490"/>
      <c r="BN155" s="490"/>
      <c r="BO155" s="490"/>
      <c r="BP155" s="490"/>
      <c r="BQ155" s="490"/>
      <c r="BR155" s="490"/>
      <c r="BS155" s="490"/>
      <c r="BT155" s="490"/>
      <c r="BU155" s="490"/>
      <c r="BV155" s="490"/>
      <c r="BW155" s="490"/>
      <c r="BX155" s="490"/>
      <c r="BY155" s="490"/>
      <c r="BZ155" s="490"/>
      <c r="CA155" s="490"/>
      <c r="CB155" s="490"/>
      <c r="CC155" s="490"/>
      <c r="CD155" s="490"/>
      <c r="CE155" s="490"/>
      <c r="CF155" s="490"/>
      <c r="CG155" s="490"/>
      <c r="CH155" s="490"/>
      <c r="CI155" s="490"/>
      <c r="CJ155" s="490"/>
      <c r="CK155" s="490"/>
      <c r="CL155" s="490"/>
      <c r="CM155" s="490"/>
      <c r="CN155" s="490"/>
      <c r="CO155" s="490"/>
      <c r="CP155" s="490"/>
      <c r="CQ155" s="490"/>
      <c r="CR155" s="490"/>
      <c r="CS155" s="490"/>
      <c r="CT155" s="490"/>
      <c r="CU155" s="490"/>
      <c r="CV155" s="490"/>
      <c r="CW155" s="490"/>
      <c r="CX155" s="490"/>
      <c r="CY155" s="490"/>
      <c r="CZ155" s="490"/>
      <c r="DA155" s="490"/>
      <c r="DB155" s="490"/>
      <c r="DC155" s="490"/>
      <c r="DD155" s="490"/>
      <c r="DE155" s="490"/>
      <c r="DF155" s="490"/>
      <c r="DG155" s="490"/>
      <c r="DH155" s="490"/>
      <c r="DI155" s="490"/>
      <c r="DJ155" s="490"/>
      <c r="DK155" s="490"/>
      <c r="DL155" s="490"/>
      <c r="DM155" s="490"/>
      <c r="DN155" s="490"/>
      <c r="DO155" s="490"/>
      <c r="DP155" s="490"/>
      <c r="DQ155" s="490"/>
      <c r="DR155" s="490"/>
      <c r="DS155" s="490"/>
      <c r="DT155" s="490"/>
      <c r="DU155" s="490"/>
      <c r="DV155" s="490"/>
      <c r="DW155" s="490"/>
      <c r="DX155" s="490"/>
      <c r="DY155" s="490"/>
      <c r="DZ155" s="490"/>
      <c r="EA155" s="490"/>
      <c r="EB155" s="490"/>
      <c r="EC155" s="490"/>
      <c r="ED155" s="490"/>
      <c r="EE155" s="490"/>
      <c r="EF155" s="490"/>
      <c r="EG155" s="490"/>
      <c r="EH155" s="490"/>
      <c r="EI155" s="490"/>
      <c r="EJ155" s="490"/>
      <c r="EK155" s="490"/>
      <c r="EL155" s="490"/>
      <c r="EM155" s="490"/>
      <c r="EN155" s="490"/>
      <c r="EO155" s="490"/>
      <c r="EP155" s="490"/>
      <c r="EQ155" s="490"/>
      <c r="ER155" s="490"/>
      <c r="ES155" s="490"/>
      <c r="ET155" s="490"/>
      <c r="EU155" s="490"/>
      <c r="EV155" s="490"/>
      <c r="EW155" s="490"/>
      <c r="EX155" s="490"/>
      <c r="EY155" s="490"/>
      <c r="EZ155" s="490"/>
      <c r="FA155" s="490"/>
      <c r="FB155" s="490"/>
      <c r="FC155" s="490"/>
      <c r="FD155" s="490"/>
      <c r="FE155" s="490"/>
      <c r="FF155" s="490"/>
      <c r="FG155" s="490"/>
      <c r="FH155" s="490"/>
      <c r="FI155" s="490"/>
      <c r="FJ155" s="490"/>
      <c r="FK155" s="490"/>
      <c r="FL155" s="490"/>
      <c r="FM155" s="490"/>
      <c r="FN155" s="490"/>
    </row>
    <row r="156" s="492" customFormat="1" spans="1:170">
      <c r="A156" s="556"/>
      <c r="B156" s="543"/>
      <c r="C156" s="557"/>
      <c r="D156" s="509"/>
      <c r="E156" s="509"/>
      <c r="F156" s="545" t="s">
        <v>148</v>
      </c>
      <c r="G156" s="546">
        <v>1.78</v>
      </c>
      <c r="H156" s="546">
        <v>0.95</v>
      </c>
      <c r="I156" s="546" t="s">
        <v>24</v>
      </c>
      <c r="J156" s="546" t="s">
        <v>24</v>
      </c>
      <c r="K156" s="527"/>
      <c r="L156" s="527"/>
      <c r="M156" s="490"/>
      <c r="N156" s="490"/>
      <c r="O156" s="490"/>
      <c r="P156" s="490"/>
      <c r="Q156" s="490"/>
      <c r="R156" s="490"/>
      <c r="S156" s="490"/>
      <c r="T156" s="490"/>
      <c r="U156" s="490"/>
      <c r="V156" s="490"/>
      <c r="W156" s="490"/>
      <c r="X156" s="490"/>
      <c r="Y156" s="490"/>
      <c r="Z156" s="490"/>
      <c r="AA156" s="490"/>
      <c r="AB156" s="490"/>
      <c r="AC156" s="490"/>
      <c r="AD156" s="490"/>
      <c r="AE156" s="490"/>
      <c r="AF156" s="490"/>
      <c r="AG156" s="490"/>
      <c r="AH156" s="490"/>
      <c r="AI156" s="490"/>
      <c r="AJ156" s="490"/>
      <c r="AK156" s="490"/>
      <c r="AL156" s="490"/>
      <c r="AM156" s="490"/>
      <c r="AN156" s="490"/>
      <c r="AO156" s="490"/>
      <c r="AP156" s="490"/>
      <c r="AQ156" s="490"/>
      <c r="AR156" s="490"/>
      <c r="AS156" s="490"/>
      <c r="AT156" s="490"/>
      <c r="AU156" s="490"/>
      <c r="AV156" s="490"/>
      <c r="AW156" s="490"/>
      <c r="AX156" s="490"/>
      <c r="AY156" s="490"/>
      <c r="AZ156" s="490"/>
      <c r="BA156" s="490"/>
      <c r="BB156" s="490"/>
      <c r="BC156" s="490"/>
      <c r="BD156" s="490"/>
      <c r="BE156" s="490"/>
      <c r="BF156" s="490"/>
      <c r="BG156" s="490"/>
      <c r="BH156" s="490"/>
      <c r="BI156" s="490"/>
      <c r="BJ156" s="490"/>
      <c r="BK156" s="490"/>
      <c r="BL156" s="490"/>
      <c r="BM156" s="490"/>
      <c r="BN156" s="490"/>
      <c r="BO156" s="490"/>
      <c r="BP156" s="490"/>
      <c r="BQ156" s="490"/>
      <c r="BR156" s="490"/>
      <c r="BS156" s="490"/>
      <c r="BT156" s="490"/>
      <c r="BU156" s="490"/>
      <c r="BV156" s="490"/>
      <c r="BW156" s="490"/>
      <c r="BX156" s="490"/>
      <c r="BY156" s="490"/>
      <c r="BZ156" s="490"/>
      <c r="CA156" s="490"/>
      <c r="CB156" s="490"/>
      <c r="CC156" s="490"/>
      <c r="CD156" s="490"/>
      <c r="CE156" s="490"/>
      <c r="CF156" s="490"/>
      <c r="CG156" s="490"/>
      <c r="CH156" s="490"/>
      <c r="CI156" s="490"/>
      <c r="CJ156" s="490"/>
      <c r="CK156" s="490"/>
      <c r="CL156" s="490"/>
      <c r="CM156" s="490"/>
      <c r="CN156" s="490"/>
      <c r="CO156" s="490"/>
      <c r="CP156" s="490"/>
      <c r="CQ156" s="490"/>
      <c r="CR156" s="490"/>
      <c r="CS156" s="490"/>
      <c r="CT156" s="490"/>
      <c r="CU156" s="490"/>
      <c r="CV156" s="490"/>
      <c r="CW156" s="490"/>
      <c r="CX156" s="490"/>
      <c r="CY156" s="490"/>
      <c r="CZ156" s="490"/>
      <c r="DA156" s="490"/>
      <c r="DB156" s="490"/>
      <c r="DC156" s="490"/>
      <c r="DD156" s="490"/>
      <c r="DE156" s="490"/>
      <c r="DF156" s="490"/>
      <c r="DG156" s="490"/>
      <c r="DH156" s="490"/>
      <c r="DI156" s="490"/>
      <c r="DJ156" s="490"/>
      <c r="DK156" s="490"/>
      <c r="DL156" s="490"/>
      <c r="DM156" s="490"/>
      <c r="DN156" s="490"/>
      <c r="DO156" s="490"/>
      <c r="DP156" s="490"/>
      <c r="DQ156" s="490"/>
      <c r="DR156" s="490"/>
      <c r="DS156" s="490"/>
      <c r="DT156" s="490"/>
      <c r="DU156" s="490"/>
      <c r="DV156" s="490"/>
      <c r="DW156" s="490"/>
      <c r="DX156" s="490"/>
      <c r="DY156" s="490"/>
      <c r="DZ156" s="490"/>
      <c r="EA156" s="490"/>
      <c r="EB156" s="490"/>
      <c r="EC156" s="490"/>
      <c r="ED156" s="490"/>
      <c r="EE156" s="490"/>
      <c r="EF156" s="490"/>
      <c r="EG156" s="490"/>
      <c r="EH156" s="490"/>
      <c r="EI156" s="490"/>
      <c r="EJ156" s="490"/>
      <c r="EK156" s="490"/>
      <c r="EL156" s="490"/>
      <c r="EM156" s="490"/>
      <c r="EN156" s="490"/>
      <c r="EO156" s="490"/>
      <c r="EP156" s="490"/>
      <c r="EQ156" s="490"/>
      <c r="ER156" s="490"/>
      <c r="ES156" s="490"/>
      <c r="ET156" s="490"/>
      <c r="EU156" s="490"/>
      <c r="EV156" s="490"/>
      <c r="EW156" s="490"/>
      <c r="EX156" s="490"/>
      <c r="EY156" s="490"/>
      <c r="EZ156" s="490"/>
      <c r="FA156" s="490"/>
      <c r="FB156" s="490"/>
      <c r="FC156" s="490"/>
      <c r="FD156" s="490"/>
      <c r="FE156" s="490"/>
      <c r="FF156" s="490"/>
      <c r="FG156" s="490"/>
      <c r="FH156" s="490"/>
      <c r="FI156" s="490"/>
      <c r="FJ156" s="490"/>
      <c r="FK156" s="490"/>
      <c r="FL156" s="490"/>
      <c r="FM156" s="490"/>
      <c r="FN156" s="490"/>
    </row>
    <row r="157" s="492" customFormat="1" spans="1:170">
      <c r="A157" s="556">
        <v>46100</v>
      </c>
      <c r="B157" s="543" t="s">
        <v>755</v>
      </c>
      <c r="C157" s="557">
        <v>10</v>
      </c>
      <c r="D157" s="509" t="s">
        <v>33</v>
      </c>
      <c r="E157" s="509" t="s">
        <v>712</v>
      </c>
      <c r="F157" s="545" t="s">
        <v>756</v>
      </c>
      <c r="G157" s="546">
        <v>0.61</v>
      </c>
      <c r="H157" s="546">
        <v>9</v>
      </c>
      <c r="I157" s="546" t="s">
        <v>17</v>
      </c>
      <c r="J157" s="546">
        <v>1.7</v>
      </c>
      <c r="K157" s="558" t="s">
        <v>713</v>
      </c>
      <c r="L157" s="558"/>
      <c r="M157" s="490"/>
      <c r="N157" s="490"/>
      <c r="O157" s="490"/>
      <c r="P157" s="490"/>
      <c r="Q157" s="490"/>
      <c r="R157" s="490"/>
      <c r="S157" s="490"/>
      <c r="T157" s="490"/>
      <c r="U157" s="490"/>
      <c r="V157" s="490"/>
      <c r="W157" s="490"/>
      <c r="X157" s="490"/>
      <c r="Y157" s="490"/>
      <c r="Z157" s="490"/>
      <c r="AA157" s="490"/>
      <c r="AB157" s="490"/>
      <c r="AC157" s="490"/>
      <c r="AD157" s="490"/>
      <c r="AE157" s="490"/>
      <c r="AF157" s="490"/>
      <c r="AG157" s="490"/>
      <c r="AH157" s="490"/>
      <c r="AI157" s="490"/>
      <c r="AJ157" s="490"/>
      <c r="AK157" s="490"/>
      <c r="AL157" s="490"/>
      <c r="AM157" s="490"/>
      <c r="AN157" s="490"/>
      <c r="AO157" s="490"/>
      <c r="AP157" s="490"/>
      <c r="AQ157" s="490"/>
      <c r="AR157" s="490"/>
      <c r="AS157" s="490"/>
      <c r="AT157" s="490"/>
      <c r="AU157" s="490"/>
      <c r="AV157" s="490"/>
      <c r="AW157" s="490"/>
      <c r="AX157" s="490"/>
      <c r="AY157" s="490"/>
      <c r="AZ157" s="490"/>
      <c r="BA157" s="490"/>
      <c r="BB157" s="490"/>
      <c r="BC157" s="490"/>
      <c r="BD157" s="490"/>
      <c r="BE157" s="490"/>
      <c r="BF157" s="490"/>
      <c r="BG157" s="490"/>
      <c r="BH157" s="490"/>
      <c r="BI157" s="490"/>
      <c r="BJ157" s="490"/>
      <c r="BK157" s="490"/>
      <c r="BL157" s="490"/>
      <c r="BM157" s="490"/>
      <c r="BN157" s="490"/>
      <c r="BO157" s="490"/>
      <c r="BP157" s="490"/>
      <c r="BQ157" s="490"/>
      <c r="BR157" s="490"/>
      <c r="BS157" s="490"/>
      <c r="BT157" s="490"/>
      <c r="BU157" s="490"/>
      <c r="BV157" s="490"/>
      <c r="BW157" s="490"/>
      <c r="BX157" s="490"/>
      <c r="BY157" s="490"/>
      <c r="BZ157" s="490"/>
      <c r="CA157" s="490"/>
      <c r="CB157" s="490"/>
      <c r="CC157" s="490"/>
      <c r="CD157" s="490"/>
      <c r="CE157" s="490"/>
      <c r="CF157" s="490"/>
      <c r="CG157" s="490"/>
      <c r="CH157" s="490"/>
      <c r="CI157" s="490"/>
      <c r="CJ157" s="490"/>
      <c r="CK157" s="490"/>
      <c r="CL157" s="490"/>
      <c r="CM157" s="490"/>
      <c r="CN157" s="490"/>
      <c r="CO157" s="490"/>
      <c r="CP157" s="490"/>
      <c r="CQ157" s="490"/>
      <c r="CR157" s="490"/>
      <c r="CS157" s="490"/>
      <c r="CT157" s="490"/>
      <c r="CU157" s="490"/>
      <c r="CV157" s="490"/>
      <c r="CW157" s="490"/>
      <c r="CX157" s="490"/>
      <c r="CY157" s="490"/>
      <c r="CZ157" s="490"/>
      <c r="DA157" s="490"/>
      <c r="DB157" s="490"/>
      <c r="DC157" s="490"/>
      <c r="DD157" s="490"/>
      <c r="DE157" s="490"/>
      <c r="DF157" s="490"/>
      <c r="DG157" s="490"/>
      <c r="DH157" s="490"/>
      <c r="DI157" s="490"/>
      <c r="DJ157" s="490"/>
      <c r="DK157" s="490"/>
      <c r="DL157" s="490"/>
      <c r="DM157" s="490"/>
      <c r="DN157" s="490"/>
      <c r="DO157" s="490"/>
      <c r="DP157" s="490"/>
      <c r="DQ157" s="490"/>
      <c r="DR157" s="490"/>
      <c r="DS157" s="490"/>
      <c r="DT157" s="490"/>
      <c r="DU157" s="490"/>
      <c r="DV157" s="490"/>
      <c r="DW157" s="490"/>
      <c r="DX157" s="490"/>
      <c r="DY157" s="490"/>
      <c r="DZ157" s="490"/>
      <c r="EA157" s="490"/>
      <c r="EB157" s="490"/>
      <c r="EC157" s="490"/>
      <c r="ED157" s="490"/>
      <c r="EE157" s="490"/>
      <c r="EF157" s="490"/>
      <c r="EG157" s="490"/>
      <c r="EH157" s="490"/>
      <c r="EI157" s="490"/>
      <c r="EJ157" s="490"/>
      <c r="EK157" s="490"/>
      <c r="EL157" s="490"/>
      <c r="EM157" s="490"/>
      <c r="EN157" s="490"/>
      <c r="EO157" s="490"/>
      <c r="EP157" s="490"/>
      <c r="EQ157" s="490"/>
      <c r="ER157" s="490"/>
      <c r="ES157" s="490"/>
      <c r="ET157" s="490"/>
      <c r="EU157" s="490"/>
      <c r="EV157" s="490"/>
      <c r="EW157" s="490"/>
      <c r="EX157" s="490"/>
      <c r="EY157" s="490"/>
      <c r="EZ157" s="490"/>
      <c r="FA157" s="490"/>
      <c r="FB157" s="490"/>
      <c r="FC157" s="490"/>
      <c r="FD157" s="490"/>
      <c r="FE157" s="490"/>
      <c r="FF157" s="490"/>
      <c r="FG157" s="490"/>
      <c r="FH157" s="490"/>
      <c r="FI157" s="490"/>
      <c r="FJ157" s="490"/>
      <c r="FK157" s="490"/>
      <c r="FL157" s="490"/>
      <c r="FM157" s="490"/>
      <c r="FN157" s="490"/>
    </row>
    <row r="158" s="492" customFormat="1" spans="1:170">
      <c r="A158" s="556"/>
      <c r="B158" s="543"/>
      <c r="C158" s="557"/>
      <c r="D158" s="509"/>
      <c r="E158" s="509"/>
      <c r="F158" s="545" t="s">
        <v>757</v>
      </c>
      <c r="G158" s="546">
        <v>0.87</v>
      </c>
      <c r="H158" s="546">
        <v>0.3</v>
      </c>
      <c r="I158" s="546" t="s">
        <v>22</v>
      </c>
      <c r="J158" s="546">
        <v>1.9</v>
      </c>
      <c r="K158" s="558"/>
      <c r="L158" s="558"/>
      <c r="M158" s="490"/>
      <c r="N158" s="490"/>
      <c r="O158" s="490"/>
      <c r="P158" s="490"/>
      <c r="Q158" s="490"/>
      <c r="R158" s="490"/>
      <c r="S158" s="490"/>
      <c r="T158" s="490"/>
      <c r="U158" s="490"/>
      <c r="V158" s="490"/>
      <c r="W158" s="490"/>
      <c r="X158" s="490"/>
      <c r="Y158" s="490"/>
      <c r="Z158" s="490"/>
      <c r="AA158" s="490"/>
      <c r="AB158" s="490"/>
      <c r="AC158" s="490"/>
      <c r="AD158" s="490"/>
      <c r="AE158" s="490"/>
      <c r="AF158" s="490"/>
      <c r="AG158" s="490"/>
      <c r="AH158" s="490"/>
      <c r="AI158" s="490"/>
      <c r="AJ158" s="490"/>
      <c r="AK158" s="490"/>
      <c r="AL158" s="490"/>
      <c r="AM158" s="490"/>
      <c r="AN158" s="490"/>
      <c r="AO158" s="490"/>
      <c r="AP158" s="490"/>
      <c r="AQ158" s="490"/>
      <c r="AR158" s="490"/>
      <c r="AS158" s="490"/>
      <c r="AT158" s="490"/>
      <c r="AU158" s="490"/>
      <c r="AV158" s="490"/>
      <c r="AW158" s="490"/>
      <c r="AX158" s="490"/>
      <c r="AY158" s="490"/>
      <c r="AZ158" s="490"/>
      <c r="BA158" s="490"/>
      <c r="BB158" s="490"/>
      <c r="BC158" s="490"/>
      <c r="BD158" s="490"/>
      <c r="BE158" s="490"/>
      <c r="BF158" s="490"/>
      <c r="BG158" s="490"/>
      <c r="BH158" s="490"/>
      <c r="BI158" s="490"/>
      <c r="BJ158" s="490"/>
      <c r="BK158" s="490"/>
      <c r="BL158" s="490"/>
      <c r="BM158" s="490"/>
      <c r="BN158" s="490"/>
      <c r="BO158" s="490"/>
      <c r="BP158" s="490"/>
      <c r="BQ158" s="490"/>
      <c r="BR158" s="490"/>
      <c r="BS158" s="490"/>
      <c r="BT158" s="490"/>
      <c r="BU158" s="490"/>
      <c r="BV158" s="490"/>
      <c r="BW158" s="490"/>
      <c r="BX158" s="490"/>
      <c r="BY158" s="490"/>
      <c r="BZ158" s="490"/>
      <c r="CA158" s="490"/>
      <c r="CB158" s="490"/>
      <c r="CC158" s="490"/>
      <c r="CD158" s="490"/>
      <c r="CE158" s="490"/>
      <c r="CF158" s="490"/>
      <c r="CG158" s="490"/>
      <c r="CH158" s="490"/>
      <c r="CI158" s="490"/>
      <c r="CJ158" s="490"/>
      <c r="CK158" s="490"/>
      <c r="CL158" s="490"/>
      <c r="CM158" s="490"/>
      <c r="CN158" s="490"/>
      <c r="CO158" s="490"/>
      <c r="CP158" s="490"/>
      <c r="CQ158" s="490"/>
      <c r="CR158" s="490"/>
      <c r="CS158" s="490"/>
      <c r="CT158" s="490"/>
      <c r="CU158" s="490"/>
      <c r="CV158" s="490"/>
      <c r="CW158" s="490"/>
      <c r="CX158" s="490"/>
      <c r="CY158" s="490"/>
      <c r="CZ158" s="490"/>
      <c r="DA158" s="490"/>
      <c r="DB158" s="490"/>
      <c r="DC158" s="490"/>
      <c r="DD158" s="490"/>
      <c r="DE158" s="490"/>
      <c r="DF158" s="490"/>
      <c r="DG158" s="490"/>
      <c r="DH158" s="490"/>
      <c r="DI158" s="490"/>
      <c r="DJ158" s="490"/>
      <c r="DK158" s="490"/>
      <c r="DL158" s="490"/>
      <c r="DM158" s="490"/>
      <c r="DN158" s="490"/>
      <c r="DO158" s="490"/>
      <c r="DP158" s="490"/>
      <c r="DQ158" s="490"/>
      <c r="DR158" s="490"/>
      <c r="DS158" s="490"/>
      <c r="DT158" s="490"/>
      <c r="DU158" s="490"/>
      <c r="DV158" s="490"/>
      <c r="DW158" s="490"/>
      <c r="DX158" s="490"/>
      <c r="DY158" s="490"/>
      <c r="DZ158" s="490"/>
      <c r="EA158" s="490"/>
      <c r="EB158" s="490"/>
      <c r="EC158" s="490"/>
      <c r="ED158" s="490"/>
      <c r="EE158" s="490"/>
      <c r="EF158" s="490"/>
      <c r="EG158" s="490"/>
      <c r="EH158" s="490"/>
      <c r="EI158" s="490"/>
      <c r="EJ158" s="490"/>
      <c r="EK158" s="490"/>
      <c r="EL158" s="490"/>
      <c r="EM158" s="490"/>
      <c r="EN158" s="490"/>
      <c r="EO158" s="490"/>
      <c r="EP158" s="490"/>
      <c r="EQ158" s="490"/>
      <c r="ER158" s="490"/>
      <c r="ES158" s="490"/>
      <c r="ET158" s="490"/>
      <c r="EU158" s="490"/>
      <c r="EV158" s="490"/>
      <c r="EW158" s="490"/>
      <c r="EX158" s="490"/>
      <c r="EY158" s="490"/>
      <c r="EZ158" s="490"/>
      <c r="FA158" s="490"/>
      <c r="FB158" s="490"/>
      <c r="FC158" s="490"/>
      <c r="FD158" s="490"/>
      <c r="FE158" s="490"/>
      <c r="FF158" s="490"/>
      <c r="FG158" s="490"/>
      <c r="FH158" s="490"/>
      <c r="FI158" s="490"/>
      <c r="FJ158" s="490"/>
      <c r="FK158" s="490"/>
      <c r="FL158" s="490"/>
      <c r="FM158" s="490"/>
      <c r="FN158" s="490"/>
    </row>
    <row r="159" s="492" customFormat="1" spans="1:170">
      <c r="A159" s="556"/>
      <c r="B159" s="543"/>
      <c r="C159" s="557"/>
      <c r="D159" s="509"/>
      <c r="E159" s="509"/>
      <c r="F159" s="545" t="s">
        <v>148</v>
      </c>
      <c r="G159" s="546">
        <v>1.36</v>
      </c>
      <c r="H159" s="546">
        <v>0.7</v>
      </c>
      <c r="I159" s="546" t="s">
        <v>24</v>
      </c>
      <c r="J159" s="546" t="s">
        <v>24</v>
      </c>
      <c r="K159" s="558"/>
      <c r="L159" s="558"/>
      <c r="M159" s="490"/>
      <c r="N159" s="490"/>
      <c r="O159" s="490"/>
      <c r="P159" s="490"/>
      <c r="Q159" s="490"/>
      <c r="R159" s="490"/>
      <c r="S159" s="490"/>
      <c r="T159" s="490"/>
      <c r="U159" s="490"/>
      <c r="V159" s="490"/>
      <c r="W159" s="490"/>
      <c r="X159" s="490"/>
      <c r="Y159" s="490"/>
      <c r="Z159" s="490"/>
      <c r="AA159" s="490"/>
      <c r="AB159" s="490"/>
      <c r="AC159" s="490"/>
      <c r="AD159" s="490"/>
      <c r="AE159" s="490"/>
      <c r="AF159" s="490"/>
      <c r="AG159" s="490"/>
      <c r="AH159" s="490"/>
      <c r="AI159" s="490"/>
      <c r="AJ159" s="490"/>
      <c r="AK159" s="490"/>
      <c r="AL159" s="490"/>
      <c r="AM159" s="490"/>
      <c r="AN159" s="490"/>
      <c r="AO159" s="490"/>
      <c r="AP159" s="490"/>
      <c r="AQ159" s="490"/>
      <c r="AR159" s="490"/>
      <c r="AS159" s="490"/>
      <c r="AT159" s="490"/>
      <c r="AU159" s="490"/>
      <c r="AV159" s="490"/>
      <c r="AW159" s="490"/>
      <c r="AX159" s="490"/>
      <c r="AY159" s="490"/>
      <c r="AZ159" s="490"/>
      <c r="BA159" s="490"/>
      <c r="BB159" s="490"/>
      <c r="BC159" s="490"/>
      <c r="BD159" s="490"/>
      <c r="BE159" s="490"/>
      <c r="BF159" s="490"/>
      <c r="BG159" s="490"/>
      <c r="BH159" s="490"/>
      <c r="BI159" s="490"/>
      <c r="BJ159" s="490"/>
      <c r="BK159" s="490"/>
      <c r="BL159" s="490"/>
      <c r="BM159" s="490"/>
      <c r="BN159" s="490"/>
      <c r="BO159" s="490"/>
      <c r="BP159" s="490"/>
      <c r="BQ159" s="490"/>
      <c r="BR159" s="490"/>
      <c r="BS159" s="490"/>
      <c r="BT159" s="490"/>
      <c r="BU159" s="490"/>
      <c r="BV159" s="490"/>
      <c r="BW159" s="490"/>
      <c r="BX159" s="490"/>
      <c r="BY159" s="490"/>
      <c r="BZ159" s="490"/>
      <c r="CA159" s="490"/>
      <c r="CB159" s="490"/>
      <c r="CC159" s="490"/>
      <c r="CD159" s="490"/>
      <c r="CE159" s="490"/>
      <c r="CF159" s="490"/>
      <c r="CG159" s="490"/>
      <c r="CH159" s="490"/>
      <c r="CI159" s="490"/>
      <c r="CJ159" s="490"/>
      <c r="CK159" s="490"/>
      <c r="CL159" s="490"/>
      <c r="CM159" s="490"/>
      <c r="CN159" s="490"/>
      <c r="CO159" s="490"/>
      <c r="CP159" s="490"/>
      <c r="CQ159" s="490"/>
      <c r="CR159" s="490"/>
      <c r="CS159" s="490"/>
      <c r="CT159" s="490"/>
      <c r="CU159" s="490"/>
      <c r="CV159" s="490"/>
      <c r="CW159" s="490"/>
      <c r="CX159" s="490"/>
      <c r="CY159" s="490"/>
      <c r="CZ159" s="490"/>
      <c r="DA159" s="490"/>
      <c r="DB159" s="490"/>
      <c r="DC159" s="490"/>
      <c r="DD159" s="490"/>
      <c r="DE159" s="490"/>
      <c r="DF159" s="490"/>
      <c r="DG159" s="490"/>
      <c r="DH159" s="490"/>
      <c r="DI159" s="490"/>
      <c r="DJ159" s="490"/>
      <c r="DK159" s="490"/>
      <c r="DL159" s="490"/>
      <c r="DM159" s="490"/>
      <c r="DN159" s="490"/>
      <c r="DO159" s="490"/>
      <c r="DP159" s="490"/>
      <c r="DQ159" s="490"/>
      <c r="DR159" s="490"/>
      <c r="DS159" s="490"/>
      <c r="DT159" s="490"/>
      <c r="DU159" s="490"/>
      <c r="DV159" s="490"/>
      <c r="DW159" s="490"/>
      <c r="DX159" s="490"/>
      <c r="DY159" s="490"/>
      <c r="DZ159" s="490"/>
      <c r="EA159" s="490"/>
      <c r="EB159" s="490"/>
      <c r="EC159" s="490"/>
      <c r="ED159" s="490"/>
      <c r="EE159" s="490"/>
      <c r="EF159" s="490"/>
      <c r="EG159" s="490"/>
      <c r="EH159" s="490"/>
      <c r="EI159" s="490"/>
      <c r="EJ159" s="490"/>
      <c r="EK159" s="490"/>
      <c r="EL159" s="490"/>
      <c r="EM159" s="490"/>
      <c r="EN159" s="490"/>
      <c r="EO159" s="490"/>
      <c r="EP159" s="490"/>
      <c r="EQ159" s="490"/>
      <c r="ER159" s="490"/>
      <c r="ES159" s="490"/>
      <c r="ET159" s="490"/>
      <c r="EU159" s="490"/>
      <c r="EV159" s="490"/>
      <c r="EW159" s="490"/>
      <c r="EX159" s="490"/>
      <c r="EY159" s="490"/>
      <c r="EZ159" s="490"/>
      <c r="FA159" s="490"/>
      <c r="FB159" s="490"/>
      <c r="FC159" s="490"/>
      <c r="FD159" s="490"/>
      <c r="FE159" s="490"/>
      <c r="FF159" s="490"/>
      <c r="FG159" s="490"/>
      <c r="FH159" s="490"/>
      <c r="FI159" s="490"/>
      <c r="FJ159" s="490"/>
      <c r="FK159" s="490"/>
      <c r="FL159" s="490"/>
      <c r="FM159" s="490"/>
      <c r="FN159" s="490"/>
    </row>
    <row r="160" s="492" customFormat="1" spans="1:170">
      <c r="A160" s="556">
        <v>46100</v>
      </c>
      <c r="B160" s="543" t="s">
        <v>758</v>
      </c>
      <c r="C160" s="557">
        <v>10</v>
      </c>
      <c r="D160" s="509" t="s">
        <v>14</v>
      </c>
      <c r="E160" s="509" t="s">
        <v>14</v>
      </c>
      <c r="F160" s="545" t="s">
        <v>158</v>
      </c>
      <c r="G160" s="546">
        <v>1.83</v>
      </c>
      <c r="H160" s="546">
        <v>8.4</v>
      </c>
      <c r="I160" s="546" t="s">
        <v>17</v>
      </c>
      <c r="J160" s="546">
        <v>1.85</v>
      </c>
      <c r="K160" s="527" t="s">
        <v>595</v>
      </c>
      <c r="L160" s="527" t="s">
        <v>104</v>
      </c>
      <c r="M160" s="490"/>
      <c r="N160" s="490"/>
      <c r="O160" s="490"/>
      <c r="P160" s="490"/>
      <c r="Q160" s="490"/>
      <c r="R160" s="490"/>
      <c r="S160" s="490"/>
      <c r="T160" s="490"/>
      <c r="U160" s="490"/>
      <c r="V160" s="490"/>
      <c r="W160" s="490"/>
      <c r="X160" s="490"/>
      <c r="Y160" s="490"/>
      <c r="Z160" s="490"/>
      <c r="AA160" s="490"/>
      <c r="AB160" s="490"/>
      <c r="AC160" s="490"/>
      <c r="AD160" s="490"/>
      <c r="AE160" s="490"/>
      <c r="AF160" s="490"/>
      <c r="AG160" s="490"/>
      <c r="AH160" s="490"/>
      <c r="AI160" s="490"/>
      <c r="AJ160" s="490"/>
      <c r="AK160" s="490"/>
      <c r="AL160" s="490"/>
      <c r="AM160" s="490"/>
      <c r="AN160" s="490"/>
      <c r="AO160" s="490"/>
      <c r="AP160" s="490"/>
      <c r="AQ160" s="490"/>
      <c r="AR160" s="490"/>
      <c r="AS160" s="490"/>
      <c r="AT160" s="490"/>
      <c r="AU160" s="490"/>
      <c r="AV160" s="490"/>
      <c r="AW160" s="490"/>
      <c r="AX160" s="490"/>
      <c r="AY160" s="490"/>
      <c r="AZ160" s="490"/>
      <c r="BA160" s="490"/>
      <c r="BB160" s="490"/>
      <c r="BC160" s="490"/>
      <c r="BD160" s="490"/>
      <c r="BE160" s="490"/>
      <c r="BF160" s="490"/>
      <c r="BG160" s="490"/>
      <c r="BH160" s="490"/>
      <c r="BI160" s="490"/>
      <c r="BJ160" s="490"/>
      <c r="BK160" s="490"/>
      <c r="BL160" s="490"/>
      <c r="BM160" s="490"/>
      <c r="BN160" s="490"/>
      <c r="BO160" s="490"/>
      <c r="BP160" s="490"/>
      <c r="BQ160" s="490"/>
      <c r="BR160" s="490"/>
      <c r="BS160" s="490"/>
      <c r="BT160" s="490"/>
      <c r="BU160" s="490"/>
      <c r="BV160" s="490"/>
      <c r="BW160" s="490"/>
      <c r="BX160" s="490"/>
      <c r="BY160" s="490"/>
      <c r="BZ160" s="490"/>
      <c r="CA160" s="490"/>
      <c r="CB160" s="490"/>
      <c r="CC160" s="490"/>
      <c r="CD160" s="490"/>
      <c r="CE160" s="490"/>
      <c r="CF160" s="490"/>
      <c r="CG160" s="490"/>
      <c r="CH160" s="490"/>
      <c r="CI160" s="490"/>
      <c r="CJ160" s="490"/>
      <c r="CK160" s="490"/>
      <c r="CL160" s="490"/>
      <c r="CM160" s="490"/>
      <c r="CN160" s="490"/>
      <c r="CO160" s="490"/>
      <c r="CP160" s="490"/>
      <c r="CQ160" s="490"/>
      <c r="CR160" s="490"/>
      <c r="CS160" s="490"/>
      <c r="CT160" s="490"/>
      <c r="CU160" s="490"/>
      <c r="CV160" s="490"/>
      <c r="CW160" s="490"/>
      <c r="CX160" s="490"/>
      <c r="CY160" s="490"/>
      <c r="CZ160" s="490"/>
      <c r="DA160" s="490"/>
      <c r="DB160" s="490"/>
      <c r="DC160" s="490"/>
      <c r="DD160" s="490"/>
      <c r="DE160" s="490"/>
      <c r="DF160" s="490"/>
      <c r="DG160" s="490"/>
      <c r="DH160" s="490"/>
      <c r="DI160" s="490"/>
      <c r="DJ160" s="490"/>
      <c r="DK160" s="490"/>
      <c r="DL160" s="490"/>
      <c r="DM160" s="490"/>
      <c r="DN160" s="490"/>
      <c r="DO160" s="490"/>
      <c r="DP160" s="490"/>
      <c r="DQ160" s="490"/>
      <c r="DR160" s="490"/>
      <c r="DS160" s="490"/>
      <c r="DT160" s="490"/>
      <c r="DU160" s="490"/>
      <c r="DV160" s="490"/>
      <c r="DW160" s="490"/>
      <c r="DX160" s="490"/>
      <c r="DY160" s="490"/>
      <c r="DZ160" s="490"/>
      <c r="EA160" s="490"/>
      <c r="EB160" s="490"/>
      <c r="EC160" s="490"/>
      <c r="ED160" s="490"/>
      <c r="EE160" s="490"/>
      <c r="EF160" s="490"/>
      <c r="EG160" s="490"/>
      <c r="EH160" s="490"/>
      <c r="EI160" s="490"/>
      <c r="EJ160" s="490"/>
      <c r="EK160" s="490"/>
      <c r="EL160" s="490"/>
      <c r="EM160" s="490"/>
      <c r="EN160" s="490"/>
      <c r="EO160" s="490"/>
      <c r="EP160" s="490"/>
      <c r="EQ160" s="490"/>
      <c r="ER160" s="490"/>
      <c r="ES160" s="490"/>
      <c r="ET160" s="490"/>
      <c r="EU160" s="490"/>
      <c r="EV160" s="490"/>
      <c r="EW160" s="490"/>
      <c r="EX160" s="490"/>
      <c r="EY160" s="490"/>
      <c r="EZ160" s="490"/>
      <c r="FA160" s="490"/>
      <c r="FB160" s="490"/>
      <c r="FC160" s="490"/>
      <c r="FD160" s="490"/>
      <c r="FE160" s="490"/>
      <c r="FF160" s="490"/>
      <c r="FG160" s="490"/>
      <c r="FH160" s="490"/>
      <c r="FI160" s="490"/>
      <c r="FJ160" s="490"/>
      <c r="FK160" s="490"/>
      <c r="FL160" s="490"/>
      <c r="FM160" s="490"/>
      <c r="FN160" s="490"/>
    </row>
    <row r="161" s="492" customFormat="1" spans="1:170">
      <c r="A161" s="556"/>
      <c r="B161" s="543"/>
      <c r="C161" s="557"/>
      <c r="D161" s="509"/>
      <c r="E161" s="509"/>
      <c r="F161" s="545" t="s">
        <v>159</v>
      </c>
      <c r="G161" s="546">
        <v>1.92</v>
      </c>
      <c r="H161" s="546">
        <v>0.5</v>
      </c>
      <c r="I161" s="546" t="s">
        <v>22</v>
      </c>
      <c r="J161" s="546">
        <v>1.95</v>
      </c>
      <c r="K161" s="527"/>
      <c r="L161" s="527"/>
      <c r="M161" s="490"/>
      <c r="N161" s="490"/>
      <c r="O161" s="490"/>
      <c r="P161" s="490"/>
      <c r="Q161" s="490"/>
      <c r="R161" s="490"/>
      <c r="S161" s="490"/>
      <c r="T161" s="490"/>
      <c r="U161" s="490"/>
      <c r="V161" s="490"/>
      <c r="W161" s="490"/>
      <c r="X161" s="490"/>
      <c r="Y161" s="490"/>
      <c r="Z161" s="490"/>
      <c r="AA161" s="490"/>
      <c r="AB161" s="490"/>
      <c r="AC161" s="490"/>
      <c r="AD161" s="490"/>
      <c r="AE161" s="490"/>
      <c r="AF161" s="490"/>
      <c r="AG161" s="490"/>
      <c r="AH161" s="490"/>
      <c r="AI161" s="490"/>
      <c r="AJ161" s="490"/>
      <c r="AK161" s="490"/>
      <c r="AL161" s="490"/>
      <c r="AM161" s="490"/>
      <c r="AN161" s="490"/>
      <c r="AO161" s="490"/>
      <c r="AP161" s="490"/>
      <c r="AQ161" s="490"/>
      <c r="AR161" s="490"/>
      <c r="AS161" s="490"/>
      <c r="AT161" s="490"/>
      <c r="AU161" s="490"/>
      <c r="AV161" s="490"/>
      <c r="AW161" s="490"/>
      <c r="AX161" s="490"/>
      <c r="AY161" s="490"/>
      <c r="AZ161" s="490"/>
      <c r="BA161" s="490"/>
      <c r="BB161" s="490"/>
      <c r="BC161" s="490"/>
      <c r="BD161" s="490"/>
      <c r="BE161" s="490"/>
      <c r="BF161" s="490"/>
      <c r="BG161" s="490"/>
      <c r="BH161" s="490"/>
      <c r="BI161" s="490"/>
      <c r="BJ161" s="490"/>
      <c r="BK161" s="490"/>
      <c r="BL161" s="490"/>
      <c r="BM161" s="490"/>
      <c r="BN161" s="490"/>
      <c r="BO161" s="490"/>
      <c r="BP161" s="490"/>
      <c r="BQ161" s="490"/>
      <c r="BR161" s="490"/>
      <c r="BS161" s="490"/>
      <c r="BT161" s="490"/>
      <c r="BU161" s="490"/>
      <c r="BV161" s="490"/>
      <c r="BW161" s="490"/>
      <c r="BX161" s="490"/>
      <c r="BY161" s="490"/>
      <c r="BZ161" s="490"/>
      <c r="CA161" s="490"/>
      <c r="CB161" s="490"/>
      <c r="CC161" s="490"/>
      <c r="CD161" s="490"/>
      <c r="CE161" s="490"/>
      <c r="CF161" s="490"/>
      <c r="CG161" s="490"/>
      <c r="CH161" s="490"/>
      <c r="CI161" s="490"/>
      <c r="CJ161" s="490"/>
      <c r="CK161" s="490"/>
      <c r="CL161" s="490"/>
      <c r="CM161" s="490"/>
      <c r="CN161" s="490"/>
      <c r="CO161" s="490"/>
      <c r="CP161" s="490"/>
      <c r="CQ161" s="490"/>
      <c r="CR161" s="490"/>
      <c r="CS161" s="490"/>
      <c r="CT161" s="490"/>
      <c r="CU161" s="490"/>
      <c r="CV161" s="490"/>
      <c r="CW161" s="490"/>
      <c r="CX161" s="490"/>
      <c r="CY161" s="490"/>
      <c r="CZ161" s="490"/>
      <c r="DA161" s="490"/>
      <c r="DB161" s="490"/>
      <c r="DC161" s="490"/>
      <c r="DD161" s="490"/>
      <c r="DE161" s="490"/>
      <c r="DF161" s="490"/>
      <c r="DG161" s="490"/>
      <c r="DH161" s="490"/>
      <c r="DI161" s="490"/>
      <c r="DJ161" s="490"/>
      <c r="DK161" s="490"/>
      <c r="DL161" s="490"/>
      <c r="DM161" s="490"/>
      <c r="DN161" s="490"/>
      <c r="DO161" s="490"/>
      <c r="DP161" s="490"/>
      <c r="DQ161" s="490"/>
      <c r="DR161" s="490"/>
      <c r="DS161" s="490"/>
      <c r="DT161" s="490"/>
      <c r="DU161" s="490"/>
      <c r="DV161" s="490"/>
      <c r="DW161" s="490"/>
      <c r="DX161" s="490"/>
      <c r="DY161" s="490"/>
      <c r="DZ161" s="490"/>
      <c r="EA161" s="490"/>
      <c r="EB161" s="490"/>
      <c r="EC161" s="490"/>
      <c r="ED161" s="490"/>
      <c r="EE161" s="490"/>
      <c r="EF161" s="490"/>
      <c r="EG161" s="490"/>
      <c r="EH161" s="490"/>
      <c r="EI161" s="490"/>
      <c r="EJ161" s="490"/>
      <c r="EK161" s="490"/>
      <c r="EL161" s="490"/>
      <c r="EM161" s="490"/>
      <c r="EN161" s="490"/>
      <c r="EO161" s="490"/>
      <c r="EP161" s="490"/>
      <c r="EQ161" s="490"/>
      <c r="ER161" s="490"/>
      <c r="ES161" s="490"/>
      <c r="ET161" s="490"/>
      <c r="EU161" s="490"/>
      <c r="EV161" s="490"/>
      <c r="EW161" s="490"/>
      <c r="EX161" s="490"/>
      <c r="EY161" s="490"/>
      <c r="EZ161" s="490"/>
      <c r="FA161" s="490"/>
      <c r="FB161" s="490"/>
      <c r="FC161" s="490"/>
      <c r="FD161" s="490"/>
      <c r="FE161" s="490"/>
      <c r="FF161" s="490"/>
      <c r="FG161" s="490"/>
      <c r="FH161" s="490"/>
      <c r="FI161" s="490"/>
      <c r="FJ161" s="490"/>
      <c r="FK161" s="490"/>
      <c r="FL161" s="490"/>
      <c r="FM161" s="490"/>
      <c r="FN161" s="490"/>
    </row>
    <row r="162" s="492" customFormat="1" spans="1:170">
      <c r="A162" s="556"/>
      <c r="B162" s="543"/>
      <c r="C162" s="557"/>
      <c r="D162" s="509"/>
      <c r="E162" s="509"/>
      <c r="F162" s="545" t="s">
        <v>160</v>
      </c>
      <c r="G162" s="546">
        <v>2</v>
      </c>
      <c r="H162" s="546">
        <v>0.3</v>
      </c>
      <c r="I162" s="546" t="s">
        <v>44</v>
      </c>
      <c r="J162" s="546">
        <v>2.05</v>
      </c>
      <c r="K162" s="527"/>
      <c r="L162" s="527"/>
      <c r="M162" s="490"/>
      <c r="N162" s="490"/>
      <c r="O162" s="490"/>
      <c r="P162" s="490"/>
      <c r="Q162" s="490"/>
      <c r="R162" s="490"/>
      <c r="S162" s="490"/>
      <c r="T162" s="490"/>
      <c r="U162" s="490"/>
      <c r="V162" s="490"/>
      <c r="W162" s="490"/>
      <c r="X162" s="490"/>
      <c r="Y162" s="490"/>
      <c r="Z162" s="490"/>
      <c r="AA162" s="490"/>
      <c r="AB162" s="490"/>
      <c r="AC162" s="490"/>
      <c r="AD162" s="490"/>
      <c r="AE162" s="490"/>
      <c r="AF162" s="490"/>
      <c r="AG162" s="490"/>
      <c r="AH162" s="490"/>
      <c r="AI162" s="490"/>
      <c r="AJ162" s="490"/>
      <c r="AK162" s="490"/>
      <c r="AL162" s="490"/>
      <c r="AM162" s="490"/>
      <c r="AN162" s="490"/>
      <c r="AO162" s="490"/>
      <c r="AP162" s="490"/>
      <c r="AQ162" s="490"/>
      <c r="AR162" s="490"/>
      <c r="AS162" s="490"/>
      <c r="AT162" s="490"/>
      <c r="AU162" s="490"/>
      <c r="AV162" s="490"/>
      <c r="AW162" s="490"/>
      <c r="AX162" s="490"/>
      <c r="AY162" s="490"/>
      <c r="AZ162" s="490"/>
      <c r="BA162" s="490"/>
      <c r="BB162" s="490"/>
      <c r="BC162" s="490"/>
      <c r="BD162" s="490"/>
      <c r="BE162" s="490"/>
      <c r="BF162" s="490"/>
      <c r="BG162" s="490"/>
      <c r="BH162" s="490"/>
      <c r="BI162" s="490"/>
      <c r="BJ162" s="490"/>
      <c r="BK162" s="490"/>
      <c r="BL162" s="490"/>
      <c r="BM162" s="490"/>
      <c r="BN162" s="490"/>
      <c r="BO162" s="490"/>
      <c r="BP162" s="490"/>
      <c r="BQ162" s="490"/>
      <c r="BR162" s="490"/>
      <c r="BS162" s="490"/>
      <c r="BT162" s="490"/>
      <c r="BU162" s="490"/>
      <c r="BV162" s="490"/>
      <c r="BW162" s="490"/>
      <c r="BX162" s="490"/>
      <c r="BY162" s="490"/>
      <c r="BZ162" s="490"/>
      <c r="CA162" s="490"/>
      <c r="CB162" s="490"/>
      <c r="CC162" s="490"/>
      <c r="CD162" s="490"/>
      <c r="CE162" s="490"/>
      <c r="CF162" s="490"/>
      <c r="CG162" s="490"/>
      <c r="CH162" s="490"/>
      <c r="CI162" s="490"/>
      <c r="CJ162" s="490"/>
      <c r="CK162" s="490"/>
      <c r="CL162" s="490"/>
      <c r="CM162" s="490"/>
      <c r="CN162" s="490"/>
      <c r="CO162" s="490"/>
      <c r="CP162" s="490"/>
      <c r="CQ162" s="490"/>
      <c r="CR162" s="490"/>
      <c r="CS162" s="490"/>
      <c r="CT162" s="490"/>
      <c r="CU162" s="490"/>
      <c r="CV162" s="490"/>
      <c r="CW162" s="490"/>
      <c r="CX162" s="490"/>
      <c r="CY162" s="490"/>
      <c r="CZ162" s="490"/>
      <c r="DA162" s="490"/>
      <c r="DB162" s="490"/>
      <c r="DC162" s="490"/>
      <c r="DD162" s="490"/>
      <c r="DE162" s="490"/>
      <c r="DF162" s="490"/>
      <c r="DG162" s="490"/>
      <c r="DH162" s="490"/>
      <c r="DI162" s="490"/>
      <c r="DJ162" s="490"/>
      <c r="DK162" s="490"/>
      <c r="DL162" s="490"/>
      <c r="DM162" s="490"/>
      <c r="DN162" s="490"/>
      <c r="DO162" s="490"/>
      <c r="DP162" s="490"/>
      <c r="DQ162" s="490"/>
      <c r="DR162" s="490"/>
      <c r="DS162" s="490"/>
      <c r="DT162" s="490"/>
      <c r="DU162" s="490"/>
      <c r="DV162" s="490"/>
      <c r="DW162" s="490"/>
      <c r="DX162" s="490"/>
      <c r="DY162" s="490"/>
      <c r="DZ162" s="490"/>
      <c r="EA162" s="490"/>
      <c r="EB162" s="490"/>
      <c r="EC162" s="490"/>
      <c r="ED162" s="490"/>
      <c r="EE162" s="490"/>
      <c r="EF162" s="490"/>
      <c r="EG162" s="490"/>
      <c r="EH162" s="490"/>
      <c r="EI162" s="490"/>
      <c r="EJ162" s="490"/>
      <c r="EK162" s="490"/>
      <c r="EL162" s="490"/>
      <c r="EM162" s="490"/>
      <c r="EN162" s="490"/>
      <c r="EO162" s="490"/>
      <c r="EP162" s="490"/>
      <c r="EQ162" s="490"/>
      <c r="ER162" s="490"/>
      <c r="ES162" s="490"/>
      <c r="ET162" s="490"/>
      <c r="EU162" s="490"/>
      <c r="EV162" s="490"/>
      <c r="EW162" s="490"/>
      <c r="EX162" s="490"/>
      <c r="EY162" s="490"/>
      <c r="EZ162" s="490"/>
      <c r="FA162" s="490"/>
      <c r="FB162" s="490"/>
      <c r="FC162" s="490"/>
      <c r="FD162" s="490"/>
      <c r="FE162" s="490"/>
      <c r="FF162" s="490"/>
      <c r="FG162" s="490"/>
      <c r="FH162" s="490"/>
      <c r="FI162" s="490"/>
      <c r="FJ162" s="490"/>
      <c r="FK162" s="490"/>
      <c r="FL162" s="490"/>
      <c r="FM162" s="490"/>
      <c r="FN162" s="490"/>
    </row>
    <row r="163" s="492" customFormat="1" spans="1:170">
      <c r="A163" s="547"/>
      <c r="B163" s="548"/>
      <c r="C163" s="549"/>
      <c r="D163" s="507"/>
      <c r="E163" s="507"/>
      <c r="F163" s="559" t="s">
        <v>148</v>
      </c>
      <c r="G163" s="560">
        <v>2.67</v>
      </c>
      <c r="H163" s="560">
        <v>0.8</v>
      </c>
      <c r="I163" s="560" t="s">
        <v>24</v>
      </c>
      <c r="J163" s="560" t="s">
        <v>24</v>
      </c>
      <c r="K163" s="526"/>
      <c r="L163" s="527"/>
      <c r="M163" s="490"/>
      <c r="N163" s="490"/>
      <c r="O163" s="490"/>
      <c r="P163" s="490"/>
      <c r="Q163" s="490"/>
      <c r="R163" s="490"/>
      <c r="S163" s="490"/>
      <c r="T163" s="490"/>
      <c r="U163" s="490"/>
      <c r="V163" s="490"/>
      <c r="W163" s="490"/>
      <c r="X163" s="490"/>
      <c r="Y163" s="490"/>
      <c r="Z163" s="490"/>
      <c r="AA163" s="490"/>
      <c r="AB163" s="490"/>
      <c r="AC163" s="490"/>
      <c r="AD163" s="490"/>
      <c r="AE163" s="490"/>
      <c r="AF163" s="490"/>
      <c r="AG163" s="490"/>
      <c r="AH163" s="490"/>
      <c r="AI163" s="490"/>
      <c r="AJ163" s="490"/>
      <c r="AK163" s="490"/>
      <c r="AL163" s="490"/>
      <c r="AM163" s="490"/>
      <c r="AN163" s="490"/>
      <c r="AO163" s="490"/>
      <c r="AP163" s="490"/>
      <c r="AQ163" s="490"/>
      <c r="AR163" s="490"/>
      <c r="AS163" s="490"/>
      <c r="AT163" s="490"/>
      <c r="AU163" s="490"/>
      <c r="AV163" s="490"/>
      <c r="AW163" s="490"/>
      <c r="AX163" s="490"/>
      <c r="AY163" s="490"/>
      <c r="AZ163" s="490"/>
      <c r="BA163" s="490"/>
      <c r="BB163" s="490"/>
      <c r="BC163" s="490"/>
      <c r="BD163" s="490"/>
      <c r="BE163" s="490"/>
      <c r="BF163" s="490"/>
      <c r="BG163" s="490"/>
      <c r="BH163" s="490"/>
      <c r="BI163" s="490"/>
      <c r="BJ163" s="490"/>
      <c r="BK163" s="490"/>
      <c r="BL163" s="490"/>
      <c r="BM163" s="490"/>
      <c r="BN163" s="490"/>
      <c r="BO163" s="490"/>
      <c r="BP163" s="490"/>
      <c r="BQ163" s="490"/>
      <c r="BR163" s="490"/>
      <c r="BS163" s="490"/>
      <c r="BT163" s="490"/>
      <c r="BU163" s="490"/>
      <c r="BV163" s="490"/>
      <c r="BW163" s="490"/>
      <c r="BX163" s="490"/>
      <c r="BY163" s="490"/>
      <c r="BZ163" s="490"/>
      <c r="CA163" s="490"/>
      <c r="CB163" s="490"/>
      <c r="CC163" s="490"/>
      <c r="CD163" s="490"/>
      <c r="CE163" s="490"/>
      <c r="CF163" s="490"/>
      <c r="CG163" s="490"/>
      <c r="CH163" s="490"/>
      <c r="CI163" s="490"/>
      <c r="CJ163" s="490"/>
      <c r="CK163" s="490"/>
      <c r="CL163" s="490"/>
      <c r="CM163" s="490"/>
      <c r="CN163" s="490"/>
      <c r="CO163" s="490"/>
      <c r="CP163" s="490"/>
      <c r="CQ163" s="490"/>
      <c r="CR163" s="490"/>
      <c r="CS163" s="490"/>
      <c r="CT163" s="490"/>
      <c r="CU163" s="490"/>
      <c r="CV163" s="490"/>
      <c r="CW163" s="490"/>
      <c r="CX163" s="490"/>
      <c r="CY163" s="490"/>
      <c r="CZ163" s="490"/>
      <c r="DA163" s="490"/>
      <c r="DB163" s="490"/>
      <c r="DC163" s="490"/>
      <c r="DD163" s="490"/>
      <c r="DE163" s="490"/>
      <c r="DF163" s="490"/>
      <c r="DG163" s="490"/>
      <c r="DH163" s="490"/>
      <c r="DI163" s="490"/>
      <c r="DJ163" s="490"/>
      <c r="DK163" s="490"/>
      <c r="DL163" s="490"/>
      <c r="DM163" s="490"/>
      <c r="DN163" s="490"/>
      <c r="DO163" s="490"/>
      <c r="DP163" s="490"/>
      <c r="DQ163" s="490"/>
      <c r="DR163" s="490"/>
      <c r="DS163" s="490"/>
      <c r="DT163" s="490"/>
      <c r="DU163" s="490"/>
      <c r="DV163" s="490"/>
      <c r="DW163" s="490"/>
      <c r="DX163" s="490"/>
      <c r="DY163" s="490"/>
      <c r="DZ163" s="490"/>
      <c r="EA163" s="490"/>
      <c r="EB163" s="490"/>
      <c r="EC163" s="490"/>
      <c r="ED163" s="490"/>
      <c r="EE163" s="490"/>
      <c r="EF163" s="490"/>
      <c r="EG163" s="490"/>
      <c r="EH163" s="490"/>
      <c r="EI163" s="490"/>
      <c r="EJ163" s="490"/>
      <c r="EK163" s="490"/>
      <c r="EL163" s="490"/>
      <c r="EM163" s="490"/>
      <c r="EN163" s="490"/>
      <c r="EO163" s="490"/>
      <c r="EP163" s="490"/>
      <c r="EQ163" s="490"/>
      <c r="ER163" s="490"/>
      <c r="ES163" s="490"/>
      <c r="ET163" s="490"/>
      <c r="EU163" s="490"/>
      <c r="EV163" s="490"/>
      <c r="EW163" s="490"/>
      <c r="EX163" s="490"/>
      <c r="EY163" s="490"/>
      <c r="EZ163" s="490"/>
      <c r="FA163" s="490"/>
      <c r="FB163" s="490"/>
      <c r="FC163" s="490"/>
      <c r="FD163" s="490"/>
      <c r="FE163" s="490"/>
      <c r="FF163" s="490"/>
      <c r="FG163" s="490"/>
      <c r="FH163" s="490"/>
      <c r="FI163" s="490"/>
      <c r="FJ163" s="490"/>
      <c r="FK163" s="490"/>
      <c r="FL163" s="490"/>
      <c r="FM163" s="490"/>
      <c r="FN163" s="490"/>
    </row>
    <row r="164" s="492" customFormat="1" spans="1:170">
      <c r="A164" s="540">
        <v>46101</v>
      </c>
      <c r="B164" s="515" t="s">
        <v>759</v>
      </c>
      <c r="C164" s="541">
        <v>9.45</v>
      </c>
      <c r="D164" s="515" t="s">
        <v>51</v>
      </c>
      <c r="E164" s="515" t="s">
        <v>760</v>
      </c>
      <c r="F164" s="515" t="s">
        <v>128</v>
      </c>
      <c r="G164" s="525">
        <v>0.99</v>
      </c>
      <c r="H164" s="525">
        <v>9</v>
      </c>
      <c r="I164" s="541" t="s">
        <v>17</v>
      </c>
      <c r="J164" s="525">
        <v>1.7</v>
      </c>
      <c r="K164" s="515" t="s">
        <v>607</v>
      </c>
      <c r="L164" s="515" t="s">
        <v>53</v>
      </c>
      <c r="M164" s="490"/>
      <c r="N164" s="490"/>
      <c r="O164" s="490"/>
      <c r="P164" s="490"/>
      <c r="Q164" s="490"/>
      <c r="R164" s="490"/>
      <c r="S164" s="490"/>
      <c r="T164" s="490"/>
      <c r="U164" s="490"/>
      <c r="V164" s="490"/>
      <c r="W164" s="490"/>
      <c r="X164" s="490"/>
      <c r="Y164" s="490"/>
      <c r="Z164" s="490"/>
      <c r="AA164" s="490"/>
      <c r="AB164" s="490"/>
      <c r="AC164" s="490"/>
      <c r="AD164" s="490"/>
      <c r="AE164" s="490"/>
      <c r="AF164" s="490"/>
      <c r="AG164" s="490"/>
      <c r="AH164" s="490"/>
      <c r="AI164" s="490"/>
      <c r="AJ164" s="490"/>
      <c r="AK164" s="490"/>
      <c r="AL164" s="490"/>
      <c r="AM164" s="490"/>
      <c r="AN164" s="490"/>
      <c r="AO164" s="490"/>
      <c r="AP164" s="490"/>
      <c r="AQ164" s="490"/>
      <c r="AR164" s="490"/>
      <c r="AS164" s="490"/>
      <c r="AT164" s="490"/>
      <c r="AU164" s="490"/>
      <c r="AV164" s="490"/>
      <c r="AW164" s="490"/>
      <c r="AX164" s="490"/>
      <c r="AY164" s="490"/>
      <c r="AZ164" s="490"/>
      <c r="BA164" s="490"/>
      <c r="BB164" s="490"/>
      <c r="BC164" s="490"/>
      <c r="BD164" s="490"/>
      <c r="BE164" s="490"/>
      <c r="BF164" s="490"/>
      <c r="BG164" s="490"/>
      <c r="BH164" s="490"/>
      <c r="BI164" s="490"/>
      <c r="BJ164" s="490"/>
      <c r="BK164" s="490"/>
      <c r="BL164" s="490"/>
      <c r="BM164" s="490"/>
      <c r="BN164" s="490"/>
      <c r="BO164" s="490"/>
      <c r="BP164" s="490"/>
      <c r="BQ164" s="490"/>
      <c r="BR164" s="490"/>
      <c r="BS164" s="490"/>
      <c r="BT164" s="490"/>
      <c r="BU164" s="490"/>
      <c r="BV164" s="490"/>
      <c r="BW164" s="490"/>
      <c r="BX164" s="490"/>
      <c r="BY164" s="490"/>
      <c r="BZ164" s="490"/>
      <c r="CA164" s="490"/>
      <c r="CB164" s="490"/>
      <c r="CC164" s="490"/>
      <c r="CD164" s="490"/>
      <c r="CE164" s="490"/>
      <c r="CF164" s="490"/>
      <c r="CG164" s="490"/>
      <c r="CH164" s="490"/>
      <c r="CI164" s="490"/>
      <c r="CJ164" s="490"/>
      <c r="CK164" s="490"/>
      <c r="CL164" s="490"/>
      <c r="CM164" s="490"/>
      <c r="CN164" s="490"/>
      <c r="CO164" s="490"/>
      <c r="CP164" s="490"/>
      <c r="CQ164" s="490"/>
      <c r="CR164" s="490"/>
      <c r="CS164" s="490"/>
      <c r="CT164" s="490"/>
      <c r="CU164" s="490"/>
      <c r="CV164" s="490"/>
      <c r="CW164" s="490"/>
      <c r="CX164" s="490"/>
      <c r="CY164" s="490"/>
      <c r="CZ164" s="490"/>
      <c r="DA164" s="490"/>
      <c r="DB164" s="490"/>
      <c r="DC164" s="490"/>
      <c r="DD164" s="490"/>
      <c r="DE164" s="490"/>
      <c r="DF164" s="490"/>
      <c r="DG164" s="490"/>
      <c r="DH164" s="490"/>
      <c r="DI164" s="490"/>
      <c r="DJ164" s="490"/>
      <c r="DK164" s="490"/>
      <c r="DL164" s="490"/>
      <c r="DM164" s="490"/>
      <c r="DN164" s="490"/>
      <c r="DO164" s="490"/>
      <c r="DP164" s="490"/>
      <c r="DQ164" s="490"/>
      <c r="DR164" s="490"/>
      <c r="DS164" s="490"/>
      <c r="DT164" s="490"/>
      <c r="DU164" s="490"/>
      <c r="DV164" s="490"/>
      <c r="DW164" s="490"/>
      <c r="DX164" s="490"/>
      <c r="DY164" s="490"/>
      <c r="DZ164" s="490"/>
      <c r="EA164" s="490"/>
      <c r="EB164" s="490"/>
      <c r="EC164" s="490"/>
      <c r="ED164" s="490"/>
      <c r="EE164" s="490"/>
      <c r="EF164" s="490"/>
      <c r="EG164" s="490"/>
      <c r="EH164" s="490"/>
      <c r="EI164" s="490"/>
      <c r="EJ164" s="490"/>
      <c r="EK164" s="490"/>
      <c r="EL164" s="490"/>
      <c r="EM164" s="490"/>
      <c r="EN164" s="490"/>
      <c r="EO164" s="490"/>
      <c r="EP164" s="490"/>
      <c r="EQ164" s="490"/>
      <c r="ER164" s="490"/>
      <c r="ES164" s="490"/>
      <c r="ET164" s="490"/>
      <c r="EU164" s="490"/>
      <c r="EV164" s="490"/>
      <c r="EW164" s="490"/>
      <c r="EX164" s="490"/>
      <c r="EY164" s="490"/>
      <c r="EZ164" s="490"/>
      <c r="FA164" s="490"/>
      <c r="FB164" s="490"/>
      <c r="FC164" s="490"/>
      <c r="FD164" s="490"/>
      <c r="FE164" s="490"/>
      <c r="FF164" s="490"/>
      <c r="FG164" s="490"/>
      <c r="FH164" s="490"/>
      <c r="FI164" s="490"/>
      <c r="FJ164" s="490"/>
      <c r="FK164" s="490"/>
      <c r="FL164" s="490"/>
      <c r="FM164" s="490"/>
    </row>
    <row r="165" s="492" customFormat="1" spans="1:170">
      <c r="A165" s="540"/>
      <c r="B165" s="515"/>
      <c r="C165" s="541"/>
      <c r="D165" s="515"/>
      <c r="E165" s="515"/>
      <c r="F165" s="515" t="s">
        <v>99</v>
      </c>
      <c r="G165" s="525">
        <v>0.99</v>
      </c>
      <c r="H165" s="525">
        <v>0.45</v>
      </c>
      <c r="I165" s="541" t="s">
        <v>22</v>
      </c>
      <c r="J165" s="525">
        <v>3.1</v>
      </c>
      <c r="K165" s="515"/>
      <c r="L165" s="515"/>
      <c r="M165" s="490"/>
      <c r="N165" s="490"/>
      <c r="O165" s="490"/>
      <c r="P165" s="490"/>
      <c r="Q165" s="490"/>
      <c r="R165" s="490"/>
      <c r="S165" s="490"/>
      <c r="T165" s="490"/>
      <c r="U165" s="490"/>
      <c r="V165" s="490"/>
      <c r="W165" s="490"/>
      <c r="X165" s="490"/>
      <c r="Y165" s="490"/>
      <c r="Z165" s="490"/>
      <c r="AA165" s="490"/>
      <c r="AB165" s="490"/>
      <c r="AC165" s="490"/>
      <c r="AD165" s="490"/>
      <c r="AE165" s="490"/>
      <c r="AF165" s="490"/>
      <c r="AG165" s="490"/>
      <c r="AH165" s="490"/>
      <c r="AI165" s="490"/>
      <c r="AJ165" s="490"/>
      <c r="AK165" s="490"/>
      <c r="AL165" s="490"/>
      <c r="AM165" s="490"/>
      <c r="AN165" s="490"/>
      <c r="AO165" s="490"/>
      <c r="AP165" s="490"/>
      <c r="AQ165" s="490"/>
      <c r="AR165" s="490"/>
      <c r="AS165" s="490"/>
      <c r="AT165" s="490"/>
      <c r="AU165" s="490"/>
      <c r="AV165" s="490"/>
      <c r="AW165" s="490"/>
      <c r="AX165" s="490"/>
      <c r="AY165" s="490"/>
      <c r="AZ165" s="490"/>
      <c r="BA165" s="490"/>
      <c r="BB165" s="490"/>
      <c r="BC165" s="490"/>
      <c r="BD165" s="490"/>
      <c r="BE165" s="490"/>
      <c r="BF165" s="490"/>
      <c r="BG165" s="490"/>
      <c r="BH165" s="490"/>
      <c r="BI165" s="490"/>
      <c r="BJ165" s="490"/>
      <c r="BK165" s="490"/>
      <c r="BL165" s="490"/>
      <c r="BM165" s="490"/>
      <c r="BN165" s="490"/>
      <c r="BO165" s="490"/>
      <c r="BP165" s="490"/>
      <c r="BQ165" s="490"/>
      <c r="BR165" s="490"/>
      <c r="BS165" s="490"/>
      <c r="BT165" s="490"/>
      <c r="BU165" s="490"/>
      <c r="BV165" s="490"/>
      <c r="BW165" s="490"/>
      <c r="BX165" s="490"/>
      <c r="BY165" s="490"/>
      <c r="BZ165" s="490"/>
      <c r="CA165" s="490"/>
      <c r="CB165" s="490"/>
      <c r="CC165" s="490"/>
      <c r="CD165" s="490"/>
      <c r="CE165" s="490"/>
      <c r="CF165" s="490"/>
      <c r="CG165" s="490"/>
      <c r="CH165" s="490"/>
      <c r="CI165" s="490"/>
      <c r="CJ165" s="490"/>
      <c r="CK165" s="490"/>
      <c r="CL165" s="490"/>
      <c r="CM165" s="490"/>
      <c r="CN165" s="490"/>
      <c r="CO165" s="490"/>
      <c r="CP165" s="490"/>
      <c r="CQ165" s="490"/>
      <c r="CR165" s="490"/>
      <c r="CS165" s="490"/>
      <c r="CT165" s="490"/>
      <c r="CU165" s="490"/>
      <c r="CV165" s="490"/>
      <c r="CW165" s="490"/>
      <c r="CX165" s="490"/>
      <c r="CY165" s="490"/>
      <c r="CZ165" s="490"/>
      <c r="DA165" s="490"/>
      <c r="DB165" s="490"/>
      <c r="DC165" s="490"/>
      <c r="DD165" s="490"/>
      <c r="DE165" s="490"/>
      <c r="DF165" s="490"/>
      <c r="DG165" s="490"/>
      <c r="DH165" s="490"/>
      <c r="DI165" s="490"/>
      <c r="DJ165" s="490"/>
      <c r="DK165" s="490"/>
      <c r="DL165" s="490"/>
      <c r="DM165" s="490"/>
      <c r="DN165" s="490"/>
      <c r="DO165" s="490"/>
      <c r="DP165" s="490"/>
      <c r="DQ165" s="490"/>
      <c r="DR165" s="490"/>
      <c r="DS165" s="490"/>
      <c r="DT165" s="490"/>
      <c r="DU165" s="490"/>
      <c r="DV165" s="490"/>
      <c r="DW165" s="490"/>
      <c r="DX165" s="490"/>
      <c r="DY165" s="490"/>
      <c r="DZ165" s="490"/>
      <c r="EA165" s="490"/>
      <c r="EB165" s="490"/>
      <c r="EC165" s="490"/>
      <c r="ED165" s="490"/>
      <c r="EE165" s="490"/>
      <c r="EF165" s="490"/>
      <c r="EG165" s="490"/>
      <c r="EH165" s="490"/>
      <c r="EI165" s="490"/>
      <c r="EJ165" s="490"/>
      <c r="EK165" s="490"/>
      <c r="EL165" s="490"/>
      <c r="EM165" s="490"/>
      <c r="EN165" s="490"/>
      <c r="EO165" s="490"/>
      <c r="EP165" s="490"/>
      <c r="EQ165" s="490"/>
      <c r="ER165" s="490"/>
      <c r="ES165" s="490"/>
      <c r="ET165" s="490"/>
      <c r="EU165" s="490"/>
      <c r="EV165" s="490"/>
      <c r="EW165" s="490"/>
      <c r="EX165" s="490"/>
      <c r="EY165" s="490"/>
      <c r="EZ165" s="490"/>
      <c r="FA165" s="490"/>
      <c r="FB165" s="490"/>
      <c r="FC165" s="490"/>
      <c r="FD165" s="490"/>
      <c r="FE165" s="490"/>
      <c r="FF165" s="490"/>
      <c r="FG165" s="490"/>
      <c r="FH165" s="490"/>
      <c r="FI165" s="490"/>
      <c r="FJ165" s="490"/>
      <c r="FK165" s="490"/>
      <c r="FL165" s="490"/>
      <c r="FM165" s="490"/>
    </row>
    <row r="166" s="492" customFormat="1" spans="1:170">
      <c r="A166" s="540">
        <v>46105</v>
      </c>
      <c r="B166" s="515" t="s">
        <v>761</v>
      </c>
      <c r="C166" s="541">
        <v>10</v>
      </c>
      <c r="D166" s="515" t="s">
        <v>649</v>
      </c>
      <c r="E166" s="515" t="s">
        <v>33</v>
      </c>
      <c r="F166" s="515" t="s">
        <v>73</v>
      </c>
      <c r="G166" s="525">
        <v>0.62</v>
      </c>
      <c r="H166" s="525">
        <v>9</v>
      </c>
      <c r="I166" s="541" t="s">
        <v>17</v>
      </c>
      <c r="J166" s="525">
        <v>1.7</v>
      </c>
      <c r="K166" s="515" t="s">
        <v>713</v>
      </c>
      <c r="L166" s="515"/>
      <c r="M166" s="490"/>
      <c r="N166" s="490"/>
      <c r="O166" s="490"/>
      <c r="P166" s="490"/>
      <c r="Q166" s="490"/>
      <c r="R166" s="490"/>
      <c r="S166" s="490"/>
      <c r="T166" s="490"/>
      <c r="U166" s="490"/>
      <c r="V166" s="490"/>
      <c r="W166" s="490"/>
      <c r="X166" s="490"/>
      <c r="Y166" s="490"/>
      <c r="Z166" s="490"/>
      <c r="AA166" s="490"/>
      <c r="AB166" s="490"/>
      <c r="AC166" s="490"/>
      <c r="AD166" s="490"/>
      <c r="AE166" s="490"/>
      <c r="AF166" s="490"/>
      <c r="AG166" s="490"/>
      <c r="AH166" s="490"/>
      <c r="AI166" s="490"/>
      <c r="AJ166" s="490"/>
      <c r="AK166" s="490"/>
      <c r="AL166" s="490"/>
      <c r="AM166" s="490"/>
      <c r="AN166" s="490"/>
      <c r="AO166" s="490"/>
      <c r="AP166" s="490"/>
      <c r="AQ166" s="490"/>
      <c r="AR166" s="490"/>
      <c r="AS166" s="490"/>
      <c r="AT166" s="490"/>
      <c r="AU166" s="490"/>
      <c r="AV166" s="490"/>
      <c r="AW166" s="490"/>
      <c r="AX166" s="490"/>
      <c r="AY166" s="490"/>
      <c r="AZ166" s="490"/>
      <c r="BA166" s="490"/>
      <c r="BB166" s="490"/>
      <c r="BC166" s="490"/>
      <c r="BD166" s="490"/>
      <c r="BE166" s="490"/>
      <c r="BF166" s="490"/>
      <c r="BG166" s="490"/>
      <c r="BH166" s="490"/>
      <c r="BI166" s="490"/>
      <c r="BJ166" s="490"/>
      <c r="BK166" s="490"/>
      <c r="BL166" s="490"/>
      <c r="BM166" s="490"/>
      <c r="BN166" s="490"/>
      <c r="BO166" s="490"/>
      <c r="BP166" s="490"/>
      <c r="BQ166" s="490"/>
      <c r="BR166" s="490"/>
      <c r="BS166" s="490"/>
      <c r="BT166" s="490"/>
      <c r="BU166" s="490"/>
      <c r="BV166" s="490"/>
      <c r="BW166" s="490"/>
      <c r="BX166" s="490"/>
      <c r="BY166" s="490"/>
      <c r="BZ166" s="490"/>
      <c r="CA166" s="490"/>
      <c r="CB166" s="490"/>
      <c r="CC166" s="490"/>
      <c r="CD166" s="490"/>
      <c r="CE166" s="490"/>
      <c r="CF166" s="490"/>
      <c r="CG166" s="490"/>
      <c r="CH166" s="490"/>
      <c r="CI166" s="490"/>
      <c r="CJ166" s="490"/>
      <c r="CK166" s="490"/>
      <c r="CL166" s="490"/>
      <c r="CM166" s="490"/>
      <c r="CN166" s="490"/>
      <c r="CO166" s="490"/>
      <c r="CP166" s="490"/>
      <c r="CQ166" s="490"/>
      <c r="CR166" s="490"/>
      <c r="CS166" s="490"/>
      <c r="CT166" s="490"/>
      <c r="CU166" s="490"/>
      <c r="CV166" s="490"/>
      <c r="CW166" s="490"/>
      <c r="CX166" s="490"/>
      <c r="CY166" s="490"/>
      <c r="CZ166" s="490"/>
      <c r="DA166" s="490"/>
      <c r="DB166" s="490"/>
      <c r="DC166" s="490"/>
      <c r="DD166" s="490"/>
      <c r="DE166" s="490"/>
      <c r="DF166" s="490"/>
      <c r="DG166" s="490"/>
      <c r="DH166" s="490"/>
      <c r="DI166" s="490"/>
      <c r="DJ166" s="490"/>
      <c r="DK166" s="490"/>
      <c r="DL166" s="490"/>
      <c r="DM166" s="490"/>
      <c r="DN166" s="490"/>
      <c r="DO166" s="490"/>
      <c r="DP166" s="490"/>
      <c r="DQ166" s="490"/>
      <c r="DR166" s="490"/>
      <c r="DS166" s="490"/>
      <c r="DT166" s="490"/>
      <c r="DU166" s="490"/>
      <c r="DV166" s="490"/>
      <c r="DW166" s="490"/>
      <c r="DX166" s="490"/>
      <c r="DY166" s="490"/>
      <c r="DZ166" s="490"/>
      <c r="EA166" s="490"/>
      <c r="EB166" s="490"/>
      <c r="EC166" s="490"/>
      <c r="ED166" s="490"/>
      <c r="EE166" s="490"/>
      <c r="EF166" s="490"/>
      <c r="EG166" s="490"/>
      <c r="EH166" s="490"/>
      <c r="EI166" s="490"/>
      <c r="EJ166" s="490"/>
      <c r="EK166" s="490"/>
      <c r="EL166" s="490"/>
      <c r="EM166" s="490"/>
      <c r="EN166" s="490"/>
      <c r="EO166" s="490"/>
      <c r="EP166" s="490"/>
      <c r="EQ166" s="490"/>
      <c r="ER166" s="490"/>
      <c r="ES166" s="490"/>
      <c r="ET166" s="490"/>
      <c r="EU166" s="490"/>
      <c r="EV166" s="490"/>
      <c r="EW166" s="490"/>
      <c r="EX166" s="490"/>
      <c r="EY166" s="490"/>
      <c r="EZ166" s="490"/>
      <c r="FA166" s="490"/>
      <c r="FB166" s="490"/>
      <c r="FC166" s="490"/>
      <c r="FD166" s="490"/>
      <c r="FE166" s="490"/>
      <c r="FF166" s="490"/>
      <c r="FG166" s="490"/>
      <c r="FH166" s="490"/>
      <c r="FI166" s="490"/>
      <c r="FJ166" s="490"/>
      <c r="FK166" s="490"/>
      <c r="FL166" s="490"/>
      <c r="FM166" s="490"/>
    </row>
    <row r="167" s="492" customFormat="1" spans="1:170">
      <c r="A167" s="540"/>
      <c r="B167" s="515"/>
      <c r="C167" s="541"/>
      <c r="D167" s="515"/>
      <c r="E167" s="515"/>
      <c r="F167" s="515" t="s">
        <v>75</v>
      </c>
      <c r="G167" s="525">
        <v>0.86</v>
      </c>
      <c r="H167" s="525">
        <v>0.3</v>
      </c>
      <c r="I167" s="541" t="s">
        <v>22</v>
      </c>
      <c r="J167" s="525">
        <v>1.9</v>
      </c>
      <c r="K167" s="515"/>
      <c r="L167" s="515"/>
      <c r="M167" s="490"/>
      <c r="N167" s="490"/>
      <c r="O167" s="490"/>
      <c r="P167" s="490"/>
      <c r="Q167" s="490"/>
      <c r="R167" s="490"/>
      <c r="S167" s="490"/>
      <c r="T167" s="490"/>
      <c r="U167" s="490"/>
      <c r="V167" s="490"/>
      <c r="W167" s="490"/>
      <c r="X167" s="490"/>
      <c r="Y167" s="490"/>
      <c r="Z167" s="490"/>
      <c r="AA167" s="490"/>
      <c r="AB167" s="490"/>
      <c r="AC167" s="490"/>
      <c r="AD167" s="490"/>
      <c r="AE167" s="490"/>
      <c r="AF167" s="490"/>
      <c r="AG167" s="490"/>
      <c r="AH167" s="490"/>
      <c r="AI167" s="490"/>
      <c r="AJ167" s="490"/>
      <c r="AK167" s="490"/>
      <c r="AL167" s="490"/>
      <c r="AM167" s="490"/>
      <c r="AN167" s="490"/>
      <c r="AO167" s="490"/>
      <c r="AP167" s="490"/>
      <c r="AQ167" s="490"/>
      <c r="AR167" s="490"/>
      <c r="AS167" s="490"/>
      <c r="AT167" s="490"/>
      <c r="AU167" s="490"/>
      <c r="AV167" s="490"/>
      <c r="AW167" s="490"/>
      <c r="AX167" s="490"/>
      <c r="AY167" s="490"/>
      <c r="AZ167" s="490"/>
      <c r="BA167" s="490"/>
      <c r="BB167" s="490"/>
      <c r="BC167" s="490"/>
      <c r="BD167" s="490"/>
      <c r="BE167" s="490"/>
      <c r="BF167" s="490"/>
      <c r="BG167" s="490"/>
      <c r="BH167" s="490"/>
      <c r="BI167" s="490"/>
      <c r="BJ167" s="490"/>
      <c r="BK167" s="490"/>
      <c r="BL167" s="490"/>
      <c r="BM167" s="490"/>
      <c r="BN167" s="490"/>
      <c r="BO167" s="490"/>
      <c r="BP167" s="490"/>
      <c r="BQ167" s="490"/>
      <c r="BR167" s="490"/>
      <c r="BS167" s="490"/>
      <c r="BT167" s="490"/>
      <c r="BU167" s="490"/>
      <c r="BV167" s="490"/>
      <c r="BW167" s="490"/>
      <c r="BX167" s="490"/>
      <c r="BY167" s="490"/>
      <c r="BZ167" s="490"/>
      <c r="CA167" s="490"/>
      <c r="CB167" s="490"/>
      <c r="CC167" s="490"/>
      <c r="CD167" s="490"/>
      <c r="CE167" s="490"/>
      <c r="CF167" s="490"/>
      <c r="CG167" s="490"/>
      <c r="CH167" s="490"/>
      <c r="CI167" s="490"/>
      <c r="CJ167" s="490"/>
      <c r="CK167" s="490"/>
      <c r="CL167" s="490"/>
      <c r="CM167" s="490"/>
      <c r="CN167" s="490"/>
      <c r="CO167" s="490"/>
      <c r="CP167" s="490"/>
      <c r="CQ167" s="490"/>
      <c r="CR167" s="490"/>
      <c r="CS167" s="490"/>
      <c r="CT167" s="490"/>
      <c r="CU167" s="490"/>
      <c r="CV167" s="490"/>
      <c r="CW167" s="490"/>
      <c r="CX167" s="490"/>
      <c r="CY167" s="490"/>
      <c r="CZ167" s="490"/>
      <c r="DA167" s="490"/>
      <c r="DB167" s="490"/>
      <c r="DC167" s="490"/>
      <c r="DD167" s="490"/>
      <c r="DE167" s="490"/>
      <c r="DF167" s="490"/>
      <c r="DG167" s="490"/>
      <c r="DH167" s="490"/>
      <c r="DI167" s="490"/>
      <c r="DJ167" s="490"/>
      <c r="DK167" s="490"/>
      <c r="DL167" s="490"/>
      <c r="DM167" s="490"/>
      <c r="DN167" s="490"/>
      <c r="DO167" s="490"/>
      <c r="DP167" s="490"/>
      <c r="DQ167" s="490"/>
      <c r="DR167" s="490"/>
      <c r="DS167" s="490"/>
      <c r="DT167" s="490"/>
      <c r="DU167" s="490"/>
      <c r="DV167" s="490"/>
      <c r="DW167" s="490"/>
      <c r="DX167" s="490"/>
      <c r="DY167" s="490"/>
      <c r="DZ167" s="490"/>
      <c r="EA167" s="490"/>
      <c r="EB167" s="490"/>
      <c r="EC167" s="490"/>
      <c r="ED167" s="490"/>
      <c r="EE167" s="490"/>
      <c r="EF167" s="490"/>
      <c r="EG167" s="490"/>
      <c r="EH167" s="490"/>
      <c r="EI167" s="490"/>
      <c r="EJ167" s="490"/>
      <c r="EK167" s="490"/>
      <c r="EL167" s="490"/>
      <c r="EM167" s="490"/>
      <c r="EN167" s="490"/>
      <c r="EO167" s="490"/>
      <c r="EP167" s="490"/>
      <c r="EQ167" s="490"/>
      <c r="ER167" s="490"/>
      <c r="ES167" s="490"/>
      <c r="ET167" s="490"/>
      <c r="EU167" s="490"/>
      <c r="EV167" s="490"/>
      <c r="EW167" s="490"/>
      <c r="EX167" s="490"/>
      <c r="EY167" s="490"/>
      <c r="EZ167" s="490"/>
      <c r="FA167" s="490"/>
      <c r="FB167" s="490"/>
      <c r="FC167" s="490"/>
      <c r="FD167" s="490"/>
      <c r="FE167" s="490"/>
      <c r="FF167" s="490"/>
      <c r="FG167" s="490"/>
      <c r="FH167" s="490"/>
      <c r="FI167" s="490"/>
      <c r="FJ167" s="490"/>
      <c r="FK167" s="490"/>
      <c r="FL167" s="490"/>
      <c r="FM167" s="490"/>
    </row>
    <row r="168" s="492" customFormat="1" spans="1:170">
      <c r="A168" s="540"/>
      <c r="B168" s="515"/>
      <c r="C168" s="541"/>
      <c r="D168" s="515"/>
      <c r="E168" s="515"/>
      <c r="F168" s="515" t="s">
        <v>91</v>
      </c>
      <c r="G168" s="525">
        <v>1.36</v>
      </c>
      <c r="H168" s="525">
        <v>0.7</v>
      </c>
      <c r="I168" s="541" t="s">
        <v>24</v>
      </c>
      <c r="J168" s="525" t="s">
        <v>24</v>
      </c>
      <c r="K168" s="515"/>
      <c r="L168" s="515"/>
      <c r="M168" s="490"/>
      <c r="N168" s="490"/>
      <c r="O168" s="490"/>
      <c r="P168" s="490"/>
      <c r="Q168" s="490"/>
      <c r="R168" s="490"/>
      <c r="S168" s="490"/>
      <c r="T168" s="490"/>
      <c r="U168" s="490"/>
      <c r="V168" s="490"/>
      <c r="W168" s="490"/>
      <c r="X168" s="490"/>
      <c r="Y168" s="490"/>
      <c r="Z168" s="490"/>
      <c r="AA168" s="490"/>
      <c r="AB168" s="490"/>
      <c r="AC168" s="490"/>
      <c r="AD168" s="490"/>
      <c r="AE168" s="490"/>
      <c r="AF168" s="490"/>
      <c r="AG168" s="490"/>
      <c r="AH168" s="490"/>
      <c r="AI168" s="490"/>
      <c r="AJ168" s="490"/>
      <c r="AK168" s="490"/>
      <c r="AL168" s="490"/>
      <c r="AM168" s="490"/>
      <c r="AN168" s="490"/>
      <c r="AO168" s="490"/>
      <c r="AP168" s="490"/>
      <c r="AQ168" s="490"/>
      <c r="AR168" s="490"/>
      <c r="AS168" s="490"/>
      <c r="AT168" s="490"/>
      <c r="AU168" s="490"/>
      <c r="AV168" s="490"/>
      <c r="AW168" s="490"/>
      <c r="AX168" s="490"/>
      <c r="AY168" s="490"/>
      <c r="AZ168" s="490"/>
      <c r="BA168" s="490"/>
      <c r="BB168" s="490"/>
      <c r="BC168" s="490"/>
      <c r="BD168" s="490"/>
      <c r="BE168" s="490"/>
      <c r="BF168" s="490"/>
      <c r="BG168" s="490"/>
      <c r="BH168" s="490"/>
      <c r="BI168" s="490"/>
      <c r="BJ168" s="490"/>
      <c r="BK168" s="490"/>
      <c r="BL168" s="490"/>
      <c r="BM168" s="490"/>
      <c r="BN168" s="490"/>
      <c r="BO168" s="490"/>
      <c r="BP168" s="490"/>
      <c r="BQ168" s="490"/>
      <c r="BR168" s="490"/>
      <c r="BS168" s="490"/>
      <c r="BT168" s="490"/>
      <c r="BU168" s="490"/>
      <c r="BV168" s="490"/>
      <c r="BW168" s="490"/>
      <c r="BX168" s="490"/>
      <c r="BY168" s="490"/>
      <c r="BZ168" s="490"/>
      <c r="CA168" s="490"/>
      <c r="CB168" s="490"/>
      <c r="CC168" s="490"/>
      <c r="CD168" s="490"/>
      <c r="CE168" s="490"/>
      <c r="CF168" s="490"/>
      <c r="CG168" s="490"/>
      <c r="CH168" s="490"/>
      <c r="CI168" s="490"/>
      <c r="CJ168" s="490"/>
      <c r="CK168" s="490"/>
      <c r="CL168" s="490"/>
      <c r="CM168" s="490"/>
      <c r="CN168" s="490"/>
      <c r="CO168" s="490"/>
      <c r="CP168" s="490"/>
      <c r="CQ168" s="490"/>
      <c r="CR168" s="490"/>
      <c r="CS168" s="490"/>
      <c r="CT168" s="490"/>
      <c r="CU168" s="490"/>
      <c r="CV168" s="490"/>
      <c r="CW168" s="490"/>
      <c r="CX168" s="490"/>
      <c r="CY168" s="490"/>
      <c r="CZ168" s="490"/>
      <c r="DA168" s="490"/>
      <c r="DB168" s="490"/>
      <c r="DC168" s="490"/>
      <c r="DD168" s="490"/>
      <c r="DE168" s="490"/>
      <c r="DF168" s="490"/>
      <c r="DG168" s="490"/>
      <c r="DH168" s="490"/>
      <c r="DI168" s="490"/>
      <c r="DJ168" s="490"/>
      <c r="DK168" s="490"/>
      <c r="DL168" s="490"/>
      <c r="DM168" s="490"/>
      <c r="DN168" s="490"/>
      <c r="DO168" s="490"/>
      <c r="DP168" s="490"/>
      <c r="DQ168" s="490"/>
      <c r="DR168" s="490"/>
      <c r="DS168" s="490"/>
      <c r="DT168" s="490"/>
      <c r="DU168" s="490"/>
      <c r="DV168" s="490"/>
      <c r="DW168" s="490"/>
      <c r="DX168" s="490"/>
      <c r="DY168" s="490"/>
      <c r="DZ168" s="490"/>
      <c r="EA168" s="490"/>
      <c r="EB168" s="490"/>
      <c r="EC168" s="490"/>
      <c r="ED168" s="490"/>
      <c r="EE168" s="490"/>
      <c r="EF168" s="490"/>
      <c r="EG168" s="490"/>
      <c r="EH168" s="490"/>
      <c r="EI168" s="490"/>
      <c r="EJ168" s="490"/>
      <c r="EK168" s="490"/>
      <c r="EL168" s="490"/>
      <c r="EM168" s="490"/>
      <c r="EN168" s="490"/>
      <c r="EO168" s="490"/>
      <c r="EP168" s="490"/>
      <c r="EQ168" s="490"/>
      <c r="ER168" s="490"/>
      <c r="ES168" s="490"/>
      <c r="ET168" s="490"/>
      <c r="EU168" s="490"/>
      <c r="EV168" s="490"/>
      <c r="EW168" s="490"/>
      <c r="EX168" s="490"/>
      <c r="EY168" s="490"/>
      <c r="EZ168" s="490"/>
      <c r="FA168" s="490"/>
      <c r="FB168" s="490"/>
      <c r="FC168" s="490"/>
      <c r="FD168" s="490"/>
      <c r="FE168" s="490"/>
      <c r="FF168" s="490"/>
      <c r="FG168" s="490"/>
      <c r="FH168" s="490"/>
      <c r="FI168" s="490"/>
      <c r="FJ168" s="490"/>
      <c r="FK168" s="490"/>
      <c r="FL168" s="490"/>
      <c r="FM168" s="490"/>
    </row>
    <row r="169" s="492" customFormat="1" spans="1:170">
      <c r="A169" s="540">
        <v>46106</v>
      </c>
      <c r="B169" s="515" t="s">
        <v>762</v>
      </c>
      <c r="C169" s="541">
        <v>4</v>
      </c>
      <c r="D169" s="515" t="s">
        <v>33</v>
      </c>
      <c r="E169" s="515" t="s">
        <v>14</v>
      </c>
      <c r="F169" s="515" t="s">
        <v>73</v>
      </c>
      <c r="G169" s="525">
        <v>1.42</v>
      </c>
      <c r="H169" s="525">
        <v>3.36</v>
      </c>
      <c r="I169" s="541" t="s">
        <v>17</v>
      </c>
      <c r="J169" s="525">
        <v>2.2</v>
      </c>
      <c r="K169" s="515" t="s">
        <v>633</v>
      </c>
      <c r="L169" s="515"/>
      <c r="M169" s="490"/>
      <c r="N169" s="490"/>
      <c r="O169" s="490"/>
      <c r="P169" s="490"/>
      <c r="Q169" s="490"/>
      <c r="R169" s="490"/>
      <c r="S169" s="490"/>
      <c r="T169" s="490"/>
      <c r="U169" s="490"/>
      <c r="V169" s="490"/>
      <c r="W169" s="490"/>
      <c r="X169" s="490"/>
      <c r="Y169" s="490"/>
      <c r="Z169" s="490"/>
      <c r="AA169" s="490"/>
      <c r="AB169" s="490"/>
      <c r="AC169" s="490"/>
      <c r="AD169" s="490"/>
      <c r="AE169" s="490"/>
      <c r="AF169" s="490"/>
      <c r="AG169" s="490"/>
      <c r="AH169" s="490"/>
      <c r="AI169" s="490"/>
      <c r="AJ169" s="490"/>
      <c r="AK169" s="490"/>
      <c r="AL169" s="490"/>
      <c r="AM169" s="490"/>
      <c r="AN169" s="490"/>
      <c r="AO169" s="490"/>
      <c r="AP169" s="490"/>
      <c r="AQ169" s="490"/>
      <c r="AR169" s="490"/>
      <c r="AS169" s="490"/>
      <c r="AT169" s="490"/>
      <c r="AU169" s="490"/>
      <c r="AV169" s="490"/>
      <c r="AW169" s="490"/>
      <c r="AX169" s="490"/>
      <c r="AY169" s="490"/>
      <c r="AZ169" s="490"/>
      <c r="BA169" s="490"/>
      <c r="BB169" s="490"/>
      <c r="BC169" s="490"/>
      <c r="BD169" s="490"/>
      <c r="BE169" s="490"/>
      <c r="BF169" s="490"/>
      <c r="BG169" s="490"/>
      <c r="BH169" s="490"/>
      <c r="BI169" s="490"/>
      <c r="BJ169" s="490"/>
      <c r="BK169" s="490"/>
      <c r="BL169" s="490"/>
      <c r="BM169" s="490"/>
      <c r="BN169" s="490"/>
      <c r="BO169" s="490"/>
      <c r="BP169" s="490"/>
      <c r="BQ169" s="490"/>
      <c r="BR169" s="490"/>
      <c r="BS169" s="490"/>
      <c r="BT169" s="490"/>
      <c r="BU169" s="490"/>
      <c r="BV169" s="490"/>
      <c r="BW169" s="490"/>
      <c r="BX169" s="490"/>
      <c r="BY169" s="490"/>
      <c r="BZ169" s="490"/>
      <c r="CA169" s="490"/>
      <c r="CB169" s="490"/>
      <c r="CC169" s="490"/>
      <c r="CD169" s="490"/>
      <c r="CE169" s="490"/>
      <c r="CF169" s="490"/>
      <c r="CG169" s="490"/>
      <c r="CH169" s="490"/>
      <c r="CI169" s="490"/>
      <c r="CJ169" s="490"/>
      <c r="CK169" s="490"/>
      <c r="CL169" s="490"/>
      <c r="CM169" s="490"/>
      <c r="CN169" s="490"/>
      <c r="CO169" s="490"/>
      <c r="CP169" s="490"/>
      <c r="CQ169" s="490"/>
      <c r="CR169" s="490"/>
      <c r="CS169" s="490"/>
      <c r="CT169" s="490"/>
      <c r="CU169" s="490"/>
      <c r="CV169" s="490"/>
      <c r="CW169" s="490"/>
      <c r="CX169" s="490"/>
      <c r="CY169" s="490"/>
      <c r="CZ169" s="490"/>
      <c r="DA169" s="490"/>
      <c r="DB169" s="490"/>
      <c r="DC169" s="490"/>
      <c r="DD169" s="490"/>
      <c r="DE169" s="490"/>
      <c r="DF169" s="490"/>
      <c r="DG169" s="490"/>
      <c r="DH169" s="490"/>
      <c r="DI169" s="490"/>
      <c r="DJ169" s="490"/>
      <c r="DK169" s="490"/>
      <c r="DL169" s="490"/>
      <c r="DM169" s="490"/>
      <c r="DN169" s="490"/>
      <c r="DO169" s="490"/>
      <c r="DP169" s="490"/>
      <c r="DQ169" s="490"/>
      <c r="DR169" s="490"/>
      <c r="DS169" s="490"/>
      <c r="DT169" s="490"/>
      <c r="DU169" s="490"/>
      <c r="DV169" s="490"/>
      <c r="DW169" s="490"/>
      <c r="DX169" s="490"/>
      <c r="DY169" s="490"/>
      <c r="DZ169" s="490"/>
      <c r="EA169" s="490"/>
      <c r="EB169" s="490"/>
      <c r="EC169" s="490"/>
      <c r="ED169" s="490"/>
      <c r="EE169" s="490"/>
      <c r="EF169" s="490"/>
      <c r="EG169" s="490"/>
      <c r="EH169" s="490"/>
      <c r="EI169" s="490"/>
      <c r="EJ169" s="490"/>
      <c r="EK169" s="490"/>
      <c r="EL169" s="490"/>
      <c r="EM169" s="490"/>
      <c r="EN169" s="490"/>
      <c r="EO169" s="490"/>
      <c r="EP169" s="490"/>
      <c r="EQ169" s="490"/>
      <c r="ER169" s="490"/>
      <c r="ES169" s="490"/>
      <c r="ET169" s="490"/>
      <c r="EU169" s="490"/>
      <c r="EV169" s="490"/>
      <c r="EW169" s="490"/>
      <c r="EX169" s="490"/>
      <c r="EY169" s="490"/>
      <c r="EZ169" s="490"/>
      <c r="FA169" s="490"/>
      <c r="FB169" s="490"/>
      <c r="FC169" s="490"/>
      <c r="FD169" s="490"/>
      <c r="FE169" s="490"/>
      <c r="FF169" s="490"/>
      <c r="FG169" s="490"/>
      <c r="FH169" s="490"/>
      <c r="FI169" s="490"/>
      <c r="FJ169" s="490"/>
      <c r="FK169" s="490"/>
      <c r="FL169" s="490"/>
      <c r="FM169" s="490"/>
    </row>
    <row r="170" s="492" customFormat="1" spans="1:170">
      <c r="A170" s="540"/>
      <c r="B170" s="515"/>
      <c r="C170" s="541"/>
      <c r="D170" s="515"/>
      <c r="E170" s="515"/>
      <c r="F170" s="515" t="s">
        <v>75</v>
      </c>
      <c r="G170" s="525">
        <v>1.51</v>
      </c>
      <c r="H170" s="525">
        <v>0.16</v>
      </c>
      <c r="I170" s="541" t="s">
        <v>22</v>
      </c>
      <c r="J170" s="525">
        <v>2.7</v>
      </c>
      <c r="K170" s="515"/>
      <c r="L170" s="515"/>
      <c r="M170" s="490"/>
      <c r="N170" s="490"/>
      <c r="O170" s="490"/>
      <c r="P170" s="490"/>
      <c r="Q170" s="490"/>
      <c r="R170" s="490"/>
      <c r="S170" s="490"/>
      <c r="T170" s="490"/>
      <c r="U170" s="490"/>
      <c r="V170" s="490"/>
      <c r="W170" s="490"/>
      <c r="X170" s="490"/>
      <c r="Y170" s="490"/>
      <c r="Z170" s="490"/>
      <c r="AA170" s="490"/>
      <c r="AB170" s="490"/>
      <c r="AC170" s="490"/>
      <c r="AD170" s="490"/>
      <c r="AE170" s="490"/>
      <c r="AF170" s="490"/>
      <c r="AG170" s="490"/>
      <c r="AH170" s="490"/>
      <c r="AI170" s="490"/>
      <c r="AJ170" s="490"/>
      <c r="AK170" s="490"/>
      <c r="AL170" s="490"/>
      <c r="AM170" s="490"/>
      <c r="AN170" s="490"/>
      <c r="AO170" s="490"/>
      <c r="AP170" s="490"/>
      <c r="AQ170" s="490"/>
      <c r="AR170" s="490"/>
      <c r="AS170" s="490"/>
      <c r="AT170" s="490"/>
      <c r="AU170" s="490"/>
      <c r="AV170" s="490"/>
      <c r="AW170" s="490"/>
      <c r="AX170" s="490"/>
      <c r="AY170" s="490"/>
      <c r="AZ170" s="490"/>
      <c r="BA170" s="490"/>
      <c r="BB170" s="490"/>
      <c r="BC170" s="490"/>
      <c r="BD170" s="490"/>
      <c r="BE170" s="490"/>
      <c r="BF170" s="490"/>
      <c r="BG170" s="490"/>
      <c r="BH170" s="490"/>
      <c r="BI170" s="490"/>
      <c r="BJ170" s="490"/>
      <c r="BK170" s="490"/>
      <c r="BL170" s="490"/>
      <c r="BM170" s="490"/>
      <c r="BN170" s="490"/>
      <c r="BO170" s="490"/>
      <c r="BP170" s="490"/>
      <c r="BQ170" s="490"/>
      <c r="BR170" s="490"/>
      <c r="BS170" s="490"/>
      <c r="BT170" s="490"/>
      <c r="BU170" s="490"/>
      <c r="BV170" s="490"/>
      <c r="BW170" s="490"/>
      <c r="BX170" s="490"/>
      <c r="BY170" s="490"/>
      <c r="BZ170" s="490"/>
      <c r="CA170" s="490"/>
      <c r="CB170" s="490"/>
      <c r="CC170" s="490"/>
      <c r="CD170" s="490"/>
      <c r="CE170" s="490"/>
      <c r="CF170" s="490"/>
      <c r="CG170" s="490"/>
      <c r="CH170" s="490"/>
      <c r="CI170" s="490"/>
      <c r="CJ170" s="490"/>
      <c r="CK170" s="490"/>
      <c r="CL170" s="490"/>
      <c r="CM170" s="490"/>
      <c r="CN170" s="490"/>
      <c r="CO170" s="490"/>
      <c r="CP170" s="490"/>
      <c r="CQ170" s="490"/>
      <c r="CR170" s="490"/>
      <c r="CS170" s="490"/>
      <c r="CT170" s="490"/>
      <c r="CU170" s="490"/>
      <c r="CV170" s="490"/>
      <c r="CW170" s="490"/>
      <c r="CX170" s="490"/>
      <c r="CY170" s="490"/>
      <c r="CZ170" s="490"/>
      <c r="DA170" s="490"/>
      <c r="DB170" s="490"/>
      <c r="DC170" s="490"/>
      <c r="DD170" s="490"/>
      <c r="DE170" s="490"/>
      <c r="DF170" s="490"/>
      <c r="DG170" s="490"/>
      <c r="DH170" s="490"/>
      <c r="DI170" s="490"/>
      <c r="DJ170" s="490"/>
      <c r="DK170" s="490"/>
      <c r="DL170" s="490"/>
      <c r="DM170" s="490"/>
      <c r="DN170" s="490"/>
      <c r="DO170" s="490"/>
      <c r="DP170" s="490"/>
      <c r="DQ170" s="490"/>
      <c r="DR170" s="490"/>
      <c r="DS170" s="490"/>
      <c r="DT170" s="490"/>
      <c r="DU170" s="490"/>
      <c r="DV170" s="490"/>
      <c r="DW170" s="490"/>
      <c r="DX170" s="490"/>
      <c r="DY170" s="490"/>
      <c r="DZ170" s="490"/>
      <c r="EA170" s="490"/>
      <c r="EB170" s="490"/>
      <c r="EC170" s="490"/>
      <c r="ED170" s="490"/>
      <c r="EE170" s="490"/>
      <c r="EF170" s="490"/>
      <c r="EG170" s="490"/>
      <c r="EH170" s="490"/>
      <c r="EI170" s="490"/>
      <c r="EJ170" s="490"/>
      <c r="EK170" s="490"/>
      <c r="EL170" s="490"/>
      <c r="EM170" s="490"/>
      <c r="EN170" s="490"/>
      <c r="EO170" s="490"/>
      <c r="EP170" s="490"/>
      <c r="EQ170" s="490"/>
      <c r="ER170" s="490"/>
      <c r="ES170" s="490"/>
      <c r="ET170" s="490"/>
      <c r="EU170" s="490"/>
      <c r="EV170" s="490"/>
      <c r="EW170" s="490"/>
      <c r="EX170" s="490"/>
      <c r="EY170" s="490"/>
      <c r="EZ170" s="490"/>
      <c r="FA170" s="490"/>
      <c r="FB170" s="490"/>
      <c r="FC170" s="490"/>
      <c r="FD170" s="490"/>
      <c r="FE170" s="490"/>
      <c r="FF170" s="490"/>
      <c r="FG170" s="490"/>
      <c r="FH170" s="490"/>
      <c r="FI170" s="490"/>
      <c r="FJ170" s="490"/>
      <c r="FK170" s="490"/>
      <c r="FL170" s="490"/>
      <c r="FM170" s="490"/>
    </row>
    <row r="171" s="492" customFormat="1" spans="1:170">
      <c r="A171" s="540"/>
      <c r="B171" s="515"/>
      <c r="C171" s="541"/>
      <c r="D171" s="515"/>
      <c r="E171" s="515"/>
      <c r="F171" s="515" t="s">
        <v>91</v>
      </c>
      <c r="G171" s="525">
        <v>2.59</v>
      </c>
      <c r="H171" s="525">
        <v>0.48</v>
      </c>
      <c r="I171" s="541" t="s">
        <v>24</v>
      </c>
      <c r="J171" s="525" t="s">
        <v>24</v>
      </c>
      <c r="K171" s="515"/>
      <c r="L171" s="515"/>
      <c r="M171" s="490"/>
      <c r="N171" s="490"/>
      <c r="O171" s="490"/>
      <c r="P171" s="490"/>
      <c r="Q171" s="490"/>
      <c r="R171" s="490"/>
      <c r="S171" s="490"/>
      <c r="T171" s="490"/>
      <c r="U171" s="490"/>
      <c r="V171" s="490"/>
      <c r="W171" s="490"/>
      <c r="X171" s="490"/>
      <c r="Y171" s="490"/>
      <c r="Z171" s="490"/>
      <c r="AA171" s="490"/>
      <c r="AB171" s="490"/>
      <c r="AC171" s="490"/>
      <c r="AD171" s="490"/>
      <c r="AE171" s="490"/>
      <c r="AF171" s="490"/>
      <c r="AG171" s="490"/>
      <c r="AH171" s="490"/>
      <c r="AI171" s="490"/>
      <c r="AJ171" s="490"/>
      <c r="AK171" s="490"/>
      <c r="AL171" s="490"/>
      <c r="AM171" s="490"/>
      <c r="AN171" s="490"/>
      <c r="AO171" s="490"/>
      <c r="AP171" s="490"/>
      <c r="AQ171" s="490"/>
      <c r="AR171" s="490"/>
      <c r="AS171" s="490"/>
      <c r="AT171" s="490"/>
      <c r="AU171" s="490"/>
      <c r="AV171" s="490"/>
      <c r="AW171" s="490"/>
      <c r="AX171" s="490"/>
      <c r="AY171" s="490"/>
      <c r="AZ171" s="490"/>
      <c r="BA171" s="490"/>
      <c r="BB171" s="490"/>
      <c r="BC171" s="490"/>
      <c r="BD171" s="490"/>
      <c r="BE171" s="490"/>
      <c r="BF171" s="490"/>
      <c r="BG171" s="490"/>
      <c r="BH171" s="490"/>
      <c r="BI171" s="490"/>
      <c r="BJ171" s="490"/>
      <c r="BK171" s="490"/>
      <c r="BL171" s="490"/>
      <c r="BM171" s="490"/>
      <c r="BN171" s="490"/>
      <c r="BO171" s="490"/>
      <c r="BP171" s="490"/>
      <c r="BQ171" s="490"/>
      <c r="BR171" s="490"/>
      <c r="BS171" s="490"/>
      <c r="BT171" s="490"/>
      <c r="BU171" s="490"/>
      <c r="BV171" s="490"/>
      <c r="BW171" s="490"/>
      <c r="BX171" s="490"/>
      <c r="BY171" s="490"/>
      <c r="BZ171" s="490"/>
      <c r="CA171" s="490"/>
      <c r="CB171" s="490"/>
      <c r="CC171" s="490"/>
      <c r="CD171" s="490"/>
      <c r="CE171" s="490"/>
      <c r="CF171" s="490"/>
      <c r="CG171" s="490"/>
      <c r="CH171" s="490"/>
      <c r="CI171" s="490"/>
      <c r="CJ171" s="490"/>
      <c r="CK171" s="490"/>
      <c r="CL171" s="490"/>
      <c r="CM171" s="490"/>
      <c r="CN171" s="490"/>
      <c r="CO171" s="490"/>
      <c r="CP171" s="490"/>
      <c r="CQ171" s="490"/>
      <c r="CR171" s="490"/>
      <c r="CS171" s="490"/>
      <c r="CT171" s="490"/>
      <c r="CU171" s="490"/>
      <c r="CV171" s="490"/>
      <c r="CW171" s="490"/>
      <c r="CX171" s="490"/>
      <c r="CY171" s="490"/>
      <c r="CZ171" s="490"/>
      <c r="DA171" s="490"/>
      <c r="DB171" s="490"/>
      <c r="DC171" s="490"/>
      <c r="DD171" s="490"/>
      <c r="DE171" s="490"/>
      <c r="DF171" s="490"/>
      <c r="DG171" s="490"/>
      <c r="DH171" s="490"/>
      <c r="DI171" s="490"/>
      <c r="DJ171" s="490"/>
      <c r="DK171" s="490"/>
      <c r="DL171" s="490"/>
      <c r="DM171" s="490"/>
      <c r="DN171" s="490"/>
      <c r="DO171" s="490"/>
      <c r="DP171" s="490"/>
      <c r="DQ171" s="490"/>
      <c r="DR171" s="490"/>
      <c r="DS171" s="490"/>
      <c r="DT171" s="490"/>
      <c r="DU171" s="490"/>
      <c r="DV171" s="490"/>
      <c r="DW171" s="490"/>
      <c r="DX171" s="490"/>
      <c r="DY171" s="490"/>
      <c r="DZ171" s="490"/>
      <c r="EA171" s="490"/>
      <c r="EB171" s="490"/>
      <c r="EC171" s="490"/>
      <c r="ED171" s="490"/>
      <c r="EE171" s="490"/>
      <c r="EF171" s="490"/>
      <c r="EG171" s="490"/>
      <c r="EH171" s="490"/>
      <c r="EI171" s="490"/>
      <c r="EJ171" s="490"/>
      <c r="EK171" s="490"/>
      <c r="EL171" s="490"/>
      <c r="EM171" s="490"/>
      <c r="EN171" s="490"/>
      <c r="EO171" s="490"/>
      <c r="EP171" s="490"/>
      <c r="EQ171" s="490"/>
      <c r="ER171" s="490"/>
      <c r="ES171" s="490"/>
      <c r="ET171" s="490"/>
      <c r="EU171" s="490"/>
      <c r="EV171" s="490"/>
      <c r="EW171" s="490"/>
      <c r="EX171" s="490"/>
      <c r="EY171" s="490"/>
      <c r="EZ171" s="490"/>
      <c r="FA171" s="490"/>
      <c r="FB171" s="490"/>
      <c r="FC171" s="490"/>
      <c r="FD171" s="490"/>
      <c r="FE171" s="490"/>
      <c r="FF171" s="490"/>
      <c r="FG171" s="490"/>
      <c r="FH171" s="490"/>
      <c r="FI171" s="490"/>
      <c r="FJ171" s="490"/>
      <c r="FK171" s="490"/>
      <c r="FL171" s="490"/>
      <c r="FM171" s="490"/>
    </row>
    <row r="172" s="492" customFormat="1" spans="1:170">
      <c r="A172" s="540">
        <v>46108</v>
      </c>
      <c r="B172" s="515" t="s">
        <v>763</v>
      </c>
      <c r="C172" s="541">
        <v>10</v>
      </c>
      <c r="D172" s="515" t="s">
        <v>649</v>
      </c>
      <c r="E172" s="515" t="s">
        <v>33</v>
      </c>
      <c r="F172" s="515" t="s">
        <v>73</v>
      </c>
      <c r="G172" s="525">
        <v>0.61</v>
      </c>
      <c r="H172" s="525">
        <v>9</v>
      </c>
      <c r="I172" s="541" t="s">
        <v>17</v>
      </c>
      <c r="J172" s="525">
        <v>1.64</v>
      </c>
      <c r="K172" s="515" t="s">
        <v>713</v>
      </c>
      <c r="L172" s="515"/>
      <c r="M172" s="490"/>
      <c r="N172" s="490"/>
      <c r="O172" s="490"/>
      <c r="P172" s="490"/>
      <c r="Q172" s="490"/>
      <c r="R172" s="490"/>
      <c r="S172" s="490"/>
      <c r="T172" s="490"/>
      <c r="U172" s="490"/>
      <c r="V172" s="490"/>
      <c r="W172" s="490"/>
      <c r="X172" s="490"/>
      <c r="Y172" s="490"/>
      <c r="Z172" s="490"/>
      <c r="AA172" s="490"/>
      <c r="AB172" s="490"/>
      <c r="AC172" s="490"/>
      <c r="AD172" s="490"/>
      <c r="AE172" s="490"/>
      <c r="AF172" s="490"/>
      <c r="AG172" s="490"/>
      <c r="AH172" s="490"/>
      <c r="AI172" s="490"/>
      <c r="AJ172" s="490"/>
      <c r="AK172" s="490"/>
      <c r="AL172" s="490"/>
      <c r="AM172" s="490"/>
      <c r="AN172" s="490"/>
      <c r="AO172" s="490"/>
      <c r="AP172" s="490"/>
      <c r="AQ172" s="490"/>
      <c r="AR172" s="490"/>
      <c r="AS172" s="490"/>
      <c r="AT172" s="490"/>
      <c r="AU172" s="490"/>
      <c r="AV172" s="490"/>
      <c r="AW172" s="490"/>
      <c r="AX172" s="490"/>
      <c r="AY172" s="490"/>
      <c r="AZ172" s="490"/>
      <c r="BA172" s="490"/>
      <c r="BB172" s="490"/>
      <c r="BC172" s="490"/>
      <c r="BD172" s="490"/>
      <c r="BE172" s="490"/>
      <c r="BF172" s="490"/>
      <c r="BG172" s="490"/>
      <c r="BH172" s="490"/>
      <c r="BI172" s="490"/>
      <c r="BJ172" s="490"/>
      <c r="BK172" s="490"/>
      <c r="BL172" s="490"/>
      <c r="BM172" s="490"/>
      <c r="BN172" s="490"/>
      <c r="BO172" s="490"/>
      <c r="BP172" s="490"/>
      <c r="BQ172" s="490"/>
      <c r="BR172" s="490"/>
      <c r="BS172" s="490"/>
      <c r="BT172" s="490"/>
      <c r="BU172" s="490"/>
      <c r="BV172" s="490"/>
      <c r="BW172" s="490"/>
      <c r="BX172" s="490"/>
      <c r="BY172" s="490"/>
      <c r="BZ172" s="490"/>
      <c r="CA172" s="490"/>
      <c r="CB172" s="490"/>
      <c r="CC172" s="490"/>
      <c r="CD172" s="490"/>
      <c r="CE172" s="490"/>
      <c r="CF172" s="490"/>
      <c r="CG172" s="490"/>
      <c r="CH172" s="490"/>
      <c r="CI172" s="490"/>
      <c r="CJ172" s="490"/>
      <c r="CK172" s="490"/>
      <c r="CL172" s="490"/>
      <c r="CM172" s="490"/>
      <c r="CN172" s="490"/>
      <c r="CO172" s="490"/>
      <c r="CP172" s="490"/>
      <c r="CQ172" s="490"/>
      <c r="CR172" s="490"/>
      <c r="CS172" s="490"/>
      <c r="CT172" s="490"/>
      <c r="CU172" s="490"/>
      <c r="CV172" s="490"/>
      <c r="CW172" s="490"/>
      <c r="CX172" s="490"/>
      <c r="CY172" s="490"/>
      <c r="CZ172" s="490"/>
      <c r="DA172" s="490"/>
      <c r="DB172" s="490"/>
      <c r="DC172" s="490"/>
      <c r="DD172" s="490"/>
      <c r="DE172" s="490"/>
      <c r="DF172" s="490"/>
      <c r="DG172" s="490"/>
      <c r="DH172" s="490"/>
      <c r="DI172" s="490"/>
      <c r="DJ172" s="490"/>
      <c r="DK172" s="490"/>
      <c r="DL172" s="490"/>
      <c r="DM172" s="490"/>
      <c r="DN172" s="490"/>
      <c r="DO172" s="490"/>
      <c r="DP172" s="490"/>
      <c r="DQ172" s="490"/>
      <c r="DR172" s="490"/>
      <c r="DS172" s="490"/>
      <c r="DT172" s="490"/>
      <c r="DU172" s="490"/>
      <c r="DV172" s="490"/>
      <c r="DW172" s="490"/>
      <c r="DX172" s="490"/>
      <c r="DY172" s="490"/>
      <c r="DZ172" s="490"/>
      <c r="EA172" s="490"/>
      <c r="EB172" s="490"/>
      <c r="EC172" s="490"/>
      <c r="ED172" s="490"/>
      <c r="EE172" s="490"/>
      <c r="EF172" s="490"/>
      <c r="EG172" s="490"/>
      <c r="EH172" s="490"/>
      <c r="EI172" s="490"/>
      <c r="EJ172" s="490"/>
      <c r="EK172" s="490"/>
      <c r="EL172" s="490"/>
      <c r="EM172" s="490"/>
      <c r="EN172" s="490"/>
      <c r="EO172" s="490"/>
      <c r="EP172" s="490"/>
      <c r="EQ172" s="490"/>
      <c r="ER172" s="490"/>
      <c r="ES172" s="490"/>
      <c r="ET172" s="490"/>
      <c r="EU172" s="490"/>
      <c r="EV172" s="490"/>
      <c r="EW172" s="490"/>
      <c r="EX172" s="490"/>
      <c r="EY172" s="490"/>
      <c r="EZ172" s="490"/>
      <c r="FA172" s="490"/>
      <c r="FB172" s="490"/>
      <c r="FC172" s="490"/>
      <c r="FD172" s="490"/>
      <c r="FE172" s="490"/>
      <c r="FF172" s="490"/>
      <c r="FG172" s="490"/>
      <c r="FH172" s="490"/>
      <c r="FI172" s="490"/>
      <c r="FJ172" s="490"/>
      <c r="FK172" s="490"/>
      <c r="FL172" s="490"/>
      <c r="FM172" s="490"/>
    </row>
    <row r="173" s="492" customFormat="1" spans="1:170">
      <c r="A173" s="540"/>
      <c r="B173" s="515"/>
      <c r="C173" s="541"/>
      <c r="D173" s="515"/>
      <c r="E173" s="515"/>
      <c r="F173" s="515" t="s">
        <v>75</v>
      </c>
      <c r="G173" s="525">
        <v>0.89</v>
      </c>
      <c r="H173" s="525">
        <v>0.3</v>
      </c>
      <c r="I173" s="541" t="s">
        <v>22</v>
      </c>
      <c r="J173" s="525">
        <v>1.9</v>
      </c>
      <c r="K173" s="515"/>
      <c r="L173" s="515"/>
      <c r="M173" s="490"/>
      <c r="N173" s="490"/>
      <c r="O173" s="490"/>
      <c r="P173" s="490"/>
      <c r="Q173" s="490"/>
      <c r="R173" s="490"/>
      <c r="S173" s="490"/>
      <c r="T173" s="490"/>
      <c r="U173" s="490"/>
      <c r="V173" s="490"/>
      <c r="W173" s="490"/>
      <c r="X173" s="490"/>
      <c r="Y173" s="490"/>
      <c r="Z173" s="490"/>
      <c r="AA173" s="490"/>
      <c r="AB173" s="490"/>
      <c r="AC173" s="490"/>
      <c r="AD173" s="490"/>
      <c r="AE173" s="490"/>
      <c r="AF173" s="490"/>
      <c r="AG173" s="490"/>
      <c r="AH173" s="490"/>
      <c r="AI173" s="490"/>
      <c r="AJ173" s="490"/>
      <c r="AK173" s="490"/>
      <c r="AL173" s="490"/>
      <c r="AM173" s="490"/>
      <c r="AN173" s="490"/>
      <c r="AO173" s="490"/>
      <c r="AP173" s="490"/>
      <c r="AQ173" s="490"/>
      <c r="AR173" s="490"/>
      <c r="AS173" s="490"/>
      <c r="AT173" s="490"/>
      <c r="AU173" s="490"/>
      <c r="AV173" s="490"/>
      <c r="AW173" s="490"/>
      <c r="AX173" s="490"/>
      <c r="AY173" s="490"/>
      <c r="AZ173" s="490"/>
      <c r="BA173" s="490"/>
      <c r="BB173" s="490"/>
      <c r="BC173" s="490"/>
      <c r="BD173" s="490"/>
      <c r="BE173" s="490"/>
      <c r="BF173" s="490"/>
      <c r="BG173" s="490"/>
      <c r="BH173" s="490"/>
      <c r="BI173" s="490"/>
      <c r="BJ173" s="490"/>
      <c r="BK173" s="490"/>
      <c r="BL173" s="490"/>
      <c r="BM173" s="490"/>
      <c r="BN173" s="490"/>
      <c r="BO173" s="490"/>
      <c r="BP173" s="490"/>
      <c r="BQ173" s="490"/>
      <c r="BR173" s="490"/>
      <c r="BS173" s="490"/>
      <c r="BT173" s="490"/>
      <c r="BU173" s="490"/>
      <c r="BV173" s="490"/>
      <c r="BW173" s="490"/>
      <c r="BX173" s="490"/>
      <c r="BY173" s="490"/>
      <c r="BZ173" s="490"/>
      <c r="CA173" s="490"/>
      <c r="CB173" s="490"/>
      <c r="CC173" s="490"/>
      <c r="CD173" s="490"/>
      <c r="CE173" s="490"/>
      <c r="CF173" s="490"/>
      <c r="CG173" s="490"/>
      <c r="CH173" s="490"/>
      <c r="CI173" s="490"/>
      <c r="CJ173" s="490"/>
      <c r="CK173" s="490"/>
      <c r="CL173" s="490"/>
      <c r="CM173" s="490"/>
      <c r="CN173" s="490"/>
      <c r="CO173" s="490"/>
      <c r="CP173" s="490"/>
      <c r="CQ173" s="490"/>
      <c r="CR173" s="490"/>
      <c r="CS173" s="490"/>
      <c r="CT173" s="490"/>
      <c r="CU173" s="490"/>
      <c r="CV173" s="490"/>
      <c r="CW173" s="490"/>
      <c r="CX173" s="490"/>
      <c r="CY173" s="490"/>
      <c r="CZ173" s="490"/>
      <c r="DA173" s="490"/>
      <c r="DB173" s="490"/>
      <c r="DC173" s="490"/>
      <c r="DD173" s="490"/>
      <c r="DE173" s="490"/>
      <c r="DF173" s="490"/>
      <c r="DG173" s="490"/>
      <c r="DH173" s="490"/>
      <c r="DI173" s="490"/>
      <c r="DJ173" s="490"/>
      <c r="DK173" s="490"/>
      <c r="DL173" s="490"/>
      <c r="DM173" s="490"/>
      <c r="DN173" s="490"/>
      <c r="DO173" s="490"/>
      <c r="DP173" s="490"/>
      <c r="DQ173" s="490"/>
      <c r="DR173" s="490"/>
      <c r="DS173" s="490"/>
      <c r="DT173" s="490"/>
      <c r="DU173" s="490"/>
      <c r="DV173" s="490"/>
      <c r="DW173" s="490"/>
      <c r="DX173" s="490"/>
      <c r="DY173" s="490"/>
      <c r="DZ173" s="490"/>
      <c r="EA173" s="490"/>
      <c r="EB173" s="490"/>
      <c r="EC173" s="490"/>
      <c r="ED173" s="490"/>
      <c r="EE173" s="490"/>
      <c r="EF173" s="490"/>
      <c r="EG173" s="490"/>
      <c r="EH173" s="490"/>
      <c r="EI173" s="490"/>
      <c r="EJ173" s="490"/>
      <c r="EK173" s="490"/>
      <c r="EL173" s="490"/>
      <c r="EM173" s="490"/>
      <c r="EN173" s="490"/>
      <c r="EO173" s="490"/>
      <c r="EP173" s="490"/>
      <c r="EQ173" s="490"/>
      <c r="ER173" s="490"/>
      <c r="ES173" s="490"/>
      <c r="ET173" s="490"/>
      <c r="EU173" s="490"/>
      <c r="EV173" s="490"/>
      <c r="EW173" s="490"/>
      <c r="EX173" s="490"/>
      <c r="EY173" s="490"/>
      <c r="EZ173" s="490"/>
      <c r="FA173" s="490"/>
      <c r="FB173" s="490"/>
      <c r="FC173" s="490"/>
      <c r="FD173" s="490"/>
      <c r="FE173" s="490"/>
      <c r="FF173" s="490"/>
      <c r="FG173" s="490"/>
      <c r="FH173" s="490"/>
      <c r="FI173" s="490"/>
      <c r="FJ173" s="490"/>
      <c r="FK173" s="490"/>
      <c r="FL173" s="490"/>
      <c r="FM173" s="490"/>
    </row>
    <row r="174" s="492" customFormat="1" spans="1:170">
      <c r="A174" s="540"/>
      <c r="B174" s="515"/>
      <c r="C174" s="541"/>
      <c r="D174" s="515"/>
      <c r="E174" s="515"/>
      <c r="F174" s="515" t="s">
        <v>91</v>
      </c>
      <c r="G174" s="525">
        <v>1.36</v>
      </c>
      <c r="H174" s="525">
        <v>0.7</v>
      </c>
      <c r="I174" s="541" t="s">
        <v>24</v>
      </c>
      <c r="J174" s="525" t="s">
        <v>24</v>
      </c>
      <c r="K174" s="515"/>
      <c r="L174" s="515"/>
      <c r="M174" s="490"/>
      <c r="N174" s="490"/>
      <c r="O174" s="490"/>
      <c r="P174" s="490"/>
      <c r="Q174" s="490"/>
      <c r="R174" s="490"/>
      <c r="S174" s="490"/>
      <c r="T174" s="490"/>
      <c r="U174" s="490"/>
      <c r="V174" s="490"/>
      <c r="W174" s="490"/>
      <c r="X174" s="490"/>
      <c r="Y174" s="490"/>
      <c r="Z174" s="490"/>
      <c r="AA174" s="490"/>
      <c r="AB174" s="490"/>
      <c r="AC174" s="490"/>
      <c r="AD174" s="490"/>
      <c r="AE174" s="490"/>
      <c r="AF174" s="490"/>
      <c r="AG174" s="490"/>
      <c r="AH174" s="490"/>
      <c r="AI174" s="490"/>
      <c r="AJ174" s="490"/>
      <c r="AK174" s="490"/>
      <c r="AL174" s="490"/>
      <c r="AM174" s="490"/>
      <c r="AN174" s="490"/>
      <c r="AO174" s="490"/>
      <c r="AP174" s="490"/>
      <c r="AQ174" s="490"/>
      <c r="AR174" s="490"/>
      <c r="AS174" s="490"/>
      <c r="AT174" s="490"/>
      <c r="AU174" s="490"/>
      <c r="AV174" s="490"/>
      <c r="AW174" s="490"/>
      <c r="AX174" s="490"/>
      <c r="AY174" s="490"/>
      <c r="AZ174" s="490"/>
      <c r="BA174" s="490"/>
      <c r="BB174" s="490"/>
      <c r="BC174" s="490"/>
      <c r="BD174" s="490"/>
      <c r="BE174" s="490"/>
      <c r="BF174" s="490"/>
      <c r="BG174" s="490"/>
      <c r="BH174" s="490"/>
      <c r="BI174" s="490"/>
      <c r="BJ174" s="490"/>
      <c r="BK174" s="490"/>
      <c r="BL174" s="490"/>
      <c r="BM174" s="490"/>
      <c r="BN174" s="490"/>
      <c r="BO174" s="490"/>
      <c r="BP174" s="490"/>
      <c r="BQ174" s="490"/>
      <c r="BR174" s="490"/>
      <c r="BS174" s="490"/>
      <c r="BT174" s="490"/>
      <c r="BU174" s="490"/>
      <c r="BV174" s="490"/>
      <c r="BW174" s="490"/>
      <c r="BX174" s="490"/>
      <c r="BY174" s="490"/>
      <c r="BZ174" s="490"/>
      <c r="CA174" s="490"/>
      <c r="CB174" s="490"/>
      <c r="CC174" s="490"/>
      <c r="CD174" s="490"/>
      <c r="CE174" s="490"/>
      <c r="CF174" s="490"/>
      <c r="CG174" s="490"/>
      <c r="CH174" s="490"/>
      <c r="CI174" s="490"/>
      <c r="CJ174" s="490"/>
      <c r="CK174" s="490"/>
      <c r="CL174" s="490"/>
      <c r="CM174" s="490"/>
      <c r="CN174" s="490"/>
      <c r="CO174" s="490"/>
      <c r="CP174" s="490"/>
      <c r="CQ174" s="490"/>
      <c r="CR174" s="490"/>
      <c r="CS174" s="490"/>
      <c r="CT174" s="490"/>
      <c r="CU174" s="490"/>
      <c r="CV174" s="490"/>
      <c r="CW174" s="490"/>
      <c r="CX174" s="490"/>
      <c r="CY174" s="490"/>
      <c r="CZ174" s="490"/>
      <c r="DA174" s="490"/>
      <c r="DB174" s="490"/>
      <c r="DC174" s="490"/>
      <c r="DD174" s="490"/>
      <c r="DE174" s="490"/>
      <c r="DF174" s="490"/>
      <c r="DG174" s="490"/>
      <c r="DH174" s="490"/>
      <c r="DI174" s="490"/>
      <c r="DJ174" s="490"/>
      <c r="DK174" s="490"/>
      <c r="DL174" s="490"/>
      <c r="DM174" s="490"/>
      <c r="DN174" s="490"/>
      <c r="DO174" s="490"/>
      <c r="DP174" s="490"/>
      <c r="DQ174" s="490"/>
      <c r="DR174" s="490"/>
      <c r="DS174" s="490"/>
      <c r="DT174" s="490"/>
      <c r="DU174" s="490"/>
      <c r="DV174" s="490"/>
      <c r="DW174" s="490"/>
      <c r="DX174" s="490"/>
      <c r="DY174" s="490"/>
      <c r="DZ174" s="490"/>
      <c r="EA174" s="490"/>
      <c r="EB174" s="490"/>
      <c r="EC174" s="490"/>
      <c r="ED174" s="490"/>
      <c r="EE174" s="490"/>
      <c r="EF174" s="490"/>
      <c r="EG174" s="490"/>
      <c r="EH174" s="490"/>
      <c r="EI174" s="490"/>
      <c r="EJ174" s="490"/>
      <c r="EK174" s="490"/>
      <c r="EL174" s="490"/>
      <c r="EM174" s="490"/>
      <c r="EN174" s="490"/>
      <c r="EO174" s="490"/>
      <c r="EP174" s="490"/>
      <c r="EQ174" s="490"/>
      <c r="ER174" s="490"/>
      <c r="ES174" s="490"/>
      <c r="ET174" s="490"/>
      <c r="EU174" s="490"/>
      <c r="EV174" s="490"/>
      <c r="EW174" s="490"/>
      <c r="EX174" s="490"/>
      <c r="EY174" s="490"/>
      <c r="EZ174" s="490"/>
      <c r="FA174" s="490"/>
      <c r="FB174" s="490"/>
      <c r="FC174" s="490"/>
      <c r="FD174" s="490"/>
      <c r="FE174" s="490"/>
      <c r="FF174" s="490"/>
      <c r="FG174" s="490"/>
      <c r="FH174" s="490"/>
      <c r="FI174" s="490"/>
      <c r="FJ174" s="490"/>
      <c r="FK174" s="490"/>
      <c r="FL174" s="490"/>
      <c r="FM174" s="490"/>
    </row>
    <row r="175" s="492" customFormat="1" spans="1:170">
      <c r="A175" s="540">
        <v>46108</v>
      </c>
      <c r="B175" s="515" t="s">
        <v>764</v>
      </c>
      <c r="C175" s="541">
        <v>9.45</v>
      </c>
      <c r="D175" s="515" t="s">
        <v>51</v>
      </c>
      <c r="E175" s="515" t="s">
        <v>760</v>
      </c>
      <c r="F175" s="515" t="s">
        <v>128</v>
      </c>
      <c r="G175" s="525">
        <v>1</v>
      </c>
      <c r="H175" s="525">
        <v>9</v>
      </c>
      <c r="I175" s="541" t="s">
        <v>17</v>
      </c>
      <c r="J175" s="525">
        <v>1.67</v>
      </c>
      <c r="K175" s="515" t="s">
        <v>607</v>
      </c>
      <c r="L175" s="515" t="s">
        <v>53</v>
      </c>
      <c r="M175" s="490"/>
      <c r="N175" s="490"/>
      <c r="O175" s="490"/>
      <c r="P175" s="490"/>
      <c r="Q175" s="490"/>
      <c r="R175" s="490"/>
      <c r="S175" s="490"/>
      <c r="T175" s="490"/>
      <c r="U175" s="490"/>
      <c r="V175" s="490"/>
      <c r="W175" s="490"/>
      <c r="X175" s="490"/>
      <c r="Y175" s="490"/>
      <c r="Z175" s="490"/>
      <c r="AA175" s="490"/>
      <c r="AB175" s="490"/>
      <c r="AC175" s="490"/>
      <c r="AD175" s="490"/>
      <c r="AE175" s="490"/>
      <c r="AF175" s="490"/>
      <c r="AG175" s="490"/>
      <c r="AH175" s="490"/>
      <c r="AI175" s="490"/>
      <c r="AJ175" s="490"/>
      <c r="AK175" s="490"/>
      <c r="AL175" s="490"/>
      <c r="AM175" s="490"/>
      <c r="AN175" s="490"/>
      <c r="AO175" s="490"/>
      <c r="AP175" s="490"/>
      <c r="AQ175" s="490"/>
      <c r="AR175" s="490"/>
      <c r="AS175" s="490"/>
      <c r="AT175" s="490"/>
      <c r="AU175" s="490"/>
      <c r="AV175" s="490"/>
      <c r="AW175" s="490"/>
      <c r="AX175" s="490"/>
      <c r="AY175" s="490"/>
      <c r="AZ175" s="490"/>
      <c r="BA175" s="490"/>
      <c r="BB175" s="490"/>
      <c r="BC175" s="490"/>
      <c r="BD175" s="490"/>
      <c r="BE175" s="490"/>
      <c r="BF175" s="490"/>
      <c r="BG175" s="490"/>
      <c r="BH175" s="490"/>
      <c r="BI175" s="490"/>
      <c r="BJ175" s="490"/>
      <c r="BK175" s="490"/>
      <c r="BL175" s="490"/>
      <c r="BM175" s="490"/>
      <c r="BN175" s="490"/>
      <c r="BO175" s="490"/>
      <c r="BP175" s="490"/>
      <c r="BQ175" s="490"/>
      <c r="BR175" s="490"/>
      <c r="BS175" s="490"/>
      <c r="BT175" s="490"/>
      <c r="BU175" s="490"/>
      <c r="BV175" s="490"/>
      <c r="BW175" s="490"/>
      <c r="BX175" s="490"/>
      <c r="BY175" s="490"/>
      <c r="BZ175" s="490"/>
      <c r="CA175" s="490"/>
      <c r="CB175" s="490"/>
      <c r="CC175" s="490"/>
      <c r="CD175" s="490"/>
      <c r="CE175" s="490"/>
      <c r="CF175" s="490"/>
      <c r="CG175" s="490"/>
      <c r="CH175" s="490"/>
      <c r="CI175" s="490"/>
      <c r="CJ175" s="490"/>
      <c r="CK175" s="490"/>
      <c r="CL175" s="490"/>
      <c r="CM175" s="490"/>
      <c r="CN175" s="490"/>
      <c r="CO175" s="490"/>
      <c r="CP175" s="490"/>
      <c r="CQ175" s="490"/>
      <c r="CR175" s="490"/>
      <c r="CS175" s="490"/>
      <c r="CT175" s="490"/>
      <c r="CU175" s="490"/>
      <c r="CV175" s="490"/>
      <c r="CW175" s="490"/>
      <c r="CX175" s="490"/>
      <c r="CY175" s="490"/>
      <c r="CZ175" s="490"/>
      <c r="DA175" s="490"/>
      <c r="DB175" s="490"/>
      <c r="DC175" s="490"/>
      <c r="DD175" s="490"/>
      <c r="DE175" s="490"/>
      <c r="DF175" s="490"/>
      <c r="DG175" s="490"/>
      <c r="DH175" s="490"/>
      <c r="DI175" s="490"/>
      <c r="DJ175" s="490"/>
      <c r="DK175" s="490"/>
      <c r="DL175" s="490"/>
      <c r="DM175" s="490"/>
      <c r="DN175" s="490"/>
      <c r="DO175" s="490"/>
      <c r="DP175" s="490"/>
      <c r="DQ175" s="490"/>
      <c r="DR175" s="490"/>
      <c r="DS175" s="490"/>
      <c r="DT175" s="490"/>
      <c r="DU175" s="490"/>
      <c r="DV175" s="490"/>
      <c r="DW175" s="490"/>
      <c r="DX175" s="490"/>
      <c r="DY175" s="490"/>
      <c r="DZ175" s="490"/>
      <c r="EA175" s="490"/>
      <c r="EB175" s="490"/>
      <c r="EC175" s="490"/>
      <c r="ED175" s="490"/>
      <c r="EE175" s="490"/>
      <c r="EF175" s="490"/>
      <c r="EG175" s="490"/>
      <c r="EH175" s="490"/>
      <c r="EI175" s="490"/>
      <c r="EJ175" s="490"/>
      <c r="EK175" s="490"/>
      <c r="EL175" s="490"/>
      <c r="EM175" s="490"/>
      <c r="EN175" s="490"/>
      <c r="EO175" s="490"/>
      <c r="EP175" s="490"/>
      <c r="EQ175" s="490"/>
      <c r="ER175" s="490"/>
      <c r="ES175" s="490"/>
      <c r="ET175" s="490"/>
      <c r="EU175" s="490"/>
      <c r="EV175" s="490"/>
      <c r="EW175" s="490"/>
      <c r="EX175" s="490"/>
      <c r="EY175" s="490"/>
      <c r="EZ175" s="490"/>
      <c r="FA175" s="490"/>
      <c r="FB175" s="490"/>
      <c r="FC175" s="490"/>
      <c r="FD175" s="490"/>
      <c r="FE175" s="490"/>
      <c r="FF175" s="490"/>
      <c r="FG175" s="490"/>
      <c r="FH175" s="490"/>
      <c r="FI175" s="490"/>
      <c r="FJ175" s="490"/>
      <c r="FK175" s="490"/>
      <c r="FL175" s="490"/>
      <c r="FM175" s="490"/>
    </row>
    <row r="176" s="492" customFormat="1" spans="1:170">
      <c r="A176" s="540"/>
      <c r="B176" s="515"/>
      <c r="C176" s="541"/>
      <c r="D176" s="515"/>
      <c r="E176" s="515"/>
      <c r="F176" s="515" t="s">
        <v>99</v>
      </c>
      <c r="G176" s="525">
        <v>1</v>
      </c>
      <c r="H176" s="525">
        <v>0.45</v>
      </c>
      <c r="I176" s="541" t="s">
        <v>22</v>
      </c>
      <c r="J176" s="525">
        <v>3.1</v>
      </c>
      <c r="K176" s="515"/>
      <c r="L176" s="515"/>
      <c r="M176" s="490"/>
      <c r="N176" s="490"/>
      <c r="O176" s="490"/>
      <c r="P176" s="490"/>
      <c r="Q176" s="490"/>
      <c r="R176" s="490"/>
      <c r="S176" s="490"/>
      <c r="T176" s="490"/>
      <c r="U176" s="490"/>
      <c r="V176" s="490"/>
      <c r="W176" s="490"/>
      <c r="X176" s="490"/>
      <c r="Y176" s="490"/>
      <c r="Z176" s="490"/>
      <c r="AA176" s="490"/>
      <c r="AB176" s="490"/>
      <c r="AC176" s="490"/>
      <c r="AD176" s="490"/>
      <c r="AE176" s="490"/>
      <c r="AF176" s="490"/>
      <c r="AG176" s="490"/>
      <c r="AH176" s="490"/>
      <c r="AI176" s="490"/>
      <c r="AJ176" s="490"/>
      <c r="AK176" s="490"/>
      <c r="AL176" s="490"/>
      <c r="AM176" s="490"/>
      <c r="AN176" s="490"/>
      <c r="AO176" s="490"/>
      <c r="AP176" s="490"/>
      <c r="AQ176" s="490"/>
      <c r="AR176" s="490"/>
      <c r="AS176" s="490"/>
      <c r="AT176" s="490"/>
      <c r="AU176" s="490"/>
      <c r="AV176" s="490"/>
      <c r="AW176" s="490"/>
      <c r="AX176" s="490"/>
      <c r="AY176" s="490"/>
      <c r="AZ176" s="490"/>
      <c r="BA176" s="490"/>
      <c r="BB176" s="490"/>
      <c r="BC176" s="490"/>
      <c r="BD176" s="490"/>
      <c r="BE176" s="490"/>
      <c r="BF176" s="490"/>
      <c r="BG176" s="490"/>
      <c r="BH176" s="490"/>
      <c r="BI176" s="490"/>
      <c r="BJ176" s="490"/>
      <c r="BK176" s="490"/>
      <c r="BL176" s="490"/>
      <c r="BM176" s="490"/>
      <c r="BN176" s="490"/>
      <c r="BO176" s="490"/>
      <c r="BP176" s="490"/>
      <c r="BQ176" s="490"/>
      <c r="BR176" s="490"/>
      <c r="BS176" s="490"/>
      <c r="BT176" s="490"/>
      <c r="BU176" s="490"/>
      <c r="BV176" s="490"/>
      <c r="BW176" s="490"/>
      <c r="BX176" s="490"/>
      <c r="BY176" s="490"/>
      <c r="BZ176" s="490"/>
      <c r="CA176" s="490"/>
      <c r="CB176" s="490"/>
      <c r="CC176" s="490"/>
      <c r="CD176" s="490"/>
      <c r="CE176" s="490"/>
      <c r="CF176" s="490"/>
      <c r="CG176" s="490"/>
      <c r="CH176" s="490"/>
      <c r="CI176" s="490"/>
      <c r="CJ176" s="490"/>
      <c r="CK176" s="490"/>
      <c r="CL176" s="490"/>
      <c r="CM176" s="490"/>
      <c r="CN176" s="490"/>
      <c r="CO176" s="490"/>
      <c r="CP176" s="490"/>
      <c r="CQ176" s="490"/>
      <c r="CR176" s="490"/>
      <c r="CS176" s="490"/>
      <c r="CT176" s="490"/>
      <c r="CU176" s="490"/>
      <c r="CV176" s="490"/>
      <c r="CW176" s="490"/>
      <c r="CX176" s="490"/>
      <c r="CY176" s="490"/>
      <c r="CZ176" s="490"/>
      <c r="DA176" s="490"/>
      <c r="DB176" s="490"/>
      <c r="DC176" s="490"/>
      <c r="DD176" s="490"/>
      <c r="DE176" s="490"/>
      <c r="DF176" s="490"/>
      <c r="DG176" s="490"/>
      <c r="DH176" s="490"/>
      <c r="DI176" s="490"/>
      <c r="DJ176" s="490"/>
      <c r="DK176" s="490"/>
      <c r="DL176" s="490"/>
      <c r="DM176" s="490"/>
      <c r="DN176" s="490"/>
      <c r="DO176" s="490"/>
      <c r="DP176" s="490"/>
      <c r="DQ176" s="490"/>
      <c r="DR176" s="490"/>
      <c r="DS176" s="490"/>
      <c r="DT176" s="490"/>
      <c r="DU176" s="490"/>
      <c r="DV176" s="490"/>
      <c r="DW176" s="490"/>
      <c r="DX176" s="490"/>
      <c r="DY176" s="490"/>
      <c r="DZ176" s="490"/>
      <c r="EA176" s="490"/>
      <c r="EB176" s="490"/>
      <c r="EC176" s="490"/>
      <c r="ED176" s="490"/>
      <c r="EE176" s="490"/>
      <c r="EF176" s="490"/>
      <c r="EG176" s="490"/>
      <c r="EH176" s="490"/>
      <c r="EI176" s="490"/>
      <c r="EJ176" s="490"/>
      <c r="EK176" s="490"/>
      <c r="EL176" s="490"/>
      <c r="EM176" s="490"/>
      <c r="EN176" s="490"/>
      <c r="EO176" s="490"/>
      <c r="EP176" s="490"/>
      <c r="EQ176" s="490"/>
      <c r="ER176" s="490"/>
      <c r="ES176" s="490"/>
      <c r="ET176" s="490"/>
      <c r="EU176" s="490"/>
      <c r="EV176" s="490"/>
      <c r="EW176" s="490"/>
      <c r="EX176" s="490"/>
      <c r="EY176" s="490"/>
      <c r="EZ176" s="490"/>
      <c r="FA176" s="490"/>
      <c r="FB176" s="490"/>
      <c r="FC176" s="490"/>
      <c r="FD176" s="490"/>
      <c r="FE176" s="490"/>
      <c r="FF176" s="490"/>
      <c r="FG176" s="490"/>
      <c r="FH176" s="490"/>
      <c r="FI176" s="490"/>
      <c r="FJ176" s="490"/>
      <c r="FK176" s="490"/>
      <c r="FL176" s="490"/>
      <c r="FM176" s="490"/>
    </row>
    <row r="177" s="492" customFormat="1" spans="1:169">
      <c r="A177" s="540">
        <v>46108</v>
      </c>
      <c r="B177" s="515" t="s">
        <v>765</v>
      </c>
      <c r="C177" s="541">
        <v>7.52</v>
      </c>
      <c r="D177" s="515" t="s">
        <v>14</v>
      </c>
      <c r="E177" s="515" t="s">
        <v>66</v>
      </c>
      <c r="F177" s="515" t="s">
        <v>73</v>
      </c>
      <c r="G177" s="525">
        <v>1.01</v>
      </c>
      <c r="H177" s="525">
        <v>7.04</v>
      </c>
      <c r="I177" s="541" t="s">
        <v>17</v>
      </c>
      <c r="J177" s="525">
        <v>1.68</v>
      </c>
      <c r="K177" s="515" t="s">
        <v>630</v>
      </c>
      <c r="L177" s="515" t="s">
        <v>95</v>
      </c>
      <c r="M177" s="490"/>
      <c r="N177" s="490"/>
      <c r="O177" s="490"/>
      <c r="P177" s="490"/>
      <c r="Q177" s="490"/>
      <c r="R177" s="490"/>
      <c r="S177" s="490"/>
      <c r="T177" s="490"/>
      <c r="U177" s="490"/>
      <c r="V177" s="490"/>
      <c r="W177" s="490"/>
      <c r="X177" s="490"/>
      <c r="Y177" s="490"/>
      <c r="Z177" s="490"/>
      <c r="AA177" s="490"/>
      <c r="AB177" s="490"/>
      <c r="AC177" s="490"/>
      <c r="AD177" s="490"/>
      <c r="AE177" s="490"/>
      <c r="AF177" s="490"/>
      <c r="AG177" s="490"/>
      <c r="AH177" s="490"/>
      <c r="AI177" s="490"/>
      <c r="AJ177" s="490"/>
      <c r="AK177" s="490"/>
      <c r="AL177" s="490"/>
      <c r="AM177" s="490"/>
      <c r="AN177" s="490"/>
      <c r="AO177" s="490"/>
      <c r="AP177" s="490"/>
      <c r="AQ177" s="490"/>
      <c r="AR177" s="490"/>
      <c r="AS177" s="490"/>
      <c r="AT177" s="490"/>
      <c r="AU177" s="490"/>
      <c r="AV177" s="490"/>
      <c r="AW177" s="490"/>
      <c r="AX177" s="490"/>
      <c r="AY177" s="490"/>
      <c r="AZ177" s="490"/>
      <c r="BA177" s="490"/>
      <c r="BB177" s="490"/>
      <c r="BC177" s="490"/>
      <c r="BD177" s="490"/>
      <c r="BE177" s="490"/>
      <c r="BF177" s="490"/>
      <c r="BG177" s="490"/>
      <c r="BH177" s="490"/>
      <c r="BI177" s="490"/>
      <c r="BJ177" s="490"/>
      <c r="BK177" s="490"/>
      <c r="BL177" s="490"/>
      <c r="BM177" s="490"/>
      <c r="BN177" s="490"/>
      <c r="BO177" s="490"/>
      <c r="BP177" s="490"/>
      <c r="BQ177" s="490"/>
      <c r="BR177" s="490"/>
      <c r="BS177" s="490"/>
      <c r="BT177" s="490"/>
      <c r="BU177" s="490"/>
      <c r="BV177" s="490"/>
      <c r="BW177" s="490"/>
      <c r="BX177" s="490"/>
      <c r="BY177" s="490"/>
      <c r="BZ177" s="490"/>
      <c r="CA177" s="490"/>
      <c r="CB177" s="490"/>
      <c r="CC177" s="490"/>
      <c r="CD177" s="490"/>
      <c r="CE177" s="490"/>
      <c r="CF177" s="490"/>
      <c r="CG177" s="490"/>
      <c r="CH177" s="490"/>
      <c r="CI177" s="490"/>
      <c r="CJ177" s="490"/>
      <c r="CK177" s="490"/>
      <c r="CL177" s="490"/>
      <c r="CM177" s="490"/>
      <c r="CN177" s="490"/>
      <c r="CO177" s="490"/>
      <c r="CP177" s="490"/>
      <c r="CQ177" s="490"/>
      <c r="CR177" s="490"/>
      <c r="CS177" s="490"/>
      <c r="CT177" s="490"/>
      <c r="CU177" s="490"/>
      <c r="CV177" s="490"/>
      <c r="CW177" s="490"/>
      <c r="CX177" s="490"/>
      <c r="CY177" s="490"/>
      <c r="CZ177" s="490"/>
      <c r="DA177" s="490"/>
      <c r="DB177" s="490"/>
      <c r="DC177" s="490"/>
      <c r="DD177" s="490"/>
      <c r="DE177" s="490"/>
      <c r="DF177" s="490"/>
      <c r="DG177" s="490"/>
      <c r="DH177" s="490"/>
      <c r="DI177" s="490"/>
      <c r="DJ177" s="490"/>
      <c r="DK177" s="490"/>
      <c r="DL177" s="490"/>
      <c r="DM177" s="490"/>
      <c r="DN177" s="490"/>
      <c r="DO177" s="490"/>
      <c r="DP177" s="490"/>
      <c r="DQ177" s="490"/>
      <c r="DR177" s="490"/>
      <c r="DS177" s="490"/>
      <c r="DT177" s="490"/>
      <c r="DU177" s="490"/>
      <c r="DV177" s="490"/>
      <c r="DW177" s="490"/>
      <c r="DX177" s="490"/>
      <c r="DY177" s="490"/>
      <c r="DZ177" s="490"/>
      <c r="EA177" s="490"/>
      <c r="EB177" s="490"/>
      <c r="EC177" s="490"/>
      <c r="ED177" s="490"/>
      <c r="EE177" s="490"/>
      <c r="EF177" s="490"/>
      <c r="EG177" s="490"/>
      <c r="EH177" s="490"/>
      <c r="EI177" s="490"/>
      <c r="EJ177" s="490"/>
      <c r="EK177" s="490"/>
      <c r="EL177" s="490"/>
      <c r="EM177" s="490"/>
      <c r="EN177" s="490"/>
      <c r="EO177" s="490"/>
      <c r="EP177" s="490"/>
      <c r="EQ177" s="490"/>
      <c r="ER177" s="490"/>
      <c r="ES177" s="490"/>
      <c r="ET177" s="490"/>
      <c r="EU177" s="490"/>
      <c r="EV177" s="490"/>
      <c r="EW177" s="490"/>
      <c r="EX177" s="490"/>
      <c r="EY177" s="490"/>
      <c r="EZ177" s="490"/>
      <c r="FA177" s="490"/>
      <c r="FB177" s="490"/>
      <c r="FC177" s="490"/>
      <c r="FD177" s="490"/>
      <c r="FE177" s="490"/>
      <c r="FF177" s="490"/>
      <c r="FG177" s="490"/>
      <c r="FH177" s="490"/>
      <c r="FI177" s="490"/>
      <c r="FJ177" s="490"/>
      <c r="FK177" s="490"/>
      <c r="FL177" s="490"/>
      <c r="FM177" s="490"/>
    </row>
    <row r="178" s="492" customFormat="1" spans="1:169">
      <c r="A178" s="540"/>
      <c r="B178" s="515"/>
      <c r="C178" s="541"/>
      <c r="D178" s="515"/>
      <c r="E178" s="515"/>
      <c r="F178" s="515" t="s">
        <v>75</v>
      </c>
      <c r="G178" s="525">
        <v>1.01</v>
      </c>
      <c r="H178" s="525">
        <v>0.48</v>
      </c>
      <c r="I178" s="541" t="s">
        <v>22</v>
      </c>
      <c r="J178" s="525">
        <v>1.95</v>
      </c>
      <c r="K178" s="515"/>
      <c r="L178" s="515"/>
      <c r="M178" s="490"/>
      <c r="N178" s="490"/>
      <c r="O178" s="490"/>
      <c r="P178" s="490"/>
      <c r="Q178" s="490"/>
      <c r="R178" s="490"/>
      <c r="S178" s="490"/>
      <c r="T178" s="490"/>
      <c r="U178" s="490"/>
      <c r="V178" s="490"/>
      <c r="W178" s="490"/>
      <c r="X178" s="490"/>
      <c r="Y178" s="490"/>
      <c r="Z178" s="490"/>
      <c r="AA178" s="490"/>
      <c r="AB178" s="490"/>
      <c r="AC178" s="490"/>
      <c r="AD178" s="490"/>
      <c r="AE178" s="490"/>
      <c r="AF178" s="490"/>
      <c r="AG178" s="490"/>
      <c r="AH178" s="490"/>
      <c r="AI178" s="490"/>
      <c r="AJ178" s="490"/>
      <c r="AK178" s="490"/>
      <c r="AL178" s="490"/>
      <c r="AM178" s="490"/>
      <c r="AN178" s="490"/>
      <c r="AO178" s="490"/>
      <c r="AP178" s="490"/>
      <c r="AQ178" s="490"/>
      <c r="AR178" s="490"/>
      <c r="AS178" s="490"/>
      <c r="AT178" s="490"/>
      <c r="AU178" s="490"/>
      <c r="AV178" s="490"/>
      <c r="AW178" s="490"/>
      <c r="AX178" s="490"/>
      <c r="AY178" s="490"/>
      <c r="AZ178" s="490"/>
      <c r="BA178" s="490"/>
      <c r="BB178" s="490"/>
      <c r="BC178" s="490"/>
      <c r="BD178" s="490"/>
      <c r="BE178" s="490"/>
      <c r="BF178" s="490"/>
      <c r="BG178" s="490"/>
      <c r="BH178" s="490"/>
      <c r="BI178" s="490"/>
      <c r="BJ178" s="490"/>
      <c r="BK178" s="490"/>
      <c r="BL178" s="490"/>
      <c r="BM178" s="490"/>
      <c r="BN178" s="490"/>
      <c r="BO178" s="490"/>
      <c r="BP178" s="490"/>
      <c r="BQ178" s="490"/>
      <c r="BR178" s="490"/>
      <c r="BS178" s="490"/>
      <c r="BT178" s="490"/>
      <c r="BU178" s="490"/>
      <c r="BV178" s="490"/>
      <c r="BW178" s="490"/>
      <c r="BX178" s="490"/>
      <c r="BY178" s="490"/>
      <c r="BZ178" s="490"/>
      <c r="CA178" s="490"/>
      <c r="CB178" s="490"/>
      <c r="CC178" s="490"/>
      <c r="CD178" s="490"/>
      <c r="CE178" s="490"/>
      <c r="CF178" s="490"/>
      <c r="CG178" s="490"/>
      <c r="CH178" s="490"/>
      <c r="CI178" s="490"/>
      <c r="CJ178" s="490"/>
      <c r="CK178" s="490"/>
      <c r="CL178" s="490"/>
      <c r="CM178" s="490"/>
      <c r="CN178" s="490"/>
      <c r="CO178" s="490"/>
      <c r="CP178" s="490"/>
      <c r="CQ178" s="490"/>
      <c r="CR178" s="490"/>
      <c r="CS178" s="490"/>
      <c r="CT178" s="490"/>
      <c r="CU178" s="490"/>
      <c r="CV178" s="490"/>
      <c r="CW178" s="490"/>
      <c r="CX178" s="490"/>
      <c r="CY178" s="490"/>
      <c r="CZ178" s="490"/>
      <c r="DA178" s="490"/>
      <c r="DB178" s="490"/>
      <c r="DC178" s="490"/>
      <c r="DD178" s="490"/>
      <c r="DE178" s="490"/>
      <c r="DF178" s="490"/>
      <c r="DG178" s="490"/>
      <c r="DH178" s="490"/>
      <c r="DI178" s="490"/>
      <c r="DJ178" s="490"/>
      <c r="DK178" s="490"/>
      <c r="DL178" s="490"/>
      <c r="DM178" s="490"/>
      <c r="DN178" s="490"/>
      <c r="DO178" s="490"/>
      <c r="DP178" s="490"/>
      <c r="DQ178" s="490"/>
      <c r="DR178" s="490"/>
      <c r="DS178" s="490"/>
      <c r="DT178" s="490"/>
      <c r="DU178" s="490"/>
      <c r="DV178" s="490"/>
      <c r="DW178" s="490"/>
      <c r="DX178" s="490"/>
      <c r="DY178" s="490"/>
      <c r="DZ178" s="490"/>
      <c r="EA178" s="490"/>
      <c r="EB178" s="490"/>
      <c r="EC178" s="490"/>
      <c r="ED178" s="490"/>
      <c r="EE178" s="490"/>
      <c r="EF178" s="490"/>
      <c r="EG178" s="490"/>
      <c r="EH178" s="490"/>
      <c r="EI178" s="490"/>
      <c r="EJ178" s="490"/>
      <c r="EK178" s="490"/>
      <c r="EL178" s="490"/>
      <c r="EM178" s="490"/>
      <c r="EN178" s="490"/>
      <c r="EO178" s="490"/>
      <c r="EP178" s="490"/>
      <c r="EQ178" s="490"/>
      <c r="ER178" s="490"/>
      <c r="ES178" s="490"/>
      <c r="ET178" s="490"/>
      <c r="EU178" s="490"/>
      <c r="EV178" s="490"/>
      <c r="EW178" s="490"/>
      <c r="EX178" s="490"/>
      <c r="EY178" s="490"/>
      <c r="EZ178" s="490"/>
      <c r="FA178" s="490"/>
      <c r="FB178" s="490"/>
      <c r="FC178" s="490"/>
      <c r="FD178" s="490"/>
      <c r="FE178" s="490"/>
      <c r="FF178" s="490"/>
      <c r="FG178" s="490"/>
      <c r="FH178" s="490"/>
      <c r="FI178" s="490"/>
      <c r="FJ178" s="490"/>
      <c r="FK178" s="490"/>
      <c r="FL178" s="490"/>
      <c r="FM178" s="490"/>
    </row>
    <row r="179" s="490" customFormat="1" spans="1:169">
      <c r="A179" s="539">
        <v>46121</v>
      </c>
      <c r="B179" s="509" t="s">
        <v>766</v>
      </c>
      <c r="C179" s="538">
        <v>5</v>
      </c>
      <c r="D179" s="509" t="s">
        <v>704</v>
      </c>
      <c r="E179" s="509" t="s">
        <v>14</v>
      </c>
      <c r="F179" s="545" t="s">
        <v>158</v>
      </c>
      <c r="G179" s="546">
        <v>0.9041</v>
      </c>
      <c r="H179" s="546">
        <v>4.05</v>
      </c>
      <c r="I179" s="546" t="s">
        <v>17</v>
      </c>
      <c r="J179" s="546">
        <v>1.95</v>
      </c>
      <c r="K179" s="527" t="s">
        <v>706</v>
      </c>
      <c r="L179" s="545"/>
    </row>
    <row r="180" s="490" customFormat="1" spans="1:169">
      <c r="A180" s="539"/>
      <c r="B180" s="509"/>
      <c r="C180" s="538"/>
      <c r="D180" s="509"/>
      <c r="E180" s="509"/>
      <c r="F180" s="545" t="s">
        <v>159</v>
      </c>
      <c r="G180" s="546">
        <v>0.9041</v>
      </c>
      <c r="H180" s="546">
        <v>0.25</v>
      </c>
      <c r="I180" s="546" t="s">
        <v>22</v>
      </c>
      <c r="J180" s="546">
        <v>2.15</v>
      </c>
      <c r="K180" s="527"/>
      <c r="L180" s="545"/>
    </row>
    <row r="181" s="490" customFormat="1" spans="1:169">
      <c r="A181" s="539"/>
      <c r="B181" s="509"/>
      <c r="C181" s="538"/>
      <c r="D181" s="509"/>
      <c r="E181" s="509"/>
      <c r="F181" s="545" t="s">
        <v>160</v>
      </c>
      <c r="G181" s="546">
        <v>0.9041</v>
      </c>
      <c r="H181" s="546">
        <v>0.25</v>
      </c>
      <c r="I181" s="546" t="s">
        <v>439</v>
      </c>
      <c r="J181" s="546">
        <v>3.5</v>
      </c>
      <c r="K181" s="527"/>
      <c r="L181" s="545"/>
    </row>
    <row r="182" s="490" customFormat="1" spans="1:169">
      <c r="A182" s="539"/>
      <c r="B182" s="509"/>
      <c r="C182" s="538"/>
      <c r="D182" s="509"/>
      <c r="E182" s="509"/>
      <c r="F182" s="545" t="s">
        <v>148</v>
      </c>
      <c r="G182" s="546">
        <v>2.8274</v>
      </c>
      <c r="H182" s="546">
        <v>0.45</v>
      </c>
      <c r="I182" s="546" t="s">
        <v>24</v>
      </c>
      <c r="J182" s="546" t="s">
        <v>24</v>
      </c>
      <c r="K182" s="527"/>
      <c r="L182" s="545"/>
    </row>
    <row r="183" s="490" customFormat="1" spans="1:169">
      <c r="A183" s="539">
        <v>46122</v>
      </c>
      <c r="B183" s="509" t="s">
        <v>767</v>
      </c>
      <c r="C183" s="538">
        <v>5</v>
      </c>
      <c r="D183" s="509" t="s">
        <v>704</v>
      </c>
      <c r="E183" s="509" t="s">
        <v>705</v>
      </c>
      <c r="F183" s="545" t="s">
        <v>158</v>
      </c>
      <c r="G183" s="546">
        <v>0.9068</v>
      </c>
      <c r="H183" s="546">
        <v>4.1</v>
      </c>
      <c r="I183" s="546" t="s">
        <v>17</v>
      </c>
      <c r="J183" s="546">
        <v>1.9</v>
      </c>
      <c r="K183" s="527" t="s">
        <v>706</v>
      </c>
      <c r="L183" s="545"/>
    </row>
    <row r="184" s="490" customFormat="1" spans="1:169">
      <c r="A184" s="539"/>
      <c r="B184" s="509"/>
      <c r="C184" s="538"/>
      <c r="D184" s="509"/>
      <c r="E184" s="509"/>
      <c r="F184" s="545" t="s">
        <v>159</v>
      </c>
      <c r="G184" s="546">
        <v>0.9068</v>
      </c>
      <c r="H184" s="546">
        <v>0.18</v>
      </c>
      <c r="I184" s="546" t="s">
        <v>22</v>
      </c>
      <c r="J184" s="546">
        <v>2.14</v>
      </c>
      <c r="K184" s="527"/>
      <c r="L184" s="545"/>
    </row>
    <row r="185" s="490" customFormat="1" spans="1:169">
      <c r="A185" s="539"/>
      <c r="B185" s="509"/>
      <c r="C185" s="538"/>
      <c r="D185" s="509"/>
      <c r="E185" s="509"/>
      <c r="F185" s="545" t="s">
        <v>160</v>
      </c>
      <c r="G185" s="546">
        <v>0.989</v>
      </c>
      <c r="H185" s="546">
        <v>0.28</v>
      </c>
      <c r="I185" s="546" t="s">
        <v>439</v>
      </c>
      <c r="J185" s="546">
        <v>3.5</v>
      </c>
      <c r="K185" s="527"/>
      <c r="L185" s="545"/>
    </row>
    <row r="186" s="490" customFormat="1" spans="1:169">
      <c r="A186" s="539"/>
      <c r="B186" s="509"/>
      <c r="C186" s="538"/>
      <c r="D186" s="509"/>
      <c r="E186" s="509"/>
      <c r="F186" s="545" t="s">
        <v>148</v>
      </c>
      <c r="G186" s="546">
        <v>1.4877</v>
      </c>
      <c r="H186" s="546">
        <v>0.44</v>
      </c>
      <c r="I186" s="546" t="s">
        <v>24</v>
      </c>
      <c r="J186" s="546" t="s">
        <v>24</v>
      </c>
      <c r="K186" s="527"/>
      <c r="L186" s="545"/>
    </row>
    <row r="187" s="490" customFormat="1" spans="1:169">
      <c r="A187" s="539">
        <v>46125</v>
      </c>
      <c r="B187" s="509" t="s">
        <v>768</v>
      </c>
      <c r="C187" s="538">
        <v>7.52</v>
      </c>
      <c r="D187" s="509" t="s">
        <v>14</v>
      </c>
      <c r="E187" s="509" t="s">
        <v>66</v>
      </c>
      <c r="F187" s="515" t="s">
        <v>73</v>
      </c>
      <c r="G187" s="525">
        <v>1</v>
      </c>
      <c r="H187" s="525">
        <v>7.04</v>
      </c>
      <c r="I187" s="541" t="s">
        <v>17</v>
      </c>
      <c r="J187" s="525">
        <v>1.63</v>
      </c>
      <c r="K187" s="527" t="s">
        <v>630</v>
      </c>
      <c r="L187" s="545" t="s">
        <v>256</v>
      </c>
    </row>
    <row r="188" s="490" customFormat="1" spans="1:169">
      <c r="A188" s="522"/>
      <c r="B188" s="507"/>
      <c r="C188" s="523"/>
      <c r="D188" s="507"/>
      <c r="E188" s="507"/>
      <c r="F188" s="561" t="s">
        <v>75</v>
      </c>
      <c r="G188" s="562">
        <v>1</v>
      </c>
      <c r="H188" s="562">
        <v>0.48</v>
      </c>
      <c r="I188" s="563" t="s">
        <v>22</v>
      </c>
      <c r="J188" s="562">
        <v>1.9</v>
      </c>
      <c r="K188" s="526"/>
      <c r="L188" s="545"/>
    </row>
    <row r="189" s="490" customFormat="1" spans="1:169">
      <c r="A189" s="539">
        <v>46126</v>
      </c>
      <c r="B189" s="509" t="s">
        <v>769</v>
      </c>
      <c r="C189" s="538">
        <v>15</v>
      </c>
      <c r="D189" s="509" t="s">
        <v>208</v>
      </c>
      <c r="E189" s="509" t="s">
        <v>698</v>
      </c>
      <c r="F189" s="545" t="s">
        <v>144</v>
      </c>
      <c r="G189" s="546">
        <v>1</v>
      </c>
      <c r="H189" s="546">
        <v>13.2</v>
      </c>
      <c r="I189" s="546" t="s">
        <v>17</v>
      </c>
      <c r="J189" s="546">
        <v>1.63</v>
      </c>
      <c r="K189" s="527" t="s">
        <v>603</v>
      </c>
      <c r="L189" s="545" t="s">
        <v>770</v>
      </c>
    </row>
    <row r="190" s="490" customFormat="1" spans="1:169">
      <c r="A190" s="539"/>
      <c r="B190" s="509"/>
      <c r="C190" s="538"/>
      <c r="D190" s="509"/>
      <c r="E190" s="509"/>
      <c r="F190" s="545" t="s">
        <v>750</v>
      </c>
      <c r="G190" s="546">
        <v>1.0822</v>
      </c>
      <c r="H190" s="546">
        <v>0.9</v>
      </c>
      <c r="I190" s="546" t="s">
        <v>22</v>
      </c>
      <c r="J190" s="546">
        <v>1.8</v>
      </c>
      <c r="K190" s="527"/>
      <c r="L190" s="545"/>
    </row>
    <row r="191" s="490" customFormat="1" spans="1:169">
      <c r="A191" s="539"/>
      <c r="B191" s="509"/>
      <c r="C191" s="538"/>
      <c r="D191" s="509"/>
      <c r="E191" s="509"/>
      <c r="F191" s="545" t="s">
        <v>148</v>
      </c>
      <c r="G191" s="546">
        <v>1.6685</v>
      </c>
      <c r="H191" s="546">
        <v>0.9</v>
      </c>
      <c r="I191" s="546" t="s">
        <v>24</v>
      </c>
      <c r="J191" s="546" t="s">
        <v>24</v>
      </c>
      <c r="K191" s="527"/>
      <c r="L191" s="545"/>
    </row>
    <row r="192" s="490" customFormat="1" spans="1:169">
      <c r="A192" s="539">
        <v>46126</v>
      </c>
      <c r="B192" s="509" t="s">
        <v>771</v>
      </c>
      <c r="C192" s="538">
        <v>3</v>
      </c>
      <c r="D192" s="509" t="s">
        <v>33</v>
      </c>
      <c r="E192" s="509" t="s">
        <v>33</v>
      </c>
      <c r="F192" s="545" t="s">
        <v>158</v>
      </c>
      <c r="G192" s="546">
        <v>1.0356</v>
      </c>
      <c r="H192" s="546">
        <v>2.64</v>
      </c>
      <c r="I192" s="546" t="s">
        <v>17</v>
      </c>
      <c r="J192" s="546">
        <v>1.7</v>
      </c>
      <c r="K192" s="527" t="s">
        <v>601</v>
      </c>
      <c r="L192" s="545" t="s">
        <v>316</v>
      </c>
    </row>
    <row r="193" s="490" customFormat="1" spans="1:170">
      <c r="A193" s="539"/>
      <c r="B193" s="509"/>
      <c r="C193" s="538"/>
      <c r="D193" s="509"/>
      <c r="E193" s="509"/>
      <c r="F193" s="545" t="s">
        <v>159</v>
      </c>
      <c r="G193" s="546">
        <v>1.0356</v>
      </c>
      <c r="H193" s="546">
        <v>0.06</v>
      </c>
      <c r="I193" s="546" t="s">
        <v>17</v>
      </c>
      <c r="J193" s="546">
        <v>1.73</v>
      </c>
      <c r="K193" s="527"/>
      <c r="L193" s="545"/>
    </row>
    <row r="194" s="490" customFormat="1" spans="1:170">
      <c r="A194" s="539"/>
      <c r="B194" s="509"/>
      <c r="C194" s="538"/>
      <c r="D194" s="509"/>
      <c r="E194" s="509"/>
      <c r="F194" s="545" t="s">
        <v>148</v>
      </c>
      <c r="G194" s="546">
        <v>1.3671</v>
      </c>
      <c r="H194" s="546">
        <v>0.3</v>
      </c>
      <c r="I194" s="546" t="s">
        <v>24</v>
      </c>
      <c r="J194" s="546" t="s">
        <v>24</v>
      </c>
      <c r="K194" s="527"/>
      <c r="L194" s="545"/>
    </row>
    <row r="195" s="490" customFormat="1" spans="1:170">
      <c r="A195" s="539">
        <v>46128</v>
      </c>
      <c r="B195" s="509" t="s">
        <v>772</v>
      </c>
      <c r="C195" s="538">
        <v>10</v>
      </c>
      <c r="D195" s="509" t="s">
        <v>14</v>
      </c>
      <c r="E195" s="509" t="s">
        <v>14</v>
      </c>
      <c r="F195" s="545" t="s">
        <v>158</v>
      </c>
      <c r="G195" s="511">
        <v>1.84</v>
      </c>
      <c r="H195" s="546">
        <v>8.4</v>
      </c>
      <c r="I195" s="546" t="s">
        <v>17</v>
      </c>
      <c r="J195" s="546">
        <v>1.75</v>
      </c>
      <c r="K195" s="527" t="s">
        <v>595</v>
      </c>
      <c r="L195" s="545" t="s">
        <v>773</v>
      </c>
    </row>
    <row r="196" s="490" customFormat="1" spans="1:170">
      <c r="A196" s="539"/>
      <c r="B196" s="509"/>
      <c r="C196" s="538"/>
      <c r="D196" s="509"/>
      <c r="E196" s="509"/>
      <c r="F196" s="545" t="s">
        <v>159</v>
      </c>
      <c r="G196" s="511">
        <v>1.92</v>
      </c>
      <c r="H196" s="546">
        <v>0.5</v>
      </c>
      <c r="I196" s="546" t="s">
        <v>22</v>
      </c>
      <c r="J196" s="546">
        <v>1.89</v>
      </c>
      <c r="K196" s="527"/>
      <c r="L196" s="545"/>
    </row>
    <row r="197" s="490" customFormat="1" spans="1:170">
      <c r="A197" s="539"/>
      <c r="B197" s="509"/>
      <c r="C197" s="538"/>
      <c r="D197" s="509"/>
      <c r="E197" s="509"/>
      <c r="F197" s="545" t="s">
        <v>160</v>
      </c>
      <c r="G197" s="511">
        <v>2.01</v>
      </c>
      <c r="H197" s="546">
        <v>0.3</v>
      </c>
      <c r="I197" s="546" t="s">
        <v>44</v>
      </c>
      <c r="J197" s="546">
        <v>2</v>
      </c>
      <c r="K197" s="527"/>
      <c r="L197" s="545"/>
    </row>
    <row r="198" s="490" customFormat="1" spans="1:170">
      <c r="A198" s="539"/>
      <c r="B198" s="509"/>
      <c r="C198" s="538"/>
      <c r="D198" s="509"/>
      <c r="E198" s="509"/>
      <c r="F198" s="545" t="s">
        <v>148</v>
      </c>
      <c r="G198" s="511">
        <v>2.67</v>
      </c>
      <c r="H198" s="546">
        <v>0.8</v>
      </c>
      <c r="I198" s="546" t="s">
        <v>24</v>
      </c>
      <c r="J198" s="546" t="s">
        <v>24</v>
      </c>
      <c r="K198" s="527"/>
      <c r="L198" s="545"/>
    </row>
    <row r="199" s="490" customFormat="1" spans="1:170">
      <c r="A199" s="539">
        <v>46129</v>
      </c>
      <c r="B199" s="509" t="s">
        <v>774</v>
      </c>
      <c r="C199" s="538">
        <v>7.52</v>
      </c>
      <c r="D199" s="509" t="s">
        <v>66</v>
      </c>
      <c r="E199" s="509" t="s">
        <v>14</v>
      </c>
      <c r="F199" s="545" t="s">
        <v>158</v>
      </c>
      <c r="G199" s="546">
        <v>1.01</v>
      </c>
      <c r="H199" s="546">
        <v>7.04</v>
      </c>
      <c r="I199" s="546" t="s">
        <v>17</v>
      </c>
      <c r="J199" s="546">
        <v>1.62</v>
      </c>
      <c r="K199" s="527" t="s">
        <v>630</v>
      </c>
      <c r="L199" s="545" t="s">
        <v>256</v>
      </c>
    </row>
    <row r="200" s="490" customFormat="1" spans="1:170">
      <c r="A200" s="539"/>
      <c r="B200" s="509"/>
      <c r="C200" s="538"/>
      <c r="D200" s="509"/>
      <c r="E200" s="509"/>
      <c r="F200" s="545" t="s">
        <v>159</v>
      </c>
      <c r="G200" s="546">
        <v>1.01</v>
      </c>
      <c r="H200" s="546">
        <v>0.48</v>
      </c>
      <c r="I200" s="546" t="s">
        <v>22</v>
      </c>
      <c r="J200" s="546">
        <v>1.9</v>
      </c>
      <c r="K200" s="527"/>
      <c r="L200" s="545"/>
    </row>
    <row r="201" s="492" customFormat="1" spans="1:170">
      <c r="A201" s="539">
        <v>46135</v>
      </c>
      <c r="B201" s="509" t="s">
        <v>775</v>
      </c>
      <c r="C201" s="538">
        <v>10</v>
      </c>
      <c r="D201" s="509" t="s">
        <v>72</v>
      </c>
      <c r="E201" s="509" t="s">
        <v>33</v>
      </c>
      <c r="F201" s="545" t="s">
        <v>158</v>
      </c>
      <c r="G201" s="546">
        <v>0.78</v>
      </c>
      <c r="H201" s="546">
        <v>9</v>
      </c>
      <c r="I201" s="546" t="s">
        <v>17</v>
      </c>
      <c r="J201" s="546">
        <v>1.58</v>
      </c>
      <c r="K201" s="527" t="s">
        <v>713</v>
      </c>
      <c r="L201" s="545"/>
      <c r="M201" s="490"/>
      <c r="N201" s="490"/>
      <c r="O201" s="490"/>
      <c r="P201" s="490"/>
      <c r="Q201" s="490"/>
      <c r="R201" s="490"/>
      <c r="S201" s="490"/>
      <c r="T201" s="490"/>
      <c r="U201" s="490"/>
      <c r="V201" s="490"/>
      <c r="W201" s="490"/>
      <c r="X201" s="490"/>
      <c r="Y201" s="490"/>
      <c r="Z201" s="490"/>
      <c r="AA201" s="490"/>
      <c r="AB201" s="490"/>
      <c r="AC201" s="490"/>
      <c r="AD201" s="490"/>
      <c r="AE201" s="490"/>
      <c r="AF201" s="490"/>
      <c r="AG201" s="490"/>
      <c r="AH201" s="490"/>
      <c r="AI201" s="490"/>
      <c r="AJ201" s="490"/>
      <c r="AK201" s="490"/>
      <c r="AL201" s="490"/>
      <c r="AM201" s="490"/>
      <c r="AN201" s="490"/>
      <c r="AO201" s="490"/>
      <c r="AP201" s="490"/>
      <c r="AQ201" s="490"/>
      <c r="AR201" s="490"/>
      <c r="AS201" s="490"/>
      <c r="AT201" s="490"/>
      <c r="AU201" s="490"/>
      <c r="AV201" s="490"/>
      <c r="AW201" s="490"/>
      <c r="AX201" s="490"/>
      <c r="AY201" s="490"/>
      <c r="AZ201" s="490"/>
      <c r="BA201" s="490"/>
      <c r="BB201" s="490"/>
      <c r="BC201" s="490"/>
      <c r="BD201" s="490"/>
      <c r="BE201" s="490"/>
      <c r="BF201" s="490"/>
      <c r="BG201" s="490"/>
      <c r="BH201" s="490"/>
      <c r="BI201" s="490"/>
      <c r="BJ201" s="490"/>
      <c r="BK201" s="490"/>
      <c r="BL201" s="490"/>
      <c r="BM201" s="490"/>
      <c r="BN201" s="490"/>
      <c r="BO201" s="490"/>
      <c r="BP201" s="490"/>
      <c r="BQ201" s="490"/>
      <c r="BR201" s="490"/>
      <c r="BS201" s="490"/>
      <c r="BT201" s="490"/>
      <c r="BU201" s="490"/>
      <c r="BV201" s="490"/>
      <c r="BW201" s="490"/>
      <c r="BX201" s="490"/>
      <c r="BY201" s="490"/>
      <c r="BZ201" s="490"/>
      <c r="CA201" s="490"/>
      <c r="CB201" s="490"/>
      <c r="CC201" s="490"/>
      <c r="CD201" s="490"/>
      <c r="CE201" s="490"/>
      <c r="CF201" s="490"/>
      <c r="CG201" s="490"/>
      <c r="CH201" s="490"/>
      <c r="CI201" s="490"/>
      <c r="CJ201" s="490"/>
      <c r="CK201" s="490"/>
      <c r="CL201" s="490"/>
      <c r="CM201" s="490"/>
      <c r="CN201" s="490"/>
      <c r="CO201" s="490"/>
      <c r="CP201" s="490"/>
      <c r="CQ201" s="490"/>
      <c r="CR201" s="490"/>
      <c r="CS201" s="490"/>
      <c r="CT201" s="490"/>
      <c r="CU201" s="490"/>
      <c r="CV201" s="490"/>
      <c r="CW201" s="490"/>
      <c r="CX201" s="490"/>
      <c r="CY201" s="490"/>
      <c r="CZ201" s="490"/>
      <c r="DA201" s="490"/>
      <c r="DB201" s="490"/>
      <c r="DC201" s="490"/>
      <c r="DD201" s="490"/>
      <c r="DE201" s="490"/>
      <c r="DF201" s="490"/>
      <c r="DG201" s="490"/>
      <c r="DH201" s="490"/>
      <c r="DI201" s="490"/>
      <c r="DJ201" s="490"/>
      <c r="DK201" s="490"/>
      <c r="DL201" s="490"/>
      <c r="DM201" s="490"/>
      <c r="DN201" s="490"/>
      <c r="DO201" s="490"/>
      <c r="DP201" s="490"/>
      <c r="DQ201" s="490"/>
      <c r="DR201" s="490"/>
      <c r="DS201" s="490"/>
      <c r="DT201" s="490"/>
      <c r="DU201" s="490"/>
      <c r="DV201" s="490"/>
      <c r="DW201" s="490"/>
      <c r="DX201" s="490"/>
      <c r="DY201" s="490"/>
      <c r="DZ201" s="490"/>
      <c r="EA201" s="490"/>
      <c r="EB201" s="490"/>
      <c r="EC201" s="490"/>
      <c r="ED201" s="490"/>
      <c r="EE201" s="490"/>
      <c r="EF201" s="490"/>
      <c r="EG201" s="490"/>
      <c r="EH201" s="490"/>
      <c r="EI201" s="490"/>
      <c r="EJ201" s="490"/>
      <c r="EK201" s="490"/>
      <c r="EL201" s="490"/>
      <c r="EM201" s="490"/>
      <c r="EN201" s="490"/>
      <c r="EO201" s="490"/>
      <c r="EP201" s="490"/>
      <c r="EQ201" s="490"/>
      <c r="ER201" s="490"/>
      <c r="ES201" s="490"/>
      <c r="ET201" s="490"/>
      <c r="EU201" s="490"/>
      <c r="EV201" s="490"/>
      <c r="EW201" s="490"/>
      <c r="EX201" s="490"/>
      <c r="EY201" s="490"/>
      <c r="EZ201" s="490"/>
      <c r="FA201" s="490"/>
      <c r="FB201" s="490"/>
      <c r="FC201" s="490"/>
      <c r="FD201" s="490"/>
      <c r="FE201" s="490"/>
      <c r="FF201" s="490"/>
      <c r="FG201" s="490"/>
      <c r="FH201" s="490"/>
      <c r="FI201" s="490"/>
      <c r="FJ201" s="490"/>
      <c r="FK201" s="490"/>
      <c r="FL201" s="490"/>
      <c r="FM201" s="490"/>
      <c r="FN201" s="490"/>
    </row>
    <row r="202" s="492" customFormat="1" spans="1:170">
      <c r="A202" s="539"/>
      <c r="B202" s="509"/>
      <c r="C202" s="538"/>
      <c r="D202" s="509"/>
      <c r="E202" s="509"/>
      <c r="F202" s="545" t="s">
        <v>159</v>
      </c>
      <c r="G202" s="546">
        <v>1.04</v>
      </c>
      <c r="H202" s="546">
        <v>0.3</v>
      </c>
      <c r="I202" s="546" t="s">
        <v>22</v>
      </c>
      <c r="J202" s="546">
        <v>1.8</v>
      </c>
      <c r="K202" s="527"/>
      <c r="L202" s="545"/>
      <c r="M202" s="490"/>
      <c r="N202" s="490"/>
      <c r="O202" s="490"/>
      <c r="P202" s="490"/>
      <c r="Q202" s="490"/>
      <c r="R202" s="490"/>
      <c r="S202" s="490"/>
      <c r="T202" s="490"/>
      <c r="U202" s="490"/>
      <c r="V202" s="490"/>
      <c r="W202" s="490"/>
      <c r="X202" s="490"/>
      <c r="Y202" s="490"/>
      <c r="Z202" s="490"/>
      <c r="AA202" s="490"/>
      <c r="AB202" s="490"/>
      <c r="AC202" s="490"/>
      <c r="AD202" s="490"/>
      <c r="AE202" s="490"/>
      <c r="AF202" s="490"/>
      <c r="AG202" s="490"/>
      <c r="AH202" s="490"/>
      <c r="AI202" s="490"/>
      <c r="AJ202" s="490"/>
      <c r="AK202" s="490"/>
      <c r="AL202" s="490"/>
      <c r="AM202" s="490"/>
      <c r="AN202" s="490"/>
      <c r="AO202" s="490"/>
      <c r="AP202" s="490"/>
      <c r="AQ202" s="490"/>
      <c r="AR202" s="490"/>
      <c r="AS202" s="490"/>
      <c r="AT202" s="490"/>
      <c r="AU202" s="490"/>
      <c r="AV202" s="490"/>
      <c r="AW202" s="490"/>
      <c r="AX202" s="490"/>
      <c r="AY202" s="490"/>
      <c r="AZ202" s="490"/>
      <c r="BA202" s="490"/>
      <c r="BB202" s="490"/>
      <c r="BC202" s="490"/>
      <c r="BD202" s="490"/>
      <c r="BE202" s="490"/>
      <c r="BF202" s="490"/>
      <c r="BG202" s="490"/>
      <c r="BH202" s="490"/>
      <c r="BI202" s="490"/>
      <c r="BJ202" s="490"/>
      <c r="BK202" s="490"/>
      <c r="BL202" s="490"/>
      <c r="BM202" s="490"/>
      <c r="BN202" s="490"/>
      <c r="BO202" s="490"/>
      <c r="BP202" s="490"/>
      <c r="BQ202" s="490"/>
      <c r="BR202" s="490"/>
      <c r="BS202" s="490"/>
      <c r="BT202" s="490"/>
      <c r="BU202" s="490"/>
      <c r="BV202" s="490"/>
      <c r="BW202" s="490"/>
      <c r="BX202" s="490"/>
      <c r="BY202" s="490"/>
      <c r="BZ202" s="490"/>
      <c r="CA202" s="490"/>
      <c r="CB202" s="490"/>
      <c r="CC202" s="490"/>
      <c r="CD202" s="490"/>
      <c r="CE202" s="490"/>
      <c r="CF202" s="490"/>
      <c r="CG202" s="490"/>
      <c r="CH202" s="490"/>
      <c r="CI202" s="490"/>
      <c r="CJ202" s="490"/>
      <c r="CK202" s="490"/>
      <c r="CL202" s="490"/>
      <c r="CM202" s="490"/>
      <c r="CN202" s="490"/>
      <c r="CO202" s="490"/>
      <c r="CP202" s="490"/>
      <c r="CQ202" s="490"/>
      <c r="CR202" s="490"/>
      <c r="CS202" s="490"/>
      <c r="CT202" s="490"/>
      <c r="CU202" s="490"/>
      <c r="CV202" s="490"/>
      <c r="CW202" s="490"/>
      <c r="CX202" s="490"/>
      <c r="CY202" s="490"/>
      <c r="CZ202" s="490"/>
      <c r="DA202" s="490"/>
      <c r="DB202" s="490"/>
      <c r="DC202" s="490"/>
      <c r="DD202" s="490"/>
      <c r="DE202" s="490"/>
      <c r="DF202" s="490"/>
      <c r="DG202" s="490"/>
      <c r="DH202" s="490"/>
      <c r="DI202" s="490"/>
      <c r="DJ202" s="490"/>
      <c r="DK202" s="490"/>
      <c r="DL202" s="490"/>
      <c r="DM202" s="490"/>
      <c r="DN202" s="490"/>
      <c r="DO202" s="490"/>
      <c r="DP202" s="490"/>
      <c r="DQ202" s="490"/>
      <c r="DR202" s="490"/>
      <c r="DS202" s="490"/>
      <c r="DT202" s="490"/>
      <c r="DU202" s="490"/>
      <c r="DV202" s="490"/>
      <c r="DW202" s="490"/>
      <c r="DX202" s="490"/>
      <c r="DY202" s="490"/>
      <c r="DZ202" s="490"/>
      <c r="EA202" s="490"/>
      <c r="EB202" s="490"/>
      <c r="EC202" s="490"/>
      <c r="ED202" s="490"/>
      <c r="EE202" s="490"/>
      <c r="EF202" s="490"/>
      <c r="EG202" s="490"/>
      <c r="EH202" s="490"/>
      <c r="EI202" s="490"/>
      <c r="EJ202" s="490"/>
      <c r="EK202" s="490"/>
      <c r="EL202" s="490"/>
      <c r="EM202" s="490"/>
      <c r="EN202" s="490"/>
      <c r="EO202" s="490"/>
      <c r="EP202" s="490"/>
      <c r="EQ202" s="490"/>
      <c r="ER202" s="490"/>
      <c r="ES202" s="490"/>
      <c r="ET202" s="490"/>
      <c r="EU202" s="490"/>
      <c r="EV202" s="490"/>
      <c r="EW202" s="490"/>
      <c r="EX202" s="490"/>
      <c r="EY202" s="490"/>
      <c r="EZ202" s="490"/>
      <c r="FA202" s="490"/>
      <c r="FB202" s="490"/>
      <c r="FC202" s="490"/>
      <c r="FD202" s="490"/>
      <c r="FE202" s="490"/>
      <c r="FF202" s="490"/>
      <c r="FG202" s="490"/>
      <c r="FH202" s="490"/>
      <c r="FI202" s="490"/>
      <c r="FJ202" s="490"/>
      <c r="FK202" s="490"/>
      <c r="FL202" s="490"/>
      <c r="FM202" s="490"/>
      <c r="FN202" s="490"/>
    </row>
    <row r="203" s="492" customFormat="1" spans="1:170">
      <c r="A203" s="539"/>
      <c r="B203" s="509"/>
      <c r="C203" s="538"/>
      <c r="D203" s="509"/>
      <c r="E203" s="509"/>
      <c r="F203" s="545" t="s">
        <v>148</v>
      </c>
      <c r="G203" s="546">
        <v>1.53</v>
      </c>
      <c r="H203" s="546">
        <v>0.7</v>
      </c>
      <c r="I203" s="546" t="s">
        <v>24</v>
      </c>
      <c r="J203" s="546" t="s">
        <v>24</v>
      </c>
      <c r="K203" s="527"/>
      <c r="L203" s="545"/>
      <c r="M203" s="490"/>
      <c r="N203" s="490"/>
      <c r="O203" s="490"/>
      <c r="P203" s="490"/>
      <c r="Q203" s="490"/>
      <c r="R203" s="490"/>
      <c r="S203" s="490"/>
      <c r="T203" s="490"/>
      <c r="U203" s="490"/>
      <c r="V203" s="490"/>
      <c r="W203" s="490"/>
      <c r="X203" s="490"/>
      <c r="Y203" s="490"/>
      <c r="Z203" s="490"/>
      <c r="AA203" s="490"/>
      <c r="AB203" s="490"/>
      <c r="AC203" s="490"/>
      <c r="AD203" s="490"/>
      <c r="AE203" s="490"/>
      <c r="AF203" s="490"/>
      <c r="AG203" s="490"/>
      <c r="AH203" s="490"/>
      <c r="AI203" s="490"/>
      <c r="AJ203" s="490"/>
      <c r="AK203" s="490"/>
      <c r="AL203" s="490"/>
      <c r="AM203" s="490"/>
      <c r="AN203" s="490"/>
      <c r="AO203" s="490"/>
      <c r="AP203" s="490"/>
      <c r="AQ203" s="490"/>
      <c r="AR203" s="490"/>
      <c r="AS203" s="490"/>
      <c r="AT203" s="490"/>
      <c r="AU203" s="490"/>
      <c r="AV203" s="490"/>
      <c r="AW203" s="490"/>
      <c r="AX203" s="490"/>
      <c r="AY203" s="490"/>
      <c r="AZ203" s="490"/>
      <c r="BA203" s="490"/>
      <c r="BB203" s="490"/>
      <c r="BC203" s="490"/>
      <c r="BD203" s="490"/>
      <c r="BE203" s="490"/>
      <c r="BF203" s="490"/>
      <c r="BG203" s="490"/>
      <c r="BH203" s="490"/>
      <c r="BI203" s="490"/>
      <c r="BJ203" s="490"/>
      <c r="BK203" s="490"/>
      <c r="BL203" s="490"/>
      <c r="BM203" s="490"/>
      <c r="BN203" s="490"/>
      <c r="BO203" s="490"/>
      <c r="BP203" s="490"/>
      <c r="BQ203" s="490"/>
      <c r="BR203" s="490"/>
      <c r="BS203" s="490"/>
      <c r="BT203" s="490"/>
      <c r="BU203" s="490"/>
      <c r="BV203" s="490"/>
      <c r="BW203" s="490"/>
      <c r="BX203" s="490"/>
      <c r="BY203" s="490"/>
      <c r="BZ203" s="490"/>
      <c r="CA203" s="490"/>
      <c r="CB203" s="490"/>
      <c r="CC203" s="490"/>
      <c r="CD203" s="490"/>
      <c r="CE203" s="490"/>
      <c r="CF203" s="490"/>
      <c r="CG203" s="490"/>
      <c r="CH203" s="490"/>
      <c r="CI203" s="490"/>
      <c r="CJ203" s="490"/>
      <c r="CK203" s="490"/>
      <c r="CL203" s="490"/>
      <c r="CM203" s="490"/>
      <c r="CN203" s="490"/>
      <c r="CO203" s="490"/>
      <c r="CP203" s="490"/>
      <c r="CQ203" s="490"/>
      <c r="CR203" s="490"/>
      <c r="CS203" s="490"/>
      <c r="CT203" s="490"/>
      <c r="CU203" s="490"/>
      <c r="CV203" s="490"/>
      <c r="CW203" s="490"/>
      <c r="CX203" s="490"/>
      <c r="CY203" s="490"/>
      <c r="CZ203" s="490"/>
      <c r="DA203" s="490"/>
      <c r="DB203" s="490"/>
      <c r="DC203" s="490"/>
      <c r="DD203" s="490"/>
      <c r="DE203" s="490"/>
      <c r="DF203" s="490"/>
      <c r="DG203" s="490"/>
      <c r="DH203" s="490"/>
      <c r="DI203" s="490"/>
      <c r="DJ203" s="490"/>
      <c r="DK203" s="490"/>
      <c r="DL203" s="490"/>
      <c r="DM203" s="490"/>
      <c r="DN203" s="490"/>
      <c r="DO203" s="490"/>
      <c r="DP203" s="490"/>
      <c r="DQ203" s="490"/>
      <c r="DR203" s="490"/>
      <c r="DS203" s="490"/>
      <c r="DT203" s="490"/>
      <c r="DU203" s="490"/>
      <c r="DV203" s="490"/>
      <c r="DW203" s="490"/>
      <c r="DX203" s="490"/>
      <c r="DY203" s="490"/>
      <c r="DZ203" s="490"/>
      <c r="EA203" s="490"/>
      <c r="EB203" s="490"/>
      <c r="EC203" s="490"/>
      <c r="ED203" s="490"/>
      <c r="EE203" s="490"/>
      <c r="EF203" s="490"/>
      <c r="EG203" s="490"/>
      <c r="EH203" s="490"/>
      <c r="EI203" s="490"/>
      <c r="EJ203" s="490"/>
      <c r="EK203" s="490"/>
      <c r="EL203" s="490"/>
      <c r="EM203" s="490"/>
      <c r="EN203" s="490"/>
      <c r="EO203" s="490"/>
      <c r="EP203" s="490"/>
      <c r="EQ203" s="490"/>
      <c r="ER203" s="490"/>
      <c r="ES203" s="490"/>
      <c r="ET203" s="490"/>
      <c r="EU203" s="490"/>
      <c r="EV203" s="490"/>
      <c r="EW203" s="490"/>
      <c r="EX203" s="490"/>
      <c r="EY203" s="490"/>
      <c r="EZ203" s="490"/>
      <c r="FA203" s="490"/>
      <c r="FB203" s="490"/>
      <c r="FC203" s="490"/>
      <c r="FD203" s="490"/>
      <c r="FE203" s="490"/>
      <c r="FF203" s="490"/>
      <c r="FG203" s="490"/>
      <c r="FH203" s="490"/>
      <c r="FI203" s="490"/>
      <c r="FJ203" s="490"/>
      <c r="FK203" s="490"/>
      <c r="FL203" s="490"/>
      <c r="FM203" s="490"/>
      <c r="FN203" s="490"/>
    </row>
    <row r="204" s="492" customFormat="1" spans="1:170">
      <c r="A204" s="539">
        <v>46135</v>
      </c>
      <c r="B204" s="509" t="s">
        <v>776</v>
      </c>
      <c r="C204" s="538">
        <v>5.64</v>
      </c>
      <c r="D204" s="509" t="s">
        <v>14</v>
      </c>
      <c r="E204" s="509" t="s">
        <v>66</v>
      </c>
      <c r="F204" s="545" t="s">
        <v>158</v>
      </c>
      <c r="G204" s="546">
        <v>1</v>
      </c>
      <c r="H204" s="546">
        <v>5.28</v>
      </c>
      <c r="I204" s="546" t="s">
        <v>17</v>
      </c>
      <c r="J204" s="546">
        <v>1.6</v>
      </c>
      <c r="K204" s="527" t="s">
        <v>630</v>
      </c>
      <c r="L204" s="545" t="s">
        <v>256</v>
      </c>
      <c r="M204" s="490"/>
      <c r="N204" s="490"/>
      <c r="O204" s="490"/>
      <c r="P204" s="490"/>
      <c r="Q204" s="490"/>
      <c r="R204" s="490"/>
      <c r="S204" s="490"/>
      <c r="T204" s="490"/>
      <c r="U204" s="490"/>
      <c r="V204" s="490"/>
      <c r="W204" s="490"/>
      <c r="X204" s="490"/>
      <c r="Y204" s="490"/>
      <c r="Z204" s="490"/>
      <c r="AA204" s="490"/>
      <c r="AB204" s="490"/>
      <c r="AC204" s="490"/>
      <c r="AD204" s="490"/>
      <c r="AE204" s="490"/>
      <c r="AF204" s="490"/>
      <c r="AG204" s="490"/>
      <c r="AH204" s="490"/>
      <c r="AI204" s="490"/>
      <c r="AJ204" s="490"/>
      <c r="AK204" s="490"/>
      <c r="AL204" s="490"/>
      <c r="AM204" s="490"/>
      <c r="AN204" s="490"/>
      <c r="AO204" s="490"/>
      <c r="AP204" s="490"/>
      <c r="AQ204" s="490"/>
      <c r="AR204" s="490"/>
      <c r="AS204" s="490"/>
      <c r="AT204" s="490"/>
      <c r="AU204" s="490"/>
      <c r="AV204" s="490"/>
      <c r="AW204" s="490"/>
      <c r="AX204" s="490"/>
      <c r="AY204" s="490"/>
      <c r="AZ204" s="490"/>
      <c r="BA204" s="490"/>
      <c r="BB204" s="490"/>
      <c r="BC204" s="490"/>
      <c r="BD204" s="490"/>
      <c r="BE204" s="490"/>
      <c r="BF204" s="490"/>
      <c r="BG204" s="490"/>
      <c r="BH204" s="490"/>
      <c r="BI204" s="490"/>
      <c r="BJ204" s="490"/>
      <c r="BK204" s="490"/>
      <c r="BL204" s="490"/>
      <c r="BM204" s="490"/>
      <c r="BN204" s="490"/>
      <c r="BO204" s="490"/>
      <c r="BP204" s="490"/>
      <c r="BQ204" s="490"/>
      <c r="BR204" s="490"/>
      <c r="BS204" s="490"/>
      <c r="BT204" s="490"/>
      <c r="BU204" s="490"/>
      <c r="BV204" s="490"/>
      <c r="BW204" s="490"/>
      <c r="BX204" s="490"/>
      <c r="BY204" s="490"/>
      <c r="BZ204" s="490"/>
      <c r="CA204" s="490"/>
      <c r="CB204" s="490"/>
      <c r="CC204" s="490"/>
      <c r="CD204" s="490"/>
      <c r="CE204" s="490"/>
      <c r="CF204" s="490"/>
      <c r="CG204" s="490"/>
      <c r="CH204" s="490"/>
      <c r="CI204" s="490"/>
      <c r="CJ204" s="490"/>
      <c r="CK204" s="490"/>
      <c r="CL204" s="490"/>
      <c r="CM204" s="490"/>
      <c r="CN204" s="490"/>
      <c r="CO204" s="490"/>
      <c r="CP204" s="490"/>
      <c r="CQ204" s="490"/>
      <c r="CR204" s="490"/>
      <c r="CS204" s="490"/>
      <c r="CT204" s="490"/>
      <c r="CU204" s="490"/>
      <c r="CV204" s="490"/>
      <c r="CW204" s="490"/>
      <c r="CX204" s="490"/>
      <c r="CY204" s="490"/>
      <c r="CZ204" s="490"/>
      <c r="DA204" s="490"/>
      <c r="DB204" s="490"/>
      <c r="DC204" s="490"/>
      <c r="DD204" s="490"/>
      <c r="DE204" s="490"/>
      <c r="DF204" s="490"/>
      <c r="DG204" s="490"/>
      <c r="DH204" s="490"/>
      <c r="DI204" s="490"/>
      <c r="DJ204" s="490"/>
      <c r="DK204" s="490"/>
      <c r="DL204" s="490"/>
      <c r="DM204" s="490"/>
      <c r="DN204" s="490"/>
      <c r="DO204" s="490"/>
      <c r="DP204" s="490"/>
      <c r="DQ204" s="490"/>
      <c r="DR204" s="490"/>
      <c r="DS204" s="490"/>
      <c r="DT204" s="490"/>
      <c r="DU204" s="490"/>
      <c r="DV204" s="490"/>
      <c r="DW204" s="490"/>
      <c r="DX204" s="490"/>
      <c r="DY204" s="490"/>
      <c r="DZ204" s="490"/>
      <c r="EA204" s="490"/>
      <c r="EB204" s="490"/>
      <c r="EC204" s="490"/>
      <c r="ED204" s="490"/>
      <c r="EE204" s="490"/>
      <c r="EF204" s="490"/>
      <c r="EG204" s="490"/>
      <c r="EH204" s="490"/>
      <c r="EI204" s="490"/>
      <c r="EJ204" s="490"/>
      <c r="EK204" s="490"/>
      <c r="EL204" s="490"/>
      <c r="EM204" s="490"/>
      <c r="EN204" s="490"/>
      <c r="EO204" s="490"/>
      <c r="EP204" s="490"/>
      <c r="EQ204" s="490"/>
      <c r="ER204" s="490"/>
      <c r="ES204" s="490"/>
      <c r="ET204" s="490"/>
      <c r="EU204" s="490"/>
      <c r="EV204" s="490"/>
      <c r="EW204" s="490"/>
      <c r="EX204" s="490"/>
      <c r="EY204" s="490"/>
      <c r="EZ204" s="490"/>
      <c r="FA204" s="490"/>
      <c r="FB204" s="490"/>
      <c r="FC204" s="490"/>
      <c r="FD204" s="490"/>
      <c r="FE204" s="490"/>
      <c r="FF204" s="490"/>
      <c r="FG204" s="490"/>
      <c r="FH204" s="490"/>
      <c r="FI204" s="490"/>
      <c r="FJ204" s="490"/>
      <c r="FK204" s="490"/>
      <c r="FL204" s="490"/>
      <c r="FM204" s="490"/>
      <c r="FN204" s="490"/>
    </row>
    <row r="205" s="492" customFormat="1" spans="1:170">
      <c r="A205" s="539"/>
      <c r="B205" s="509"/>
      <c r="C205" s="538"/>
      <c r="D205" s="509"/>
      <c r="E205" s="509"/>
      <c r="F205" s="545" t="s">
        <v>159</v>
      </c>
      <c r="G205" s="546">
        <v>1</v>
      </c>
      <c r="H205" s="546">
        <v>0.36</v>
      </c>
      <c r="I205" s="546" t="s">
        <v>22</v>
      </c>
      <c r="J205" s="546">
        <v>1.85</v>
      </c>
      <c r="K205" s="527"/>
      <c r="L205" s="545"/>
      <c r="M205" s="490"/>
      <c r="N205" s="490"/>
      <c r="O205" s="490"/>
      <c r="P205" s="490"/>
      <c r="Q205" s="490"/>
      <c r="R205" s="490"/>
      <c r="S205" s="490"/>
      <c r="T205" s="490"/>
      <c r="U205" s="490"/>
      <c r="V205" s="490"/>
      <c r="W205" s="490"/>
      <c r="X205" s="490"/>
      <c r="Y205" s="490"/>
      <c r="Z205" s="490"/>
      <c r="AA205" s="490"/>
      <c r="AB205" s="490"/>
      <c r="AC205" s="490"/>
      <c r="AD205" s="490"/>
      <c r="AE205" s="490"/>
      <c r="AF205" s="490"/>
      <c r="AG205" s="490"/>
      <c r="AH205" s="490"/>
      <c r="AI205" s="490"/>
      <c r="AJ205" s="490"/>
      <c r="AK205" s="490"/>
      <c r="AL205" s="490"/>
      <c r="AM205" s="490"/>
      <c r="AN205" s="490"/>
      <c r="AO205" s="490"/>
      <c r="AP205" s="490"/>
      <c r="AQ205" s="490"/>
      <c r="AR205" s="490"/>
      <c r="AS205" s="490"/>
      <c r="AT205" s="490"/>
      <c r="AU205" s="490"/>
      <c r="AV205" s="490"/>
      <c r="AW205" s="490"/>
      <c r="AX205" s="490"/>
      <c r="AY205" s="490"/>
      <c r="AZ205" s="490"/>
      <c r="BA205" s="490"/>
      <c r="BB205" s="490"/>
      <c r="BC205" s="490"/>
      <c r="BD205" s="490"/>
      <c r="BE205" s="490"/>
      <c r="BF205" s="490"/>
      <c r="BG205" s="490"/>
      <c r="BH205" s="490"/>
      <c r="BI205" s="490"/>
      <c r="BJ205" s="490"/>
      <c r="BK205" s="490"/>
      <c r="BL205" s="490"/>
      <c r="BM205" s="490"/>
      <c r="BN205" s="490"/>
      <c r="BO205" s="490"/>
      <c r="BP205" s="490"/>
      <c r="BQ205" s="490"/>
      <c r="BR205" s="490"/>
      <c r="BS205" s="490"/>
      <c r="BT205" s="490"/>
      <c r="BU205" s="490"/>
      <c r="BV205" s="490"/>
      <c r="BW205" s="490"/>
      <c r="BX205" s="490"/>
      <c r="BY205" s="490"/>
      <c r="BZ205" s="490"/>
      <c r="CA205" s="490"/>
      <c r="CB205" s="490"/>
      <c r="CC205" s="490"/>
      <c r="CD205" s="490"/>
      <c r="CE205" s="490"/>
      <c r="CF205" s="490"/>
      <c r="CG205" s="490"/>
      <c r="CH205" s="490"/>
      <c r="CI205" s="490"/>
      <c r="CJ205" s="490"/>
      <c r="CK205" s="490"/>
      <c r="CL205" s="490"/>
      <c r="CM205" s="490"/>
      <c r="CN205" s="490"/>
      <c r="CO205" s="490"/>
      <c r="CP205" s="490"/>
      <c r="CQ205" s="490"/>
      <c r="CR205" s="490"/>
      <c r="CS205" s="490"/>
      <c r="CT205" s="490"/>
      <c r="CU205" s="490"/>
      <c r="CV205" s="490"/>
      <c r="CW205" s="490"/>
      <c r="CX205" s="490"/>
      <c r="CY205" s="490"/>
      <c r="CZ205" s="490"/>
      <c r="DA205" s="490"/>
      <c r="DB205" s="490"/>
      <c r="DC205" s="490"/>
      <c r="DD205" s="490"/>
      <c r="DE205" s="490"/>
      <c r="DF205" s="490"/>
      <c r="DG205" s="490"/>
      <c r="DH205" s="490"/>
      <c r="DI205" s="490"/>
      <c r="DJ205" s="490"/>
      <c r="DK205" s="490"/>
      <c r="DL205" s="490"/>
      <c r="DM205" s="490"/>
      <c r="DN205" s="490"/>
      <c r="DO205" s="490"/>
      <c r="DP205" s="490"/>
      <c r="DQ205" s="490"/>
      <c r="DR205" s="490"/>
      <c r="DS205" s="490"/>
      <c r="DT205" s="490"/>
      <c r="DU205" s="490"/>
      <c r="DV205" s="490"/>
      <c r="DW205" s="490"/>
      <c r="DX205" s="490"/>
      <c r="DY205" s="490"/>
      <c r="DZ205" s="490"/>
      <c r="EA205" s="490"/>
      <c r="EB205" s="490"/>
      <c r="EC205" s="490"/>
      <c r="ED205" s="490"/>
      <c r="EE205" s="490"/>
      <c r="EF205" s="490"/>
      <c r="EG205" s="490"/>
      <c r="EH205" s="490"/>
      <c r="EI205" s="490"/>
      <c r="EJ205" s="490"/>
      <c r="EK205" s="490"/>
      <c r="EL205" s="490"/>
      <c r="EM205" s="490"/>
      <c r="EN205" s="490"/>
      <c r="EO205" s="490"/>
      <c r="EP205" s="490"/>
      <c r="EQ205" s="490"/>
      <c r="ER205" s="490"/>
      <c r="ES205" s="490"/>
      <c r="ET205" s="490"/>
      <c r="EU205" s="490"/>
      <c r="EV205" s="490"/>
      <c r="EW205" s="490"/>
      <c r="EX205" s="490"/>
      <c r="EY205" s="490"/>
      <c r="EZ205" s="490"/>
      <c r="FA205" s="490"/>
      <c r="FB205" s="490"/>
      <c r="FC205" s="490"/>
      <c r="FD205" s="490"/>
      <c r="FE205" s="490"/>
      <c r="FF205" s="490"/>
      <c r="FG205" s="490"/>
      <c r="FH205" s="490"/>
      <c r="FI205" s="490"/>
      <c r="FJ205" s="490"/>
      <c r="FK205" s="490"/>
      <c r="FL205" s="490"/>
      <c r="FM205" s="490"/>
      <c r="FN205" s="490"/>
    </row>
    <row r="206" s="492" customFormat="1" spans="1:170">
      <c r="A206" s="539">
        <v>46135</v>
      </c>
      <c r="B206" s="509" t="s">
        <v>777</v>
      </c>
      <c r="C206" s="538">
        <v>10</v>
      </c>
      <c r="D206" s="509" t="s">
        <v>72</v>
      </c>
      <c r="E206" s="509" t="s">
        <v>33</v>
      </c>
      <c r="F206" s="515" t="s">
        <v>73</v>
      </c>
      <c r="G206" s="511">
        <v>0.78</v>
      </c>
      <c r="H206" s="546">
        <v>9</v>
      </c>
      <c r="I206" s="546" t="s">
        <v>17</v>
      </c>
      <c r="J206" s="546">
        <v>1.53</v>
      </c>
      <c r="K206" s="527" t="s">
        <v>713</v>
      </c>
      <c r="L206" s="545"/>
      <c r="M206" s="490"/>
      <c r="N206" s="490"/>
      <c r="O206" s="490"/>
      <c r="P206" s="490"/>
      <c r="Q206" s="490"/>
      <c r="R206" s="490"/>
      <c r="S206" s="490"/>
      <c r="T206" s="490"/>
      <c r="U206" s="490"/>
      <c r="V206" s="490"/>
      <c r="W206" s="490"/>
      <c r="X206" s="490"/>
      <c r="Y206" s="490"/>
      <c r="Z206" s="490"/>
      <c r="AA206" s="490"/>
      <c r="AB206" s="490"/>
      <c r="AC206" s="490"/>
      <c r="AD206" s="490"/>
      <c r="AE206" s="490"/>
      <c r="AF206" s="490"/>
      <c r="AG206" s="490"/>
      <c r="AH206" s="490"/>
      <c r="AI206" s="490"/>
      <c r="AJ206" s="490"/>
      <c r="AK206" s="490"/>
      <c r="AL206" s="490"/>
      <c r="AM206" s="490"/>
      <c r="AN206" s="490"/>
      <c r="AO206" s="490"/>
      <c r="AP206" s="490"/>
      <c r="AQ206" s="490"/>
      <c r="AR206" s="490"/>
      <c r="AS206" s="490"/>
      <c r="AT206" s="490"/>
      <c r="AU206" s="490"/>
      <c r="AV206" s="490"/>
      <c r="AW206" s="490"/>
      <c r="AX206" s="490"/>
      <c r="AY206" s="490"/>
      <c r="AZ206" s="490"/>
      <c r="BA206" s="490"/>
      <c r="BB206" s="490"/>
      <c r="BC206" s="490"/>
      <c r="BD206" s="490"/>
      <c r="BE206" s="490"/>
      <c r="BF206" s="490"/>
      <c r="BG206" s="490"/>
      <c r="BH206" s="490"/>
      <c r="BI206" s="490"/>
      <c r="BJ206" s="490"/>
      <c r="BK206" s="490"/>
      <c r="BL206" s="490"/>
      <c r="BM206" s="490"/>
      <c r="BN206" s="490"/>
      <c r="BO206" s="490"/>
      <c r="BP206" s="490"/>
      <c r="BQ206" s="490"/>
      <c r="BR206" s="490"/>
      <c r="BS206" s="490"/>
      <c r="BT206" s="490"/>
      <c r="BU206" s="490"/>
      <c r="BV206" s="490"/>
      <c r="BW206" s="490"/>
      <c r="BX206" s="490"/>
      <c r="BY206" s="490"/>
      <c r="BZ206" s="490"/>
      <c r="CA206" s="490"/>
      <c r="CB206" s="490"/>
      <c r="CC206" s="490"/>
      <c r="CD206" s="490"/>
      <c r="CE206" s="490"/>
      <c r="CF206" s="490"/>
      <c r="CG206" s="490"/>
      <c r="CH206" s="490"/>
      <c r="CI206" s="490"/>
      <c r="CJ206" s="490"/>
      <c r="CK206" s="490"/>
      <c r="CL206" s="490"/>
      <c r="CM206" s="490"/>
      <c r="CN206" s="490"/>
      <c r="CO206" s="490"/>
      <c r="CP206" s="490"/>
      <c r="CQ206" s="490"/>
      <c r="CR206" s="490"/>
      <c r="CS206" s="490"/>
      <c r="CT206" s="490"/>
      <c r="CU206" s="490"/>
      <c r="CV206" s="490"/>
      <c r="CW206" s="490"/>
      <c r="CX206" s="490"/>
      <c r="CY206" s="490"/>
      <c r="CZ206" s="490"/>
      <c r="DA206" s="490"/>
      <c r="DB206" s="490"/>
      <c r="DC206" s="490"/>
      <c r="DD206" s="490"/>
      <c r="DE206" s="490"/>
      <c r="DF206" s="490"/>
      <c r="DG206" s="490"/>
      <c r="DH206" s="490"/>
      <c r="DI206" s="490"/>
      <c r="DJ206" s="490"/>
      <c r="DK206" s="490"/>
      <c r="DL206" s="490"/>
      <c r="DM206" s="490"/>
      <c r="DN206" s="490"/>
      <c r="DO206" s="490"/>
      <c r="DP206" s="490"/>
      <c r="DQ206" s="490"/>
      <c r="DR206" s="490"/>
      <c r="DS206" s="490"/>
      <c r="DT206" s="490"/>
      <c r="DU206" s="490"/>
      <c r="DV206" s="490"/>
      <c r="DW206" s="490"/>
      <c r="DX206" s="490"/>
      <c r="DY206" s="490"/>
      <c r="DZ206" s="490"/>
      <c r="EA206" s="490"/>
      <c r="EB206" s="490"/>
      <c r="EC206" s="490"/>
      <c r="ED206" s="490"/>
      <c r="EE206" s="490"/>
      <c r="EF206" s="490"/>
      <c r="EG206" s="490"/>
      <c r="EH206" s="490"/>
      <c r="EI206" s="490"/>
      <c r="EJ206" s="490"/>
      <c r="EK206" s="490"/>
      <c r="EL206" s="490"/>
      <c r="EM206" s="490"/>
      <c r="EN206" s="490"/>
      <c r="EO206" s="490"/>
      <c r="EP206" s="490"/>
      <c r="EQ206" s="490"/>
      <c r="ER206" s="490"/>
      <c r="ES206" s="490"/>
      <c r="ET206" s="490"/>
      <c r="EU206" s="490"/>
      <c r="EV206" s="490"/>
      <c r="EW206" s="490"/>
      <c r="EX206" s="490"/>
      <c r="EY206" s="490"/>
      <c r="EZ206" s="490"/>
      <c r="FA206" s="490"/>
      <c r="FB206" s="490"/>
      <c r="FC206" s="490"/>
      <c r="FD206" s="490"/>
      <c r="FE206" s="490"/>
      <c r="FF206" s="490"/>
      <c r="FG206" s="490"/>
      <c r="FH206" s="490"/>
      <c r="FI206" s="490"/>
      <c r="FJ206" s="490"/>
      <c r="FK206" s="490"/>
      <c r="FL206" s="490"/>
      <c r="FM206" s="490"/>
      <c r="FN206" s="490"/>
    </row>
    <row r="207" s="492" customFormat="1" spans="1:170">
      <c r="A207" s="539"/>
      <c r="B207" s="509"/>
      <c r="C207" s="538"/>
      <c r="D207" s="509"/>
      <c r="E207" s="509"/>
      <c r="F207" s="515" t="s">
        <v>75</v>
      </c>
      <c r="G207" s="511">
        <v>1.03</v>
      </c>
      <c r="H207" s="546">
        <v>0.3</v>
      </c>
      <c r="I207" s="546" t="s">
        <v>22</v>
      </c>
      <c r="J207" s="546">
        <v>1.77</v>
      </c>
      <c r="K207" s="527"/>
      <c r="L207" s="545"/>
      <c r="M207" s="490"/>
      <c r="N207" s="490"/>
      <c r="O207" s="490"/>
      <c r="P207" s="490"/>
      <c r="Q207" s="490"/>
      <c r="R207" s="490"/>
      <c r="S207" s="490"/>
      <c r="T207" s="490"/>
      <c r="U207" s="490"/>
      <c r="V207" s="490"/>
      <c r="W207" s="490"/>
      <c r="X207" s="490"/>
      <c r="Y207" s="490"/>
      <c r="Z207" s="490"/>
      <c r="AA207" s="490"/>
      <c r="AB207" s="490"/>
      <c r="AC207" s="490"/>
      <c r="AD207" s="490"/>
      <c r="AE207" s="490"/>
      <c r="AF207" s="490"/>
      <c r="AG207" s="490"/>
      <c r="AH207" s="490"/>
      <c r="AI207" s="490"/>
      <c r="AJ207" s="490"/>
      <c r="AK207" s="490"/>
      <c r="AL207" s="490"/>
      <c r="AM207" s="490"/>
      <c r="AN207" s="490"/>
      <c r="AO207" s="490"/>
      <c r="AP207" s="490"/>
      <c r="AQ207" s="490"/>
      <c r="AR207" s="490"/>
      <c r="AS207" s="490"/>
      <c r="AT207" s="490"/>
      <c r="AU207" s="490"/>
      <c r="AV207" s="490"/>
      <c r="AW207" s="490"/>
      <c r="AX207" s="490"/>
      <c r="AY207" s="490"/>
      <c r="AZ207" s="490"/>
      <c r="BA207" s="490"/>
      <c r="BB207" s="490"/>
      <c r="BC207" s="490"/>
      <c r="BD207" s="490"/>
      <c r="BE207" s="490"/>
      <c r="BF207" s="490"/>
      <c r="BG207" s="490"/>
      <c r="BH207" s="490"/>
      <c r="BI207" s="490"/>
      <c r="BJ207" s="490"/>
      <c r="BK207" s="490"/>
      <c r="BL207" s="490"/>
      <c r="BM207" s="490"/>
      <c r="BN207" s="490"/>
      <c r="BO207" s="490"/>
      <c r="BP207" s="490"/>
      <c r="BQ207" s="490"/>
      <c r="BR207" s="490"/>
      <c r="BS207" s="490"/>
      <c r="BT207" s="490"/>
      <c r="BU207" s="490"/>
      <c r="BV207" s="490"/>
      <c r="BW207" s="490"/>
      <c r="BX207" s="490"/>
      <c r="BY207" s="490"/>
      <c r="BZ207" s="490"/>
      <c r="CA207" s="490"/>
      <c r="CB207" s="490"/>
      <c r="CC207" s="490"/>
      <c r="CD207" s="490"/>
      <c r="CE207" s="490"/>
      <c r="CF207" s="490"/>
      <c r="CG207" s="490"/>
      <c r="CH207" s="490"/>
      <c r="CI207" s="490"/>
      <c r="CJ207" s="490"/>
      <c r="CK207" s="490"/>
      <c r="CL207" s="490"/>
      <c r="CM207" s="490"/>
      <c r="CN207" s="490"/>
      <c r="CO207" s="490"/>
      <c r="CP207" s="490"/>
      <c r="CQ207" s="490"/>
      <c r="CR207" s="490"/>
      <c r="CS207" s="490"/>
      <c r="CT207" s="490"/>
      <c r="CU207" s="490"/>
      <c r="CV207" s="490"/>
      <c r="CW207" s="490"/>
      <c r="CX207" s="490"/>
      <c r="CY207" s="490"/>
      <c r="CZ207" s="490"/>
      <c r="DA207" s="490"/>
      <c r="DB207" s="490"/>
      <c r="DC207" s="490"/>
      <c r="DD207" s="490"/>
      <c r="DE207" s="490"/>
      <c r="DF207" s="490"/>
      <c r="DG207" s="490"/>
      <c r="DH207" s="490"/>
      <c r="DI207" s="490"/>
      <c r="DJ207" s="490"/>
      <c r="DK207" s="490"/>
      <c r="DL207" s="490"/>
      <c r="DM207" s="490"/>
      <c r="DN207" s="490"/>
      <c r="DO207" s="490"/>
      <c r="DP207" s="490"/>
      <c r="DQ207" s="490"/>
      <c r="DR207" s="490"/>
      <c r="DS207" s="490"/>
      <c r="DT207" s="490"/>
      <c r="DU207" s="490"/>
      <c r="DV207" s="490"/>
      <c r="DW207" s="490"/>
      <c r="DX207" s="490"/>
      <c r="DY207" s="490"/>
      <c r="DZ207" s="490"/>
      <c r="EA207" s="490"/>
      <c r="EB207" s="490"/>
      <c r="EC207" s="490"/>
      <c r="ED207" s="490"/>
      <c r="EE207" s="490"/>
      <c r="EF207" s="490"/>
      <c r="EG207" s="490"/>
      <c r="EH207" s="490"/>
      <c r="EI207" s="490"/>
      <c r="EJ207" s="490"/>
      <c r="EK207" s="490"/>
      <c r="EL207" s="490"/>
      <c r="EM207" s="490"/>
      <c r="EN207" s="490"/>
      <c r="EO207" s="490"/>
      <c r="EP207" s="490"/>
      <c r="EQ207" s="490"/>
      <c r="ER207" s="490"/>
      <c r="ES207" s="490"/>
      <c r="ET207" s="490"/>
      <c r="EU207" s="490"/>
      <c r="EV207" s="490"/>
      <c r="EW207" s="490"/>
      <c r="EX207" s="490"/>
      <c r="EY207" s="490"/>
      <c r="EZ207" s="490"/>
      <c r="FA207" s="490"/>
      <c r="FB207" s="490"/>
      <c r="FC207" s="490"/>
      <c r="FD207" s="490"/>
      <c r="FE207" s="490"/>
      <c r="FF207" s="490"/>
      <c r="FG207" s="490"/>
      <c r="FH207" s="490"/>
      <c r="FI207" s="490"/>
      <c r="FJ207" s="490"/>
      <c r="FK207" s="490"/>
      <c r="FL207" s="490"/>
      <c r="FM207" s="490"/>
      <c r="FN207" s="490"/>
    </row>
    <row r="208" s="492" customFormat="1" spans="1:170">
      <c r="A208" s="539"/>
      <c r="B208" s="509"/>
      <c r="C208" s="538"/>
      <c r="D208" s="509"/>
      <c r="E208" s="509"/>
      <c r="F208" s="515" t="s">
        <v>91</v>
      </c>
      <c r="G208" s="511">
        <v>1.53</v>
      </c>
      <c r="H208" s="546">
        <v>0.7</v>
      </c>
      <c r="I208" s="546" t="s">
        <v>24</v>
      </c>
      <c r="J208" s="546" t="s">
        <v>24</v>
      </c>
      <c r="K208" s="527"/>
      <c r="L208" s="545"/>
      <c r="M208" s="490"/>
      <c r="N208" s="490"/>
      <c r="O208" s="490"/>
      <c r="P208" s="490"/>
      <c r="Q208" s="490"/>
      <c r="R208" s="490"/>
      <c r="S208" s="490"/>
      <c r="T208" s="490"/>
      <c r="U208" s="490"/>
      <c r="V208" s="490"/>
      <c r="W208" s="490"/>
      <c r="X208" s="490"/>
      <c r="Y208" s="490"/>
      <c r="Z208" s="490"/>
      <c r="AA208" s="490"/>
      <c r="AB208" s="490"/>
      <c r="AC208" s="490"/>
      <c r="AD208" s="490"/>
      <c r="AE208" s="490"/>
      <c r="AF208" s="490"/>
      <c r="AG208" s="490"/>
      <c r="AH208" s="490"/>
      <c r="AI208" s="490"/>
      <c r="AJ208" s="490"/>
      <c r="AK208" s="490"/>
      <c r="AL208" s="490"/>
      <c r="AM208" s="490"/>
      <c r="AN208" s="490"/>
      <c r="AO208" s="490"/>
      <c r="AP208" s="490"/>
      <c r="AQ208" s="490"/>
      <c r="AR208" s="490"/>
      <c r="AS208" s="490"/>
      <c r="AT208" s="490"/>
      <c r="AU208" s="490"/>
      <c r="AV208" s="490"/>
      <c r="AW208" s="490"/>
      <c r="AX208" s="490"/>
      <c r="AY208" s="490"/>
      <c r="AZ208" s="490"/>
      <c r="BA208" s="490"/>
      <c r="BB208" s="490"/>
      <c r="BC208" s="490"/>
      <c r="BD208" s="490"/>
      <c r="BE208" s="490"/>
      <c r="BF208" s="490"/>
      <c r="BG208" s="490"/>
      <c r="BH208" s="490"/>
      <c r="BI208" s="490"/>
      <c r="BJ208" s="490"/>
      <c r="BK208" s="490"/>
      <c r="BL208" s="490"/>
      <c r="BM208" s="490"/>
      <c r="BN208" s="490"/>
      <c r="BO208" s="490"/>
      <c r="BP208" s="490"/>
      <c r="BQ208" s="490"/>
      <c r="BR208" s="490"/>
      <c r="BS208" s="490"/>
      <c r="BT208" s="490"/>
      <c r="BU208" s="490"/>
      <c r="BV208" s="490"/>
      <c r="BW208" s="490"/>
      <c r="BX208" s="490"/>
      <c r="BY208" s="490"/>
      <c r="BZ208" s="490"/>
      <c r="CA208" s="490"/>
      <c r="CB208" s="490"/>
      <c r="CC208" s="490"/>
      <c r="CD208" s="490"/>
      <c r="CE208" s="490"/>
      <c r="CF208" s="490"/>
      <c r="CG208" s="490"/>
      <c r="CH208" s="490"/>
      <c r="CI208" s="490"/>
      <c r="CJ208" s="490"/>
      <c r="CK208" s="490"/>
      <c r="CL208" s="490"/>
      <c r="CM208" s="490"/>
      <c r="CN208" s="490"/>
      <c r="CO208" s="490"/>
      <c r="CP208" s="490"/>
      <c r="CQ208" s="490"/>
      <c r="CR208" s="490"/>
      <c r="CS208" s="490"/>
      <c r="CT208" s="490"/>
      <c r="CU208" s="490"/>
      <c r="CV208" s="490"/>
      <c r="CW208" s="490"/>
      <c r="CX208" s="490"/>
      <c r="CY208" s="490"/>
      <c r="CZ208" s="490"/>
      <c r="DA208" s="490"/>
      <c r="DB208" s="490"/>
      <c r="DC208" s="490"/>
      <c r="DD208" s="490"/>
      <c r="DE208" s="490"/>
      <c r="DF208" s="490"/>
      <c r="DG208" s="490"/>
      <c r="DH208" s="490"/>
      <c r="DI208" s="490"/>
      <c r="DJ208" s="490"/>
      <c r="DK208" s="490"/>
      <c r="DL208" s="490"/>
      <c r="DM208" s="490"/>
      <c r="DN208" s="490"/>
      <c r="DO208" s="490"/>
      <c r="DP208" s="490"/>
      <c r="DQ208" s="490"/>
      <c r="DR208" s="490"/>
      <c r="DS208" s="490"/>
      <c r="DT208" s="490"/>
      <c r="DU208" s="490"/>
      <c r="DV208" s="490"/>
      <c r="DW208" s="490"/>
      <c r="DX208" s="490"/>
      <c r="DY208" s="490"/>
      <c r="DZ208" s="490"/>
      <c r="EA208" s="490"/>
      <c r="EB208" s="490"/>
      <c r="EC208" s="490"/>
      <c r="ED208" s="490"/>
      <c r="EE208" s="490"/>
      <c r="EF208" s="490"/>
      <c r="EG208" s="490"/>
      <c r="EH208" s="490"/>
      <c r="EI208" s="490"/>
      <c r="EJ208" s="490"/>
      <c r="EK208" s="490"/>
      <c r="EL208" s="490"/>
      <c r="EM208" s="490"/>
      <c r="EN208" s="490"/>
      <c r="EO208" s="490"/>
      <c r="EP208" s="490"/>
      <c r="EQ208" s="490"/>
      <c r="ER208" s="490"/>
      <c r="ES208" s="490"/>
      <c r="ET208" s="490"/>
      <c r="EU208" s="490"/>
      <c r="EV208" s="490"/>
      <c r="EW208" s="490"/>
      <c r="EX208" s="490"/>
      <c r="EY208" s="490"/>
      <c r="EZ208" s="490"/>
      <c r="FA208" s="490"/>
      <c r="FB208" s="490"/>
      <c r="FC208" s="490"/>
      <c r="FD208" s="490"/>
      <c r="FE208" s="490"/>
      <c r="FF208" s="490"/>
      <c r="FG208" s="490"/>
      <c r="FH208" s="490"/>
      <c r="FI208" s="490"/>
      <c r="FJ208" s="490"/>
      <c r="FK208" s="490"/>
      <c r="FL208" s="490"/>
      <c r="FM208" s="490"/>
      <c r="FN208" s="490"/>
    </row>
    <row r="209" s="492" customFormat="1" spans="1:170">
      <c r="A209" s="539">
        <v>46136</v>
      </c>
      <c r="B209" s="509" t="s">
        <v>778</v>
      </c>
      <c r="C209" s="538">
        <v>10</v>
      </c>
      <c r="D209" s="509" t="s">
        <v>72</v>
      </c>
      <c r="E209" s="509" t="s">
        <v>66</v>
      </c>
      <c r="F209" s="545" t="s">
        <v>144</v>
      </c>
      <c r="G209" s="546">
        <v>1.01</v>
      </c>
      <c r="H209" s="546">
        <v>8.9</v>
      </c>
      <c r="I209" s="546" t="s">
        <v>17</v>
      </c>
      <c r="J209" s="546">
        <v>1.6</v>
      </c>
      <c r="K209" s="527" t="s">
        <v>603</v>
      </c>
      <c r="L209" s="545" t="s">
        <v>261</v>
      </c>
      <c r="M209" s="490"/>
      <c r="N209" s="490"/>
      <c r="O209" s="490"/>
      <c r="P209" s="490"/>
      <c r="Q209" s="490"/>
      <c r="R209" s="490"/>
      <c r="S209" s="490"/>
      <c r="T209" s="490"/>
      <c r="U209" s="490"/>
      <c r="V209" s="490"/>
      <c r="W209" s="490"/>
      <c r="X209" s="490"/>
      <c r="Y209" s="490"/>
      <c r="Z209" s="490"/>
      <c r="AA209" s="490"/>
      <c r="AB209" s="490"/>
      <c r="AC209" s="490"/>
      <c r="AD209" s="490"/>
      <c r="AE209" s="490"/>
      <c r="AF209" s="490"/>
      <c r="AG209" s="490"/>
      <c r="AH209" s="490"/>
      <c r="AI209" s="490"/>
      <c r="AJ209" s="490"/>
      <c r="AK209" s="490"/>
      <c r="AL209" s="490"/>
      <c r="AM209" s="490"/>
      <c r="AN209" s="490"/>
      <c r="AO209" s="490"/>
      <c r="AP209" s="490"/>
      <c r="AQ209" s="490"/>
      <c r="AR209" s="490"/>
      <c r="AS209" s="490"/>
      <c r="AT209" s="490"/>
      <c r="AU209" s="490"/>
      <c r="AV209" s="490"/>
      <c r="AW209" s="490"/>
      <c r="AX209" s="490"/>
      <c r="AY209" s="490"/>
      <c r="AZ209" s="490"/>
      <c r="BA209" s="490"/>
      <c r="BB209" s="490"/>
      <c r="BC209" s="490"/>
      <c r="BD209" s="490"/>
      <c r="BE209" s="490"/>
      <c r="BF209" s="490"/>
      <c r="BG209" s="490"/>
      <c r="BH209" s="490"/>
      <c r="BI209" s="490"/>
      <c r="BJ209" s="490"/>
      <c r="BK209" s="490"/>
      <c r="BL209" s="490"/>
      <c r="BM209" s="490"/>
      <c r="BN209" s="490"/>
      <c r="BO209" s="490"/>
      <c r="BP209" s="490"/>
      <c r="BQ209" s="490"/>
      <c r="BR209" s="490"/>
      <c r="BS209" s="490"/>
      <c r="BT209" s="490"/>
      <c r="BU209" s="490"/>
      <c r="BV209" s="490"/>
      <c r="BW209" s="490"/>
      <c r="BX209" s="490"/>
      <c r="BY209" s="490"/>
      <c r="BZ209" s="490"/>
      <c r="CA209" s="490"/>
      <c r="CB209" s="490"/>
      <c r="CC209" s="490"/>
      <c r="CD209" s="490"/>
      <c r="CE209" s="490"/>
      <c r="CF209" s="490"/>
      <c r="CG209" s="490"/>
      <c r="CH209" s="490"/>
      <c r="CI209" s="490"/>
      <c r="CJ209" s="490"/>
      <c r="CK209" s="490"/>
      <c r="CL209" s="490"/>
      <c r="CM209" s="490"/>
      <c r="CN209" s="490"/>
      <c r="CO209" s="490"/>
      <c r="CP209" s="490"/>
      <c r="CQ209" s="490"/>
      <c r="CR209" s="490"/>
      <c r="CS209" s="490"/>
      <c r="CT209" s="490"/>
      <c r="CU209" s="490"/>
      <c r="CV209" s="490"/>
      <c r="CW209" s="490"/>
      <c r="CX209" s="490"/>
      <c r="CY209" s="490"/>
      <c r="CZ209" s="490"/>
      <c r="DA209" s="490"/>
      <c r="DB209" s="490"/>
      <c r="DC209" s="490"/>
      <c r="DD209" s="490"/>
      <c r="DE209" s="490"/>
      <c r="DF209" s="490"/>
      <c r="DG209" s="490"/>
      <c r="DH209" s="490"/>
      <c r="DI209" s="490"/>
      <c r="DJ209" s="490"/>
      <c r="DK209" s="490"/>
      <c r="DL209" s="490"/>
      <c r="DM209" s="490"/>
      <c r="DN209" s="490"/>
      <c r="DO209" s="490"/>
      <c r="DP209" s="490"/>
      <c r="DQ209" s="490"/>
      <c r="DR209" s="490"/>
      <c r="DS209" s="490"/>
      <c r="DT209" s="490"/>
      <c r="DU209" s="490"/>
      <c r="DV209" s="490"/>
      <c r="DW209" s="490"/>
      <c r="DX209" s="490"/>
      <c r="DY209" s="490"/>
      <c r="DZ209" s="490"/>
      <c r="EA209" s="490"/>
      <c r="EB209" s="490"/>
      <c r="EC209" s="490"/>
      <c r="ED209" s="490"/>
      <c r="EE209" s="490"/>
      <c r="EF209" s="490"/>
      <c r="EG209" s="490"/>
      <c r="EH209" s="490"/>
      <c r="EI209" s="490"/>
      <c r="EJ209" s="490"/>
      <c r="EK209" s="490"/>
      <c r="EL209" s="490"/>
      <c r="EM209" s="490"/>
      <c r="EN209" s="490"/>
      <c r="EO209" s="490"/>
      <c r="EP209" s="490"/>
      <c r="EQ209" s="490"/>
      <c r="ER209" s="490"/>
      <c r="ES209" s="490"/>
      <c r="ET209" s="490"/>
      <c r="EU209" s="490"/>
      <c r="EV209" s="490"/>
      <c r="EW209" s="490"/>
      <c r="EX209" s="490"/>
      <c r="EY209" s="490"/>
      <c r="EZ209" s="490"/>
      <c r="FA209" s="490"/>
      <c r="FB209" s="490"/>
      <c r="FC209" s="490"/>
      <c r="FD209" s="490"/>
      <c r="FE209" s="490"/>
      <c r="FF209" s="490"/>
      <c r="FG209" s="490"/>
      <c r="FH209" s="490"/>
      <c r="FI209" s="490"/>
      <c r="FJ209" s="490"/>
      <c r="FK209" s="490"/>
      <c r="FL209" s="490"/>
      <c r="FM209" s="490"/>
      <c r="FN209" s="490"/>
    </row>
    <row r="210" s="492" customFormat="1" spans="1:170">
      <c r="A210" s="539"/>
      <c r="B210" s="509"/>
      <c r="C210" s="538"/>
      <c r="D210" s="509"/>
      <c r="E210" s="509"/>
      <c r="F210" s="545" t="s">
        <v>750</v>
      </c>
      <c r="G210" s="546">
        <v>1.17</v>
      </c>
      <c r="H210" s="546">
        <v>0.5</v>
      </c>
      <c r="I210" s="546" t="s">
        <v>22</v>
      </c>
      <c r="J210" s="546">
        <v>1.77</v>
      </c>
      <c r="K210" s="527"/>
      <c r="L210" s="545"/>
      <c r="M210" s="490"/>
      <c r="N210" s="490"/>
      <c r="O210" s="490"/>
      <c r="P210" s="490"/>
      <c r="Q210" s="490"/>
      <c r="R210" s="490"/>
      <c r="S210" s="490"/>
      <c r="T210" s="490"/>
      <c r="U210" s="490"/>
      <c r="V210" s="490"/>
      <c r="W210" s="490"/>
      <c r="X210" s="490"/>
      <c r="Y210" s="490"/>
      <c r="Z210" s="490"/>
      <c r="AA210" s="490"/>
      <c r="AB210" s="490"/>
      <c r="AC210" s="490"/>
      <c r="AD210" s="490"/>
      <c r="AE210" s="490"/>
      <c r="AF210" s="490"/>
      <c r="AG210" s="490"/>
      <c r="AH210" s="490"/>
      <c r="AI210" s="490"/>
      <c r="AJ210" s="490"/>
      <c r="AK210" s="490"/>
      <c r="AL210" s="490"/>
      <c r="AM210" s="490"/>
      <c r="AN210" s="490"/>
      <c r="AO210" s="490"/>
      <c r="AP210" s="490"/>
      <c r="AQ210" s="490"/>
      <c r="AR210" s="490"/>
      <c r="AS210" s="490"/>
      <c r="AT210" s="490"/>
      <c r="AU210" s="490"/>
      <c r="AV210" s="490"/>
      <c r="AW210" s="490"/>
      <c r="AX210" s="490"/>
      <c r="AY210" s="490"/>
      <c r="AZ210" s="490"/>
      <c r="BA210" s="490"/>
      <c r="BB210" s="490"/>
      <c r="BC210" s="490"/>
      <c r="BD210" s="490"/>
      <c r="BE210" s="490"/>
      <c r="BF210" s="490"/>
      <c r="BG210" s="490"/>
      <c r="BH210" s="490"/>
      <c r="BI210" s="490"/>
      <c r="BJ210" s="490"/>
      <c r="BK210" s="490"/>
      <c r="BL210" s="490"/>
      <c r="BM210" s="490"/>
      <c r="BN210" s="490"/>
      <c r="BO210" s="490"/>
      <c r="BP210" s="490"/>
      <c r="BQ210" s="490"/>
      <c r="BR210" s="490"/>
      <c r="BS210" s="490"/>
      <c r="BT210" s="490"/>
      <c r="BU210" s="490"/>
      <c r="BV210" s="490"/>
      <c r="BW210" s="490"/>
      <c r="BX210" s="490"/>
      <c r="BY210" s="490"/>
      <c r="BZ210" s="490"/>
      <c r="CA210" s="490"/>
      <c r="CB210" s="490"/>
      <c r="CC210" s="490"/>
      <c r="CD210" s="490"/>
      <c r="CE210" s="490"/>
      <c r="CF210" s="490"/>
      <c r="CG210" s="490"/>
      <c r="CH210" s="490"/>
      <c r="CI210" s="490"/>
      <c r="CJ210" s="490"/>
      <c r="CK210" s="490"/>
      <c r="CL210" s="490"/>
      <c r="CM210" s="490"/>
      <c r="CN210" s="490"/>
      <c r="CO210" s="490"/>
      <c r="CP210" s="490"/>
      <c r="CQ210" s="490"/>
      <c r="CR210" s="490"/>
      <c r="CS210" s="490"/>
      <c r="CT210" s="490"/>
      <c r="CU210" s="490"/>
      <c r="CV210" s="490"/>
      <c r="CW210" s="490"/>
      <c r="CX210" s="490"/>
      <c r="CY210" s="490"/>
      <c r="CZ210" s="490"/>
      <c r="DA210" s="490"/>
      <c r="DB210" s="490"/>
      <c r="DC210" s="490"/>
      <c r="DD210" s="490"/>
      <c r="DE210" s="490"/>
      <c r="DF210" s="490"/>
      <c r="DG210" s="490"/>
      <c r="DH210" s="490"/>
      <c r="DI210" s="490"/>
      <c r="DJ210" s="490"/>
      <c r="DK210" s="490"/>
      <c r="DL210" s="490"/>
      <c r="DM210" s="490"/>
      <c r="DN210" s="490"/>
      <c r="DO210" s="490"/>
      <c r="DP210" s="490"/>
      <c r="DQ210" s="490"/>
      <c r="DR210" s="490"/>
      <c r="DS210" s="490"/>
      <c r="DT210" s="490"/>
      <c r="DU210" s="490"/>
      <c r="DV210" s="490"/>
      <c r="DW210" s="490"/>
      <c r="DX210" s="490"/>
      <c r="DY210" s="490"/>
      <c r="DZ210" s="490"/>
      <c r="EA210" s="490"/>
      <c r="EB210" s="490"/>
      <c r="EC210" s="490"/>
      <c r="ED210" s="490"/>
      <c r="EE210" s="490"/>
      <c r="EF210" s="490"/>
      <c r="EG210" s="490"/>
      <c r="EH210" s="490"/>
      <c r="EI210" s="490"/>
      <c r="EJ210" s="490"/>
      <c r="EK210" s="490"/>
      <c r="EL210" s="490"/>
      <c r="EM210" s="490"/>
      <c r="EN210" s="490"/>
      <c r="EO210" s="490"/>
      <c r="EP210" s="490"/>
      <c r="EQ210" s="490"/>
      <c r="ER210" s="490"/>
      <c r="ES210" s="490"/>
      <c r="ET210" s="490"/>
      <c r="EU210" s="490"/>
      <c r="EV210" s="490"/>
      <c r="EW210" s="490"/>
      <c r="EX210" s="490"/>
      <c r="EY210" s="490"/>
      <c r="EZ210" s="490"/>
      <c r="FA210" s="490"/>
      <c r="FB210" s="490"/>
      <c r="FC210" s="490"/>
      <c r="FD210" s="490"/>
      <c r="FE210" s="490"/>
      <c r="FF210" s="490"/>
      <c r="FG210" s="490"/>
      <c r="FH210" s="490"/>
      <c r="FI210" s="490"/>
      <c r="FJ210" s="490"/>
      <c r="FK210" s="490"/>
      <c r="FL210" s="490"/>
      <c r="FM210" s="490"/>
      <c r="FN210" s="490"/>
    </row>
    <row r="211" s="492" customFormat="1" spans="1:170">
      <c r="A211" s="539"/>
      <c r="B211" s="509"/>
      <c r="C211" s="538"/>
      <c r="D211" s="509"/>
      <c r="E211" s="509"/>
      <c r="F211" s="545" t="s">
        <v>148</v>
      </c>
      <c r="G211" s="546">
        <v>1.75</v>
      </c>
      <c r="H211" s="546">
        <v>0.6</v>
      </c>
      <c r="I211" s="546" t="s">
        <v>24</v>
      </c>
      <c r="J211" s="546" t="s">
        <v>24</v>
      </c>
      <c r="K211" s="527"/>
      <c r="L211" s="545"/>
      <c r="M211" s="490"/>
      <c r="N211" s="490"/>
      <c r="O211" s="490"/>
      <c r="P211" s="490"/>
      <c r="Q211" s="490"/>
      <c r="R211" s="490"/>
      <c r="S211" s="490"/>
      <c r="T211" s="490"/>
      <c r="U211" s="490"/>
      <c r="V211" s="490"/>
      <c r="W211" s="490"/>
      <c r="X211" s="490"/>
      <c r="Y211" s="490"/>
      <c r="Z211" s="490"/>
      <c r="AA211" s="490"/>
      <c r="AB211" s="490"/>
      <c r="AC211" s="490"/>
      <c r="AD211" s="490"/>
      <c r="AE211" s="490"/>
      <c r="AF211" s="490"/>
      <c r="AG211" s="490"/>
      <c r="AH211" s="490"/>
      <c r="AI211" s="490"/>
      <c r="AJ211" s="490"/>
      <c r="AK211" s="490"/>
      <c r="AL211" s="490"/>
      <c r="AM211" s="490"/>
      <c r="AN211" s="490"/>
      <c r="AO211" s="490"/>
      <c r="AP211" s="490"/>
      <c r="AQ211" s="490"/>
      <c r="AR211" s="490"/>
      <c r="AS211" s="490"/>
      <c r="AT211" s="490"/>
      <c r="AU211" s="490"/>
      <c r="AV211" s="490"/>
      <c r="AW211" s="490"/>
      <c r="AX211" s="490"/>
      <c r="AY211" s="490"/>
      <c r="AZ211" s="490"/>
      <c r="BA211" s="490"/>
      <c r="BB211" s="490"/>
      <c r="BC211" s="490"/>
      <c r="BD211" s="490"/>
      <c r="BE211" s="490"/>
      <c r="BF211" s="490"/>
      <c r="BG211" s="490"/>
      <c r="BH211" s="490"/>
      <c r="BI211" s="490"/>
      <c r="BJ211" s="490"/>
      <c r="BK211" s="490"/>
      <c r="BL211" s="490"/>
      <c r="BM211" s="490"/>
      <c r="BN211" s="490"/>
      <c r="BO211" s="490"/>
      <c r="BP211" s="490"/>
      <c r="BQ211" s="490"/>
      <c r="BR211" s="490"/>
      <c r="BS211" s="490"/>
      <c r="BT211" s="490"/>
      <c r="BU211" s="490"/>
      <c r="BV211" s="490"/>
      <c r="BW211" s="490"/>
      <c r="BX211" s="490"/>
      <c r="BY211" s="490"/>
      <c r="BZ211" s="490"/>
      <c r="CA211" s="490"/>
      <c r="CB211" s="490"/>
      <c r="CC211" s="490"/>
      <c r="CD211" s="490"/>
      <c r="CE211" s="490"/>
      <c r="CF211" s="490"/>
      <c r="CG211" s="490"/>
      <c r="CH211" s="490"/>
      <c r="CI211" s="490"/>
      <c r="CJ211" s="490"/>
      <c r="CK211" s="490"/>
      <c r="CL211" s="490"/>
      <c r="CM211" s="490"/>
      <c r="CN211" s="490"/>
      <c r="CO211" s="490"/>
      <c r="CP211" s="490"/>
      <c r="CQ211" s="490"/>
      <c r="CR211" s="490"/>
      <c r="CS211" s="490"/>
      <c r="CT211" s="490"/>
      <c r="CU211" s="490"/>
      <c r="CV211" s="490"/>
      <c r="CW211" s="490"/>
      <c r="CX211" s="490"/>
      <c r="CY211" s="490"/>
      <c r="CZ211" s="490"/>
      <c r="DA211" s="490"/>
      <c r="DB211" s="490"/>
      <c r="DC211" s="490"/>
      <c r="DD211" s="490"/>
      <c r="DE211" s="490"/>
      <c r="DF211" s="490"/>
      <c r="DG211" s="490"/>
      <c r="DH211" s="490"/>
      <c r="DI211" s="490"/>
      <c r="DJ211" s="490"/>
      <c r="DK211" s="490"/>
      <c r="DL211" s="490"/>
      <c r="DM211" s="490"/>
      <c r="DN211" s="490"/>
      <c r="DO211" s="490"/>
      <c r="DP211" s="490"/>
      <c r="DQ211" s="490"/>
      <c r="DR211" s="490"/>
      <c r="DS211" s="490"/>
      <c r="DT211" s="490"/>
      <c r="DU211" s="490"/>
      <c r="DV211" s="490"/>
      <c r="DW211" s="490"/>
      <c r="DX211" s="490"/>
      <c r="DY211" s="490"/>
      <c r="DZ211" s="490"/>
      <c r="EA211" s="490"/>
      <c r="EB211" s="490"/>
      <c r="EC211" s="490"/>
      <c r="ED211" s="490"/>
      <c r="EE211" s="490"/>
      <c r="EF211" s="490"/>
      <c r="EG211" s="490"/>
      <c r="EH211" s="490"/>
      <c r="EI211" s="490"/>
      <c r="EJ211" s="490"/>
      <c r="EK211" s="490"/>
      <c r="EL211" s="490"/>
      <c r="EM211" s="490"/>
      <c r="EN211" s="490"/>
      <c r="EO211" s="490"/>
      <c r="EP211" s="490"/>
      <c r="EQ211" s="490"/>
      <c r="ER211" s="490"/>
      <c r="ES211" s="490"/>
      <c r="ET211" s="490"/>
      <c r="EU211" s="490"/>
      <c r="EV211" s="490"/>
      <c r="EW211" s="490"/>
      <c r="EX211" s="490"/>
      <c r="EY211" s="490"/>
      <c r="EZ211" s="490"/>
      <c r="FA211" s="490"/>
      <c r="FB211" s="490"/>
      <c r="FC211" s="490"/>
      <c r="FD211" s="490"/>
      <c r="FE211" s="490"/>
      <c r="FF211" s="490"/>
      <c r="FG211" s="490"/>
      <c r="FH211" s="490"/>
      <c r="FI211" s="490"/>
      <c r="FJ211" s="490"/>
      <c r="FK211" s="490"/>
      <c r="FL211" s="490"/>
      <c r="FM211" s="490"/>
      <c r="FN211" s="490"/>
    </row>
    <row r="212" s="492" customFormat="1" spans="1:170">
      <c r="A212" s="539">
        <v>46136</v>
      </c>
      <c r="B212" s="509" t="s">
        <v>779</v>
      </c>
      <c r="C212" s="530">
        <v>10</v>
      </c>
      <c r="D212" s="509" t="s">
        <v>208</v>
      </c>
      <c r="E212" s="509" t="s">
        <v>208</v>
      </c>
      <c r="F212" s="545" t="s">
        <v>144</v>
      </c>
      <c r="G212" s="546">
        <v>1</v>
      </c>
      <c r="H212" s="546">
        <v>8.9</v>
      </c>
      <c r="I212" s="546" t="s">
        <v>17</v>
      </c>
      <c r="J212" s="546">
        <v>1.58</v>
      </c>
      <c r="K212" s="564" t="s">
        <v>780</v>
      </c>
      <c r="L212" s="545" t="s">
        <v>261</v>
      </c>
      <c r="M212" s="490"/>
      <c r="N212" s="490"/>
      <c r="O212" s="490"/>
      <c r="P212" s="490"/>
      <c r="Q212" s="490"/>
      <c r="R212" s="490"/>
      <c r="S212" s="490"/>
      <c r="T212" s="490"/>
      <c r="U212" s="490"/>
      <c r="V212" s="490"/>
      <c r="W212" s="490"/>
      <c r="X212" s="490"/>
      <c r="Y212" s="490"/>
      <c r="Z212" s="490"/>
      <c r="AA212" s="490"/>
      <c r="AB212" s="490"/>
      <c r="AC212" s="490"/>
      <c r="AD212" s="490"/>
      <c r="AE212" s="490"/>
      <c r="AF212" s="490"/>
      <c r="AG212" s="490"/>
      <c r="AH212" s="490"/>
      <c r="AI212" s="490"/>
      <c r="AJ212" s="490"/>
      <c r="AK212" s="490"/>
      <c r="AL212" s="490"/>
      <c r="AM212" s="490"/>
      <c r="AN212" s="490"/>
      <c r="AO212" s="490"/>
      <c r="AP212" s="490"/>
      <c r="AQ212" s="490"/>
      <c r="AR212" s="490"/>
      <c r="AS212" s="490"/>
      <c r="AT212" s="490"/>
      <c r="AU212" s="490"/>
      <c r="AV212" s="490"/>
      <c r="AW212" s="490"/>
      <c r="AX212" s="490"/>
      <c r="AY212" s="490"/>
      <c r="AZ212" s="490"/>
      <c r="BA212" s="490"/>
      <c r="BB212" s="490"/>
      <c r="BC212" s="490"/>
      <c r="BD212" s="490"/>
      <c r="BE212" s="490"/>
      <c r="BF212" s="490"/>
      <c r="BG212" s="490"/>
      <c r="BH212" s="490"/>
      <c r="BI212" s="490"/>
      <c r="BJ212" s="490"/>
      <c r="BK212" s="490"/>
      <c r="BL212" s="490"/>
      <c r="BM212" s="490"/>
      <c r="BN212" s="490"/>
      <c r="BO212" s="490"/>
      <c r="BP212" s="490"/>
      <c r="BQ212" s="490"/>
      <c r="BR212" s="490"/>
      <c r="BS212" s="490"/>
      <c r="BT212" s="490"/>
      <c r="BU212" s="490"/>
      <c r="BV212" s="490"/>
      <c r="BW212" s="490"/>
      <c r="BX212" s="490"/>
      <c r="BY212" s="490"/>
      <c r="BZ212" s="490"/>
      <c r="CA212" s="490"/>
      <c r="CB212" s="490"/>
      <c r="CC212" s="490"/>
      <c r="CD212" s="490"/>
      <c r="CE212" s="490"/>
      <c r="CF212" s="490"/>
      <c r="CG212" s="490"/>
      <c r="CH212" s="490"/>
      <c r="CI212" s="490"/>
      <c r="CJ212" s="490"/>
      <c r="CK212" s="490"/>
      <c r="CL212" s="490"/>
      <c r="CM212" s="490"/>
      <c r="CN212" s="490"/>
      <c r="CO212" s="490"/>
      <c r="CP212" s="490"/>
      <c r="CQ212" s="490"/>
      <c r="CR212" s="490"/>
      <c r="CS212" s="490"/>
      <c r="CT212" s="490"/>
      <c r="CU212" s="490"/>
      <c r="CV212" s="490"/>
      <c r="CW212" s="490"/>
      <c r="CX212" s="490"/>
      <c r="CY212" s="490"/>
      <c r="CZ212" s="490"/>
      <c r="DA212" s="490"/>
      <c r="DB212" s="490"/>
      <c r="DC212" s="490"/>
      <c r="DD212" s="490"/>
      <c r="DE212" s="490"/>
      <c r="DF212" s="490"/>
      <c r="DG212" s="490"/>
      <c r="DH212" s="490"/>
      <c r="DI212" s="490"/>
      <c r="DJ212" s="490"/>
      <c r="DK212" s="490"/>
      <c r="DL212" s="490"/>
      <c r="DM212" s="490"/>
      <c r="DN212" s="490"/>
      <c r="DO212" s="490"/>
      <c r="DP212" s="490"/>
      <c r="DQ212" s="490"/>
      <c r="DR212" s="490"/>
      <c r="DS212" s="490"/>
      <c r="DT212" s="490"/>
      <c r="DU212" s="490"/>
      <c r="DV212" s="490"/>
      <c r="DW212" s="490"/>
      <c r="DX212" s="490"/>
      <c r="DY212" s="490"/>
      <c r="DZ212" s="490"/>
      <c r="EA212" s="490"/>
      <c r="EB212" s="490"/>
      <c r="EC212" s="490"/>
      <c r="ED212" s="490"/>
      <c r="EE212" s="490"/>
      <c r="EF212" s="490"/>
      <c r="EG212" s="490"/>
      <c r="EH212" s="490"/>
      <c r="EI212" s="490"/>
      <c r="EJ212" s="490"/>
      <c r="EK212" s="490"/>
      <c r="EL212" s="490"/>
      <c r="EM212" s="490"/>
      <c r="EN212" s="490"/>
      <c r="EO212" s="490"/>
      <c r="EP212" s="490"/>
      <c r="EQ212" s="490"/>
      <c r="ER212" s="490"/>
      <c r="ES212" s="490"/>
      <c r="ET212" s="490"/>
      <c r="EU212" s="490"/>
      <c r="EV212" s="490"/>
      <c r="EW212" s="490"/>
      <c r="EX212" s="490"/>
      <c r="EY212" s="490"/>
      <c r="EZ212" s="490"/>
      <c r="FA212" s="490"/>
      <c r="FB212" s="490"/>
      <c r="FC212" s="490"/>
      <c r="FD212" s="490"/>
      <c r="FE212" s="490"/>
      <c r="FF212" s="490"/>
      <c r="FG212" s="490"/>
      <c r="FH212" s="490"/>
      <c r="FI212" s="490"/>
      <c r="FJ212" s="490"/>
      <c r="FK212" s="490"/>
      <c r="FL212" s="490"/>
      <c r="FM212" s="490"/>
      <c r="FN212" s="490"/>
    </row>
    <row r="213" s="492" customFormat="1" spans="1:170">
      <c r="A213" s="539"/>
      <c r="B213" s="509"/>
      <c r="C213" s="530"/>
      <c r="D213" s="509"/>
      <c r="E213" s="509"/>
      <c r="F213" s="545" t="s">
        <v>144</v>
      </c>
      <c r="G213" s="546">
        <v>1.17</v>
      </c>
      <c r="H213" s="546">
        <v>0.5</v>
      </c>
      <c r="I213" s="546" t="s">
        <v>22</v>
      </c>
      <c r="J213" s="546">
        <v>1.77</v>
      </c>
      <c r="K213" s="564"/>
      <c r="L213" s="545"/>
      <c r="M213" s="490"/>
      <c r="N213" s="490"/>
      <c r="O213" s="490"/>
      <c r="P213" s="490"/>
      <c r="Q213" s="490"/>
      <c r="R213" s="490"/>
      <c r="S213" s="490"/>
      <c r="T213" s="490"/>
      <c r="U213" s="490"/>
      <c r="V213" s="490"/>
      <c r="W213" s="490"/>
      <c r="X213" s="490"/>
      <c r="Y213" s="490"/>
      <c r="Z213" s="490"/>
      <c r="AA213" s="490"/>
      <c r="AB213" s="490"/>
      <c r="AC213" s="490"/>
      <c r="AD213" s="490"/>
      <c r="AE213" s="490"/>
      <c r="AF213" s="490"/>
      <c r="AG213" s="490"/>
      <c r="AH213" s="490"/>
      <c r="AI213" s="490"/>
      <c r="AJ213" s="490"/>
      <c r="AK213" s="490"/>
      <c r="AL213" s="490"/>
      <c r="AM213" s="490"/>
      <c r="AN213" s="490"/>
      <c r="AO213" s="490"/>
      <c r="AP213" s="490"/>
      <c r="AQ213" s="490"/>
      <c r="AR213" s="490"/>
      <c r="AS213" s="490"/>
      <c r="AT213" s="490"/>
      <c r="AU213" s="490"/>
      <c r="AV213" s="490"/>
      <c r="AW213" s="490"/>
      <c r="AX213" s="490"/>
      <c r="AY213" s="490"/>
      <c r="AZ213" s="490"/>
      <c r="BA213" s="490"/>
      <c r="BB213" s="490"/>
      <c r="BC213" s="490"/>
      <c r="BD213" s="490"/>
      <c r="BE213" s="490"/>
      <c r="BF213" s="490"/>
      <c r="BG213" s="490"/>
      <c r="BH213" s="490"/>
      <c r="BI213" s="490"/>
      <c r="BJ213" s="490"/>
      <c r="BK213" s="490"/>
      <c r="BL213" s="490"/>
      <c r="BM213" s="490"/>
      <c r="BN213" s="490"/>
      <c r="BO213" s="490"/>
      <c r="BP213" s="490"/>
      <c r="BQ213" s="490"/>
      <c r="BR213" s="490"/>
      <c r="BS213" s="490"/>
      <c r="BT213" s="490"/>
      <c r="BU213" s="490"/>
      <c r="BV213" s="490"/>
      <c r="BW213" s="490"/>
      <c r="BX213" s="490"/>
      <c r="BY213" s="490"/>
      <c r="BZ213" s="490"/>
      <c r="CA213" s="490"/>
      <c r="CB213" s="490"/>
      <c r="CC213" s="490"/>
      <c r="CD213" s="490"/>
      <c r="CE213" s="490"/>
      <c r="CF213" s="490"/>
      <c r="CG213" s="490"/>
      <c r="CH213" s="490"/>
      <c r="CI213" s="490"/>
      <c r="CJ213" s="490"/>
      <c r="CK213" s="490"/>
      <c r="CL213" s="490"/>
      <c r="CM213" s="490"/>
      <c r="CN213" s="490"/>
      <c r="CO213" s="490"/>
      <c r="CP213" s="490"/>
      <c r="CQ213" s="490"/>
      <c r="CR213" s="490"/>
      <c r="CS213" s="490"/>
      <c r="CT213" s="490"/>
      <c r="CU213" s="490"/>
      <c r="CV213" s="490"/>
      <c r="CW213" s="490"/>
      <c r="CX213" s="490"/>
      <c r="CY213" s="490"/>
      <c r="CZ213" s="490"/>
      <c r="DA213" s="490"/>
      <c r="DB213" s="490"/>
      <c r="DC213" s="490"/>
      <c r="DD213" s="490"/>
      <c r="DE213" s="490"/>
      <c r="DF213" s="490"/>
      <c r="DG213" s="490"/>
      <c r="DH213" s="490"/>
      <c r="DI213" s="490"/>
      <c r="DJ213" s="490"/>
      <c r="DK213" s="490"/>
      <c r="DL213" s="490"/>
      <c r="DM213" s="490"/>
      <c r="DN213" s="490"/>
      <c r="DO213" s="490"/>
      <c r="DP213" s="490"/>
      <c r="DQ213" s="490"/>
      <c r="DR213" s="490"/>
      <c r="DS213" s="490"/>
      <c r="DT213" s="490"/>
      <c r="DU213" s="490"/>
      <c r="DV213" s="490"/>
      <c r="DW213" s="490"/>
      <c r="DX213" s="490"/>
      <c r="DY213" s="490"/>
      <c r="DZ213" s="490"/>
      <c r="EA213" s="490"/>
      <c r="EB213" s="490"/>
      <c r="EC213" s="490"/>
      <c r="ED213" s="490"/>
      <c r="EE213" s="490"/>
      <c r="EF213" s="490"/>
      <c r="EG213" s="490"/>
      <c r="EH213" s="490"/>
      <c r="EI213" s="490"/>
      <c r="EJ213" s="490"/>
      <c r="EK213" s="490"/>
      <c r="EL213" s="490"/>
      <c r="EM213" s="490"/>
      <c r="EN213" s="490"/>
      <c r="EO213" s="490"/>
      <c r="EP213" s="490"/>
      <c r="EQ213" s="490"/>
      <c r="ER213" s="490"/>
      <c r="ES213" s="490"/>
      <c r="ET213" s="490"/>
      <c r="EU213" s="490"/>
      <c r="EV213" s="490"/>
      <c r="EW213" s="490"/>
      <c r="EX213" s="490"/>
      <c r="EY213" s="490"/>
      <c r="EZ213" s="490"/>
      <c r="FA213" s="490"/>
      <c r="FB213" s="490"/>
      <c r="FC213" s="490"/>
      <c r="FD213" s="490"/>
      <c r="FE213" s="490"/>
      <c r="FF213" s="490"/>
      <c r="FG213" s="490"/>
      <c r="FH213" s="490"/>
      <c r="FI213" s="490"/>
      <c r="FJ213" s="490"/>
      <c r="FK213" s="490"/>
      <c r="FL213" s="490"/>
      <c r="FM213" s="490"/>
      <c r="FN213" s="490"/>
    </row>
    <row r="214" s="492" customFormat="1" spans="1:170">
      <c r="A214" s="539"/>
      <c r="B214" s="509"/>
      <c r="C214" s="530"/>
      <c r="D214" s="509"/>
      <c r="E214" s="509"/>
      <c r="F214" s="545" t="s">
        <v>148</v>
      </c>
      <c r="G214" s="546">
        <v>1.75</v>
      </c>
      <c r="H214" s="546">
        <v>0.6</v>
      </c>
      <c r="I214" s="546" t="s">
        <v>24</v>
      </c>
      <c r="J214" s="546" t="s">
        <v>24</v>
      </c>
      <c r="K214" s="564"/>
      <c r="L214" s="545"/>
      <c r="M214" s="490"/>
      <c r="N214" s="490"/>
      <c r="O214" s="490"/>
      <c r="P214" s="490"/>
      <c r="Q214" s="490"/>
      <c r="R214" s="490"/>
      <c r="S214" s="490"/>
      <c r="T214" s="490"/>
      <c r="U214" s="490"/>
      <c r="V214" s="490"/>
      <c r="W214" s="490"/>
      <c r="X214" s="490"/>
      <c r="Y214" s="490"/>
      <c r="Z214" s="490"/>
      <c r="AA214" s="490"/>
      <c r="AB214" s="490"/>
      <c r="AC214" s="490"/>
      <c r="AD214" s="490"/>
      <c r="AE214" s="490"/>
      <c r="AF214" s="490"/>
      <c r="AG214" s="490"/>
      <c r="AH214" s="490"/>
      <c r="AI214" s="490"/>
      <c r="AJ214" s="490"/>
      <c r="AK214" s="490"/>
      <c r="AL214" s="490"/>
      <c r="AM214" s="490"/>
      <c r="AN214" s="490"/>
      <c r="AO214" s="490"/>
      <c r="AP214" s="490"/>
      <c r="AQ214" s="490"/>
      <c r="AR214" s="490"/>
      <c r="AS214" s="490"/>
      <c r="AT214" s="490"/>
      <c r="AU214" s="490"/>
      <c r="AV214" s="490"/>
      <c r="AW214" s="490"/>
      <c r="AX214" s="490"/>
      <c r="AY214" s="490"/>
      <c r="AZ214" s="490"/>
      <c r="BA214" s="490"/>
      <c r="BB214" s="490"/>
      <c r="BC214" s="490"/>
      <c r="BD214" s="490"/>
      <c r="BE214" s="490"/>
      <c r="BF214" s="490"/>
      <c r="BG214" s="490"/>
      <c r="BH214" s="490"/>
      <c r="BI214" s="490"/>
      <c r="BJ214" s="490"/>
      <c r="BK214" s="490"/>
      <c r="BL214" s="490"/>
      <c r="BM214" s="490"/>
      <c r="BN214" s="490"/>
      <c r="BO214" s="490"/>
      <c r="BP214" s="490"/>
      <c r="BQ214" s="490"/>
      <c r="BR214" s="490"/>
      <c r="BS214" s="490"/>
      <c r="BT214" s="490"/>
      <c r="BU214" s="490"/>
      <c r="BV214" s="490"/>
      <c r="BW214" s="490"/>
      <c r="BX214" s="490"/>
      <c r="BY214" s="490"/>
      <c r="BZ214" s="490"/>
      <c r="CA214" s="490"/>
      <c r="CB214" s="490"/>
      <c r="CC214" s="490"/>
      <c r="CD214" s="490"/>
      <c r="CE214" s="490"/>
      <c r="CF214" s="490"/>
      <c r="CG214" s="490"/>
      <c r="CH214" s="490"/>
      <c r="CI214" s="490"/>
      <c r="CJ214" s="490"/>
      <c r="CK214" s="490"/>
      <c r="CL214" s="490"/>
      <c r="CM214" s="490"/>
      <c r="CN214" s="490"/>
      <c r="CO214" s="490"/>
      <c r="CP214" s="490"/>
      <c r="CQ214" s="490"/>
      <c r="CR214" s="490"/>
      <c r="CS214" s="490"/>
      <c r="CT214" s="490"/>
      <c r="CU214" s="490"/>
      <c r="CV214" s="490"/>
      <c r="CW214" s="490"/>
      <c r="CX214" s="490"/>
      <c r="CY214" s="490"/>
      <c r="CZ214" s="490"/>
      <c r="DA214" s="490"/>
      <c r="DB214" s="490"/>
      <c r="DC214" s="490"/>
      <c r="DD214" s="490"/>
      <c r="DE214" s="490"/>
      <c r="DF214" s="490"/>
      <c r="DG214" s="490"/>
      <c r="DH214" s="490"/>
      <c r="DI214" s="490"/>
      <c r="DJ214" s="490"/>
      <c r="DK214" s="490"/>
      <c r="DL214" s="490"/>
      <c r="DM214" s="490"/>
      <c r="DN214" s="490"/>
      <c r="DO214" s="490"/>
      <c r="DP214" s="490"/>
      <c r="DQ214" s="490"/>
      <c r="DR214" s="490"/>
      <c r="DS214" s="490"/>
      <c r="DT214" s="490"/>
      <c r="DU214" s="490"/>
      <c r="DV214" s="490"/>
      <c r="DW214" s="490"/>
      <c r="DX214" s="490"/>
      <c r="DY214" s="490"/>
      <c r="DZ214" s="490"/>
      <c r="EA214" s="490"/>
      <c r="EB214" s="490"/>
      <c r="EC214" s="490"/>
      <c r="ED214" s="490"/>
      <c r="EE214" s="490"/>
      <c r="EF214" s="490"/>
      <c r="EG214" s="490"/>
      <c r="EH214" s="490"/>
      <c r="EI214" s="490"/>
      <c r="EJ214" s="490"/>
      <c r="EK214" s="490"/>
      <c r="EL214" s="490"/>
      <c r="EM214" s="490"/>
      <c r="EN214" s="490"/>
      <c r="EO214" s="490"/>
      <c r="EP214" s="490"/>
      <c r="EQ214" s="490"/>
      <c r="ER214" s="490"/>
      <c r="ES214" s="490"/>
      <c r="ET214" s="490"/>
      <c r="EU214" s="490"/>
      <c r="EV214" s="490"/>
      <c r="EW214" s="490"/>
      <c r="EX214" s="490"/>
      <c r="EY214" s="490"/>
      <c r="EZ214" s="490"/>
      <c r="FA214" s="490"/>
      <c r="FB214" s="490"/>
      <c r="FC214" s="490"/>
      <c r="FD214" s="490"/>
      <c r="FE214" s="490"/>
      <c r="FF214" s="490"/>
      <c r="FG214" s="490"/>
      <c r="FH214" s="490"/>
      <c r="FI214" s="490"/>
      <c r="FJ214" s="490"/>
      <c r="FK214" s="490"/>
      <c r="FL214" s="490"/>
      <c r="FM214" s="490"/>
      <c r="FN214" s="490"/>
    </row>
    <row r="215" s="492" customFormat="1" spans="1:170">
      <c r="A215" s="539">
        <v>46139</v>
      </c>
      <c r="B215" s="509" t="s">
        <v>781</v>
      </c>
      <c r="C215" s="538">
        <v>5.64</v>
      </c>
      <c r="D215" s="509" t="s">
        <v>66</v>
      </c>
      <c r="E215" s="509" t="s">
        <v>66</v>
      </c>
      <c r="F215" s="545" t="s">
        <v>158</v>
      </c>
      <c r="G215" s="546">
        <v>1</v>
      </c>
      <c r="H215" s="546">
        <v>5.28</v>
      </c>
      <c r="I215" s="546" t="s">
        <v>17</v>
      </c>
      <c r="J215" s="546">
        <v>1.6</v>
      </c>
      <c r="K215" s="527" t="s">
        <v>630</v>
      </c>
      <c r="L215" s="545" t="s">
        <v>256</v>
      </c>
      <c r="M215" s="490"/>
      <c r="N215" s="490"/>
      <c r="O215" s="490"/>
      <c r="P215" s="490"/>
      <c r="Q215" s="490"/>
      <c r="R215" s="490"/>
      <c r="S215" s="490"/>
      <c r="T215" s="490"/>
      <c r="U215" s="490"/>
      <c r="V215" s="490"/>
      <c r="W215" s="490"/>
      <c r="X215" s="490"/>
      <c r="Y215" s="490"/>
      <c r="Z215" s="490"/>
      <c r="AA215" s="490"/>
      <c r="AB215" s="490"/>
      <c r="AC215" s="490"/>
      <c r="AD215" s="490"/>
      <c r="AE215" s="490"/>
      <c r="AF215" s="490"/>
      <c r="AG215" s="490"/>
      <c r="AH215" s="490"/>
      <c r="AI215" s="490"/>
      <c r="AJ215" s="490"/>
      <c r="AK215" s="490"/>
      <c r="AL215" s="490"/>
      <c r="AM215" s="490"/>
      <c r="AN215" s="490"/>
      <c r="AO215" s="490"/>
      <c r="AP215" s="490"/>
      <c r="AQ215" s="490"/>
      <c r="AR215" s="490"/>
      <c r="AS215" s="490"/>
      <c r="AT215" s="490"/>
      <c r="AU215" s="490"/>
      <c r="AV215" s="490"/>
      <c r="AW215" s="490"/>
      <c r="AX215" s="490"/>
      <c r="AY215" s="490"/>
      <c r="AZ215" s="490"/>
      <c r="BA215" s="490"/>
      <c r="BB215" s="490"/>
      <c r="BC215" s="490"/>
      <c r="BD215" s="490"/>
      <c r="BE215" s="490"/>
      <c r="BF215" s="490"/>
      <c r="BG215" s="490"/>
      <c r="BH215" s="490"/>
      <c r="BI215" s="490"/>
      <c r="BJ215" s="490"/>
      <c r="BK215" s="490"/>
      <c r="BL215" s="490"/>
      <c r="BM215" s="490"/>
      <c r="BN215" s="490"/>
      <c r="BO215" s="490"/>
      <c r="BP215" s="490"/>
      <c r="BQ215" s="490"/>
      <c r="BR215" s="490"/>
      <c r="BS215" s="490"/>
      <c r="BT215" s="490"/>
      <c r="BU215" s="490"/>
      <c r="BV215" s="490"/>
      <c r="BW215" s="490"/>
      <c r="BX215" s="490"/>
      <c r="BY215" s="490"/>
      <c r="BZ215" s="490"/>
      <c r="CA215" s="490"/>
      <c r="CB215" s="490"/>
      <c r="CC215" s="490"/>
      <c r="CD215" s="490"/>
      <c r="CE215" s="490"/>
      <c r="CF215" s="490"/>
      <c r="CG215" s="490"/>
      <c r="CH215" s="490"/>
      <c r="CI215" s="490"/>
      <c r="CJ215" s="490"/>
      <c r="CK215" s="490"/>
      <c r="CL215" s="490"/>
      <c r="CM215" s="490"/>
      <c r="CN215" s="490"/>
      <c r="CO215" s="490"/>
      <c r="CP215" s="490"/>
      <c r="CQ215" s="490"/>
      <c r="CR215" s="490"/>
      <c r="CS215" s="490"/>
      <c r="CT215" s="490"/>
      <c r="CU215" s="490"/>
      <c r="CV215" s="490"/>
      <c r="CW215" s="490"/>
      <c r="CX215" s="490"/>
      <c r="CY215" s="490"/>
      <c r="CZ215" s="490"/>
      <c r="DA215" s="490"/>
      <c r="DB215" s="490"/>
      <c r="DC215" s="490"/>
      <c r="DD215" s="490"/>
      <c r="DE215" s="490"/>
      <c r="DF215" s="490"/>
      <c r="DG215" s="490"/>
      <c r="DH215" s="490"/>
      <c r="DI215" s="490"/>
      <c r="DJ215" s="490"/>
      <c r="DK215" s="490"/>
      <c r="DL215" s="490"/>
      <c r="DM215" s="490"/>
      <c r="DN215" s="490"/>
      <c r="DO215" s="490"/>
      <c r="DP215" s="490"/>
      <c r="DQ215" s="490"/>
      <c r="DR215" s="490"/>
      <c r="DS215" s="490"/>
      <c r="DT215" s="490"/>
      <c r="DU215" s="490"/>
      <c r="DV215" s="490"/>
      <c r="DW215" s="490"/>
      <c r="DX215" s="490"/>
      <c r="DY215" s="490"/>
      <c r="DZ215" s="490"/>
      <c r="EA215" s="490"/>
      <c r="EB215" s="490"/>
      <c r="EC215" s="490"/>
      <c r="ED215" s="490"/>
      <c r="EE215" s="490"/>
      <c r="EF215" s="490"/>
      <c r="EG215" s="490"/>
      <c r="EH215" s="490"/>
      <c r="EI215" s="490"/>
      <c r="EJ215" s="490"/>
      <c r="EK215" s="490"/>
      <c r="EL215" s="490"/>
      <c r="EM215" s="490"/>
      <c r="EN215" s="490"/>
      <c r="EO215" s="490"/>
      <c r="EP215" s="490"/>
      <c r="EQ215" s="490"/>
      <c r="ER215" s="490"/>
      <c r="ES215" s="490"/>
      <c r="ET215" s="490"/>
      <c r="EU215" s="490"/>
      <c r="EV215" s="490"/>
      <c r="EW215" s="490"/>
      <c r="EX215" s="490"/>
      <c r="EY215" s="490"/>
      <c r="EZ215" s="490"/>
      <c r="FA215" s="490"/>
      <c r="FB215" s="490"/>
      <c r="FC215" s="490"/>
      <c r="FD215" s="490"/>
      <c r="FE215" s="490"/>
      <c r="FF215" s="490"/>
      <c r="FG215" s="490"/>
      <c r="FH215" s="490"/>
      <c r="FI215" s="490"/>
      <c r="FJ215" s="490"/>
      <c r="FK215" s="490"/>
      <c r="FL215" s="490"/>
      <c r="FM215" s="490"/>
      <c r="FN215" s="490"/>
    </row>
    <row r="216" s="492" customFormat="1" spans="1:170">
      <c r="A216" s="539"/>
      <c r="B216" s="509"/>
      <c r="C216" s="538"/>
      <c r="D216" s="509"/>
      <c r="E216" s="509"/>
      <c r="F216" s="545" t="s">
        <v>159</v>
      </c>
      <c r="G216" s="546">
        <v>1</v>
      </c>
      <c r="H216" s="546">
        <v>0.36</v>
      </c>
      <c r="I216" s="546" t="s">
        <v>22</v>
      </c>
      <c r="J216" s="546">
        <v>1.85</v>
      </c>
      <c r="K216" s="527"/>
      <c r="L216" s="545"/>
      <c r="M216" s="490"/>
      <c r="N216" s="490"/>
      <c r="O216" s="490"/>
      <c r="P216" s="490"/>
      <c r="Q216" s="490"/>
      <c r="R216" s="490"/>
      <c r="S216" s="490"/>
      <c r="T216" s="490"/>
      <c r="U216" s="490"/>
      <c r="V216" s="490"/>
      <c r="W216" s="490"/>
      <c r="X216" s="490"/>
      <c r="Y216" s="490"/>
      <c r="Z216" s="490"/>
      <c r="AA216" s="490"/>
      <c r="AB216" s="490"/>
      <c r="AC216" s="490"/>
      <c r="AD216" s="490"/>
      <c r="AE216" s="490"/>
      <c r="AF216" s="490"/>
      <c r="AG216" s="490"/>
      <c r="AH216" s="490"/>
      <c r="AI216" s="490"/>
      <c r="AJ216" s="490"/>
      <c r="AK216" s="490"/>
      <c r="AL216" s="490"/>
      <c r="AM216" s="490"/>
      <c r="AN216" s="490"/>
      <c r="AO216" s="490"/>
      <c r="AP216" s="490"/>
      <c r="AQ216" s="490"/>
      <c r="AR216" s="490"/>
      <c r="AS216" s="490"/>
      <c r="AT216" s="490"/>
      <c r="AU216" s="490"/>
      <c r="AV216" s="490"/>
      <c r="AW216" s="490"/>
      <c r="AX216" s="490"/>
      <c r="AY216" s="490"/>
      <c r="AZ216" s="490"/>
      <c r="BA216" s="490"/>
      <c r="BB216" s="490"/>
      <c r="BC216" s="490"/>
      <c r="BD216" s="490"/>
      <c r="BE216" s="490"/>
      <c r="BF216" s="490"/>
      <c r="BG216" s="490"/>
      <c r="BH216" s="490"/>
      <c r="BI216" s="490"/>
      <c r="BJ216" s="490"/>
      <c r="BK216" s="490"/>
      <c r="BL216" s="490"/>
      <c r="BM216" s="490"/>
      <c r="BN216" s="490"/>
      <c r="BO216" s="490"/>
      <c r="BP216" s="490"/>
      <c r="BQ216" s="490"/>
      <c r="BR216" s="490"/>
      <c r="BS216" s="490"/>
      <c r="BT216" s="490"/>
      <c r="BU216" s="490"/>
      <c r="BV216" s="490"/>
      <c r="BW216" s="490"/>
      <c r="BX216" s="490"/>
      <c r="BY216" s="490"/>
      <c r="BZ216" s="490"/>
      <c r="CA216" s="490"/>
      <c r="CB216" s="490"/>
      <c r="CC216" s="490"/>
      <c r="CD216" s="490"/>
      <c r="CE216" s="490"/>
      <c r="CF216" s="490"/>
      <c r="CG216" s="490"/>
      <c r="CH216" s="490"/>
      <c r="CI216" s="490"/>
      <c r="CJ216" s="490"/>
      <c r="CK216" s="490"/>
      <c r="CL216" s="490"/>
      <c r="CM216" s="490"/>
      <c r="CN216" s="490"/>
      <c r="CO216" s="490"/>
      <c r="CP216" s="490"/>
      <c r="CQ216" s="490"/>
      <c r="CR216" s="490"/>
      <c r="CS216" s="490"/>
      <c r="CT216" s="490"/>
      <c r="CU216" s="490"/>
      <c r="CV216" s="490"/>
      <c r="CW216" s="490"/>
      <c r="CX216" s="490"/>
      <c r="CY216" s="490"/>
      <c r="CZ216" s="490"/>
      <c r="DA216" s="490"/>
      <c r="DB216" s="490"/>
      <c r="DC216" s="490"/>
      <c r="DD216" s="490"/>
      <c r="DE216" s="490"/>
      <c r="DF216" s="490"/>
      <c r="DG216" s="490"/>
      <c r="DH216" s="490"/>
      <c r="DI216" s="490"/>
      <c r="DJ216" s="490"/>
      <c r="DK216" s="490"/>
      <c r="DL216" s="490"/>
      <c r="DM216" s="490"/>
      <c r="DN216" s="490"/>
      <c r="DO216" s="490"/>
      <c r="DP216" s="490"/>
      <c r="DQ216" s="490"/>
      <c r="DR216" s="490"/>
      <c r="DS216" s="490"/>
      <c r="DT216" s="490"/>
      <c r="DU216" s="490"/>
      <c r="DV216" s="490"/>
      <c r="DW216" s="490"/>
      <c r="DX216" s="490"/>
      <c r="DY216" s="490"/>
      <c r="DZ216" s="490"/>
      <c r="EA216" s="490"/>
      <c r="EB216" s="490"/>
      <c r="EC216" s="490"/>
      <c r="ED216" s="490"/>
      <c r="EE216" s="490"/>
      <c r="EF216" s="490"/>
      <c r="EG216" s="490"/>
      <c r="EH216" s="490"/>
      <c r="EI216" s="490"/>
      <c r="EJ216" s="490"/>
      <c r="EK216" s="490"/>
      <c r="EL216" s="490"/>
      <c r="EM216" s="490"/>
      <c r="EN216" s="490"/>
      <c r="EO216" s="490"/>
      <c r="EP216" s="490"/>
      <c r="EQ216" s="490"/>
      <c r="ER216" s="490"/>
      <c r="ES216" s="490"/>
      <c r="ET216" s="490"/>
      <c r="EU216" s="490"/>
      <c r="EV216" s="490"/>
      <c r="EW216" s="490"/>
      <c r="EX216" s="490"/>
      <c r="EY216" s="490"/>
      <c r="EZ216" s="490"/>
      <c r="FA216" s="490"/>
      <c r="FB216" s="490"/>
      <c r="FC216" s="490"/>
      <c r="FD216" s="490"/>
      <c r="FE216" s="490"/>
      <c r="FF216" s="490"/>
      <c r="FG216" s="490"/>
      <c r="FH216" s="490"/>
      <c r="FI216" s="490"/>
      <c r="FJ216" s="490"/>
      <c r="FK216" s="490"/>
      <c r="FL216" s="490"/>
      <c r="FM216" s="490"/>
      <c r="FN216" s="490"/>
    </row>
    <row r="217" s="492" customFormat="1" spans="1:170">
      <c r="A217" s="539">
        <v>46139</v>
      </c>
      <c r="B217" s="509" t="s">
        <v>782</v>
      </c>
      <c r="C217" s="530">
        <v>10</v>
      </c>
      <c r="D217" s="509" t="s">
        <v>72</v>
      </c>
      <c r="E217" s="509" t="s">
        <v>66</v>
      </c>
      <c r="F217" s="545" t="s">
        <v>144</v>
      </c>
      <c r="G217" s="546">
        <v>1</v>
      </c>
      <c r="H217" s="546">
        <v>8.9</v>
      </c>
      <c r="I217" s="546" t="s">
        <v>17</v>
      </c>
      <c r="J217" s="546">
        <v>1.57</v>
      </c>
      <c r="K217" s="564" t="s">
        <v>780</v>
      </c>
      <c r="L217" s="545" t="s">
        <v>261</v>
      </c>
      <c r="M217" s="490"/>
      <c r="N217" s="490"/>
      <c r="O217" s="490"/>
      <c r="P217" s="490"/>
      <c r="Q217" s="490"/>
      <c r="R217" s="490"/>
      <c r="S217" s="490"/>
      <c r="T217" s="490"/>
      <c r="U217" s="490"/>
      <c r="V217" s="490"/>
      <c r="W217" s="490"/>
      <c r="X217" s="490"/>
      <c r="Y217" s="490"/>
      <c r="Z217" s="490"/>
      <c r="AA217" s="490"/>
      <c r="AB217" s="490"/>
      <c r="AC217" s="490"/>
      <c r="AD217" s="490"/>
      <c r="AE217" s="490"/>
      <c r="AF217" s="490"/>
      <c r="AG217" s="490"/>
      <c r="AH217" s="490"/>
      <c r="AI217" s="490"/>
      <c r="AJ217" s="490"/>
      <c r="AK217" s="490"/>
      <c r="AL217" s="490"/>
      <c r="AM217" s="490"/>
      <c r="AN217" s="490"/>
      <c r="AO217" s="490"/>
      <c r="AP217" s="490"/>
      <c r="AQ217" s="490"/>
      <c r="AR217" s="490"/>
      <c r="AS217" s="490"/>
      <c r="AT217" s="490"/>
      <c r="AU217" s="490"/>
      <c r="AV217" s="490"/>
      <c r="AW217" s="490"/>
      <c r="AX217" s="490"/>
      <c r="AY217" s="490"/>
      <c r="AZ217" s="490"/>
      <c r="BA217" s="490"/>
      <c r="BB217" s="490"/>
      <c r="BC217" s="490"/>
      <c r="BD217" s="490"/>
      <c r="BE217" s="490"/>
      <c r="BF217" s="490"/>
      <c r="BG217" s="490"/>
      <c r="BH217" s="490"/>
      <c r="BI217" s="490"/>
      <c r="BJ217" s="490"/>
      <c r="BK217" s="490"/>
      <c r="BL217" s="490"/>
      <c r="BM217" s="490"/>
      <c r="BN217" s="490"/>
      <c r="BO217" s="490"/>
      <c r="BP217" s="490"/>
      <c r="BQ217" s="490"/>
      <c r="BR217" s="490"/>
      <c r="BS217" s="490"/>
      <c r="BT217" s="490"/>
      <c r="BU217" s="490"/>
      <c r="BV217" s="490"/>
      <c r="BW217" s="490"/>
      <c r="BX217" s="490"/>
      <c r="BY217" s="490"/>
      <c r="BZ217" s="490"/>
      <c r="CA217" s="490"/>
      <c r="CB217" s="490"/>
      <c r="CC217" s="490"/>
      <c r="CD217" s="490"/>
      <c r="CE217" s="490"/>
      <c r="CF217" s="490"/>
      <c r="CG217" s="490"/>
      <c r="CH217" s="490"/>
      <c r="CI217" s="490"/>
      <c r="CJ217" s="490"/>
      <c r="CK217" s="490"/>
      <c r="CL217" s="490"/>
      <c r="CM217" s="490"/>
      <c r="CN217" s="490"/>
      <c r="CO217" s="490"/>
      <c r="CP217" s="490"/>
      <c r="CQ217" s="490"/>
      <c r="CR217" s="490"/>
      <c r="CS217" s="490"/>
      <c r="CT217" s="490"/>
      <c r="CU217" s="490"/>
      <c r="CV217" s="490"/>
      <c r="CW217" s="490"/>
      <c r="CX217" s="490"/>
      <c r="CY217" s="490"/>
      <c r="CZ217" s="490"/>
      <c r="DA217" s="490"/>
      <c r="DB217" s="490"/>
      <c r="DC217" s="490"/>
      <c r="DD217" s="490"/>
      <c r="DE217" s="490"/>
      <c r="DF217" s="490"/>
      <c r="DG217" s="490"/>
      <c r="DH217" s="490"/>
      <c r="DI217" s="490"/>
      <c r="DJ217" s="490"/>
      <c r="DK217" s="490"/>
      <c r="DL217" s="490"/>
      <c r="DM217" s="490"/>
      <c r="DN217" s="490"/>
      <c r="DO217" s="490"/>
      <c r="DP217" s="490"/>
      <c r="DQ217" s="490"/>
      <c r="DR217" s="490"/>
      <c r="DS217" s="490"/>
      <c r="DT217" s="490"/>
      <c r="DU217" s="490"/>
      <c r="DV217" s="490"/>
      <c r="DW217" s="490"/>
      <c r="DX217" s="490"/>
      <c r="DY217" s="490"/>
      <c r="DZ217" s="490"/>
      <c r="EA217" s="490"/>
      <c r="EB217" s="490"/>
      <c r="EC217" s="490"/>
      <c r="ED217" s="490"/>
      <c r="EE217" s="490"/>
      <c r="EF217" s="490"/>
      <c r="EG217" s="490"/>
      <c r="EH217" s="490"/>
      <c r="EI217" s="490"/>
      <c r="EJ217" s="490"/>
      <c r="EK217" s="490"/>
      <c r="EL217" s="490"/>
      <c r="EM217" s="490"/>
      <c r="EN217" s="490"/>
      <c r="EO217" s="490"/>
      <c r="EP217" s="490"/>
      <c r="EQ217" s="490"/>
      <c r="ER217" s="490"/>
      <c r="ES217" s="490"/>
      <c r="ET217" s="490"/>
      <c r="EU217" s="490"/>
      <c r="EV217" s="490"/>
      <c r="EW217" s="490"/>
      <c r="EX217" s="490"/>
      <c r="EY217" s="490"/>
      <c r="EZ217" s="490"/>
      <c r="FA217" s="490"/>
      <c r="FB217" s="490"/>
      <c r="FC217" s="490"/>
      <c r="FD217" s="490"/>
      <c r="FE217" s="490"/>
      <c r="FF217" s="490"/>
      <c r="FG217" s="490"/>
      <c r="FH217" s="490"/>
      <c r="FI217" s="490"/>
      <c r="FJ217" s="490"/>
      <c r="FK217" s="490"/>
      <c r="FL217" s="490"/>
      <c r="FM217" s="490"/>
      <c r="FN217" s="490"/>
    </row>
    <row r="218" s="492" customFormat="1" spans="1:170">
      <c r="A218" s="539"/>
      <c r="B218" s="509"/>
      <c r="C218" s="530"/>
      <c r="D218" s="509"/>
      <c r="E218" s="509"/>
      <c r="F218" s="545" t="s">
        <v>750</v>
      </c>
      <c r="G218" s="546">
        <v>1.17</v>
      </c>
      <c r="H218" s="546">
        <v>0.5</v>
      </c>
      <c r="I218" s="546" t="s">
        <v>22</v>
      </c>
      <c r="J218" s="546">
        <v>1.77</v>
      </c>
      <c r="K218" s="564"/>
      <c r="L218" s="545"/>
      <c r="M218" s="490"/>
      <c r="N218" s="490"/>
      <c r="O218" s="490"/>
      <c r="P218" s="490"/>
      <c r="Q218" s="490"/>
      <c r="R218" s="490"/>
      <c r="S218" s="490"/>
      <c r="T218" s="490"/>
      <c r="U218" s="490"/>
      <c r="V218" s="490"/>
      <c r="W218" s="490"/>
      <c r="X218" s="490"/>
      <c r="Y218" s="490"/>
      <c r="Z218" s="490"/>
      <c r="AA218" s="490"/>
      <c r="AB218" s="490"/>
      <c r="AC218" s="490"/>
      <c r="AD218" s="490"/>
      <c r="AE218" s="490"/>
      <c r="AF218" s="490"/>
      <c r="AG218" s="490"/>
      <c r="AH218" s="490"/>
      <c r="AI218" s="490"/>
      <c r="AJ218" s="490"/>
      <c r="AK218" s="490"/>
      <c r="AL218" s="490"/>
      <c r="AM218" s="490"/>
      <c r="AN218" s="490"/>
      <c r="AO218" s="490"/>
      <c r="AP218" s="490"/>
      <c r="AQ218" s="490"/>
      <c r="AR218" s="490"/>
      <c r="AS218" s="490"/>
      <c r="AT218" s="490"/>
      <c r="AU218" s="490"/>
      <c r="AV218" s="490"/>
      <c r="AW218" s="490"/>
      <c r="AX218" s="490"/>
      <c r="AY218" s="490"/>
      <c r="AZ218" s="490"/>
      <c r="BA218" s="490"/>
      <c r="BB218" s="490"/>
      <c r="BC218" s="490"/>
      <c r="BD218" s="490"/>
      <c r="BE218" s="490"/>
      <c r="BF218" s="490"/>
      <c r="BG218" s="490"/>
      <c r="BH218" s="490"/>
      <c r="BI218" s="490"/>
      <c r="BJ218" s="490"/>
      <c r="BK218" s="490"/>
      <c r="BL218" s="490"/>
      <c r="BM218" s="490"/>
      <c r="BN218" s="490"/>
      <c r="BO218" s="490"/>
      <c r="BP218" s="490"/>
      <c r="BQ218" s="490"/>
      <c r="BR218" s="490"/>
      <c r="BS218" s="490"/>
      <c r="BT218" s="490"/>
      <c r="BU218" s="490"/>
      <c r="BV218" s="490"/>
      <c r="BW218" s="490"/>
      <c r="BX218" s="490"/>
      <c r="BY218" s="490"/>
      <c r="BZ218" s="490"/>
      <c r="CA218" s="490"/>
      <c r="CB218" s="490"/>
      <c r="CC218" s="490"/>
      <c r="CD218" s="490"/>
      <c r="CE218" s="490"/>
      <c r="CF218" s="490"/>
      <c r="CG218" s="490"/>
      <c r="CH218" s="490"/>
      <c r="CI218" s="490"/>
      <c r="CJ218" s="490"/>
      <c r="CK218" s="490"/>
      <c r="CL218" s="490"/>
      <c r="CM218" s="490"/>
      <c r="CN218" s="490"/>
      <c r="CO218" s="490"/>
      <c r="CP218" s="490"/>
      <c r="CQ218" s="490"/>
      <c r="CR218" s="490"/>
      <c r="CS218" s="490"/>
      <c r="CT218" s="490"/>
      <c r="CU218" s="490"/>
      <c r="CV218" s="490"/>
      <c r="CW218" s="490"/>
      <c r="CX218" s="490"/>
      <c r="CY218" s="490"/>
      <c r="CZ218" s="490"/>
      <c r="DA218" s="490"/>
      <c r="DB218" s="490"/>
      <c r="DC218" s="490"/>
      <c r="DD218" s="490"/>
      <c r="DE218" s="490"/>
      <c r="DF218" s="490"/>
      <c r="DG218" s="490"/>
      <c r="DH218" s="490"/>
      <c r="DI218" s="490"/>
      <c r="DJ218" s="490"/>
      <c r="DK218" s="490"/>
      <c r="DL218" s="490"/>
      <c r="DM218" s="490"/>
      <c r="DN218" s="490"/>
      <c r="DO218" s="490"/>
      <c r="DP218" s="490"/>
      <c r="DQ218" s="490"/>
      <c r="DR218" s="490"/>
      <c r="DS218" s="490"/>
      <c r="DT218" s="490"/>
      <c r="DU218" s="490"/>
      <c r="DV218" s="490"/>
      <c r="DW218" s="490"/>
      <c r="DX218" s="490"/>
      <c r="DY218" s="490"/>
      <c r="DZ218" s="490"/>
      <c r="EA218" s="490"/>
      <c r="EB218" s="490"/>
      <c r="EC218" s="490"/>
      <c r="ED218" s="490"/>
      <c r="EE218" s="490"/>
      <c r="EF218" s="490"/>
      <c r="EG218" s="490"/>
      <c r="EH218" s="490"/>
      <c r="EI218" s="490"/>
      <c r="EJ218" s="490"/>
      <c r="EK218" s="490"/>
      <c r="EL218" s="490"/>
      <c r="EM218" s="490"/>
      <c r="EN218" s="490"/>
      <c r="EO218" s="490"/>
      <c r="EP218" s="490"/>
      <c r="EQ218" s="490"/>
      <c r="ER218" s="490"/>
      <c r="ES218" s="490"/>
      <c r="ET218" s="490"/>
      <c r="EU218" s="490"/>
      <c r="EV218" s="490"/>
      <c r="EW218" s="490"/>
      <c r="EX218" s="490"/>
      <c r="EY218" s="490"/>
      <c r="EZ218" s="490"/>
      <c r="FA218" s="490"/>
      <c r="FB218" s="490"/>
      <c r="FC218" s="490"/>
      <c r="FD218" s="490"/>
      <c r="FE218" s="490"/>
      <c r="FF218" s="490"/>
      <c r="FG218" s="490"/>
      <c r="FH218" s="490"/>
      <c r="FI218" s="490"/>
      <c r="FJ218" s="490"/>
      <c r="FK218" s="490"/>
      <c r="FL218" s="490"/>
      <c r="FM218" s="490"/>
      <c r="FN218" s="490"/>
    </row>
    <row r="219" s="492" customFormat="1" spans="1:170">
      <c r="A219" s="539"/>
      <c r="B219" s="509"/>
      <c r="C219" s="530"/>
      <c r="D219" s="509"/>
      <c r="E219" s="509"/>
      <c r="F219" s="545" t="s">
        <v>148</v>
      </c>
      <c r="G219" s="546">
        <v>1.76</v>
      </c>
      <c r="H219" s="546">
        <v>0.6</v>
      </c>
      <c r="I219" s="546" t="s">
        <v>24</v>
      </c>
      <c r="J219" s="546" t="s">
        <v>24</v>
      </c>
      <c r="K219" s="564"/>
      <c r="L219" s="545"/>
      <c r="M219" s="490"/>
      <c r="N219" s="490"/>
      <c r="O219" s="490"/>
      <c r="P219" s="490"/>
      <c r="Q219" s="490"/>
      <c r="R219" s="490"/>
      <c r="S219" s="490"/>
      <c r="T219" s="490"/>
      <c r="U219" s="490"/>
      <c r="V219" s="490"/>
      <c r="W219" s="490"/>
      <c r="X219" s="490"/>
      <c r="Y219" s="490"/>
      <c r="Z219" s="490"/>
      <c r="AA219" s="490"/>
      <c r="AB219" s="490"/>
      <c r="AC219" s="490"/>
      <c r="AD219" s="490"/>
      <c r="AE219" s="490"/>
      <c r="AF219" s="490"/>
      <c r="AG219" s="490"/>
      <c r="AH219" s="490"/>
      <c r="AI219" s="490"/>
      <c r="AJ219" s="490"/>
      <c r="AK219" s="490"/>
      <c r="AL219" s="490"/>
      <c r="AM219" s="490"/>
      <c r="AN219" s="490"/>
      <c r="AO219" s="490"/>
      <c r="AP219" s="490"/>
      <c r="AQ219" s="490"/>
      <c r="AR219" s="490"/>
      <c r="AS219" s="490"/>
      <c r="AT219" s="490"/>
      <c r="AU219" s="490"/>
      <c r="AV219" s="490"/>
      <c r="AW219" s="490"/>
      <c r="AX219" s="490"/>
      <c r="AY219" s="490"/>
      <c r="AZ219" s="490"/>
      <c r="BA219" s="490"/>
      <c r="BB219" s="490"/>
      <c r="BC219" s="490"/>
      <c r="BD219" s="490"/>
      <c r="BE219" s="490"/>
      <c r="BF219" s="490"/>
      <c r="BG219" s="490"/>
      <c r="BH219" s="490"/>
      <c r="BI219" s="490"/>
      <c r="BJ219" s="490"/>
      <c r="BK219" s="490"/>
      <c r="BL219" s="490"/>
      <c r="BM219" s="490"/>
      <c r="BN219" s="490"/>
      <c r="BO219" s="490"/>
      <c r="BP219" s="490"/>
      <c r="BQ219" s="490"/>
      <c r="BR219" s="490"/>
      <c r="BS219" s="490"/>
      <c r="BT219" s="490"/>
      <c r="BU219" s="490"/>
      <c r="BV219" s="490"/>
      <c r="BW219" s="490"/>
      <c r="BX219" s="490"/>
      <c r="BY219" s="490"/>
      <c r="BZ219" s="490"/>
      <c r="CA219" s="490"/>
      <c r="CB219" s="490"/>
      <c r="CC219" s="490"/>
      <c r="CD219" s="490"/>
      <c r="CE219" s="490"/>
      <c r="CF219" s="490"/>
      <c r="CG219" s="490"/>
      <c r="CH219" s="490"/>
      <c r="CI219" s="490"/>
      <c r="CJ219" s="490"/>
      <c r="CK219" s="490"/>
      <c r="CL219" s="490"/>
      <c r="CM219" s="490"/>
      <c r="CN219" s="490"/>
      <c r="CO219" s="490"/>
      <c r="CP219" s="490"/>
      <c r="CQ219" s="490"/>
      <c r="CR219" s="490"/>
      <c r="CS219" s="490"/>
      <c r="CT219" s="490"/>
      <c r="CU219" s="490"/>
      <c r="CV219" s="490"/>
      <c r="CW219" s="490"/>
      <c r="CX219" s="490"/>
      <c r="CY219" s="490"/>
      <c r="CZ219" s="490"/>
      <c r="DA219" s="490"/>
      <c r="DB219" s="490"/>
      <c r="DC219" s="490"/>
      <c r="DD219" s="490"/>
      <c r="DE219" s="490"/>
      <c r="DF219" s="490"/>
      <c r="DG219" s="490"/>
      <c r="DH219" s="490"/>
      <c r="DI219" s="490"/>
      <c r="DJ219" s="490"/>
      <c r="DK219" s="490"/>
      <c r="DL219" s="490"/>
      <c r="DM219" s="490"/>
      <c r="DN219" s="490"/>
      <c r="DO219" s="490"/>
      <c r="DP219" s="490"/>
      <c r="DQ219" s="490"/>
      <c r="DR219" s="490"/>
      <c r="DS219" s="490"/>
      <c r="DT219" s="490"/>
      <c r="DU219" s="490"/>
      <c r="DV219" s="490"/>
      <c r="DW219" s="490"/>
      <c r="DX219" s="490"/>
      <c r="DY219" s="490"/>
      <c r="DZ219" s="490"/>
      <c r="EA219" s="490"/>
      <c r="EB219" s="490"/>
      <c r="EC219" s="490"/>
      <c r="ED219" s="490"/>
      <c r="EE219" s="490"/>
      <c r="EF219" s="490"/>
      <c r="EG219" s="490"/>
      <c r="EH219" s="490"/>
      <c r="EI219" s="490"/>
      <c r="EJ219" s="490"/>
      <c r="EK219" s="490"/>
      <c r="EL219" s="490"/>
      <c r="EM219" s="490"/>
      <c r="EN219" s="490"/>
      <c r="EO219" s="490"/>
      <c r="EP219" s="490"/>
      <c r="EQ219" s="490"/>
      <c r="ER219" s="490"/>
      <c r="ES219" s="490"/>
      <c r="ET219" s="490"/>
      <c r="EU219" s="490"/>
      <c r="EV219" s="490"/>
      <c r="EW219" s="490"/>
      <c r="EX219" s="490"/>
      <c r="EY219" s="490"/>
      <c r="EZ219" s="490"/>
      <c r="FA219" s="490"/>
      <c r="FB219" s="490"/>
      <c r="FC219" s="490"/>
      <c r="FD219" s="490"/>
      <c r="FE219" s="490"/>
      <c r="FF219" s="490"/>
      <c r="FG219" s="490"/>
      <c r="FH219" s="490"/>
      <c r="FI219" s="490"/>
      <c r="FJ219" s="490"/>
      <c r="FK219" s="490"/>
      <c r="FL219" s="490"/>
      <c r="FM219" s="490"/>
      <c r="FN219" s="490"/>
    </row>
    <row r="220" s="492" customFormat="1" spans="1:170">
      <c r="A220" s="539">
        <v>46139</v>
      </c>
      <c r="B220" s="509" t="s">
        <v>783</v>
      </c>
      <c r="C220" s="530">
        <v>10</v>
      </c>
      <c r="D220" s="509" t="s">
        <v>649</v>
      </c>
      <c r="E220" s="507" t="s">
        <v>208</v>
      </c>
      <c r="F220" s="545" t="s">
        <v>144</v>
      </c>
      <c r="G220" s="546">
        <v>1</v>
      </c>
      <c r="H220" s="546">
        <v>8.9</v>
      </c>
      <c r="I220" s="546" t="s">
        <v>17</v>
      </c>
      <c r="J220" s="546">
        <v>1.57</v>
      </c>
      <c r="K220" s="564" t="s">
        <v>780</v>
      </c>
      <c r="L220" s="545" t="s">
        <v>261</v>
      </c>
      <c r="M220" s="490"/>
      <c r="N220" s="490"/>
      <c r="O220" s="490"/>
      <c r="P220" s="490"/>
      <c r="Q220" s="490"/>
      <c r="R220" s="490"/>
      <c r="S220" s="490"/>
      <c r="T220" s="490"/>
      <c r="U220" s="490"/>
      <c r="V220" s="490"/>
      <c r="W220" s="490"/>
      <c r="X220" s="490"/>
      <c r="Y220" s="490"/>
      <c r="Z220" s="490"/>
      <c r="AA220" s="490"/>
      <c r="AB220" s="490"/>
      <c r="AC220" s="490"/>
      <c r="AD220" s="490"/>
      <c r="AE220" s="490"/>
      <c r="AF220" s="490"/>
      <c r="AG220" s="490"/>
      <c r="AH220" s="490"/>
      <c r="AI220" s="490"/>
      <c r="AJ220" s="490"/>
      <c r="AK220" s="490"/>
      <c r="AL220" s="490"/>
      <c r="AM220" s="490"/>
      <c r="AN220" s="490"/>
      <c r="AO220" s="490"/>
      <c r="AP220" s="490"/>
      <c r="AQ220" s="490"/>
      <c r="AR220" s="490"/>
      <c r="AS220" s="490"/>
      <c r="AT220" s="490"/>
      <c r="AU220" s="490"/>
      <c r="AV220" s="490"/>
      <c r="AW220" s="490"/>
      <c r="AX220" s="490"/>
      <c r="AY220" s="490"/>
      <c r="AZ220" s="490"/>
      <c r="BA220" s="490"/>
      <c r="BB220" s="490"/>
      <c r="BC220" s="490"/>
      <c r="BD220" s="490"/>
      <c r="BE220" s="490"/>
      <c r="BF220" s="490"/>
      <c r="BG220" s="490"/>
      <c r="BH220" s="490"/>
      <c r="BI220" s="490"/>
      <c r="BJ220" s="490"/>
      <c r="BK220" s="490"/>
      <c r="BL220" s="490"/>
      <c r="BM220" s="490"/>
      <c r="BN220" s="490"/>
      <c r="BO220" s="490"/>
      <c r="BP220" s="490"/>
      <c r="BQ220" s="490"/>
      <c r="BR220" s="490"/>
      <c r="BS220" s="490"/>
      <c r="BT220" s="490"/>
      <c r="BU220" s="490"/>
      <c r="BV220" s="490"/>
      <c r="BW220" s="490"/>
      <c r="BX220" s="490"/>
      <c r="BY220" s="490"/>
      <c r="BZ220" s="490"/>
      <c r="CA220" s="490"/>
      <c r="CB220" s="490"/>
      <c r="CC220" s="490"/>
      <c r="CD220" s="490"/>
      <c r="CE220" s="490"/>
      <c r="CF220" s="490"/>
      <c r="CG220" s="490"/>
      <c r="CH220" s="490"/>
      <c r="CI220" s="490"/>
      <c r="CJ220" s="490"/>
      <c r="CK220" s="490"/>
      <c r="CL220" s="490"/>
      <c r="CM220" s="490"/>
      <c r="CN220" s="490"/>
      <c r="CO220" s="490"/>
      <c r="CP220" s="490"/>
      <c r="CQ220" s="490"/>
      <c r="CR220" s="490"/>
      <c r="CS220" s="490"/>
      <c r="CT220" s="490"/>
      <c r="CU220" s="490"/>
      <c r="CV220" s="490"/>
      <c r="CW220" s="490"/>
      <c r="CX220" s="490"/>
      <c r="CY220" s="490"/>
      <c r="CZ220" s="490"/>
      <c r="DA220" s="490"/>
      <c r="DB220" s="490"/>
      <c r="DC220" s="490"/>
      <c r="DD220" s="490"/>
      <c r="DE220" s="490"/>
      <c r="DF220" s="490"/>
      <c r="DG220" s="490"/>
      <c r="DH220" s="490"/>
      <c r="DI220" s="490"/>
      <c r="DJ220" s="490"/>
      <c r="DK220" s="490"/>
      <c r="DL220" s="490"/>
      <c r="DM220" s="490"/>
      <c r="DN220" s="490"/>
      <c r="DO220" s="490"/>
      <c r="DP220" s="490"/>
      <c r="DQ220" s="490"/>
      <c r="DR220" s="490"/>
      <c r="DS220" s="490"/>
      <c r="DT220" s="490"/>
      <c r="DU220" s="490"/>
      <c r="DV220" s="490"/>
      <c r="DW220" s="490"/>
      <c r="DX220" s="490"/>
      <c r="DY220" s="490"/>
      <c r="DZ220" s="490"/>
      <c r="EA220" s="490"/>
      <c r="EB220" s="490"/>
      <c r="EC220" s="490"/>
      <c r="ED220" s="490"/>
      <c r="EE220" s="490"/>
      <c r="EF220" s="490"/>
      <c r="EG220" s="490"/>
      <c r="EH220" s="490"/>
      <c r="EI220" s="490"/>
      <c r="EJ220" s="490"/>
      <c r="EK220" s="490"/>
      <c r="EL220" s="490"/>
      <c r="EM220" s="490"/>
      <c r="EN220" s="490"/>
      <c r="EO220" s="490"/>
      <c r="EP220" s="490"/>
      <c r="EQ220" s="490"/>
      <c r="ER220" s="490"/>
      <c r="ES220" s="490"/>
      <c r="ET220" s="490"/>
      <c r="EU220" s="490"/>
      <c r="EV220" s="490"/>
      <c r="EW220" s="490"/>
      <c r="EX220" s="490"/>
      <c r="EY220" s="490"/>
      <c r="EZ220" s="490"/>
      <c r="FA220" s="490"/>
      <c r="FB220" s="490"/>
      <c r="FC220" s="490"/>
      <c r="FD220" s="490"/>
      <c r="FE220" s="490"/>
      <c r="FF220" s="490"/>
      <c r="FG220" s="490"/>
      <c r="FH220" s="490"/>
      <c r="FI220" s="490"/>
      <c r="FJ220" s="490"/>
      <c r="FK220" s="490"/>
      <c r="FL220" s="490"/>
      <c r="FM220" s="490"/>
      <c r="FN220" s="490"/>
    </row>
    <row r="221" s="492" customFormat="1" spans="1:170">
      <c r="A221" s="539"/>
      <c r="B221" s="509"/>
      <c r="C221" s="530"/>
      <c r="D221" s="509"/>
      <c r="E221" s="513"/>
      <c r="F221" s="545" t="s">
        <v>750</v>
      </c>
      <c r="G221" s="546">
        <v>1.17</v>
      </c>
      <c r="H221" s="546">
        <v>0.5</v>
      </c>
      <c r="I221" s="546" t="s">
        <v>22</v>
      </c>
      <c r="J221" s="546">
        <v>1.77</v>
      </c>
      <c r="K221" s="564"/>
      <c r="L221" s="545"/>
      <c r="M221" s="490"/>
      <c r="N221" s="490"/>
      <c r="O221" s="490"/>
      <c r="P221" s="490"/>
      <c r="Q221" s="490"/>
      <c r="R221" s="490"/>
      <c r="S221" s="490"/>
      <c r="T221" s="490"/>
      <c r="U221" s="490"/>
      <c r="V221" s="490"/>
      <c r="W221" s="490"/>
      <c r="X221" s="490"/>
      <c r="Y221" s="490"/>
      <c r="Z221" s="490"/>
      <c r="AA221" s="490"/>
      <c r="AB221" s="490"/>
      <c r="AC221" s="490"/>
      <c r="AD221" s="490"/>
      <c r="AE221" s="490"/>
      <c r="AF221" s="490"/>
      <c r="AG221" s="490"/>
      <c r="AH221" s="490"/>
      <c r="AI221" s="490"/>
      <c r="AJ221" s="490"/>
      <c r="AK221" s="490"/>
      <c r="AL221" s="490"/>
      <c r="AM221" s="490"/>
      <c r="AN221" s="490"/>
      <c r="AO221" s="490"/>
      <c r="AP221" s="490"/>
      <c r="AQ221" s="490"/>
      <c r="AR221" s="490"/>
      <c r="AS221" s="490"/>
      <c r="AT221" s="490"/>
      <c r="AU221" s="490"/>
      <c r="AV221" s="490"/>
      <c r="AW221" s="490"/>
      <c r="AX221" s="490"/>
      <c r="AY221" s="490"/>
      <c r="AZ221" s="490"/>
      <c r="BA221" s="490"/>
      <c r="BB221" s="490"/>
      <c r="BC221" s="490"/>
      <c r="BD221" s="490"/>
      <c r="BE221" s="490"/>
      <c r="BF221" s="490"/>
      <c r="BG221" s="490"/>
      <c r="BH221" s="490"/>
      <c r="BI221" s="490"/>
      <c r="BJ221" s="490"/>
      <c r="BK221" s="490"/>
      <c r="BL221" s="490"/>
      <c r="BM221" s="490"/>
      <c r="BN221" s="490"/>
      <c r="BO221" s="490"/>
      <c r="BP221" s="490"/>
      <c r="BQ221" s="490"/>
      <c r="BR221" s="490"/>
      <c r="BS221" s="490"/>
      <c r="BT221" s="490"/>
      <c r="BU221" s="490"/>
      <c r="BV221" s="490"/>
      <c r="BW221" s="490"/>
      <c r="BX221" s="490"/>
      <c r="BY221" s="490"/>
      <c r="BZ221" s="490"/>
      <c r="CA221" s="490"/>
      <c r="CB221" s="490"/>
      <c r="CC221" s="490"/>
      <c r="CD221" s="490"/>
      <c r="CE221" s="490"/>
      <c r="CF221" s="490"/>
      <c r="CG221" s="490"/>
      <c r="CH221" s="490"/>
      <c r="CI221" s="490"/>
      <c r="CJ221" s="490"/>
      <c r="CK221" s="490"/>
      <c r="CL221" s="490"/>
      <c r="CM221" s="490"/>
      <c r="CN221" s="490"/>
      <c r="CO221" s="490"/>
      <c r="CP221" s="490"/>
      <c r="CQ221" s="490"/>
      <c r="CR221" s="490"/>
      <c r="CS221" s="490"/>
      <c r="CT221" s="490"/>
      <c r="CU221" s="490"/>
      <c r="CV221" s="490"/>
      <c r="CW221" s="490"/>
      <c r="CX221" s="490"/>
      <c r="CY221" s="490"/>
      <c r="CZ221" s="490"/>
      <c r="DA221" s="490"/>
      <c r="DB221" s="490"/>
      <c r="DC221" s="490"/>
      <c r="DD221" s="490"/>
      <c r="DE221" s="490"/>
      <c r="DF221" s="490"/>
      <c r="DG221" s="490"/>
      <c r="DH221" s="490"/>
      <c r="DI221" s="490"/>
      <c r="DJ221" s="490"/>
      <c r="DK221" s="490"/>
      <c r="DL221" s="490"/>
      <c r="DM221" s="490"/>
      <c r="DN221" s="490"/>
      <c r="DO221" s="490"/>
      <c r="DP221" s="490"/>
      <c r="DQ221" s="490"/>
      <c r="DR221" s="490"/>
      <c r="DS221" s="490"/>
      <c r="DT221" s="490"/>
      <c r="DU221" s="490"/>
      <c r="DV221" s="490"/>
      <c r="DW221" s="490"/>
      <c r="DX221" s="490"/>
      <c r="DY221" s="490"/>
      <c r="DZ221" s="490"/>
      <c r="EA221" s="490"/>
      <c r="EB221" s="490"/>
      <c r="EC221" s="490"/>
      <c r="ED221" s="490"/>
      <c r="EE221" s="490"/>
      <c r="EF221" s="490"/>
      <c r="EG221" s="490"/>
      <c r="EH221" s="490"/>
      <c r="EI221" s="490"/>
      <c r="EJ221" s="490"/>
      <c r="EK221" s="490"/>
      <c r="EL221" s="490"/>
      <c r="EM221" s="490"/>
      <c r="EN221" s="490"/>
      <c r="EO221" s="490"/>
      <c r="EP221" s="490"/>
      <c r="EQ221" s="490"/>
      <c r="ER221" s="490"/>
      <c r="ES221" s="490"/>
      <c r="ET221" s="490"/>
      <c r="EU221" s="490"/>
      <c r="EV221" s="490"/>
      <c r="EW221" s="490"/>
      <c r="EX221" s="490"/>
      <c r="EY221" s="490"/>
      <c r="EZ221" s="490"/>
      <c r="FA221" s="490"/>
      <c r="FB221" s="490"/>
      <c r="FC221" s="490"/>
      <c r="FD221" s="490"/>
      <c r="FE221" s="490"/>
      <c r="FF221" s="490"/>
      <c r="FG221" s="490"/>
      <c r="FH221" s="490"/>
      <c r="FI221" s="490"/>
      <c r="FJ221" s="490"/>
      <c r="FK221" s="490"/>
      <c r="FL221" s="490"/>
      <c r="FM221" s="490"/>
      <c r="FN221" s="490"/>
    </row>
    <row r="222" s="492" customFormat="1" spans="1:170">
      <c r="A222" s="539"/>
      <c r="B222" s="509"/>
      <c r="C222" s="530"/>
      <c r="D222" s="509"/>
      <c r="E222" s="517"/>
      <c r="F222" s="545" t="s">
        <v>148</v>
      </c>
      <c r="G222" s="546">
        <v>1.76</v>
      </c>
      <c r="H222" s="546">
        <v>0.6</v>
      </c>
      <c r="I222" s="546" t="s">
        <v>24</v>
      </c>
      <c r="J222" s="546" t="s">
        <v>24</v>
      </c>
      <c r="K222" s="564"/>
      <c r="L222" s="545"/>
      <c r="M222" s="490"/>
      <c r="N222" s="490"/>
      <c r="O222" s="490"/>
      <c r="P222" s="490"/>
      <c r="Q222" s="490"/>
      <c r="R222" s="490"/>
      <c r="S222" s="490"/>
      <c r="T222" s="490"/>
      <c r="U222" s="490"/>
      <c r="V222" s="490"/>
      <c r="W222" s="490"/>
      <c r="X222" s="490"/>
      <c r="Y222" s="490"/>
      <c r="Z222" s="490"/>
      <c r="AA222" s="490"/>
      <c r="AB222" s="490"/>
      <c r="AC222" s="490"/>
      <c r="AD222" s="490"/>
      <c r="AE222" s="490"/>
      <c r="AF222" s="490"/>
      <c r="AG222" s="490"/>
      <c r="AH222" s="490"/>
      <c r="AI222" s="490"/>
      <c r="AJ222" s="490"/>
      <c r="AK222" s="490"/>
      <c r="AL222" s="490"/>
      <c r="AM222" s="490"/>
      <c r="AN222" s="490"/>
      <c r="AO222" s="490"/>
      <c r="AP222" s="490"/>
      <c r="AQ222" s="490"/>
      <c r="AR222" s="490"/>
      <c r="AS222" s="490"/>
      <c r="AT222" s="490"/>
      <c r="AU222" s="490"/>
      <c r="AV222" s="490"/>
      <c r="AW222" s="490"/>
      <c r="AX222" s="490"/>
      <c r="AY222" s="490"/>
      <c r="AZ222" s="490"/>
      <c r="BA222" s="490"/>
      <c r="BB222" s="490"/>
      <c r="BC222" s="490"/>
      <c r="BD222" s="490"/>
      <c r="BE222" s="490"/>
      <c r="BF222" s="490"/>
      <c r="BG222" s="490"/>
      <c r="BH222" s="490"/>
      <c r="BI222" s="490"/>
      <c r="BJ222" s="490"/>
      <c r="BK222" s="490"/>
      <c r="BL222" s="490"/>
      <c r="BM222" s="490"/>
      <c r="BN222" s="490"/>
      <c r="BO222" s="490"/>
      <c r="BP222" s="490"/>
      <c r="BQ222" s="490"/>
      <c r="BR222" s="490"/>
      <c r="BS222" s="490"/>
      <c r="BT222" s="490"/>
      <c r="BU222" s="490"/>
      <c r="BV222" s="490"/>
      <c r="BW222" s="490"/>
      <c r="BX222" s="490"/>
      <c r="BY222" s="490"/>
      <c r="BZ222" s="490"/>
      <c r="CA222" s="490"/>
      <c r="CB222" s="490"/>
      <c r="CC222" s="490"/>
      <c r="CD222" s="490"/>
      <c r="CE222" s="490"/>
      <c r="CF222" s="490"/>
      <c r="CG222" s="490"/>
      <c r="CH222" s="490"/>
      <c r="CI222" s="490"/>
      <c r="CJ222" s="490"/>
      <c r="CK222" s="490"/>
      <c r="CL222" s="490"/>
      <c r="CM222" s="490"/>
      <c r="CN222" s="490"/>
      <c r="CO222" s="490"/>
      <c r="CP222" s="490"/>
      <c r="CQ222" s="490"/>
      <c r="CR222" s="490"/>
      <c r="CS222" s="490"/>
      <c r="CT222" s="490"/>
      <c r="CU222" s="490"/>
      <c r="CV222" s="490"/>
      <c r="CW222" s="490"/>
      <c r="CX222" s="490"/>
      <c r="CY222" s="490"/>
      <c r="CZ222" s="490"/>
      <c r="DA222" s="490"/>
      <c r="DB222" s="490"/>
      <c r="DC222" s="490"/>
      <c r="DD222" s="490"/>
      <c r="DE222" s="490"/>
      <c r="DF222" s="490"/>
      <c r="DG222" s="490"/>
      <c r="DH222" s="490"/>
      <c r="DI222" s="490"/>
      <c r="DJ222" s="490"/>
      <c r="DK222" s="490"/>
      <c r="DL222" s="490"/>
      <c r="DM222" s="490"/>
      <c r="DN222" s="490"/>
      <c r="DO222" s="490"/>
      <c r="DP222" s="490"/>
      <c r="DQ222" s="490"/>
      <c r="DR222" s="490"/>
      <c r="DS222" s="490"/>
      <c r="DT222" s="490"/>
      <c r="DU222" s="490"/>
      <c r="DV222" s="490"/>
      <c r="DW222" s="490"/>
      <c r="DX222" s="490"/>
      <c r="DY222" s="490"/>
      <c r="DZ222" s="490"/>
      <c r="EA222" s="490"/>
      <c r="EB222" s="490"/>
      <c r="EC222" s="490"/>
      <c r="ED222" s="490"/>
      <c r="EE222" s="490"/>
      <c r="EF222" s="490"/>
      <c r="EG222" s="490"/>
      <c r="EH222" s="490"/>
      <c r="EI222" s="490"/>
      <c r="EJ222" s="490"/>
      <c r="EK222" s="490"/>
      <c r="EL222" s="490"/>
      <c r="EM222" s="490"/>
      <c r="EN222" s="490"/>
      <c r="EO222" s="490"/>
      <c r="EP222" s="490"/>
      <c r="EQ222" s="490"/>
      <c r="ER222" s="490"/>
      <c r="ES222" s="490"/>
      <c r="ET222" s="490"/>
      <c r="EU222" s="490"/>
      <c r="EV222" s="490"/>
      <c r="EW222" s="490"/>
      <c r="EX222" s="490"/>
      <c r="EY222" s="490"/>
      <c r="EZ222" s="490"/>
      <c r="FA222" s="490"/>
      <c r="FB222" s="490"/>
      <c r="FC222" s="490"/>
      <c r="FD222" s="490"/>
      <c r="FE222" s="490"/>
      <c r="FF222" s="490"/>
      <c r="FG222" s="490"/>
      <c r="FH222" s="490"/>
      <c r="FI222" s="490"/>
      <c r="FJ222" s="490"/>
      <c r="FK222" s="490"/>
      <c r="FL222" s="490"/>
      <c r="FM222" s="490"/>
      <c r="FN222" s="490"/>
    </row>
    <row r="223" s="492" customFormat="1" spans="1:170">
      <c r="A223" s="539">
        <v>46140</v>
      </c>
      <c r="B223" s="509" t="s">
        <v>784</v>
      </c>
      <c r="C223" s="530">
        <v>5</v>
      </c>
      <c r="D223" s="509" t="s">
        <v>14</v>
      </c>
      <c r="E223" s="509" t="s">
        <v>143</v>
      </c>
      <c r="F223" s="545" t="s">
        <v>166</v>
      </c>
      <c r="G223" s="546">
        <v>0.63</v>
      </c>
      <c r="H223" s="546">
        <v>1.5</v>
      </c>
      <c r="I223" s="546" t="s">
        <v>17</v>
      </c>
      <c r="J223" s="546">
        <v>2.6</v>
      </c>
      <c r="K223" s="564" t="s">
        <v>48</v>
      </c>
      <c r="L223" s="545"/>
      <c r="M223" s="490"/>
      <c r="N223" s="490"/>
      <c r="O223" s="490"/>
      <c r="P223" s="490"/>
      <c r="Q223" s="490"/>
      <c r="R223" s="490"/>
      <c r="S223" s="490"/>
      <c r="T223" s="490"/>
      <c r="U223" s="490"/>
      <c r="V223" s="490"/>
      <c r="W223" s="490"/>
      <c r="X223" s="490"/>
      <c r="Y223" s="490"/>
      <c r="Z223" s="490"/>
      <c r="AA223" s="490"/>
      <c r="AB223" s="490"/>
      <c r="AC223" s="490"/>
      <c r="AD223" s="490"/>
      <c r="AE223" s="490"/>
      <c r="AF223" s="490"/>
      <c r="AG223" s="490"/>
      <c r="AH223" s="490"/>
      <c r="AI223" s="490"/>
      <c r="AJ223" s="490"/>
      <c r="AK223" s="490"/>
      <c r="AL223" s="490"/>
      <c r="AM223" s="490"/>
      <c r="AN223" s="490"/>
      <c r="AO223" s="490"/>
      <c r="AP223" s="490"/>
      <c r="AQ223" s="490"/>
      <c r="AR223" s="490"/>
      <c r="AS223" s="490"/>
      <c r="AT223" s="490"/>
      <c r="AU223" s="490"/>
      <c r="AV223" s="490"/>
      <c r="AW223" s="490"/>
      <c r="AX223" s="490"/>
      <c r="AY223" s="490"/>
      <c r="AZ223" s="490"/>
      <c r="BA223" s="490"/>
      <c r="BB223" s="490"/>
      <c r="BC223" s="490"/>
      <c r="BD223" s="490"/>
      <c r="BE223" s="490"/>
      <c r="BF223" s="490"/>
      <c r="BG223" s="490"/>
      <c r="BH223" s="490"/>
      <c r="BI223" s="490"/>
      <c r="BJ223" s="490"/>
      <c r="BK223" s="490"/>
      <c r="BL223" s="490"/>
      <c r="BM223" s="490"/>
      <c r="BN223" s="490"/>
      <c r="BO223" s="490"/>
      <c r="BP223" s="490"/>
      <c r="BQ223" s="490"/>
      <c r="BR223" s="490"/>
      <c r="BS223" s="490"/>
      <c r="BT223" s="490"/>
      <c r="BU223" s="490"/>
      <c r="BV223" s="490"/>
      <c r="BW223" s="490"/>
      <c r="BX223" s="490"/>
      <c r="BY223" s="490"/>
      <c r="BZ223" s="490"/>
      <c r="CA223" s="490"/>
      <c r="CB223" s="490"/>
      <c r="CC223" s="490"/>
      <c r="CD223" s="490"/>
      <c r="CE223" s="490"/>
      <c r="CF223" s="490"/>
      <c r="CG223" s="490"/>
      <c r="CH223" s="490"/>
      <c r="CI223" s="490"/>
      <c r="CJ223" s="490"/>
      <c r="CK223" s="490"/>
      <c r="CL223" s="490"/>
      <c r="CM223" s="490"/>
      <c r="CN223" s="490"/>
      <c r="CO223" s="490"/>
      <c r="CP223" s="490"/>
      <c r="CQ223" s="490"/>
      <c r="CR223" s="490"/>
      <c r="CS223" s="490"/>
      <c r="CT223" s="490"/>
      <c r="CU223" s="490"/>
      <c r="CV223" s="490"/>
      <c r="CW223" s="490"/>
      <c r="CX223" s="490"/>
      <c r="CY223" s="490"/>
      <c r="CZ223" s="490"/>
      <c r="DA223" s="490"/>
      <c r="DB223" s="490"/>
      <c r="DC223" s="490"/>
      <c r="DD223" s="490"/>
      <c r="DE223" s="490"/>
      <c r="DF223" s="490"/>
      <c r="DG223" s="490"/>
      <c r="DH223" s="490"/>
      <c r="DI223" s="490"/>
      <c r="DJ223" s="490"/>
      <c r="DK223" s="490"/>
      <c r="DL223" s="490"/>
      <c r="DM223" s="490"/>
      <c r="DN223" s="490"/>
      <c r="DO223" s="490"/>
      <c r="DP223" s="490"/>
      <c r="DQ223" s="490"/>
      <c r="DR223" s="490"/>
      <c r="DS223" s="490"/>
      <c r="DT223" s="490"/>
      <c r="DU223" s="490"/>
      <c r="DV223" s="490"/>
      <c r="DW223" s="490"/>
      <c r="DX223" s="490"/>
      <c r="DY223" s="490"/>
      <c r="DZ223" s="490"/>
      <c r="EA223" s="490"/>
      <c r="EB223" s="490"/>
      <c r="EC223" s="490"/>
      <c r="ED223" s="490"/>
      <c r="EE223" s="490"/>
      <c r="EF223" s="490"/>
      <c r="EG223" s="490"/>
      <c r="EH223" s="490"/>
      <c r="EI223" s="490"/>
      <c r="EJ223" s="490"/>
      <c r="EK223" s="490"/>
      <c r="EL223" s="490"/>
      <c r="EM223" s="490"/>
      <c r="EN223" s="490"/>
      <c r="EO223" s="490"/>
      <c r="EP223" s="490"/>
      <c r="EQ223" s="490"/>
      <c r="ER223" s="490"/>
      <c r="ES223" s="490"/>
      <c r="ET223" s="490"/>
      <c r="EU223" s="490"/>
      <c r="EV223" s="490"/>
      <c r="EW223" s="490"/>
      <c r="EX223" s="490"/>
      <c r="EY223" s="490"/>
      <c r="EZ223" s="490"/>
      <c r="FA223" s="490"/>
      <c r="FB223" s="490"/>
      <c r="FC223" s="490"/>
      <c r="FD223" s="490"/>
      <c r="FE223" s="490"/>
      <c r="FF223" s="490"/>
      <c r="FG223" s="490"/>
      <c r="FH223" s="490"/>
      <c r="FI223" s="490"/>
      <c r="FJ223" s="490"/>
      <c r="FK223" s="490"/>
      <c r="FL223" s="490"/>
      <c r="FM223" s="490"/>
      <c r="FN223" s="490"/>
    </row>
    <row r="224" s="492" customFormat="1" spans="1:170">
      <c r="A224" s="539"/>
      <c r="B224" s="509"/>
      <c r="C224" s="530"/>
      <c r="D224" s="509"/>
      <c r="E224" s="509"/>
      <c r="F224" s="545" t="s">
        <v>167</v>
      </c>
      <c r="G224" s="546">
        <v>1.63</v>
      </c>
      <c r="H224" s="546">
        <v>2</v>
      </c>
      <c r="I224" s="546" t="s">
        <v>17</v>
      </c>
      <c r="J224" s="546">
        <v>2.8</v>
      </c>
      <c r="K224" s="564"/>
      <c r="L224" s="545"/>
      <c r="M224" s="490"/>
      <c r="N224" s="490"/>
      <c r="O224" s="490"/>
      <c r="P224" s="490"/>
      <c r="Q224" s="490"/>
      <c r="R224" s="490"/>
      <c r="S224" s="490"/>
      <c r="T224" s="490"/>
      <c r="U224" s="490"/>
      <c r="V224" s="490"/>
      <c r="W224" s="490"/>
      <c r="X224" s="490"/>
      <c r="Y224" s="490"/>
      <c r="Z224" s="490"/>
      <c r="AA224" s="490"/>
      <c r="AB224" s="490"/>
      <c r="AC224" s="490"/>
      <c r="AD224" s="490"/>
      <c r="AE224" s="490"/>
      <c r="AF224" s="490"/>
      <c r="AG224" s="490"/>
      <c r="AH224" s="490"/>
      <c r="AI224" s="490"/>
      <c r="AJ224" s="490"/>
      <c r="AK224" s="490"/>
      <c r="AL224" s="490"/>
      <c r="AM224" s="490"/>
      <c r="AN224" s="490"/>
      <c r="AO224" s="490"/>
      <c r="AP224" s="490"/>
      <c r="AQ224" s="490"/>
      <c r="AR224" s="490"/>
      <c r="AS224" s="490"/>
      <c r="AT224" s="490"/>
      <c r="AU224" s="490"/>
      <c r="AV224" s="490"/>
      <c r="AW224" s="490"/>
      <c r="AX224" s="490"/>
      <c r="AY224" s="490"/>
      <c r="AZ224" s="490"/>
      <c r="BA224" s="490"/>
      <c r="BB224" s="490"/>
      <c r="BC224" s="490"/>
      <c r="BD224" s="490"/>
      <c r="BE224" s="490"/>
      <c r="BF224" s="490"/>
      <c r="BG224" s="490"/>
      <c r="BH224" s="490"/>
      <c r="BI224" s="490"/>
      <c r="BJ224" s="490"/>
      <c r="BK224" s="490"/>
      <c r="BL224" s="490"/>
      <c r="BM224" s="490"/>
      <c r="BN224" s="490"/>
      <c r="BO224" s="490"/>
      <c r="BP224" s="490"/>
      <c r="BQ224" s="490"/>
      <c r="BR224" s="490"/>
      <c r="BS224" s="490"/>
      <c r="BT224" s="490"/>
      <c r="BU224" s="490"/>
      <c r="BV224" s="490"/>
      <c r="BW224" s="490"/>
      <c r="BX224" s="490"/>
      <c r="BY224" s="490"/>
      <c r="BZ224" s="490"/>
      <c r="CA224" s="490"/>
      <c r="CB224" s="490"/>
      <c r="CC224" s="490"/>
      <c r="CD224" s="490"/>
      <c r="CE224" s="490"/>
      <c r="CF224" s="490"/>
      <c r="CG224" s="490"/>
      <c r="CH224" s="490"/>
      <c r="CI224" s="490"/>
      <c r="CJ224" s="490"/>
      <c r="CK224" s="490"/>
      <c r="CL224" s="490"/>
      <c r="CM224" s="490"/>
      <c r="CN224" s="490"/>
      <c r="CO224" s="490"/>
      <c r="CP224" s="490"/>
      <c r="CQ224" s="490"/>
      <c r="CR224" s="490"/>
      <c r="CS224" s="490"/>
      <c r="CT224" s="490"/>
      <c r="CU224" s="490"/>
      <c r="CV224" s="490"/>
      <c r="CW224" s="490"/>
      <c r="CX224" s="490"/>
      <c r="CY224" s="490"/>
      <c r="CZ224" s="490"/>
      <c r="DA224" s="490"/>
      <c r="DB224" s="490"/>
      <c r="DC224" s="490"/>
      <c r="DD224" s="490"/>
      <c r="DE224" s="490"/>
      <c r="DF224" s="490"/>
      <c r="DG224" s="490"/>
      <c r="DH224" s="490"/>
      <c r="DI224" s="490"/>
      <c r="DJ224" s="490"/>
      <c r="DK224" s="490"/>
      <c r="DL224" s="490"/>
      <c r="DM224" s="490"/>
      <c r="DN224" s="490"/>
      <c r="DO224" s="490"/>
      <c r="DP224" s="490"/>
      <c r="DQ224" s="490"/>
      <c r="DR224" s="490"/>
      <c r="DS224" s="490"/>
      <c r="DT224" s="490"/>
      <c r="DU224" s="490"/>
      <c r="DV224" s="490"/>
      <c r="DW224" s="490"/>
      <c r="DX224" s="490"/>
      <c r="DY224" s="490"/>
      <c r="DZ224" s="490"/>
      <c r="EA224" s="490"/>
      <c r="EB224" s="490"/>
      <c r="EC224" s="490"/>
      <c r="ED224" s="490"/>
      <c r="EE224" s="490"/>
      <c r="EF224" s="490"/>
      <c r="EG224" s="490"/>
      <c r="EH224" s="490"/>
      <c r="EI224" s="490"/>
      <c r="EJ224" s="490"/>
      <c r="EK224" s="490"/>
      <c r="EL224" s="490"/>
      <c r="EM224" s="490"/>
      <c r="EN224" s="490"/>
      <c r="EO224" s="490"/>
      <c r="EP224" s="490"/>
      <c r="EQ224" s="490"/>
      <c r="ER224" s="490"/>
      <c r="ES224" s="490"/>
      <c r="ET224" s="490"/>
      <c r="EU224" s="490"/>
      <c r="EV224" s="490"/>
      <c r="EW224" s="490"/>
      <c r="EX224" s="490"/>
      <c r="EY224" s="490"/>
      <c r="EZ224" s="490"/>
      <c r="FA224" s="490"/>
      <c r="FB224" s="490"/>
      <c r="FC224" s="490"/>
      <c r="FD224" s="490"/>
      <c r="FE224" s="490"/>
      <c r="FF224" s="490"/>
      <c r="FG224" s="490"/>
      <c r="FH224" s="490"/>
      <c r="FI224" s="490"/>
      <c r="FJ224" s="490"/>
      <c r="FK224" s="490"/>
      <c r="FL224" s="490"/>
      <c r="FM224" s="490"/>
      <c r="FN224" s="490"/>
    </row>
    <row r="225" s="492" customFormat="1" spans="1:170">
      <c r="A225" s="539"/>
      <c r="B225" s="509"/>
      <c r="C225" s="530"/>
      <c r="D225" s="509"/>
      <c r="E225" s="509"/>
      <c r="F225" s="545" t="s">
        <v>168</v>
      </c>
      <c r="G225" s="546">
        <v>2.81</v>
      </c>
      <c r="H225" s="546">
        <v>1.425</v>
      </c>
      <c r="I225" s="546" t="s">
        <v>17</v>
      </c>
      <c r="J225" s="546">
        <v>3.5</v>
      </c>
      <c r="K225" s="564"/>
      <c r="L225" s="545"/>
      <c r="M225" s="490"/>
      <c r="N225" s="490"/>
      <c r="O225" s="490"/>
      <c r="P225" s="490"/>
      <c r="Q225" s="490"/>
      <c r="R225" s="490"/>
      <c r="S225" s="490"/>
      <c r="T225" s="490"/>
      <c r="U225" s="490"/>
      <c r="V225" s="490"/>
      <c r="W225" s="490"/>
      <c r="X225" s="490"/>
      <c r="Y225" s="490"/>
      <c r="Z225" s="490"/>
      <c r="AA225" s="490"/>
      <c r="AB225" s="490"/>
      <c r="AC225" s="490"/>
      <c r="AD225" s="490"/>
      <c r="AE225" s="490"/>
      <c r="AF225" s="490"/>
      <c r="AG225" s="490"/>
      <c r="AH225" s="490"/>
      <c r="AI225" s="490"/>
      <c r="AJ225" s="490"/>
      <c r="AK225" s="490"/>
      <c r="AL225" s="490"/>
      <c r="AM225" s="490"/>
      <c r="AN225" s="490"/>
      <c r="AO225" s="490"/>
      <c r="AP225" s="490"/>
      <c r="AQ225" s="490"/>
      <c r="AR225" s="490"/>
      <c r="AS225" s="490"/>
      <c r="AT225" s="490"/>
      <c r="AU225" s="490"/>
      <c r="AV225" s="490"/>
      <c r="AW225" s="490"/>
      <c r="AX225" s="490"/>
      <c r="AY225" s="490"/>
      <c r="AZ225" s="490"/>
      <c r="BA225" s="490"/>
      <c r="BB225" s="490"/>
      <c r="BC225" s="490"/>
      <c r="BD225" s="490"/>
      <c r="BE225" s="490"/>
      <c r="BF225" s="490"/>
      <c r="BG225" s="490"/>
      <c r="BH225" s="490"/>
      <c r="BI225" s="490"/>
      <c r="BJ225" s="490"/>
      <c r="BK225" s="490"/>
      <c r="BL225" s="490"/>
      <c r="BM225" s="490"/>
      <c r="BN225" s="490"/>
      <c r="BO225" s="490"/>
      <c r="BP225" s="490"/>
      <c r="BQ225" s="490"/>
      <c r="BR225" s="490"/>
      <c r="BS225" s="490"/>
      <c r="BT225" s="490"/>
      <c r="BU225" s="490"/>
      <c r="BV225" s="490"/>
      <c r="BW225" s="490"/>
      <c r="BX225" s="490"/>
      <c r="BY225" s="490"/>
      <c r="BZ225" s="490"/>
      <c r="CA225" s="490"/>
      <c r="CB225" s="490"/>
      <c r="CC225" s="490"/>
      <c r="CD225" s="490"/>
      <c r="CE225" s="490"/>
      <c r="CF225" s="490"/>
      <c r="CG225" s="490"/>
      <c r="CH225" s="490"/>
      <c r="CI225" s="490"/>
      <c r="CJ225" s="490"/>
      <c r="CK225" s="490"/>
      <c r="CL225" s="490"/>
      <c r="CM225" s="490"/>
      <c r="CN225" s="490"/>
      <c r="CO225" s="490"/>
      <c r="CP225" s="490"/>
      <c r="CQ225" s="490"/>
      <c r="CR225" s="490"/>
      <c r="CS225" s="490"/>
      <c r="CT225" s="490"/>
      <c r="CU225" s="490"/>
      <c r="CV225" s="490"/>
      <c r="CW225" s="490"/>
      <c r="CX225" s="490"/>
      <c r="CY225" s="490"/>
      <c r="CZ225" s="490"/>
      <c r="DA225" s="490"/>
      <c r="DB225" s="490"/>
      <c r="DC225" s="490"/>
      <c r="DD225" s="490"/>
      <c r="DE225" s="490"/>
      <c r="DF225" s="490"/>
      <c r="DG225" s="490"/>
      <c r="DH225" s="490"/>
      <c r="DI225" s="490"/>
      <c r="DJ225" s="490"/>
      <c r="DK225" s="490"/>
      <c r="DL225" s="490"/>
      <c r="DM225" s="490"/>
      <c r="DN225" s="490"/>
      <c r="DO225" s="490"/>
      <c r="DP225" s="490"/>
      <c r="DQ225" s="490"/>
      <c r="DR225" s="490"/>
      <c r="DS225" s="490"/>
      <c r="DT225" s="490"/>
      <c r="DU225" s="490"/>
      <c r="DV225" s="490"/>
      <c r="DW225" s="490"/>
      <c r="DX225" s="490"/>
      <c r="DY225" s="490"/>
      <c r="DZ225" s="490"/>
      <c r="EA225" s="490"/>
      <c r="EB225" s="490"/>
      <c r="EC225" s="490"/>
      <c r="ED225" s="490"/>
      <c r="EE225" s="490"/>
      <c r="EF225" s="490"/>
      <c r="EG225" s="490"/>
      <c r="EH225" s="490"/>
      <c r="EI225" s="490"/>
      <c r="EJ225" s="490"/>
      <c r="EK225" s="490"/>
      <c r="EL225" s="490"/>
      <c r="EM225" s="490"/>
      <c r="EN225" s="490"/>
      <c r="EO225" s="490"/>
      <c r="EP225" s="490"/>
      <c r="EQ225" s="490"/>
      <c r="ER225" s="490"/>
      <c r="ES225" s="490"/>
      <c r="ET225" s="490"/>
      <c r="EU225" s="490"/>
      <c r="EV225" s="490"/>
      <c r="EW225" s="490"/>
      <c r="EX225" s="490"/>
      <c r="EY225" s="490"/>
      <c r="EZ225" s="490"/>
      <c r="FA225" s="490"/>
      <c r="FB225" s="490"/>
      <c r="FC225" s="490"/>
      <c r="FD225" s="490"/>
      <c r="FE225" s="490"/>
      <c r="FF225" s="490"/>
      <c r="FG225" s="490"/>
      <c r="FH225" s="490"/>
      <c r="FI225" s="490"/>
      <c r="FJ225" s="490"/>
      <c r="FK225" s="490"/>
      <c r="FL225" s="490"/>
      <c r="FM225" s="490"/>
      <c r="FN225" s="490"/>
    </row>
    <row r="226" s="492" customFormat="1" spans="1:170">
      <c r="A226" s="539"/>
      <c r="B226" s="509"/>
      <c r="C226" s="530"/>
      <c r="D226" s="509"/>
      <c r="E226" s="509"/>
      <c r="F226" s="545" t="s">
        <v>148</v>
      </c>
      <c r="G226" s="546">
        <v>3.22</v>
      </c>
      <c r="H226" s="546">
        <v>0.075</v>
      </c>
      <c r="I226" s="546" t="s">
        <v>24</v>
      </c>
      <c r="J226" s="546" t="s">
        <v>24</v>
      </c>
      <c r="K226" s="564"/>
      <c r="L226" s="545"/>
      <c r="M226" s="490"/>
      <c r="N226" s="490"/>
      <c r="O226" s="490"/>
      <c r="P226" s="490"/>
      <c r="Q226" s="490"/>
      <c r="R226" s="490"/>
      <c r="S226" s="490"/>
      <c r="T226" s="490"/>
      <c r="U226" s="490"/>
      <c r="V226" s="490"/>
      <c r="W226" s="490"/>
      <c r="X226" s="490"/>
      <c r="Y226" s="490"/>
      <c r="Z226" s="490"/>
      <c r="AA226" s="490"/>
      <c r="AB226" s="490"/>
      <c r="AC226" s="490"/>
      <c r="AD226" s="490"/>
      <c r="AE226" s="490"/>
      <c r="AF226" s="490"/>
      <c r="AG226" s="490"/>
      <c r="AH226" s="490"/>
      <c r="AI226" s="490"/>
      <c r="AJ226" s="490"/>
      <c r="AK226" s="490"/>
      <c r="AL226" s="490"/>
      <c r="AM226" s="490"/>
      <c r="AN226" s="490"/>
      <c r="AO226" s="490"/>
      <c r="AP226" s="490"/>
      <c r="AQ226" s="490"/>
      <c r="AR226" s="490"/>
      <c r="AS226" s="490"/>
      <c r="AT226" s="490"/>
      <c r="AU226" s="490"/>
      <c r="AV226" s="490"/>
      <c r="AW226" s="490"/>
      <c r="AX226" s="490"/>
      <c r="AY226" s="490"/>
      <c r="AZ226" s="490"/>
      <c r="BA226" s="490"/>
      <c r="BB226" s="490"/>
      <c r="BC226" s="490"/>
      <c r="BD226" s="490"/>
      <c r="BE226" s="490"/>
      <c r="BF226" s="490"/>
      <c r="BG226" s="490"/>
      <c r="BH226" s="490"/>
      <c r="BI226" s="490"/>
      <c r="BJ226" s="490"/>
      <c r="BK226" s="490"/>
      <c r="BL226" s="490"/>
      <c r="BM226" s="490"/>
      <c r="BN226" s="490"/>
      <c r="BO226" s="490"/>
      <c r="BP226" s="490"/>
      <c r="BQ226" s="490"/>
      <c r="BR226" s="490"/>
      <c r="BS226" s="490"/>
      <c r="BT226" s="490"/>
      <c r="BU226" s="490"/>
      <c r="BV226" s="490"/>
      <c r="BW226" s="490"/>
      <c r="BX226" s="490"/>
      <c r="BY226" s="490"/>
      <c r="BZ226" s="490"/>
      <c r="CA226" s="490"/>
      <c r="CB226" s="490"/>
      <c r="CC226" s="490"/>
      <c r="CD226" s="490"/>
      <c r="CE226" s="490"/>
      <c r="CF226" s="490"/>
      <c r="CG226" s="490"/>
      <c r="CH226" s="490"/>
      <c r="CI226" s="490"/>
      <c r="CJ226" s="490"/>
      <c r="CK226" s="490"/>
      <c r="CL226" s="490"/>
      <c r="CM226" s="490"/>
      <c r="CN226" s="490"/>
      <c r="CO226" s="490"/>
      <c r="CP226" s="490"/>
      <c r="CQ226" s="490"/>
      <c r="CR226" s="490"/>
      <c r="CS226" s="490"/>
      <c r="CT226" s="490"/>
      <c r="CU226" s="490"/>
      <c r="CV226" s="490"/>
      <c r="CW226" s="490"/>
      <c r="CX226" s="490"/>
      <c r="CY226" s="490"/>
      <c r="CZ226" s="490"/>
      <c r="DA226" s="490"/>
      <c r="DB226" s="490"/>
      <c r="DC226" s="490"/>
      <c r="DD226" s="490"/>
      <c r="DE226" s="490"/>
      <c r="DF226" s="490"/>
      <c r="DG226" s="490"/>
      <c r="DH226" s="490"/>
      <c r="DI226" s="490"/>
      <c r="DJ226" s="490"/>
      <c r="DK226" s="490"/>
      <c r="DL226" s="490"/>
      <c r="DM226" s="490"/>
      <c r="DN226" s="490"/>
      <c r="DO226" s="490"/>
      <c r="DP226" s="490"/>
      <c r="DQ226" s="490"/>
      <c r="DR226" s="490"/>
      <c r="DS226" s="490"/>
      <c r="DT226" s="490"/>
      <c r="DU226" s="490"/>
      <c r="DV226" s="490"/>
      <c r="DW226" s="490"/>
      <c r="DX226" s="490"/>
      <c r="DY226" s="490"/>
      <c r="DZ226" s="490"/>
      <c r="EA226" s="490"/>
      <c r="EB226" s="490"/>
      <c r="EC226" s="490"/>
      <c r="ED226" s="490"/>
      <c r="EE226" s="490"/>
      <c r="EF226" s="490"/>
      <c r="EG226" s="490"/>
      <c r="EH226" s="490"/>
      <c r="EI226" s="490"/>
      <c r="EJ226" s="490"/>
      <c r="EK226" s="490"/>
      <c r="EL226" s="490"/>
      <c r="EM226" s="490"/>
      <c r="EN226" s="490"/>
      <c r="EO226" s="490"/>
      <c r="EP226" s="490"/>
      <c r="EQ226" s="490"/>
      <c r="ER226" s="490"/>
      <c r="ES226" s="490"/>
      <c r="ET226" s="490"/>
      <c r="EU226" s="490"/>
      <c r="EV226" s="490"/>
      <c r="EW226" s="490"/>
      <c r="EX226" s="490"/>
      <c r="EY226" s="490"/>
      <c r="EZ226" s="490"/>
      <c r="FA226" s="490"/>
      <c r="FB226" s="490"/>
      <c r="FC226" s="490"/>
      <c r="FD226" s="490"/>
      <c r="FE226" s="490"/>
      <c r="FF226" s="490"/>
      <c r="FG226" s="490"/>
      <c r="FH226" s="490"/>
      <c r="FI226" s="490"/>
      <c r="FJ226" s="490"/>
      <c r="FK226" s="490"/>
      <c r="FL226" s="490"/>
      <c r="FM226" s="490"/>
      <c r="FN226" s="490"/>
    </row>
    <row r="227" s="492" customFormat="1" spans="1:170">
      <c r="A227" s="539">
        <v>46141</v>
      </c>
      <c r="B227" s="509" t="s">
        <v>785</v>
      </c>
      <c r="C227" s="530">
        <v>10</v>
      </c>
      <c r="D227" s="509" t="s">
        <v>208</v>
      </c>
      <c r="E227" s="509" t="s">
        <v>72</v>
      </c>
      <c r="F227" s="545" t="s">
        <v>144</v>
      </c>
      <c r="G227" s="546">
        <v>1</v>
      </c>
      <c r="H227" s="546">
        <v>8.9</v>
      </c>
      <c r="I227" s="546" t="s">
        <v>17</v>
      </c>
      <c r="J227" s="546">
        <v>1.57</v>
      </c>
      <c r="K227" s="564" t="s">
        <v>780</v>
      </c>
      <c r="L227" s="545" t="s">
        <v>261</v>
      </c>
      <c r="M227" s="490"/>
      <c r="N227" s="490"/>
      <c r="O227" s="490"/>
      <c r="P227" s="490"/>
      <c r="Q227" s="490"/>
      <c r="R227" s="490"/>
      <c r="S227" s="490"/>
      <c r="T227" s="490"/>
      <c r="U227" s="490"/>
      <c r="V227" s="490"/>
      <c r="W227" s="490"/>
      <c r="X227" s="490"/>
      <c r="Y227" s="490"/>
      <c r="Z227" s="490"/>
      <c r="AA227" s="490"/>
      <c r="AB227" s="490"/>
      <c r="AC227" s="490"/>
      <c r="AD227" s="490"/>
      <c r="AE227" s="490"/>
      <c r="AF227" s="490"/>
      <c r="AG227" s="490"/>
      <c r="AH227" s="490"/>
      <c r="AI227" s="490"/>
      <c r="AJ227" s="490"/>
      <c r="AK227" s="490"/>
      <c r="AL227" s="490"/>
      <c r="AM227" s="490"/>
      <c r="AN227" s="490"/>
      <c r="AO227" s="490"/>
      <c r="AP227" s="490"/>
      <c r="AQ227" s="490"/>
      <c r="AR227" s="490"/>
      <c r="AS227" s="490"/>
      <c r="AT227" s="490"/>
      <c r="AU227" s="490"/>
      <c r="AV227" s="490"/>
      <c r="AW227" s="490"/>
      <c r="AX227" s="490"/>
      <c r="AY227" s="490"/>
      <c r="AZ227" s="490"/>
      <c r="BA227" s="490"/>
      <c r="BB227" s="490"/>
      <c r="BC227" s="490"/>
      <c r="BD227" s="490"/>
      <c r="BE227" s="490"/>
      <c r="BF227" s="490"/>
      <c r="BG227" s="490"/>
      <c r="BH227" s="490"/>
      <c r="BI227" s="490"/>
      <c r="BJ227" s="490"/>
      <c r="BK227" s="490"/>
      <c r="BL227" s="490"/>
      <c r="BM227" s="490"/>
      <c r="BN227" s="490"/>
      <c r="BO227" s="490"/>
      <c r="BP227" s="490"/>
      <c r="BQ227" s="490"/>
      <c r="BR227" s="490"/>
      <c r="BS227" s="490"/>
      <c r="BT227" s="490"/>
      <c r="BU227" s="490"/>
      <c r="BV227" s="490"/>
      <c r="BW227" s="490"/>
      <c r="BX227" s="490"/>
      <c r="BY227" s="490"/>
      <c r="BZ227" s="490"/>
      <c r="CA227" s="490"/>
      <c r="CB227" s="490"/>
      <c r="CC227" s="490"/>
      <c r="CD227" s="490"/>
      <c r="CE227" s="490"/>
      <c r="CF227" s="490"/>
      <c r="CG227" s="490"/>
      <c r="CH227" s="490"/>
      <c r="CI227" s="490"/>
      <c r="CJ227" s="490"/>
      <c r="CK227" s="490"/>
      <c r="CL227" s="490"/>
      <c r="CM227" s="490"/>
      <c r="CN227" s="490"/>
      <c r="CO227" s="490"/>
      <c r="CP227" s="490"/>
      <c r="CQ227" s="490"/>
      <c r="CR227" s="490"/>
      <c r="CS227" s="490"/>
      <c r="CT227" s="490"/>
      <c r="CU227" s="490"/>
      <c r="CV227" s="490"/>
      <c r="CW227" s="490"/>
      <c r="CX227" s="490"/>
      <c r="CY227" s="490"/>
      <c r="CZ227" s="490"/>
      <c r="DA227" s="490"/>
      <c r="DB227" s="490"/>
      <c r="DC227" s="490"/>
      <c r="DD227" s="490"/>
      <c r="DE227" s="490"/>
      <c r="DF227" s="490"/>
      <c r="DG227" s="490"/>
      <c r="DH227" s="490"/>
      <c r="DI227" s="490"/>
      <c r="DJ227" s="490"/>
      <c r="DK227" s="490"/>
      <c r="DL227" s="490"/>
      <c r="DM227" s="490"/>
      <c r="DN227" s="490"/>
      <c r="DO227" s="490"/>
      <c r="DP227" s="490"/>
      <c r="DQ227" s="490"/>
      <c r="DR227" s="490"/>
      <c r="DS227" s="490"/>
      <c r="DT227" s="490"/>
      <c r="DU227" s="490"/>
      <c r="DV227" s="490"/>
      <c r="DW227" s="490"/>
      <c r="DX227" s="490"/>
      <c r="DY227" s="490"/>
      <c r="DZ227" s="490"/>
      <c r="EA227" s="490"/>
      <c r="EB227" s="490"/>
      <c r="EC227" s="490"/>
      <c r="ED227" s="490"/>
      <c r="EE227" s="490"/>
      <c r="EF227" s="490"/>
      <c r="EG227" s="490"/>
      <c r="EH227" s="490"/>
      <c r="EI227" s="490"/>
      <c r="EJ227" s="490"/>
      <c r="EK227" s="490"/>
      <c r="EL227" s="490"/>
      <c r="EM227" s="490"/>
      <c r="EN227" s="490"/>
      <c r="EO227" s="490"/>
      <c r="EP227" s="490"/>
      <c r="EQ227" s="490"/>
      <c r="ER227" s="490"/>
      <c r="ES227" s="490"/>
      <c r="ET227" s="490"/>
      <c r="EU227" s="490"/>
      <c r="EV227" s="490"/>
      <c r="EW227" s="490"/>
      <c r="EX227" s="490"/>
      <c r="EY227" s="490"/>
      <c r="EZ227" s="490"/>
      <c r="FA227" s="490"/>
      <c r="FB227" s="490"/>
      <c r="FC227" s="490"/>
      <c r="FD227" s="490"/>
      <c r="FE227" s="490"/>
      <c r="FF227" s="490"/>
      <c r="FG227" s="490"/>
      <c r="FH227" s="490"/>
      <c r="FI227" s="490"/>
      <c r="FJ227" s="490"/>
      <c r="FK227" s="490"/>
      <c r="FL227" s="490"/>
      <c r="FM227" s="490"/>
      <c r="FN227" s="490"/>
    </row>
    <row r="228" s="492" customFormat="1" spans="1:170">
      <c r="A228" s="539"/>
      <c r="B228" s="509"/>
      <c r="C228" s="530"/>
      <c r="D228" s="509"/>
      <c r="E228" s="509"/>
      <c r="F228" s="545" t="s">
        <v>750</v>
      </c>
      <c r="G228" s="546">
        <v>1.17</v>
      </c>
      <c r="H228" s="546">
        <v>0.5</v>
      </c>
      <c r="I228" s="546" t="s">
        <v>22</v>
      </c>
      <c r="J228" s="546">
        <v>1.77</v>
      </c>
      <c r="K228" s="564"/>
      <c r="L228" s="545"/>
      <c r="M228" s="490"/>
      <c r="N228" s="490"/>
      <c r="O228" s="490"/>
      <c r="P228" s="490"/>
      <c r="Q228" s="490"/>
      <c r="R228" s="490"/>
      <c r="S228" s="490"/>
      <c r="T228" s="490"/>
      <c r="U228" s="490"/>
      <c r="V228" s="490"/>
      <c r="W228" s="490"/>
      <c r="X228" s="490"/>
      <c r="Y228" s="490"/>
      <c r="Z228" s="490"/>
      <c r="AA228" s="490"/>
      <c r="AB228" s="490"/>
      <c r="AC228" s="490"/>
      <c r="AD228" s="490"/>
      <c r="AE228" s="490"/>
      <c r="AF228" s="490"/>
      <c r="AG228" s="490"/>
      <c r="AH228" s="490"/>
      <c r="AI228" s="490"/>
      <c r="AJ228" s="490"/>
      <c r="AK228" s="490"/>
      <c r="AL228" s="490"/>
      <c r="AM228" s="490"/>
      <c r="AN228" s="490"/>
      <c r="AO228" s="490"/>
      <c r="AP228" s="490"/>
      <c r="AQ228" s="490"/>
      <c r="AR228" s="490"/>
      <c r="AS228" s="490"/>
      <c r="AT228" s="490"/>
      <c r="AU228" s="490"/>
      <c r="AV228" s="490"/>
      <c r="AW228" s="490"/>
      <c r="AX228" s="490"/>
      <c r="AY228" s="490"/>
      <c r="AZ228" s="490"/>
      <c r="BA228" s="490"/>
      <c r="BB228" s="490"/>
      <c r="BC228" s="490"/>
      <c r="BD228" s="490"/>
      <c r="BE228" s="490"/>
      <c r="BF228" s="490"/>
      <c r="BG228" s="490"/>
      <c r="BH228" s="490"/>
      <c r="BI228" s="490"/>
      <c r="BJ228" s="490"/>
      <c r="BK228" s="490"/>
      <c r="BL228" s="490"/>
      <c r="BM228" s="490"/>
      <c r="BN228" s="490"/>
      <c r="BO228" s="490"/>
      <c r="BP228" s="490"/>
      <c r="BQ228" s="490"/>
      <c r="BR228" s="490"/>
      <c r="BS228" s="490"/>
      <c r="BT228" s="490"/>
      <c r="BU228" s="490"/>
      <c r="BV228" s="490"/>
      <c r="BW228" s="490"/>
      <c r="BX228" s="490"/>
      <c r="BY228" s="490"/>
      <c r="BZ228" s="490"/>
      <c r="CA228" s="490"/>
      <c r="CB228" s="490"/>
      <c r="CC228" s="490"/>
      <c r="CD228" s="490"/>
      <c r="CE228" s="490"/>
      <c r="CF228" s="490"/>
      <c r="CG228" s="490"/>
      <c r="CH228" s="490"/>
      <c r="CI228" s="490"/>
      <c r="CJ228" s="490"/>
      <c r="CK228" s="490"/>
      <c r="CL228" s="490"/>
      <c r="CM228" s="490"/>
      <c r="CN228" s="490"/>
      <c r="CO228" s="490"/>
      <c r="CP228" s="490"/>
      <c r="CQ228" s="490"/>
      <c r="CR228" s="490"/>
      <c r="CS228" s="490"/>
      <c r="CT228" s="490"/>
      <c r="CU228" s="490"/>
      <c r="CV228" s="490"/>
      <c r="CW228" s="490"/>
      <c r="CX228" s="490"/>
      <c r="CY228" s="490"/>
      <c r="CZ228" s="490"/>
      <c r="DA228" s="490"/>
      <c r="DB228" s="490"/>
      <c r="DC228" s="490"/>
      <c r="DD228" s="490"/>
      <c r="DE228" s="490"/>
      <c r="DF228" s="490"/>
      <c r="DG228" s="490"/>
      <c r="DH228" s="490"/>
      <c r="DI228" s="490"/>
      <c r="DJ228" s="490"/>
      <c r="DK228" s="490"/>
      <c r="DL228" s="490"/>
      <c r="DM228" s="490"/>
      <c r="DN228" s="490"/>
      <c r="DO228" s="490"/>
      <c r="DP228" s="490"/>
      <c r="DQ228" s="490"/>
      <c r="DR228" s="490"/>
      <c r="DS228" s="490"/>
      <c r="DT228" s="490"/>
      <c r="DU228" s="490"/>
      <c r="DV228" s="490"/>
      <c r="DW228" s="490"/>
      <c r="DX228" s="490"/>
      <c r="DY228" s="490"/>
      <c r="DZ228" s="490"/>
      <c r="EA228" s="490"/>
      <c r="EB228" s="490"/>
      <c r="EC228" s="490"/>
      <c r="ED228" s="490"/>
      <c r="EE228" s="490"/>
      <c r="EF228" s="490"/>
      <c r="EG228" s="490"/>
      <c r="EH228" s="490"/>
      <c r="EI228" s="490"/>
      <c r="EJ228" s="490"/>
      <c r="EK228" s="490"/>
      <c r="EL228" s="490"/>
      <c r="EM228" s="490"/>
      <c r="EN228" s="490"/>
      <c r="EO228" s="490"/>
      <c r="EP228" s="490"/>
      <c r="EQ228" s="490"/>
      <c r="ER228" s="490"/>
      <c r="ES228" s="490"/>
      <c r="ET228" s="490"/>
      <c r="EU228" s="490"/>
      <c r="EV228" s="490"/>
      <c r="EW228" s="490"/>
      <c r="EX228" s="490"/>
      <c r="EY228" s="490"/>
      <c r="EZ228" s="490"/>
      <c r="FA228" s="490"/>
      <c r="FB228" s="490"/>
      <c r="FC228" s="490"/>
      <c r="FD228" s="490"/>
      <c r="FE228" s="490"/>
      <c r="FF228" s="490"/>
      <c r="FG228" s="490"/>
      <c r="FH228" s="490"/>
      <c r="FI228" s="490"/>
      <c r="FJ228" s="490"/>
      <c r="FK228" s="490"/>
      <c r="FL228" s="490"/>
      <c r="FM228" s="490"/>
      <c r="FN228" s="490"/>
    </row>
    <row r="229" s="492" customFormat="1" spans="1:170">
      <c r="A229" s="539"/>
      <c r="B229" s="509"/>
      <c r="C229" s="530"/>
      <c r="D229" s="509"/>
      <c r="E229" s="509"/>
      <c r="F229" s="545" t="s">
        <v>148</v>
      </c>
      <c r="G229" s="546">
        <v>1.75</v>
      </c>
      <c r="H229" s="546">
        <v>0.6</v>
      </c>
      <c r="I229" s="546" t="s">
        <v>24</v>
      </c>
      <c r="J229" s="546" t="s">
        <v>24</v>
      </c>
      <c r="K229" s="564"/>
      <c r="L229" s="545"/>
      <c r="M229" s="490"/>
      <c r="N229" s="490"/>
      <c r="O229" s="490"/>
      <c r="P229" s="490"/>
      <c r="Q229" s="490"/>
      <c r="R229" s="490"/>
      <c r="S229" s="490"/>
      <c r="T229" s="490"/>
      <c r="U229" s="490"/>
      <c r="V229" s="490"/>
      <c r="W229" s="490"/>
      <c r="X229" s="490"/>
      <c r="Y229" s="490"/>
      <c r="Z229" s="490"/>
      <c r="AA229" s="490"/>
      <c r="AB229" s="490"/>
      <c r="AC229" s="490"/>
      <c r="AD229" s="490"/>
      <c r="AE229" s="490"/>
      <c r="AF229" s="490"/>
      <c r="AG229" s="490"/>
      <c r="AH229" s="490"/>
      <c r="AI229" s="490"/>
      <c r="AJ229" s="490"/>
      <c r="AK229" s="490"/>
      <c r="AL229" s="490"/>
      <c r="AM229" s="490"/>
      <c r="AN229" s="490"/>
      <c r="AO229" s="490"/>
      <c r="AP229" s="490"/>
      <c r="AQ229" s="490"/>
      <c r="AR229" s="490"/>
      <c r="AS229" s="490"/>
      <c r="AT229" s="490"/>
      <c r="AU229" s="490"/>
      <c r="AV229" s="490"/>
      <c r="AW229" s="490"/>
      <c r="AX229" s="490"/>
      <c r="AY229" s="490"/>
      <c r="AZ229" s="490"/>
      <c r="BA229" s="490"/>
      <c r="BB229" s="490"/>
      <c r="BC229" s="490"/>
      <c r="BD229" s="490"/>
      <c r="BE229" s="490"/>
      <c r="BF229" s="490"/>
      <c r="BG229" s="490"/>
      <c r="BH229" s="490"/>
      <c r="BI229" s="490"/>
      <c r="BJ229" s="490"/>
      <c r="BK229" s="490"/>
      <c r="BL229" s="490"/>
      <c r="BM229" s="490"/>
      <c r="BN229" s="490"/>
      <c r="BO229" s="490"/>
      <c r="BP229" s="490"/>
      <c r="BQ229" s="490"/>
      <c r="BR229" s="490"/>
      <c r="BS229" s="490"/>
      <c r="BT229" s="490"/>
      <c r="BU229" s="490"/>
      <c r="BV229" s="490"/>
      <c r="BW229" s="490"/>
      <c r="BX229" s="490"/>
      <c r="BY229" s="490"/>
      <c r="BZ229" s="490"/>
      <c r="CA229" s="490"/>
      <c r="CB229" s="490"/>
      <c r="CC229" s="490"/>
      <c r="CD229" s="490"/>
      <c r="CE229" s="490"/>
      <c r="CF229" s="490"/>
      <c r="CG229" s="490"/>
      <c r="CH229" s="490"/>
      <c r="CI229" s="490"/>
      <c r="CJ229" s="490"/>
      <c r="CK229" s="490"/>
      <c r="CL229" s="490"/>
      <c r="CM229" s="490"/>
      <c r="CN229" s="490"/>
      <c r="CO229" s="490"/>
      <c r="CP229" s="490"/>
      <c r="CQ229" s="490"/>
      <c r="CR229" s="490"/>
      <c r="CS229" s="490"/>
      <c r="CT229" s="490"/>
      <c r="CU229" s="490"/>
      <c r="CV229" s="490"/>
      <c r="CW229" s="490"/>
      <c r="CX229" s="490"/>
      <c r="CY229" s="490"/>
      <c r="CZ229" s="490"/>
      <c r="DA229" s="490"/>
      <c r="DB229" s="490"/>
      <c r="DC229" s="490"/>
      <c r="DD229" s="490"/>
      <c r="DE229" s="490"/>
      <c r="DF229" s="490"/>
      <c r="DG229" s="490"/>
      <c r="DH229" s="490"/>
      <c r="DI229" s="490"/>
      <c r="DJ229" s="490"/>
      <c r="DK229" s="490"/>
      <c r="DL229" s="490"/>
      <c r="DM229" s="490"/>
      <c r="DN229" s="490"/>
      <c r="DO229" s="490"/>
      <c r="DP229" s="490"/>
      <c r="DQ229" s="490"/>
      <c r="DR229" s="490"/>
      <c r="DS229" s="490"/>
      <c r="DT229" s="490"/>
      <c r="DU229" s="490"/>
      <c r="DV229" s="490"/>
      <c r="DW229" s="490"/>
      <c r="DX229" s="490"/>
      <c r="DY229" s="490"/>
      <c r="DZ229" s="490"/>
      <c r="EA229" s="490"/>
      <c r="EB229" s="490"/>
      <c r="EC229" s="490"/>
      <c r="ED229" s="490"/>
      <c r="EE229" s="490"/>
      <c r="EF229" s="490"/>
      <c r="EG229" s="490"/>
      <c r="EH229" s="490"/>
      <c r="EI229" s="490"/>
      <c r="EJ229" s="490"/>
      <c r="EK229" s="490"/>
      <c r="EL229" s="490"/>
      <c r="EM229" s="490"/>
      <c r="EN229" s="490"/>
      <c r="EO229" s="490"/>
      <c r="EP229" s="490"/>
      <c r="EQ229" s="490"/>
      <c r="ER229" s="490"/>
      <c r="ES229" s="490"/>
      <c r="ET229" s="490"/>
      <c r="EU229" s="490"/>
      <c r="EV229" s="490"/>
      <c r="EW229" s="490"/>
      <c r="EX229" s="490"/>
      <c r="EY229" s="490"/>
      <c r="EZ229" s="490"/>
      <c r="FA229" s="490"/>
      <c r="FB229" s="490"/>
      <c r="FC229" s="490"/>
      <c r="FD229" s="490"/>
      <c r="FE229" s="490"/>
      <c r="FF229" s="490"/>
      <c r="FG229" s="490"/>
      <c r="FH229" s="490"/>
      <c r="FI229" s="490"/>
      <c r="FJ229" s="490"/>
      <c r="FK229" s="490"/>
      <c r="FL229" s="490"/>
      <c r="FM229" s="490"/>
      <c r="FN229" s="490"/>
    </row>
    <row r="230" s="492" customFormat="1" spans="1:170">
      <c r="A230" s="539">
        <v>46141</v>
      </c>
      <c r="B230" s="509" t="s">
        <v>786</v>
      </c>
      <c r="C230" s="530">
        <v>4</v>
      </c>
      <c r="D230" s="509" t="s">
        <v>14</v>
      </c>
      <c r="E230" s="509" t="s">
        <v>14</v>
      </c>
      <c r="F230" s="545" t="s">
        <v>158</v>
      </c>
      <c r="G230" s="546">
        <v>0.99</v>
      </c>
      <c r="H230" s="546">
        <v>3.48</v>
      </c>
      <c r="I230" s="546" t="s">
        <v>17</v>
      </c>
      <c r="J230" s="546">
        <v>1.69</v>
      </c>
      <c r="K230" s="564" t="s">
        <v>787</v>
      </c>
      <c r="L230" s="545" t="s">
        <v>316</v>
      </c>
      <c r="M230" s="490"/>
      <c r="N230" s="490"/>
      <c r="O230" s="490"/>
      <c r="P230" s="490"/>
      <c r="Q230" s="490"/>
      <c r="R230" s="490"/>
      <c r="S230" s="490"/>
      <c r="T230" s="490"/>
      <c r="U230" s="490"/>
      <c r="V230" s="490"/>
      <c r="W230" s="490"/>
      <c r="X230" s="490"/>
      <c r="Y230" s="490"/>
      <c r="Z230" s="490"/>
      <c r="AA230" s="490"/>
      <c r="AB230" s="490"/>
      <c r="AC230" s="490"/>
      <c r="AD230" s="490"/>
      <c r="AE230" s="490"/>
      <c r="AF230" s="490"/>
      <c r="AG230" s="490"/>
      <c r="AH230" s="490"/>
      <c r="AI230" s="490"/>
      <c r="AJ230" s="490"/>
      <c r="AK230" s="490"/>
      <c r="AL230" s="490"/>
      <c r="AM230" s="490"/>
      <c r="AN230" s="490"/>
      <c r="AO230" s="490"/>
      <c r="AP230" s="490"/>
      <c r="AQ230" s="490"/>
      <c r="AR230" s="490"/>
      <c r="AS230" s="490"/>
      <c r="AT230" s="490"/>
      <c r="AU230" s="490"/>
      <c r="AV230" s="490"/>
      <c r="AW230" s="490"/>
      <c r="AX230" s="490"/>
      <c r="AY230" s="490"/>
      <c r="AZ230" s="490"/>
      <c r="BA230" s="490"/>
      <c r="BB230" s="490"/>
      <c r="BC230" s="490"/>
      <c r="BD230" s="490"/>
      <c r="BE230" s="490"/>
      <c r="BF230" s="490"/>
      <c r="BG230" s="490"/>
      <c r="BH230" s="490"/>
      <c r="BI230" s="490"/>
      <c r="BJ230" s="490"/>
      <c r="BK230" s="490"/>
      <c r="BL230" s="490"/>
      <c r="BM230" s="490"/>
      <c r="BN230" s="490"/>
      <c r="BO230" s="490"/>
      <c r="BP230" s="490"/>
      <c r="BQ230" s="490"/>
      <c r="BR230" s="490"/>
      <c r="BS230" s="490"/>
      <c r="BT230" s="490"/>
      <c r="BU230" s="490"/>
      <c r="BV230" s="490"/>
      <c r="BW230" s="490"/>
      <c r="BX230" s="490"/>
      <c r="BY230" s="490"/>
      <c r="BZ230" s="490"/>
      <c r="CA230" s="490"/>
      <c r="CB230" s="490"/>
      <c r="CC230" s="490"/>
      <c r="CD230" s="490"/>
      <c r="CE230" s="490"/>
      <c r="CF230" s="490"/>
      <c r="CG230" s="490"/>
      <c r="CH230" s="490"/>
      <c r="CI230" s="490"/>
      <c r="CJ230" s="490"/>
      <c r="CK230" s="490"/>
      <c r="CL230" s="490"/>
      <c r="CM230" s="490"/>
      <c r="CN230" s="490"/>
      <c r="CO230" s="490"/>
      <c r="CP230" s="490"/>
      <c r="CQ230" s="490"/>
      <c r="CR230" s="490"/>
      <c r="CS230" s="490"/>
      <c r="CT230" s="490"/>
      <c r="CU230" s="490"/>
      <c r="CV230" s="490"/>
      <c r="CW230" s="490"/>
      <c r="CX230" s="490"/>
      <c r="CY230" s="490"/>
      <c r="CZ230" s="490"/>
      <c r="DA230" s="490"/>
      <c r="DB230" s="490"/>
      <c r="DC230" s="490"/>
      <c r="DD230" s="490"/>
      <c r="DE230" s="490"/>
      <c r="DF230" s="490"/>
      <c r="DG230" s="490"/>
      <c r="DH230" s="490"/>
      <c r="DI230" s="490"/>
      <c r="DJ230" s="490"/>
      <c r="DK230" s="490"/>
      <c r="DL230" s="490"/>
      <c r="DM230" s="490"/>
      <c r="DN230" s="490"/>
      <c r="DO230" s="490"/>
      <c r="DP230" s="490"/>
      <c r="DQ230" s="490"/>
      <c r="DR230" s="490"/>
      <c r="DS230" s="490"/>
      <c r="DT230" s="490"/>
      <c r="DU230" s="490"/>
      <c r="DV230" s="490"/>
      <c r="DW230" s="490"/>
      <c r="DX230" s="490"/>
      <c r="DY230" s="490"/>
      <c r="DZ230" s="490"/>
      <c r="EA230" s="490"/>
      <c r="EB230" s="490"/>
      <c r="EC230" s="490"/>
      <c r="ED230" s="490"/>
      <c r="EE230" s="490"/>
      <c r="EF230" s="490"/>
      <c r="EG230" s="490"/>
      <c r="EH230" s="490"/>
      <c r="EI230" s="490"/>
      <c r="EJ230" s="490"/>
      <c r="EK230" s="490"/>
      <c r="EL230" s="490"/>
      <c r="EM230" s="490"/>
      <c r="EN230" s="490"/>
      <c r="EO230" s="490"/>
      <c r="EP230" s="490"/>
      <c r="EQ230" s="490"/>
      <c r="ER230" s="490"/>
      <c r="ES230" s="490"/>
      <c r="ET230" s="490"/>
      <c r="EU230" s="490"/>
      <c r="EV230" s="490"/>
      <c r="EW230" s="490"/>
      <c r="EX230" s="490"/>
      <c r="EY230" s="490"/>
      <c r="EZ230" s="490"/>
      <c r="FA230" s="490"/>
      <c r="FB230" s="490"/>
      <c r="FC230" s="490"/>
      <c r="FD230" s="490"/>
      <c r="FE230" s="490"/>
      <c r="FF230" s="490"/>
      <c r="FG230" s="490"/>
      <c r="FH230" s="490"/>
      <c r="FI230" s="490"/>
      <c r="FJ230" s="490"/>
      <c r="FK230" s="490"/>
      <c r="FL230" s="490"/>
      <c r="FM230" s="490"/>
      <c r="FN230" s="490"/>
    </row>
    <row r="231" s="492" customFormat="1" spans="1:170">
      <c r="A231" s="539"/>
      <c r="B231" s="509"/>
      <c r="C231" s="530"/>
      <c r="D231" s="509"/>
      <c r="E231" s="509"/>
      <c r="F231" s="545" t="s">
        <v>159</v>
      </c>
      <c r="G231" s="546">
        <v>0.99</v>
      </c>
      <c r="H231" s="546">
        <v>0.16</v>
      </c>
      <c r="I231" s="546" t="s">
        <v>22</v>
      </c>
      <c r="J231" s="546">
        <v>1.7</v>
      </c>
      <c r="K231" s="564"/>
      <c r="L231" s="545"/>
      <c r="M231" s="490"/>
      <c r="N231" s="490"/>
      <c r="O231" s="490"/>
      <c r="P231" s="490"/>
      <c r="Q231" s="490"/>
      <c r="R231" s="490"/>
      <c r="S231" s="490"/>
      <c r="T231" s="490"/>
      <c r="U231" s="490"/>
      <c r="V231" s="490"/>
      <c r="W231" s="490"/>
      <c r="X231" s="490"/>
      <c r="Y231" s="490"/>
      <c r="Z231" s="490"/>
      <c r="AA231" s="490"/>
      <c r="AB231" s="490"/>
      <c r="AC231" s="490"/>
      <c r="AD231" s="490"/>
      <c r="AE231" s="490"/>
      <c r="AF231" s="490"/>
      <c r="AG231" s="490"/>
      <c r="AH231" s="490"/>
      <c r="AI231" s="490"/>
      <c r="AJ231" s="490"/>
      <c r="AK231" s="490"/>
      <c r="AL231" s="490"/>
      <c r="AM231" s="490"/>
      <c r="AN231" s="490"/>
      <c r="AO231" s="490"/>
      <c r="AP231" s="490"/>
      <c r="AQ231" s="490"/>
      <c r="AR231" s="490"/>
      <c r="AS231" s="490"/>
      <c r="AT231" s="490"/>
      <c r="AU231" s="490"/>
      <c r="AV231" s="490"/>
      <c r="AW231" s="490"/>
      <c r="AX231" s="490"/>
      <c r="AY231" s="490"/>
      <c r="AZ231" s="490"/>
      <c r="BA231" s="490"/>
      <c r="BB231" s="490"/>
      <c r="BC231" s="490"/>
      <c r="BD231" s="490"/>
      <c r="BE231" s="490"/>
      <c r="BF231" s="490"/>
      <c r="BG231" s="490"/>
      <c r="BH231" s="490"/>
      <c r="BI231" s="490"/>
      <c r="BJ231" s="490"/>
      <c r="BK231" s="490"/>
      <c r="BL231" s="490"/>
      <c r="BM231" s="490"/>
      <c r="BN231" s="490"/>
      <c r="BO231" s="490"/>
      <c r="BP231" s="490"/>
      <c r="BQ231" s="490"/>
      <c r="BR231" s="490"/>
      <c r="BS231" s="490"/>
      <c r="BT231" s="490"/>
      <c r="BU231" s="490"/>
      <c r="BV231" s="490"/>
      <c r="BW231" s="490"/>
      <c r="BX231" s="490"/>
      <c r="BY231" s="490"/>
      <c r="BZ231" s="490"/>
      <c r="CA231" s="490"/>
      <c r="CB231" s="490"/>
      <c r="CC231" s="490"/>
      <c r="CD231" s="490"/>
      <c r="CE231" s="490"/>
      <c r="CF231" s="490"/>
      <c r="CG231" s="490"/>
      <c r="CH231" s="490"/>
      <c r="CI231" s="490"/>
      <c r="CJ231" s="490"/>
      <c r="CK231" s="490"/>
      <c r="CL231" s="490"/>
      <c r="CM231" s="490"/>
      <c r="CN231" s="490"/>
      <c r="CO231" s="490"/>
      <c r="CP231" s="490"/>
      <c r="CQ231" s="490"/>
      <c r="CR231" s="490"/>
      <c r="CS231" s="490"/>
      <c r="CT231" s="490"/>
      <c r="CU231" s="490"/>
      <c r="CV231" s="490"/>
      <c r="CW231" s="490"/>
      <c r="CX231" s="490"/>
      <c r="CY231" s="490"/>
      <c r="CZ231" s="490"/>
      <c r="DA231" s="490"/>
      <c r="DB231" s="490"/>
      <c r="DC231" s="490"/>
      <c r="DD231" s="490"/>
      <c r="DE231" s="490"/>
      <c r="DF231" s="490"/>
      <c r="DG231" s="490"/>
      <c r="DH231" s="490"/>
      <c r="DI231" s="490"/>
      <c r="DJ231" s="490"/>
      <c r="DK231" s="490"/>
      <c r="DL231" s="490"/>
      <c r="DM231" s="490"/>
      <c r="DN231" s="490"/>
      <c r="DO231" s="490"/>
      <c r="DP231" s="490"/>
      <c r="DQ231" s="490"/>
      <c r="DR231" s="490"/>
      <c r="DS231" s="490"/>
      <c r="DT231" s="490"/>
      <c r="DU231" s="490"/>
      <c r="DV231" s="490"/>
      <c r="DW231" s="490"/>
      <c r="DX231" s="490"/>
      <c r="DY231" s="490"/>
      <c r="DZ231" s="490"/>
      <c r="EA231" s="490"/>
      <c r="EB231" s="490"/>
      <c r="EC231" s="490"/>
      <c r="ED231" s="490"/>
      <c r="EE231" s="490"/>
      <c r="EF231" s="490"/>
      <c r="EG231" s="490"/>
      <c r="EH231" s="490"/>
      <c r="EI231" s="490"/>
      <c r="EJ231" s="490"/>
      <c r="EK231" s="490"/>
      <c r="EL231" s="490"/>
      <c r="EM231" s="490"/>
      <c r="EN231" s="490"/>
      <c r="EO231" s="490"/>
      <c r="EP231" s="490"/>
      <c r="EQ231" s="490"/>
      <c r="ER231" s="490"/>
      <c r="ES231" s="490"/>
      <c r="ET231" s="490"/>
      <c r="EU231" s="490"/>
      <c r="EV231" s="490"/>
      <c r="EW231" s="490"/>
      <c r="EX231" s="490"/>
      <c r="EY231" s="490"/>
      <c r="EZ231" s="490"/>
      <c r="FA231" s="490"/>
      <c r="FB231" s="490"/>
      <c r="FC231" s="490"/>
      <c r="FD231" s="490"/>
      <c r="FE231" s="490"/>
      <c r="FF231" s="490"/>
      <c r="FG231" s="490"/>
      <c r="FH231" s="490"/>
      <c r="FI231" s="490"/>
      <c r="FJ231" s="490"/>
      <c r="FK231" s="490"/>
      <c r="FL231" s="490"/>
      <c r="FM231" s="490"/>
      <c r="FN231" s="490"/>
    </row>
    <row r="232" s="492" customFormat="1" spans="1:170">
      <c r="A232" s="539"/>
      <c r="B232" s="509"/>
      <c r="C232" s="530"/>
      <c r="D232" s="509"/>
      <c r="E232" s="509"/>
      <c r="F232" s="545" t="s">
        <v>788</v>
      </c>
      <c r="G232" s="546">
        <v>1.49</v>
      </c>
      <c r="H232" s="546">
        <v>0.16</v>
      </c>
      <c r="I232" s="546" t="s">
        <v>24</v>
      </c>
      <c r="J232" s="546" t="s">
        <v>24</v>
      </c>
      <c r="K232" s="564"/>
      <c r="L232" s="545"/>
      <c r="M232" s="490"/>
      <c r="N232" s="490"/>
      <c r="O232" s="490"/>
      <c r="P232" s="490"/>
      <c r="Q232" s="490"/>
      <c r="R232" s="490"/>
      <c r="S232" s="490"/>
      <c r="T232" s="490"/>
      <c r="U232" s="490"/>
      <c r="V232" s="490"/>
      <c r="W232" s="490"/>
      <c r="X232" s="490"/>
      <c r="Y232" s="490"/>
      <c r="Z232" s="490"/>
      <c r="AA232" s="490"/>
      <c r="AB232" s="490"/>
      <c r="AC232" s="490"/>
      <c r="AD232" s="490"/>
      <c r="AE232" s="490"/>
      <c r="AF232" s="490"/>
      <c r="AG232" s="490"/>
      <c r="AH232" s="490"/>
      <c r="AI232" s="490"/>
      <c r="AJ232" s="490"/>
      <c r="AK232" s="490"/>
      <c r="AL232" s="490"/>
      <c r="AM232" s="490"/>
      <c r="AN232" s="490"/>
      <c r="AO232" s="490"/>
      <c r="AP232" s="490"/>
      <c r="AQ232" s="490"/>
      <c r="AR232" s="490"/>
      <c r="AS232" s="490"/>
      <c r="AT232" s="490"/>
      <c r="AU232" s="490"/>
      <c r="AV232" s="490"/>
      <c r="AW232" s="490"/>
      <c r="AX232" s="490"/>
      <c r="AY232" s="490"/>
      <c r="AZ232" s="490"/>
      <c r="BA232" s="490"/>
      <c r="BB232" s="490"/>
      <c r="BC232" s="490"/>
      <c r="BD232" s="490"/>
      <c r="BE232" s="490"/>
      <c r="BF232" s="490"/>
      <c r="BG232" s="490"/>
      <c r="BH232" s="490"/>
      <c r="BI232" s="490"/>
      <c r="BJ232" s="490"/>
      <c r="BK232" s="490"/>
      <c r="BL232" s="490"/>
      <c r="BM232" s="490"/>
      <c r="BN232" s="490"/>
      <c r="BO232" s="490"/>
      <c r="BP232" s="490"/>
      <c r="BQ232" s="490"/>
      <c r="BR232" s="490"/>
      <c r="BS232" s="490"/>
      <c r="BT232" s="490"/>
      <c r="BU232" s="490"/>
      <c r="BV232" s="490"/>
      <c r="BW232" s="490"/>
      <c r="BX232" s="490"/>
      <c r="BY232" s="490"/>
      <c r="BZ232" s="490"/>
      <c r="CA232" s="490"/>
      <c r="CB232" s="490"/>
      <c r="CC232" s="490"/>
      <c r="CD232" s="490"/>
      <c r="CE232" s="490"/>
      <c r="CF232" s="490"/>
      <c r="CG232" s="490"/>
      <c r="CH232" s="490"/>
      <c r="CI232" s="490"/>
      <c r="CJ232" s="490"/>
      <c r="CK232" s="490"/>
      <c r="CL232" s="490"/>
      <c r="CM232" s="490"/>
      <c r="CN232" s="490"/>
      <c r="CO232" s="490"/>
      <c r="CP232" s="490"/>
      <c r="CQ232" s="490"/>
      <c r="CR232" s="490"/>
      <c r="CS232" s="490"/>
      <c r="CT232" s="490"/>
      <c r="CU232" s="490"/>
      <c r="CV232" s="490"/>
      <c r="CW232" s="490"/>
      <c r="CX232" s="490"/>
      <c r="CY232" s="490"/>
      <c r="CZ232" s="490"/>
      <c r="DA232" s="490"/>
      <c r="DB232" s="490"/>
      <c r="DC232" s="490"/>
      <c r="DD232" s="490"/>
      <c r="DE232" s="490"/>
      <c r="DF232" s="490"/>
      <c r="DG232" s="490"/>
      <c r="DH232" s="490"/>
      <c r="DI232" s="490"/>
      <c r="DJ232" s="490"/>
      <c r="DK232" s="490"/>
      <c r="DL232" s="490"/>
      <c r="DM232" s="490"/>
      <c r="DN232" s="490"/>
      <c r="DO232" s="490"/>
      <c r="DP232" s="490"/>
      <c r="DQ232" s="490"/>
      <c r="DR232" s="490"/>
      <c r="DS232" s="490"/>
      <c r="DT232" s="490"/>
      <c r="DU232" s="490"/>
      <c r="DV232" s="490"/>
      <c r="DW232" s="490"/>
      <c r="DX232" s="490"/>
      <c r="DY232" s="490"/>
      <c r="DZ232" s="490"/>
      <c r="EA232" s="490"/>
      <c r="EB232" s="490"/>
      <c r="EC232" s="490"/>
      <c r="ED232" s="490"/>
      <c r="EE232" s="490"/>
      <c r="EF232" s="490"/>
      <c r="EG232" s="490"/>
      <c r="EH232" s="490"/>
      <c r="EI232" s="490"/>
      <c r="EJ232" s="490"/>
      <c r="EK232" s="490"/>
      <c r="EL232" s="490"/>
      <c r="EM232" s="490"/>
      <c r="EN232" s="490"/>
      <c r="EO232" s="490"/>
      <c r="EP232" s="490"/>
      <c r="EQ232" s="490"/>
      <c r="ER232" s="490"/>
      <c r="ES232" s="490"/>
      <c r="ET232" s="490"/>
      <c r="EU232" s="490"/>
      <c r="EV232" s="490"/>
      <c r="EW232" s="490"/>
      <c r="EX232" s="490"/>
      <c r="EY232" s="490"/>
      <c r="EZ232" s="490"/>
      <c r="FA232" s="490"/>
      <c r="FB232" s="490"/>
      <c r="FC232" s="490"/>
      <c r="FD232" s="490"/>
      <c r="FE232" s="490"/>
      <c r="FF232" s="490"/>
      <c r="FG232" s="490"/>
      <c r="FH232" s="490"/>
      <c r="FI232" s="490"/>
      <c r="FJ232" s="490"/>
      <c r="FK232" s="490"/>
      <c r="FL232" s="490"/>
      <c r="FM232" s="490"/>
      <c r="FN232" s="490"/>
    </row>
    <row r="233" s="492" customFormat="1" spans="1:170">
      <c r="A233" s="539"/>
      <c r="B233" s="509"/>
      <c r="C233" s="530"/>
      <c r="D233" s="509"/>
      <c r="E233" s="509"/>
      <c r="F233" s="545" t="s">
        <v>141</v>
      </c>
      <c r="G233" s="546">
        <v>1.49</v>
      </c>
      <c r="H233" s="546">
        <v>0.2</v>
      </c>
      <c r="I233" s="546" t="s">
        <v>24</v>
      </c>
      <c r="J233" s="546" t="s">
        <v>24</v>
      </c>
      <c r="K233" s="564"/>
      <c r="L233" s="545"/>
      <c r="M233" s="490"/>
      <c r="N233" s="490"/>
      <c r="O233" s="490"/>
      <c r="P233" s="490"/>
      <c r="Q233" s="490"/>
      <c r="R233" s="490"/>
      <c r="S233" s="490"/>
      <c r="T233" s="490"/>
      <c r="U233" s="490"/>
      <c r="V233" s="490"/>
      <c r="W233" s="490"/>
      <c r="X233" s="490"/>
      <c r="Y233" s="490"/>
      <c r="Z233" s="490"/>
      <c r="AA233" s="490"/>
      <c r="AB233" s="490"/>
      <c r="AC233" s="490"/>
      <c r="AD233" s="490"/>
      <c r="AE233" s="490"/>
      <c r="AF233" s="490"/>
      <c r="AG233" s="490"/>
      <c r="AH233" s="490"/>
      <c r="AI233" s="490"/>
      <c r="AJ233" s="490"/>
      <c r="AK233" s="490"/>
      <c r="AL233" s="490"/>
      <c r="AM233" s="490"/>
      <c r="AN233" s="490"/>
      <c r="AO233" s="490"/>
      <c r="AP233" s="490"/>
      <c r="AQ233" s="490"/>
      <c r="AR233" s="490"/>
      <c r="AS233" s="490"/>
      <c r="AT233" s="490"/>
      <c r="AU233" s="490"/>
      <c r="AV233" s="490"/>
      <c r="AW233" s="490"/>
      <c r="AX233" s="490"/>
      <c r="AY233" s="490"/>
      <c r="AZ233" s="490"/>
      <c r="BA233" s="490"/>
      <c r="BB233" s="490"/>
      <c r="BC233" s="490"/>
      <c r="BD233" s="490"/>
      <c r="BE233" s="490"/>
      <c r="BF233" s="490"/>
      <c r="BG233" s="490"/>
      <c r="BH233" s="490"/>
      <c r="BI233" s="490"/>
      <c r="BJ233" s="490"/>
      <c r="BK233" s="490"/>
      <c r="BL233" s="490"/>
      <c r="BM233" s="490"/>
      <c r="BN233" s="490"/>
      <c r="BO233" s="490"/>
      <c r="BP233" s="490"/>
      <c r="BQ233" s="490"/>
      <c r="BR233" s="490"/>
      <c r="BS233" s="490"/>
      <c r="BT233" s="490"/>
      <c r="BU233" s="490"/>
      <c r="BV233" s="490"/>
      <c r="BW233" s="490"/>
      <c r="BX233" s="490"/>
      <c r="BY233" s="490"/>
      <c r="BZ233" s="490"/>
      <c r="CA233" s="490"/>
      <c r="CB233" s="490"/>
      <c r="CC233" s="490"/>
      <c r="CD233" s="490"/>
      <c r="CE233" s="490"/>
      <c r="CF233" s="490"/>
      <c r="CG233" s="490"/>
      <c r="CH233" s="490"/>
      <c r="CI233" s="490"/>
      <c r="CJ233" s="490"/>
      <c r="CK233" s="490"/>
      <c r="CL233" s="490"/>
      <c r="CM233" s="490"/>
      <c r="CN233" s="490"/>
      <c r="CO233" s="490"/>
      <c r="CP233" s="490"/>
      <c r="CQ233" s="490"/>
      <c r="CR233" s="490"/>
      <c r="CS233" s="490"/>
      <c r="CT233" s="490"/>
      <c r="CU233" s="490"/>
      <c r="CV233" s="490"/>
      <c r="CW233" s="490"/>
      <c r="CX233" s="490"/>
      <c r="CY233" s="490"/>
      <c r="CZ233" s="490"/>
      <c r="DA233" s="490"/>
      <c r="DB233" s="490"/>
      <c r="DC233" s="490"/>
      <c r="DD233" s="490"/>
      <c r="DE233" s="490"/>
      <c r="DF233" s="490"/>
      <c r="DG233" s="490"/>
      <c r="DH233" s="490"/>
      <c r="DI233" s="490"/>
      <c r="DJ233" s="490"/>
      <c r="DK233" s="490"/>
      <c r="DL233" s="490"/>
      <c r="DM233" s="490"/>
      <c r="DN233" s="490"/>
      <c r="DO233" s="490"/>
      <c r="DP233" s="490"/>
      <c r="DQ233" s="490"/>
      <c r="DR233" s="490"/>
      <c r="DS233" s="490"/>
      <c r="DT233" s="490"/>
      <c r="DU233" s="490"/>
      <c r="DV233" s="490"/>
      <c r="DW233" s="490"/>
      <c r="DX233" s="490"/>
      <c r="DY233" s="490"/>
      <c r="DZ233" s="490"/>
      <c r="EA233" s="490"/>
      <c r="EB233" s="490"/>
      <c r="EC233" s="490"/>
      <c r="ED233" s="490"/>
      <c r="EE233" s="490"/>
      <c r="EF233" s="490"/>
      <c r="EG233" s="490"/>
      <c r="EH233" s="490"/>
      <c r="EI233" s="490"/>
      <c r="EJ233" s="490"/>
      <c r="EK233" s="490"/>
      <c r="EL233" s="490"/>
      <c r="EM233" s="490"/>
      <c r="EN233" s="490"/>
      <c r="EO233" s="490"/>
      <c r="EP233" s="490"/>
      <c r="EQ233" s="490"/>
      <c r="ER233" s="490"/>
      <c r="ES233" s="490"/>
      <c r="ET233" s="490"/>
      <c r="EU233" s="490"/>
      <c r="EV233" s="490"/>
      <c r="EW233" s="490"/>
      <c r="EX233" s="490"/>
      <c r="EY233" s="490"/>
      <c r="EZ233" s="490"/>
      <c r="FA233" s="490"/>
      <c r="FB233" s="490"/>
      <c r="FC233" s="490"/>
      <c r="FD233" s="490"/>
      <c r="FE233" s="490"/>
      <c r="FF233" s="490"/>
      <c r="FG233" s="490"/>
      <c r="FH233" s="490"/>
      <c r="FI233" s="490"/>
      <c r="FJ233" s="490"/>
      <c r="FK233" s="490"/>
      <c r="FL233" s="490"/>
      <c r="FM233" s="490"/>
      <c r="FN233" s="490"/>
    </row>
    <row r="234" s="492" customFormat="1" spans="1:170">
      <c r="A234" s="539">
        <v>46142</v>
      </c>
      <c r="B234" s="509" t="s">
        <v>789</v>
      </c>
      <c r="C234" s="530">
        <v>10</v>
      </c>
      <c r="D234" s="509" t="s">
        <v>51</v>
      </c>
      <c r="E234" s="509" t="s">
        <v>208</v>
      </c>
      <c r="F234" s="545" t="s">
        <v>158</v>
      </c>
      <c r="G234" s="546">
        <v>1</v>
      </c>
      <c r="H234" s="546">
        <v>9</v>
      </c>
      <c r="I234" s="546" t="s">
        <v>17</v>
      </c>
      <c r="J234" s="546">
        <v>1.56</v>
      </c>
      <c r="K234" s="564" t="s">
        <v>731</v>
      </c>
      <c r="L234" s="545" t="s">
        <v>277</v>
      </c>
      <c r="M234" s="490"/>
      <c r="N234" s="490"/>
      <c r="O234" s="490"/>
      <c r="P234" s="490"/>
      <c r="Q234" s="490"/>
      <c r="R234" s="490"/>
      <c r="S234" s="490"/>
      <c r="T234" s="490"/>
      <c r="U234" s="490"/>
      <c r="V234" s="490"/>
      <c r="W234" s="490"/>
      <c r="X234" s="490"/>
      <c r="Y234" s="490"/>
      <c r="Z234" s="490"/>
      <c r="AA234" s="490"/>
      <c r="AB234" s="490"/>
      <c r="AC234" s="490"/>
      <c r="AD234" s="490"/>
      <c r="AE234" s="490"/>
      <c r="AF234" s="490"/>
      <c r="AG234" s="490"/>
      <c r="AH234" s="490"/>
      <c r="AI234" s="490"/>
      <c r="AJ234" s="490"/>
      <c r="AK234" s="490"/>
      <c r="AL234" s="490"/>
      <c r="AM234" s="490"/>
      <c r="AN234" s="490"/>
      <c r="AO234" s="490"/>
      <c r="AP234" s="490"/>
      <c r="AQ234" s="490"/>
      <c r="AR234" s="490"/>
      <c r="AS234" s="490"/>
      <c r="AT234" s="490"/>
      <c r="AU234" s="490"/>
      <c r="AV234" s="490"/>
      <c r="AW234" s="490"/>
      <c r="AX234" s="490"/>
      <c r="AY234" s="490"/>
      <c r="AZ234" s="490"/>
      <c r="BA234" s="490"/>
      <c r="BB234" s="490"/>
      <c r="BC234" s="490"/>
      <c r="BD234" s="490"/>
      <c r="BE234" s="490"/>
      <c r="BF234" s="490"/>
      <c r="BG234" s="490"/>
      <c r="BH234" s="490"/>
      <c r="BI234" s="490"/>
      <c r="BJ234" s="490"/>
      <c r="BK234" s="490"/>
      <c r="BL234" s="490"/>
      <c r="BM234" s="490"/>
      <c r="BN234" s="490"/>
      <c r="BO234" s="490"/>
      <c r="BP234" s="490"/>
      <c r="BQ234" s="490"/>
      <c r="BR234" s="490"/>
      <c r="BS234" s="490"/>
      <c r="BT234" s="490"/>
      <c r="BU234" s="490"/>
      <c r="BV234" s="490"/>
      <c r="BW234" s="490"/>
      <c r="BX234" s="490"/>
      <c r="BY234" s="490"/>
      <c r="BZ234" s="490"/>
      <c r="CA234" s="490"/>
      <c r="CB234" s="490"/>
      <c r="CC234" s="490"/>
      <c r="CD234" s="490"/>
      <c r="CE234" s="490"/>
      <c r="CF234" s="490"/>
      <c r="CG234" s="490"/>
      <c r="CH234" s="490"/>
      <c r="CI234" s="490"/>
      <c r="CJ234" s="490"/>
      <c r="CK234" s="490"/>
      <c r="CL234" s="490"/>
      <c r="CM234" s="490"/>
      <c r="CN234" s="490"/>
      <c r="CO234" s="490"/>
      <c r="CP234" s="490"/>
      <c r="CQ234" s="490"/>
      <c r="CR234" s="490"/>
      <c r="CS234" s="490"/>
      <c r="CT234" s="490"/>
      <c r="CU234" s="490"/>
      <c r="CV234" s="490"/>
      <c r="CW234" s="490"/>
      <c r="CX234" s="490"/>
      <c r="CY234" s="490"/>
      <c r="CZ234" s="490"/>
      <c r="DA234" s="490"/>
      <c r="DB234" s="490"/>
      <c r="DC234" s="490"/>
      <c r="DD234" s="490"/>
      <c r="DE234" s="490"/>
      <c r="DF234" s="490"/>
      <c r="DG234" s="490"/>
      <c r="DH234" s="490"/>
      <c r="DI234" s="490"/>
      <c r="DJ234" s="490"/>
      <c r="DK234" s="490"/>
      <c r="DL234" s="490"/>
      <c r="DM234" s="490"/>
      <c r="DN234" s="490"/>
      <c r="DO234" s="490"/>
      <c r="DP234" s="490"/>
      <c r="DQ234" s="490"/>
      <c r="DR234" s="490"/>
      <c r="DS234" s="490"/>
      <c r="DT234" s="490"/>
      <c r="DU234" s="490"/>
      <c r="DV234" s="490"/>
      <c r="DW234" s="490"/>
      <c r="DX234" s="490"/>
      <c r="DY234" s="490"/>
      <c r="DZ234" s="490"/>
      <c r="EA234" s="490"/>
      <c r="EB234" s="490"/>
      <c r="EC234" s="490"/>
      <c r="ED234" s="490"/>
      <c r="EE234" s="490"/>
      <c r="EF234" s="490"/>
      <c r="EG234" s="490"/>
      <c r="EH234" s="490"/>
      <c r="EI234" s="490"/>
      <c r="EJ234" s="490"/>
      <c r="EK234" s="490"/>
      <c r="EL234" s="490"/>
      <c r="EM234" s="490"/>
      <c r="EN234" s="490"/>
      <c r="EO234" s="490"/>
      <c r="EP234" s="490"/>
      <c r="EQ234" s="490"/>
      <c r="ER234" s="490"/>
      <c r="ES234" s="490"/>
      <c r="ET234" s="490"/>
      <c r="EU234" s="490"/>
      <c r="EV234" s="490"/>
      <c r="EW234" s="490"/>
      <c r="EX234" s="490"/>
      <c r="EY234" s="490"/>
      <c r="EZ234" s="490"/>
      <c r="FA234" s="490"/>
      <c r="FB234" s="490"/>
      <c r="FC234" s="490"/>
      <c r="FD234" s="490"/>
      <c r="FE234" s="490"/>
      <c r="FF234" s="490"/>
      <c r="FG234" s="490"/>
      <c r="FH234" s="490"/>
      <c r="FI234" s="490"/>
      <c r="FJ234" s="490"/>
      <c r="FK234" s="490"/>
      <c r="FL234" s="490"/>
      <c r="FM234" s="490"/>
      <c r="FN234" s="490"/>
    </row>
    <row r="235" s="492" customFormat="1" spans="1:170">
      <c r="A235" s="539"/>
      <c r="B235" s="509"/>
      <c r="C235" s="530"/>
      <c r="D235" s="509"/>
      <c r="E235" s="509"/>
      <c r="F235" s="545" t="s">
        <v>159</v>
      </c>
      <c r="G235" s="546">
        <v>1</v>
      </c>
      <c r="H235" s="546">
        <v>0.3</v>
      </c>
      <c r="I235" s="546" t="s">
        <v>22</v>
      </c>
      <c r="J235" s="546">
        <v>1.75</v>
      </c>
      <c r="K235" s="564"/>
      <c r="L235" s="545"/>
      <c r="M235" s="490"/>
      <c r="N235" s="490"/>
      <c r="O235" s="490"/>
      <c r="P235" s="490"/>
      <c r="Q235" s="490"/>
      <c r="R235" s="490"/>
      <c r="S235" s="490"/>
      <c r="T235" s="490"/>
      <c r="U235" s="490"/>
      <c r="V235" s="490"/>
      <c r="W235" s="490"/>
      <c r="X235" s="490"/>
      <c r="Y235" s="490"/>
      <c r="Z235" s="490"/>
      <c r="AA235" s="490"/>
      <c r="AB235" s="490"/>
      <c r="AC235" s="490"/>
      <c r="AD235" s="490"/>
      <c r="AE235" s="490"/>
      <c r="AF235" s="490"/>
      <c r="AG235" s="490"/>
      <c r="AH235" s="490"/>
      <c r="AI235" s="490"/>
      <c r="AJ235" s="490"/>
      <c r="AK235" s="490"/>
      <c r="AL235" s="490"/>
      <c r="AM235" s="490"/>
      <c r="AN235" s="490"/>
      <c r="AO235" s="490"/>
      <c r="AP235" s="490"/>
      <c r="AQ235" s="490"/>
      <c r="AR235" s="490"/>
      <c r="AS235" s="490"/>
      <c r="AT235" s="490"/>
      <c r="AU235" s="490"/>
      <c r="AV235" s="490"/>
      <c r="AW235" s="490"/>
      <c r="AX235" s="490"/>
      <c r="AY235" s="490"/>
      <c r="AZ235" s="490"/>
      <c r="BA235" s="490"/>
      <c r="BB235" s="490"/>
      <c r="BC235" s="490"/>
      <c r="BD235" s="490"/>
      <c r="BE235" s="490"/>
      <c r="BF235" s="490"/>
      <c r="BG235" s="490"/>
      <c r="BH235" s="490"/>
      <c r="BI235" s="490"/>
      <c r="BJ235" s="490"/>
      <c r="BK235" s="490"/>
      <c r="BL235" s="490"/>
      <c r="BM235" s="490"/>
      <c r="BN235" s="490"/>
      <c r="BO235" s="490"/>
      <c r="BP235" s="490"/>
      <c r="BQ235" s="490"/>
      <c r="BR235" s="490"/>
      <c r="BS235" s="490"/>
      <c r="BT235" s="490"/>
      <c r="BU235" s="490"/>
      <c r="BV235" s="490"/>
      <c r="BW235" s="490"/>
      <c r="BX235" s="490"/>
      <c r="BY235" s="490"/>
      <c r="BZ235" s="490"/>
      <c r="CA235" s="490"/>
      <c r="CB235" s="490"/>
      <c r="CC235" s="490"/>
      <c r="CD235" s="490"/>
      <c r="CE235" s="490"/>
      <c r="CF235" s="490"/>
      <c r="CG235" s="490"/>
      <c r="CH235" s="490"/>
      <c r="CI235" s="490"/>
      <c r="CJ235" s="490"/>
      <c r="CK235" s="490"/>
      <c r="CL235" s="490"/>
      <c r="CM235" s="490"/>
      <c r="CN235" s="490"/>
      <c r="CO235" s="490"/>
      <c r="CP235" s="490"/>
      <c r="CQ235" s="490"/>
      <c r="CR235" s="490"/>
      <c r="CS235" s="490"/>
      <c r="CT235" s="490"/>
      <c r="CU235" s="490"/>
      <c r="CV235" s="490"/>
      <c r="CW235" s="490"/>
      <c r="CX235" s="490"/>
      <c r="CY235" s="490"/>
      <c r="CZ235" s="490"/>
      <c r="DA235" s="490"/>
      <c r="DB235" s="490"/>
      <c r="DC235" s="490"/>
      <c r="DD235" s="490"/>
      <c r="DE235" s="490"/>
      <c r="DF235" s="490"/>
      <c r="DG235" s="490"/>
      <c r="DH235" s="490"/>
      <c r="DI235" s="490"/>
      <c r="DJ235" s="490"/>
      <c r="DK235" s="490"/>
      <c r="DL235" s="490"/>
      <c r="DM235" s="490"/>
      <c r="DN235" s="490"/>
      <c r="DO235" s="490"/>
      <c r="DP235" s="490"/>
      <c r="DQ235" s="490"/>
      <c r="DR235" s="490"/>
      <c r="DS235" s="490"/>
      <c r="DT235" s="490"/>
      <c r="DU235" s="490"/>
      <c r="DV235" s="490"/>
      <c r="DW235" s="490"/>
      <c r="DX235" s="490"/>
      <c r="DY235" s="490"/>
      <c r="DZ235" s="490"/>
      <c r="EA235" s="490"/>
      <c r="EB235" s="490"/>
      <c r="EC235" s="490"/>
      <c r="ED235" s="490"/>
      <c r="EE235" s="490"/>
      <c r="EF235" s="490"/>
      <c r="EG235" s="490"/>
      <c r="EH235" s="490"/>
      <c r="EI235" s="490"/>
      <c r="EJ235" s="490"/>
      <c r="EK235" s="490"/>
      <c r="EL235" s="490"/>
      <c r="EM235" s="490"/>
      <c r="EN235" s="490"/>
      <c r="EO235" s="490"/>
      <c r="EP235" s="490"/>
      <c r="EQ235" s="490"/>
      <c r="ER235" s="490"/>
      <c r="ES235" s="490"/>
      <c r="ET235" s="490"/>
      <c r="EU235" s="490"/>
      <c r="EV235" s="490"/>
      <c r="EW235" s="490"/>
      <c r="EX235" s="490"/>
      <c r="EY235" s="490"/>
      <c r="EZ235" s="490"/>
      <c r="FA235" s="490"/>
      <c r="FB235" s="490"/>
      <c r="FC235" s="490"/>
      <c r="FD235" s="490"/>
      <c r="FE235" s="490"/>
      <c r="FF235" s="490"/>
      <c r="FG235" s="490"/>
      <c r="FH235" s="490"/>
      <c r="FI235" s="490"/>
      <c r="FJ235" s="490"/>
      <c r="FK235" s="490"/>
      <c r="FL235" s="490"/>
      <c r="FM235" s="490"/>
      <c r="FN235" s="490"/>
    </row>
    <row r="236" s="492" customFormat="1" spans="1:170">
      <c r="A236" s="539"/>
      <c r="B236" s="509"/>
      <c r="C236" s="530"/>
      <c r="D236" s="509"/>
      <c r="E236" s="509"/>
      <c r="F236" s="545" t="s">
        <v>175</v>
      </c>
      <c r="G236" s="546">
        <v>1</v>
      </c>
      <c r="H236" s="546">
        <v>0.2</v>
      </c>
      <c r="I236" s="546" t="s">
        <v>44</v>
      </c>
      <c r="J236" s="546">
        <v>3.1</v>
      </c>
      <c r="K236" s="564"/>
      <c r="L236" s="545"/>
      <c r="M236" s="490"/>
      <c r="N236" s="490"/>
      <c r="O236" s="490"/>
      <c r="P236" s="490"/>
      <c r="Q236" s="490"/>
      <c r="R236" s="490"/>
      <c r="S236" s="490"/>
      <c r="T236" s="490"/>
      <c r="U236" s="490"/>
      <c r="V236" s="490"/>
      <c r="W236" s="490"/>
      <c r="X236" s="490"/>
      <c r="Y236" s="490"/>
      <c r="Z236" s="490"/>
      <c r="AA236" s="490"/>
      <c r="AB236" s="490"/>
      <c r="AC236" s="490"/>
      <c r="AD236" s="490"/>
      <c r="AE236" s="490"/>
      <c r="AF236" s="490"/>
      <c r="AG236" s="490"/>
      <c r="AH236" s="490"/>
      <c r="AI236" s="490"/>
      <c r="AJ236" s="490"/>
      <c r="AK236" s="490"/>
      <c r="AL236" s="490"/>
      <c r="AM236" s="490"/>
      <c r="AN236" s="490"/>
      <c r="AO236" s="490"/>
      <c r="AP236" s="490"/>
      <c r="AQ236" s="490"/>
      <c r="AR236" s="490"/>
      <c r="AS236" s="490"/>
      <c r="AT236" s="490"/>
      <c r="AU236" s="490"/>
      <c r="AV236" s="490"/>
      <c r="AW236" s="490"/>
      <c r="AX236" s="490"/>
      <c r="AY236" s="490"/>
      <c r="AZ236" s="490"/>
      <c r="BA236" s="490"/>
      <c r="BB236" s="490"/>
      <c r="BC236" s="490"/>
      <c r="BD236" s="490"/>
      <c r="BE236" s="490"/>
      <c r="BF236" s="490"/>
      <c r="BG236" s="490"/>
      <c r="BH236" s="490"/>
      <c r="BI236" s="490"/>
      <c r="BJ236" s="490"/>
      <c r="BK236" s="490"/>
      <c r="BL236" s="490"/>
      <c r="BM236" s="490"/>
      <c r="BN236" s="490"/>
      <c r="BO236" s="490"/>
      <c r="BP236" s="490"/>
      <c r="BQ236" s="490"/>
      <c r="BR236" s="490"/>
      <c r="BS236" s="490"/>
      <c r="BT236" s="490"/>
      <c r="BU236" s="490"/>
      <c r="BV236" s="490"/>
      <c r="BW236" s="490"/>
      <c r="BX236" s="490"/>
      <c r="BY236" s="490"/>
      <c r="BZ236" s="490"/>
      <c r="CA236" s="490"/>
      <c r="CB236" s="490"/>
      <c r="CC236" s="490"/>
      <c r="CD236" s="490"/>
      <c r="CE236" s="490"/>
      <c r="CF236" s="490"/>
      <c r="CG236" s="490"/>
      <c r="CH236" s="490"/>
      <c r="CI236" s="490"/>
      <c r="CJ236" s="490"/>
      <c r="CK236" s="490"/>
      <c r="CL236" s="490"/>
      <c r="CM236" s="490"/>
      <c r="CN236" s="490"/>
      <c r="CO236" s="490"/>
      <c r="CP236" s="490"/>
      <c r="CQ236" s="490"/>
      <c r="CR236" s="490"/>
      <c r="CS236" s="490"/>
      <c r="CT236" s="490"/>
      <c r="CU236" s="490"/>
      <c r="CV236" s="490"/>
      <c r="CW236" s="490"/>
      <c r="CX236" s="490"/>
      <c r="CY236" s="490"/>
      <c r="CZ236" s="490"/>
      <c r="DA236" s="490"/>
      <c r="DB236" s="490"/>
      <c r="DC236" s="490"/>
      <c r="DD236" s="490"/>
      <c r="DE236" s="490"/>
      <c r="DF236" s="490"/>
      <c r="DG236" s="490"/>
      <c r="DH236" s="490"/>
      <c r="DI236" s="490"/>
      <c r="DJ236" s="490"/>
      <c r="DK236" s="490"/>
      <c r="DL236" s="490"/>
      <c r="DM236" s="490"/>
      <c r="DN236" s="490"/>
      <c r="DO236" s="490"/>
      <c r="DP236" s="490"/>
      <c r="DQ236" s="490"/>
      <c r="DR236" s="490"/>
      <c r="DS236" s="490"/>
      <c r="DT236" s="490"/>
      <c r="DU236" s="490"/>
      <c r="DV236" s="490"/>
      <c r="DW236" s="490"/>
      <c r="DX236" s="490"/>
      <c r="DY236" s="490"/>
      <c r="DZ236" s="490"/>
      <c r="EA236" s="490"/>
      <c r="EB236" s="490"/>
      <c r="EC236" s="490"/>
      <c r="ED236" s="490"/>
      <c r="EE236" s="490"/>
      <c r="EF236" s="490"/>
      <c r="EG236" s="490"/>
      <c r="EH236" s="490"/>
      <c r="EI236" s="490"/>
      <c r="EJ236" s="490"/>
      <c r="EK236" s="490"/>
      <c r="EL236" s="490"/>
      <c r="EM236" s="490"/>
      <c r="EN236" s="490"/>
      <c r="EO236" s="490"/>
      <c r="EP236" s="490"/>
      <c r="EQ236" s="490"/>
      <c r="ER236" s="490"/>
      <c r="ES236" s="490"/>
      <c r="ET236" s="490"/>
      <c r="EU236" s="490"/>
      <c r="EV236" s="490"/>
      <c r="EW236" s="490"/>
      <c r="EX236" s="490"/>
      <c r="EY236" s="490"/>
      <c r="EZ236" s="490"/>
      <c r="FA236" s="490"/>
      <c r="FB236" s="490"/>
      <c r="FC236" s="490"/>
      <c r="FD236" s="490"/>
      <c r="FE236" s="490"/>
      <c r="FF236" s="490"/>
      <c r="FG236" s="490"/>
      <c r="FH236" s="490"/>
      <c r="FI236" s="490"/>
      <c r="FJ236" s="490"/>
      <c r="FK236" s="490"/>
      <c r="FL236" s="490"/>
      <c r="FM236" s="490"/>
      <c r="FN236" s="490"/>
    </row>
    <row r="237" s="492" customFormat="1" spans="1:170">
      <c r="A237" s="539"/>
      <c r="B237" s="509"/>
      <c r="C237" s="530"/>
      <c r="D237" s="509"/>
      <c r="E237" s="509"/>
      <c r="F237" s="545" t="s">
        <v>148</v>
      </c>
      <c r="G237" s="546">
        <v>3</v>
      </c>
      <c r="H237" s="546">
        <v>0.5</v>
      </c>
      <c r="I237" s="546" t="s">
        <v>24</v>
      </c>
      <c r="J237" s="546" t="s">
        <v>24</v>
      </c>
      <c r="K237" s="564"/>
      <c r="L237" s="545"/>
      <c r="M237" s="490"/>
      <c r="N237" s="490"/>
      <c r="O237" s="490"/>
      <c r="P237" s="490"/>
      <c r="Q237" s="490"/>
      <c r="R237" s="490"/>
      <c r="S237" s="490"/>
      <c r="T237" s="490"/>
      <c r="U237" s="490"/>
      <c r="V237" s="490"/>
      <c r="W237" s="490"/>
      <c r="X237" s="490"/>
      <c r="Y237" s="490"/>
      <c r="Z237" s="490"/>
      <c r="AA237" s="490"/>
      <c r="AB237" s="490"/>
      <c r="AC237" s="490"/>
      <c r="AD237" s="490"/>
      <c r="AE237" s="490"/>
      <c r="AF237" s="490"/>
      <c r="AG237" s="490"/>
      <c r="AH237" s="490"/>
      <c r="AI237" s="490"/>
      <c r="AJ237" s="490"/>
      <c r="AK237" s="490"/>
      <c r="AL237" s="490"/>
      <c r="AM237" s="490"/>
      <c r="AN237" s="490"/>
      <c r="AO237" s="490"/>
      <c r="AP237" s="490"/>
      <c r="AQ237" s="490"/>
      <c r="AR237" s="490"/>
      <c r="AS237" s="490"/>
      <c r="AT237" s="490"/>
      <c r="AU237" s="490"/>
      <c r="AV237" s="490"/>
      <c r="AW237" s="490"/>
      <c r="AX237" s="490"/>
      <c r="AY237" s="490"/>
      <c r="AZ237" s="490"/>
      <c r="BA237" s="490"/>
      <c r="BB237" s="490"/>
      <c r="BC237" s="490"/>
      <c r="BD237" s="490"/>
      <c r="BE237" s="490"/>
      <c r="BF237" s="490"/>
      <c r="BG237" s="490"/>
      <c r="BH237" s="490"/>
      <c r="BI237" s="490"/>
      <c r="BJ237" s="490"/>
      <c r="BK237" s="490"/>
      <c r="BL237" s="490"/>
      <c r="BM237" s="490"/>
      <c r="BN237" s="490"/>
      <c r="BO237" s="490"/>
      <c r="BP237" s="490"/>
      <c r="BQ237" s="490"/>
      <c r="BR237" s="490"/>
      <c r="BS237" s="490"/>
      <c r="BT237" s="490"/>
      <c r="BU237" s="490"/>
      <c r="BV237" s="490"/>
      <c r="BW237" s="490"/>
      <c r="BX237" s="490"/>
      <c r="BY237" s="490"/>
      <c r="BZ237" s="490"/>
      <c r="CA237" s="490"/>
      <c r="CB237" s="490"/>
      <c r="CC237" s="490"/>
      <c r="CD237" s="490"/>
      <c r="CE237" s="490"/>
      <c r="CF237" s="490"/>
      <c r="CG237" s="490"/>
      <c r="CH237" s="490"/>
      <c r="CI237" s="490"/>
      <c r="CJ237" s="490"/>
      <c r="CK237" s="490"/>
      <c r="CL237" s="490"/>
      <c r="CM237" s="490"/>
      <c r="CN237" s="490"/>
      <c r="CO237" s="490"/>
      <c r="CP237" s="490"/>
      <c r="CQ237" s="490"/>
      <c r="CR237" s="490"/>
      <c r="CS237" s="490"/>
      <c r="CT237" s="490"/>
      <c r="CU237" s="490"/>
      <c r="CV237" s="490"/>
      <c r="CW237" s="490"/>
      <c r="CX237" s="490"/>
      <c r="CY237" s="490"/>
      <c r="CZ237" s="490"/>
      <c r="DA237" s="490"/>
      <c r="DB237" s="490"/>
      <c r="DC237" s="490"/>
      <c r="DD237" s="490"/>
      <c r="DE237" s="490"/>
      <c r="DF237" s="490"/>
      <c r="DG237" s="490"/>
      <c r="DH237" s="490"/>
      <c r="DI237" s="490"/>
      <c r="DJ237" s="490"/>
      <c r="DK237" s="490"/>
      <c r="DL237" s="490"/>
      <c r="DM237" s="490"/>
      <c r="DN237" s="490"/>
      <c r="DO237" s="490"/>
      <c r="DP237" s="490"/>
      <c r="DQ237" s="490"/>
      <c r="DR237" s="490"/>
      <c r="DS237" s="490"/>
      <c r="DT237" s="490"/>
      <c r="DU237" s="490"/>
      <c r="DV237" s="490"/>
      <c r="DW237" s="490"/>
      <c r="DX237" s="490"/>
      <c r="DY237" s="490"/>
      <c r="DZ237" s="490"/>
      <c r="EA237" s="490"/>
      <c r="EB237" s="490"/>
      <c r="EC237" s="490"/>
      <c r="ED237" s="490"/>
      <c r="EE237" s="490"/>
      <c r="EF237" s="490"/>
      <c r="EG237" s="490"/>
      <c r="EH237" s="490"/>
      <c r="EI237" s="490"/>
      <c r="EJ237" s="490"/>
      <c r="EK237" s="490"/>
      <c r="EL237" s="490"/>
      <c r="EM237" s="490"/>
      <c r="EN237" s="490"/>
      <c r="EO237" s="490"/>
      <c r="EP237" s="490"/>
      <c r="EQ237" s="490"/>
      <c r="ER237" s="490"/>
      <c r="ES237" s="490"/>
      <c r="ET237" s="490"/>
      <c r="EU237" s="490"/>
      <c r="EV237" s="490"/>
      <c r="EW237" s="490"/>
      <c r="EX237" s="490"/>
      <c r="EY237" s="490"/>
      <c r="EZ237" s="490"/>
      <c r="FA237" s="490"/>
      <c r="FB237" s="490"/>
      <c r="FC237" s="490"/>
      <c r="FD237" s="490"/>
      <c r="FE237" s="490"/>
      <c r="FF237" s="490"/>
      <c r="FG237" s="490"/>
      <c r="FH237" s="490"/>
      <c r="FI237" s="490"/>
      <c r="FJ237" s="490"/>
      <c r="FK237" s="490"/>
      <c r="FL237" s="490"/>
      <c r="FM237" s="490"/>
      <c r="FN237" s="490"/>
    </row>
    <row r="238" s="492" customFormat="1" spans="1:170">
      <c r="A238" s="539">
        <v>46150</v>
      </c>
      <c r="B238" s="565" t="s">
        <v>790</v>
      </c>
      <c r="C238" s="560">
        <v>5</v>
      </c>
      <c r="D238" s="566" t="s">
        <v>791</v>
      </c>
      <c r="E238" s="566" t="s">
        <v>295</v>
      </c>
      <c r="F238" s="545" t="s">
        <v>158</v>
      </c>
      <c r="G238" s="546">
        <v>0.92</v>
      </c>
      <c r="H238" s="546">
        <v>4.09</v>
      </c>
      <c r="I238" s="546" t="s">
        <v>17</v>
      </c>
      <c r="J238" s="546">
        <v>1.85</v>
      </c>
      <c r="K238" s="559" t="s">
        <v>792</v>
      </c>
      <c r="L238" s="545"/>
      <c r="M238" s="490"/>
      <c r="N238" s="490"/>
      <c r="O238" s="490"/>
      <c r="P238" s="490"/>
      <c r="Q238" s="490"/>
      <c r="R238" s="490"/>
      <c r="S238" s="490"/>
      <c r="T238" s="490"/>
      <c r="U238" s="490"/>
      <c r="V238" s="490"/>
      <c r="W238" s="490"/>
      <c r="X238" s="490"/>
      <c r="Y238" s="490"/>
      <c r="Z238" s="490"/>
      <c r="AA238" s="490"/>
      <c r="AB238" s="490"/>
      <c r="AC238" s="490"/>
      <c r="AD238" s="490"/>
      <c r="AE238" s="490"/>
      <c r="AF238" s="490"/>
      <c r="AG238" s="490"/>
      <c r="AH238" s="490"/>
      <c r="AI238" s="490"/>
      <c r="AJ238" s="490"/>
      <c r="AK238" s="490"/>
      <c r="AL238" s="490"/>
      <c r="AM238" s="490"/>
      <c r="AN238" s="490"/>
      <c r="AO238" s="490"/>
      <c r="AP238" s="490"/>
      <c r="AQ238" s="490"/>
      <c r="AR238" s="490"/>
      <c r="AS238" s="490"/>
      <c r="AT238" s="490"/>
      <c r="AU238" s="490"/>
      <c r="AV238" s="490"/>
      <c r="AW238" s="490"/>
      <c r="AX238" s="490"/>
      <c r="AY238" s="490"/>
      <c r="AZ238" s="490"/>
      <c r="BA238" s="490"/>
      <c r="BB238" s="490"/>
      <c r="BC238" s="490"/>
      <c r="BD238" s="490"/>
      <c r="BE238" s="490"/>
      <c r="BF238" s="490"/>
      <c r="BG238" s="490"/>
      <c r="BH238" s="490"/>
      <c r="BI238" s="490"/>
      <c r="BJ238" s="490"/>
      <c r="BK238" s="490"/>
      <c r="BL238" s="490"/>
      <c r="BM238" s="490"/>
      <c r="BN238" s="490"/>
      <c r="BO238" s="490"/>
      <c r="BP238" s="490"/>
      <c r="BQ238" s="490"/>
      <c r="BR238" s="490"/>
      <c r="BS238" s="490"/>
      <c r="BT238" s="490"/>
      <c r="BU238" s="490"/>
      <c r="BV238" s="490"/>
      <c r="BW238" s="490"/>
      <c r="BX238" s="490"/>
      <c r="BY238" s="490"/>
      <c r="BZ238" s="490"/>
      <c r="CA238" s="490"/>
      <c r="CB238" s="490"/>
      <c r="CC238" s="490"/>
      <c r="CD238" s="490"/>
      <c r="CE238" s="490"/>
      <c r="CF238" s="490"/>
      <c r="CG238" s="490"/>
      <c r="CH238" s="490"/>
      <c r="CI238" s="490"/>
      <c r="CJ238" s="490"/>
      <c r="CK238" s="490"/>
      <c r="CL238" s="490"/>
      <c r="CM238" s="490"/>
      <c r="CN238" s="490"/>
      <c r="CO238" s="490"/>
      <c r="CP238" s="490"/>
      <c r="CQ238" s="490"/>
      <c r="CR238" s="490"/>
      <c r="CS238" s="490"/>
      <c r="CT238" s="490"/>
      <c r="CU238" s="490"/>
      <c r="CV238" s="490"/>
      <c r="CW238" s="490"/>
      <c r="CX238" s="490"/>
      <c r="CY238" s="490"/>
      <c r="CZ238" s="490"/>
      <c r="DA238" s="490"/>
      <c r="DB238" s="490"/>
      <c r="DC238" s="490"/>
      <c r="DD238" s="490"/>
      <c r="DE238" s="490"/>
      <c r="DF238" s="490"/>
      <c r="DG238" s="490"/>
      <c r="DH238" s="490"/>
      <c r="DI238" s="490"/>
      <c r="DJ238" s="490"/>
      <c r="DK238" s="490"/>
      <c r="DL238" s="490"/>
      <c r="DM238" s="490"/>
      <c r="DN238" s="490"/>
      <c r="DO238" s="490"/>
      <c r="DP238" s="490"/>
      <c r="DQ238" s="490"/>
      <c r="DR238" s="490"/>
      <c r="DS238" s="490"/>
      <c r="DT238" s="490"/>
      <c r="DU238" s="490"/>
      <c r="DV238" s="490"/>
      <c r="DW238" s="490"/>
      <c r="DX238" s="490"/>
      <c r="DY238" s="490"/>
      <c r="DZ238" s="490"/>
      <c r="EA238" s="490"/>
      <c r="EB238" s="490"/>
      <c r="EC238" s="490"/>
      <c r="ED238" s="490"/>
      <c r="EE238" s="490"/>
      <c r="EF238" s="490"/>
      <c r="EG238" s="490"/>
      <c r="EH238" s="490"/>
      <c r="EI238" s="490"/>
      <c r="EJ238" s="490"/>
      <c r="EK238" s="490"/>
      <c r="EL238" s="490"/>
      <c r="EM238" s="490"/>
      <c r="EN238" s="490"/>
      <c r="EO238" s="490"/>
      <c r="EP238" s="490"/>
      <c r="EQ238" s="490"/>
      <c r="ER238" s="490"/>
      <c r="ES238" s="490"/>
      <c r="ET238" s="490"/>
      <c r="EU238" s="490"/>
      <c r="EV238" s="490"/>
      <c r="EW238" s="490"/>
      <c r="EX238" s="490"/>
      <c r="EY238" s="490"/>
      <c r="EZ238" s="490"/>
      <c r="FA238" s="490"/>
      <c r="FB238" s="490"/>
      <c r="FC238" s="490"/>
      <c r="FD238" s="490"/>
      <c r="FE238" s="490"/>
      <c r="FF238" s="490"/>
      <c r="FG238" s="490"/>
      <c r="FH238" s="490"/>
      <c r="FI238" s="490"/>
      <c r="FJ238" s="490"/>
      <c r="FK238" s="490"/>
      <c r="FL238" s="490"/>
      <c r="FM238" s="490"/>
      <c r="FN238" s="490"/>
    </row>
    <row r="239" s="492" customFormat="1" spans="1:170">
      <c r="A239" s="539"/>
      <c r="B239" s="565"/>
      <c r="C239" s="567"/>
      <c r="D239" s="568"/>
      <c r="E239" s="568"/>
      <c r="F239" s="545" t="s">
        <v>159</v>
      </c>
      <c r="G239" s="546">
        <v>0.92</v>
      </c>
      <c r="H239" s="546">
        <v>0.24</v>
      </c>
      <c r="I239" s="546" t="s">
        <v>22</v>
      </c>
      <c r="J239" s="546">
        <v>2.14</v>
      </c>
      <c r="K239" s="569"/>
      <c r="L239" s="545"/>
      <c r="M239" s="490"/>
      <c r="N239" s="490"/>
      <c r="O239" s="490"/>
      <c r="P239" s="490"/>
      <c r="Q239" s="490"/>
      <c r="R239" s="490"/>
      <c r="S239" s="490"/>
      <c r="T239" s="490"/>
      <c r="U239" s="490"/>
      <c r="V239" s="490"/>
      <c r="W239" s="490"/>
      <c r="X239" s="490"/>
      <c r="Y239" s="490"/>
      <c r="Z239" s="490"/>
      <c r="AA239" s="490"/>
      <c r="AB239" s="490"/>
      <c r="AC239" s="490"/>
      <c r="AD239" s="490"/>
      <c r="AE239" s="490"/>
      <c r="AF239" s="490"/>
      <c r="AG239" s="490"/>
      <c r="AH239" s="490"/>
      <c r="AI239" s="490"/>
      <c r="AJ239" s="490"/>
      <c r="AK239" s="490"/>
      <c r="AL239" s="490"/>
      <c r="AM239" s="490"/>
      <c r="AN239" s="490"/>
      <c r="AO239" s="490"/>
      <c r="AP239" s="490"/>
      <c r="AQ239" s="490"/>
      <c r="AR239" s="490"/>
      <c r="AS239" s="490"/>
      <c r="AT239" s="490"/>
      <c r="AU239" s="490"/>
      <c r="AV239" s="490"/>
      <c r="AW239" s="490"/>
      <c r="AX239" s="490"/>
      <c r="AY239" s="490"/>
      <c r="AZ239" s="490"/>
      <c r="BA239" s="490"/>
      <c r="BB239" s="490"/>
      <c r="BC239" s="490"/>
      <c r="BD239" s="490"/>
      <c r="BE239" s="490"/>
      <c r="BF239" s="490"/>
      <c r="BG239" s="490"/>
      <c r="BH239" s="490"/>
      <c r="BI239" s="490"/>
      <c r="BJ239" s="490"/>
      <c r="BK239" s="490"/>
      <c r="BL239" s="490"/>
      <c r="BM239" s="490"/>
      <c r="BN239" s="490"/>
      <c r="BO239" s="490"/>
      <c r="BP239" s="490"/>
      <c r="BQ239" s="490"/>
      <c r="BR239" s="490"/>
      <c r="BS239" s="490"/>
      <c r="BT239" s="490"/>
      <c r="BU239" s="490"/>
      <c r="BV239" s="490"/>
      <c r="BW239" s="490"/>
      <c r="BX239" s="490"/>
      <c r="BY239" s="490"/>
      <c r="BZ239" s="490"/>
      <c r="CA239" s="490"/>
      <c r="CB239" s="490"/>
      <c r="CC239" s="490"/>
      <c r="CD239" s="490"/>
      <c r="CE239" s="490"/>
      <c r="CF239" s="490"/>
      <c r="CG239" s="490"/>
      <c r="CH239" s="490"/>
      <c r="CI239" s="490"/>
      <c r="CJ239" s="490"/>
      <c r="CK239" s="490"/>
      <c r="CL239" s="490"/>
      <c r="CM239" s="490"/>
      <c r="CN239" s="490"/>
      <c r="CO239" s="490"/>
      <c r="CP239" s="490"/>
      <c r="CQ239" s="490"/>
      <c r="CR239" s="490"/>
      <c r="CS239" s="490"/>
      <c r="CT239" s="490"/>
      <c r="CU239" s="490"/>
      <c r="CV239" s="490"/>
      <c r="CW239" s="490"/>
      <c r="CX239" s="490"/>
      <c r="CY239" s="490"/>
      <c r="CZ239" s="490"/>
      <c r="DA239" s="490"/>
      <c r="DB239" s="490"/>
      <c r="DC239" s="490"/>
      <c r="DD239" s="490"/>
      <c r="DE239" s="490"/>
      <c r="DF239" s="490"/>
      <c r="DG239" s="490"/>
      <c r="DH239" s="490"/>
      <c r="DI239" s="490"/>
      <c r="DJ239" s="490"/>
      <c r="DK239" s="490"/>
      <c r="DL239" s="490"/>
      <c r="DM239" s="490"/>
      <c r="DN239" s="490"/>
      <c r="DO239" s="490"/>
      <c r="DP239" s="490"/>
      <c r="DQ239" s="490"/>
      <c r="DR239" s="490"/>
      <c r="DS239" s="490"/>
      <c r="DT239" s="490"/>
      <c r="DU239" s="490"/>
      <c r="DV239" s="490"/>
      <c r="DW239" s="490"/>
      <c r="DX239" s="490"/>
      <c r="DY239" s="490"/>
      <c r="DZ239" s="490"/>
      <c r="EA239" s="490"/>
      <c r="EB239" s="490"/>
      <c r="EC239" s="490"/>
      <c r="ED239" s="490"/>
      <c r="EE239" s="490"/>
      <c r="EF239" s="490"/>
      <c r="EG239" s="490"/>
      <c r="EH239" s="490"/>
      <c r="EI239" s="490"/>
      <c r="EJ239" s="490"/>
      <c r="EK239" s="490"/>
      <c r="EL239" s="490"/>
      <c r="EM239" s="490"/>
      <c r="EN239" s="490"/>
      <c r="EO239" s="490"/>
      <c r="EP239" s="490"/>
      <c r="EQ239" s="490"/>
      <c r="ER239" s="490"/>
      <c r="ES239" s="490"/>
      <c r="ET239" s="490"/>
      <c r="EU239" s="490"/>
      <c r="EV239" s="490"/>
      <c r="EW239" s="490"/>
      <c r="EX239" s="490"/>
      <c r="EY239" s="490"/>
      <c r="EZ239" s="490"/>
      <c r="FA239" s="490"/>
      <c r="FB239" s="490"/>
      <c r="FC239" s="490"/>
      <c r="FD239" s="490"/>
      <c r="FE239" s="490"/>
      <c r="FF239" s="490"/>
      <c r="FG239" s="490"/>
      <c r="FH239" s="490"/>
      <c r="FI239" s="490"/>
      <c r="FJ239" s="490"/>
      <c r="FK239" s="490"/>
      <c r="FL239" s="490"/>
      <c r="FM239" s="490"/>
      <c r="FN239" s="490"/>
    </row>
    <row r="240" s="492" customFormat="1" spans="1:170">
      <c r="A240" s="539"/>
      <c r="B240" s="565"/>
      <c r="C240" s="567"/>
      <c r="D240" s="568"/>
      <c r="E240" s="568"/>
      <c r="F240" s="545" t="s">
        <v>160</v>
      </c>
      <c r="G240" s="546">
        <v>0.92</v>
      </c>
      <c r="H240" s="546">
        <v>0.265</v>
      </c>
      <c r="I240" s="546" t="s">
        <v>439</v>
      </c>
      <c r="J240" s="546">
        <v>3.5</v>
      </c>
      <c r="K240" s="569"/>
      <c r="L240" s="545"/>
      <c r="M240" s="490"/>
      <c r="N240" s="490"/>
      <c r="O240" s="490"/>
      <c r="P240" s="490"/>
      <c r="Q240" s="490"/>
      <c r="R240" s="490"/>
      <c r="S240" s="490"/>
      <c r="T240" s="490"/>
      <c r="U240" s="490"/>
      <c r="V240" s="490"/>
      <c r="W240" s="490"/>
      <c r="X240" s="490"/>
      <c r="Y240" s="490"/>
      <c r="Z240" s="490"/>
      <c r="AA240" s="490"/>
      <c r="AB240" s="490"/>
      <c r="AC240" s="490"/>
      <c r="AD240" s="490"/>
      <c r="AE240" s="490"/>
      <c r="AF240" s="490"/>
      <c r="AG240" s="490"/>
      <c r="AH240" s="490"/>
      <c r="AI240" s="490"/>
      <c r="AJ240" s="490"/>
      <c r="AK240" s="490"/>
      <c r="AL240" s="490"/>
      <c r="AM240" s="490"/>
      <c r="AN240" s="490"/>
      <c r="AO240" s="490"/>
      <c r="AP240" s="490"/>
      <c r="AQ240" s="490"/>
      <c r="AR240" s="490"/>
      <c r="AS240" s="490"/>
      <c r="AT240" s="490"/>
      <c r="AU240" s="490"/>
      <c r="AV240" s="490"/>
      <c r="AW240" s="490"/>
      <c r="AX240" s="490"/>
      <c r="AY240" s="490"/>
      <c r="AZ240" s="490"/>
      <c r="BA240" s="490"/>
      <c r="BB240" s="490"/>
      <c r="BC240" s="490"/>
      <c r="BD240" s="490"/>
      <c r="BE240" s="490"/>
      <c r="BF240" s="490"/>
      <c r="BG240" s="490"/>
      <c r="BH240" s="490"/>
      <c r="BI240" s="490"/>
      <c r="BJ240" s="490"/>
      <c r="BK240" s="490"/>
      <c r="BL240" s="490"/>
      <c r="BM240" s="490"/>
      <c r="BN240" s="490"/>
      <c r="BO240" s="490"/>
      <c r="BP240" s="490"/>
      <c r="BQ240" s="490"/>
      <c r="BR240" s="490"/>
      <c r="BS240" s="490"/>
      <c r="BT240" s="490"/>
      <c r="BU240" s="490"/>
      <c r="BV240" s="490"/>
      <c r="BW240" s="490"/>
      <c r="BX240" s="490"/>
      <c r="BY240" s="490"/>
      <c r="BZ240" s="490"/>
      <c r="CA240" s="490"/>
      <c r="CB240" s="490"/>
      <c r="CC240" s="490"/>
      <c r="CD240" s="490"/>
      <c r="CE240" s="490"/>
      <c r="CF240" s="490"/>
      <c r="CG240" s="490"/>
      <c r="CH240" s="490"/>
      <c r="CI240" s="490"/>
      <c r="CJ240" s="490"/>
      <c r="CK240" s="490"/>
      <c r="CL240" s="490"/>
      <c r="CM240" s="490"/>
      <c r="CN240" s="490"/>
      <c r="CO240" s="490"/>
      <c r="CP240" s="490"/>
      <c r="CQ240" s="490"/>
      <c r="CR240" s="490"/>
      <c r="CS240" s="490"/>
      <c r="CT240" s="490"/>
      <c r="CU240" s="490"/>
      <c r="CV240" s="490"/>
      <c r="CW240" s="490"/>
      <c r="CX240" s="490"/>
      <c r="CY240" s="490"/>
      <c r="CZ240" s="490"/>
      <c r="DA240" s="490"/>
      <c r="DB240" s="490"/>
      <c r="DC240" s="490"/>
      <c r="DD240" s="490"/>
      <c r="DE240" s="490"/>
      <c r="DF240" s="490"/>
      <c r="DG240" s="490"/>
      <c r="DH240" s="490"/>
      <c r="DI240" s="490"/>
      <c r="DJ240" s="490"/>
      <c r="DK240" s="490"/>
      <c r="DL240" s="490"/>
      <c r="DM240" s="490"/>
      <c r="DN240" s="490"/>
      <c r="DO240" s="490"/>
      <c r="DP240" s="490"/>
      <c r="DQ240" s="490"/>
      <c r="DR240" s="490"/>
      <c r="DS240" s="490"/>
      <c r="DT240" s="490"/>
      <c r="DU240" s="490"/>
      <c r="DV240" s="490"/>
      <c r="DW240" s="490"/>
      <c r="DX240" s="490"/>
      <c r="DY240" s="490"/>
      <c r="DZ240" s="490"/>
      <c r="EA240" s="490"/>
      <c r="EB240" s="490"/>
      <c r="EC240" s="490"/>
      <c r="ED240" s="490"/>
      <c r="EE240" s="490"/>
      <c r="EF240" s="490"/>
      <c r="EG240" s="490"/>
      <c r="EH240" s="490"/>
      <c r="EI240" s="490"/>
      <c r="EJ240" s="490"/>
      <c r="EK240" s="490"/>
      <c r="EL240" s="490"/>
      <c r="EM240" s="490"/>
      <c r="EN240" s="490"/>
      <c r="EO240" s="490"/>
      <c r="EP240" s="490"/>
      <c r="EQ240" s="490"/>
      <c r="ER240" s="490"/>
      <c r="ES240" s="490"/>
      <c r="ET240" s="490"/>
      <c r="EU240" s="490"/>
      <c r="EV240" s="490"/>
      <c r="EW240" s="490"/>
      <c r="EX240" s="490"/>
      <c r="EY240" s="490"/>
      <c r="EZ240" s="490"/>
      <c r="FA240" s="490"/>
      <c r="FB240" s="490"/>
      <c r="FC240" s="490"/>
      <c r="FD240" s="490"/>
      <c r="FE240" s="490"/>
      <c r="FF240" s="490"/>
      <c r="FG240" s="490"/>
      <c r="FH240" s="490"/>
      <c r="FI240" s="490"/>
      <c r="FJ240" s="490"/>
      <c r="FK240" s="490"/>
      <c r="FL240" s="490"/>
      <c r="FM240" s="490"/>
      <c r="FN240" s="490"/>
    </row>
    <row r="241" s="492" customFormat="1" spans="1:170">
      <c r="A241" s="522"/>
      <c r="B241" s="566"/>
      <c r="C241" s="567"/>
      <c r="D241" s="568"/>
      <c r="E241" s="568"/>
      <c r="F241" s="559" t="s">
        <v>148</v>
      </c>
      <c r="G241" s="560">
        <v>2.84</v>
      </c>
      <c r="H241" s="560">
        <v>0.405</v>
      </c>
      <c r="I241" s="560" t="s">
        <v>24</v>
      </c>
      <c r="J241" s="546" t="s">
        <v>24</v>
      </c>
      <c r="K241" s="569"/>
      <c r="L241" s="545"/>
      <c r="M241" s="490"/>
      <c r="N241" s="490"/>
      <c r="O241" s="490"/>
      <c r="P241" s="490"/>
      <c r="Q241" s="490"/>
      <c r="R241" s="490"/>
      <c r="S241" s="490"/>
      <c r="T241" s="490"/>
      <c r="U241" s="490"/>
      <c r="V241" s="490"/>
      <c r="W241" s="490"/>
      <c r="X241" s="490"/>
      <c r="Y241" s="490"/>
      <c r="Z241" s="490"/>
      <c r="AA241" s="490"/>
      <c r="AB241" s="490"/>
      <c r="AC241" s="490"/>
      <c r="AD241" s="490"/>
      <c r="AE241" s="490"/>
      <c r="AF241" s="490"/>
      <c r="AG241" s="490"/>
      <c r="AH241" s="490"/>
      <c r="AI241" s="490"/>
      <c r="AJ241" s="490"/>
      <c r="AK241" s="490"/>
      <c r="AL241" s="490"/>
      <c r="AM241" s="490"/>
      <c r="AN241" s="490"/>
      <c r="AO241" s="490"/>
      <c r="AP241" s="490"/>
      <c r="AQ241" s="490"/>
      <c r="AR241" s="490"/>
      <c r="AS241" s="490"/>
      <c r="AT241" s="490"/>
      <c r="AU241" s="490"/>
      <c r="AV241" s="490"/>
      <c r="AW241" s="490"/>
      <c r="AX241" s="490"/>
      <c r="AY241" s="490"/>
      <c r="AZ241" s="490"/>
      <c r="BA241" s="490"/>
      <c r="BB241" s="490"/>
      <c r="BC241" s="490"/>
      <c r="BD241" s="490"/>
      <c r="BE241" s="490"/>
      <c r="BF241" s="490"/>
      <c r="BG241" s="490"/>
      <c r="BH241" s="490"/>
      <c r="BI241" s="490"/>
      <c r="BJ241" s="490"/>
      <c r="BK241" s="490"/>
      <c r="BL241" s="490"/>
      <c r="BM241" s="490"/>
      <c r="BN241" s="490"/>
      <c r="BO241" s="490"/>
      <c r="BP241" s="490"/>
      <c r="BQ241" s="490"/>
      <c r="BR241" s="490"/>
      <c r="BS241" s="490"/>
      <c r="BT241" s="490"/>
      <c r="BU241" s="490"/>
      <c r="BV241" s="490"/>
      <c r="BW241" s="490"/>
      <c r="BX241" s="490"/>
      <c r="BY241" s="490"/>
      <c r="BZ241" s="490"/>
      <c r="CA241" s="490"/>
      <c r="CB241" s="490"/>
      <c r="CC241" s="490"/>
      <c r="CD241" s="490"/>
      <c r="CE241" s="490"/>
      <c r="CF241" s="490"/>
      <c r="CG241" s="490"/>
      <c r="CH241" s="490"/>
      <c r="CI241" s="490"/>
      <c r="CJ241" s="490"/>
      <c r="CK241" s="490"/>
      <c r="CL241" s="490"/>
      <c r="CM241" s="490"/>
      <c r="CN241" s="490"/>
      <c r="CO241" s="490"/>
      <c r="CP241" s="490"/>
      <c r="CQ241" s="490"/>
      <c r="CR241" s="490"/>
      <c r="CS241" s="490"/>
      <c r="CT241" s="490"/>
      <c r="CU241" s="490"/>
      <c r="CV241" s="490"/>
      <c r="CW241" s="490"/>
      <c r="CX241" s="490"/>
      <c r="CY241" s="490"/>
      <c r="CZ241" s="490"/>
      <c r="DA241" s="490"/>
      <c r="DB241" s="490"/>
      <c r="DC241" s="490"/>
      <c r="DD241" s="490"/>
      <c r="DE241" s="490"/>
      <c r="DF241" s="490"/>
      <c r="DG241" s="490"/>
      <c r="DH241" s="490"/>
      <c r="DI241" s="490"/>
      <c r="DJ241" s="490"/>
      <c r="DK241" s="490"/>
      <c r="DL241" s="490"/>
      <c r="DM241" s="490"/>
      <c r="DN241" s="490"/>
      <c r="DO241" s="490"/>
      <c r="DP241" s="490"/>
      <c r="DQ241" s="490"/>
      <c r="DR241" s="490"/>
      <c r="DS241" s="490"/>
      <c r="DT241" s="490"/>
      <c r="DU241" s="490"/>
      <c r="DV241" s="490"/>
      <c r="DW241" s="490"/>
      <c r="DX241" s="490"/>
      <c r="DY241" s="490"/>
      <c r="DZ241" s="490"/>
      <c r="EA241" s="490"/>
      <c r="EB241" s="490"/>
      <c r="EC241" s="490"/>
      <c r="ED241" s="490"/>
      <c r="EE241" s="490"/>
      <c r="EF241" s="490"/>
      <c r="EG241" s="490"/>
      <c r="EH241" s="490"/>
      <c r="EI241" s="490"/>
      <c r="EJ241" s="490"/>
      <c r="EK241" s="490"/>
      <c r="EL241" s="490"/>
      <c r="EM241" s="490"/>
      <c r="EN241" s="490"/>
      <c r="EO241" s="490"/>
      <c r="EP241" s="490"/>
      <c r="EQ241" s="490"/>
      <c r="ER241" s="490"/>
      <c r="ES241" s="490"/>
      <c r="ET241" s="490"/>
      <c r="EU241" s="490"/>
      <c r="EV241" s="490"/>
      <c r="EW241" s="490"/>
      <c r="EX241" s="490"/>
      <c r="EY241" s="490"/>
      <c r="EZ241" s="490"/>
      <c r="FA241" s="490"/>
      <c r="FB241" s="490"/>
      <c r="FC241" s="490"/>
      <c r="FD241" s="490"/>
      <c r="FE241" s="490"/>
      <c r="FF241" s="490"/>
      <c r="FG241" s="490"/>
      <c r="FH241" s="490"/>
      <c r="FI241" s="490"/>
      <c r="FJ241" s="490"/>
      <c r="FK241" s="490"/>
      <c r="FL241" s="490"/>
      <c r="FM241" s="490"/>
      <c r="FN241" s="490"/>
    </row>
    <row r="242" s="492" customFormat="1" spans="1:170">
      <c r="A242" s="540">
        <v>46161</v>
      </c>
      <c r="B242" s="515" t="s">
        <v>793</v>
      </c>
      <c r="C242" s="541">
        <v>6</v>
      </c>
      <c r="D242" s="515" t="s">
        <v>66</v>
      </c>
      <c r="E242" s="515" t="s">
        <v>66</v>
      </c>
      <c r="F242" s="515" t="s">
        <v>73</v>
      </c>
      <c r="G242" s="541">
        <v>2</v>
      </c>
      <c r="H242" s="560">
        <v>5</v>
      </c>
      <c r="I242" s="546" t="s">
        <v>17</v>
      </c>
      <c r="J242" s="546">
        <v>2.16</v>
      </c>
      <c r="K242" s="515" t="s">
        <v>597</v>
      </c>
      <c r="L242" s="559"/>
      <c r="M242" s="490"/>
      <c r="N242" s="490"/>
      <c r="O242" s="490"/>
      <c r="P242" s="490"/>
      <c r="Q242" s="490"/>
      <c r="R242" s="490"/>
      <c r="S242" s="490"/>
      <c r="T242" s="490"/>
      <c r="U242" s="490"/>
      <c r="V242" s="490"/>
      <c r="W242" s="490"/>
      <c r="X242" s="490"/>
      <c r="Y242" s="490"/>
      <c r="Z242" s="490"/>
      <c r="AA242" s="490"/>
      <c r="AB242" s="490"/>
      <c r="AC242" s="490"/>
      <c r="AD242" s="490"/>
      <c r="AE242" s="490"/>
      <c r="AF242" s="490"/>
      <c r="AG242" s="490"/>
      <c r="AH242" s="490"/>
      <c r="AI242" s="490"/>
      <c r="AJ242" s="490"/>
      <c r="AK242" s="490"/>
      <c r="AL242" s="490"/>
      <c r="AM242" s="490"/>
      <c r="AN242" s="490"/>
      <c r="AO242" s="490"/>
      <c r="AP242" s="490"/>
      <c r="AQ242" s="490"/>
      <c r="AR242" s="490"/>
      <c r="AS242" s="490"/>
      <c r="AT242" s="490"/>
      <c r="AU242" s="490"/>
      <c r="AV242" s="490"/>
      <c r="AW242" s="490"/>
      <c r="AX242" s="490"/>
      <c r="AY242" s="490"/>
      <c r="AZ242" s="490"/>
      <c r="BA242" s="490"/>
      <c r="BB242" s="490"/>
      <c r="BC242" s="490"/>
      <c r="BD242" s="490"/>
      <c r="BE242" s="490"/>
      <c r="BF242" s="490"/>
      <c r="BG242" s="490"/>
      <c r="BH242" s="490"/>
      <c r="BI242" s="490"/>
      <c r="BJ242" s="490"/>
      <c r="BK242" s="490"/>
      <c r="BL242" s="490"/>
      <c r="BM242" s="490"/>
      <c r="BN242" s="490"/>
      <c r="BO242" s="490"/>
      <c r="BP242" s="490"/>
      <c r="BQ242" s="490"/>
      <c r="BR242" s="490"/>
      <c r="BS242" s="490"/>
      <c r="BT242" s="490"/>
      <c r="BU242" s="490"/>
      <c r="BV242" s="490"/>
      <c r="BW242" s="490"/>
      <c r="BX242" s="490"/>
      <c r="BY242" s="490"/>
      <c r="BZ242" s="490"/>
      <c r="CA242" s="490"/>
      <c r="CB242" s="490"/>
      <c r="CC242" s="490"/>
      <c r="CD242" s="490"/>
      <c r="CE242" s="490"/>
      <c r="CF242" s="490"/>
      <c r="CG242" s="490"/>
      <c r="CH242" s="490"/>
      <c r="CI242" s="490"/>
      <c r="CJ242" s="490"/>
      <c r="CK242" s="490"/>
      <c r="CL242" s="490"/>
      <c r="CM242" s="490"/>
      <c r="CN242" s="490"/>
      <c r="CO242" s="490"/>
      <c r="CP242" s="490"/>
      <c r="CQ242" s="490"/>
      <c r="CR242" s="490"/>
      <c r="CS242" s="490"/>
      <c r="CT242" s="490"/>
      <c r="CU242" s="490"/>
      <c r="CV242" s="490"/>
      <c r="CW242" s="490"/>
      <c r="CX242" s="490"/>
      <c r="CY242" s="490"/>
      <c r="CZ242" s="490"/>
      <c r="DA242" s="490"/>
      <c r="DB242" s="490"/>
      <c r="DC242" s="490"/>
      <c r="DD242" s="490"/>
      <c r="DE242" s="490"/>
      <c r="DF242" s="490"/>
      <c r="DG242" s="490"/>
      <c r="DH242" s="490"/>
      <c r="DI242" s="490"/>
      <c r="DJ242" s="490"/>
      <c r="DK242" s="490"/>
      <c r="DL242" s="490"/>
      <c r="DM242" s="490"/>
      <c r="DN242" s="490"/>
      <c r="DO242" s="490"/>
      <c r="DP242" s="490"/>
      <c r="DQ242" s="490"/>
      <c r="DR242" s="490"/>
      <c r="DS242" s="490"/>
      <c r="DT242" s="490"/>
      <c r="DU242" s="490"/>
      <c r="DV242" s="490"/>
      <c r="DW242" s="490"/>
      <c r="DX242" s="490"/>
      <c r="DY242" s="490"/>
      <c r="DZ242" s="490"/>
      <c r="EA242" s="490"/>
      <c r="EB242" s="490"/>
      <c r="EC242" s="490"/>
      <c r="ED242" s="490"/>
      <c r="EE242" s="490"/>
      <c r="EF242" s="490"/>
      <c r="EG242" s="490"/>
      <c r="EH242" s="490"/>
      <c r="EI242" s="490"/>
      <c r="EJ242" s="490"/>
      <c r="EK242" s="490"/>
      <c r="EL242" s="490"/>
      <c r="EM242" s="490"/>
      <c r="EN242" s="490"/>
      <c r="EO242" s="490"/>
      <c r="EP242" s="490"/>
      <c r="EQ242" s="490"/>
      <c r="ER242" s="490"/>
      <c r="ES242" s="490"/>
      <c r="ET242" s="490"/>
      <c r="EU242" s="490"/>
      <c r="EV242" s="490"/>
      <c r="EW242" s="490"/>
      <c r="EX242" s="490"/>
      <c r="EY242" s="490"/>
      <c r="EZ242" s="490"/>
      <c r="FA242" s="490"/>
      <c r="FB242" s="490"/>
      <c r="FC242" s="490"/>
      <c r="FD242" s="490"/>
      <c r="FE242" s="490"/>
      <c r="FF242" s="490"/>
      <c r="FG242" s="490"/>
      <c r="FH242" s="490"/>
      <c r="FI242" s="490"/>
      <c r="FJ242" s="490"/>
      <c r="FK242" s="490"/>
      <c r="FL242" s="490"/>
      <c r="FM242" s="490"/>
      <c r="FN242" s="490"/>
    </row>
    <row r="243" s="492" customFormat="1" spans="1:170">
      <c r="A243" s="540"/>
      <c r="B243" s="515"/>
      <c r="C243" s="541"/>
      <c r="D243" s="515"/>
      <c r="E243" s="515"/>
      <c r="F243" s="515" t="s">
        <v>75</v>
      </c>
      <c r="G243" s="541">
        <v>2</v>
      </c>
      <c r="H243" s="560">
        <v>0.3</v>
      </c>
      <c r="I243" s="546" t="s">
        <v>22</v>
      </c>
      <c r="J243" s="546">
        <v>2.6</v>
      </c>
      <c r="K243" s="515"/>
      <c r="L243" s="569"/>
      <c r="M243" s="490"/>
      <c r="N243" s="490"/>
      <c r="O243" s="490"/>
      <c r="P243" s="490"/>
      <c r="Q243" s="490"/>
      <c r="R243" s="490"/>
      <c r="S243" s="490"/>
      <c r="T243" s="490"/>
      <c r="U243" s="490"/>
      <c r="V243" s="490"/>
      <c r="W243" s="490"/>
      <c r="X243" s="490"/>
      <c r="Y243" s="490"/>
      <c r="Z243" s="490"/>
      <c r="AA243" s="490"/>
      <c r="AB243" s="490"/>
      <c r="AC243" s="490"/>
      <c r="AD243" s="490"/>
      <c r="AE243" s="490"/>
      <c r="AF243" s="490"/>
      <c r="AG243" s="490"/>
      <c r="AH243" s="490"/>
      <c r="AI243" s="490"/>
      <c r="AJ243" s="490"/>
      <c r="AK243" s="490"/>
      <c r="AL243" s="490"/>
      <c r="AM243" s="490"/>
      <c r="AN243" s="490"/>
      <c r="AO243" s="490"/>
      <c r="AP243" s="490"/>
      <c r="AQ243" s="490"/>
      <c r="AR243" s="490"/>
      <c r="AS243" s="490"/>
      <c r="AT243" s="490"/>
      <c r="AU243" s="490"/>
      <c r="AV243" s="490"/>
      <c r="AW243" s="490"/>
      <c r="AX243" s="490"/>
      <c r="AY243" s="490"/>
      <c r="AZ243" s="490"/>
      <c r="BA243" s="490"/>
      <c r="BB243" s="490"/>
      <c r="BC243" s="490"/>
      <c r="BD243" s="490"/>
      <c r="BE243" s="490"/>
      <c r="BF243" s="490"/>
      <c r="BG243" s="490"/>
      <c r="BH243" s="490"/>
      <c r="BI243" s="490"/>
      <c r="BJ243" s="490"/>
      <c r="BK243" s="490"/>
      <c r="BL243" s="490"/>
      <c r="BM243" s="490"/>
      <c r="BN243" s="490"/>
      <c r="BO243" s="490"/>
      <c r="BP243" s="490"/>
      <c r="BQ243" s="490"/>
      <c r="BR243" s="490"/>
      <c r="BS243" s="490"/>
      <c r="BT243" s="490"/>
      <c r="BU243" s="490"/>
      <c r="BV243" s="490"/>
      <c r="BW243" s="490"/>
      <c r="BX243" s="490"/>
      <c r="BY243" s="490"/>
      <c r="BZ243" s="490"/>
      <c r="CA243" s="490"/>
      <c r="CB243" s="490"/>
      <c r="CC243" s="490"/>
      <c r="CD243" s="490"/>
      <c r="CE243" s="490"/>
      <c r="CF243" s="490"/>
      <c r="CG243" s="490"/>
      <c r="CH243" s="490"/>
      <c r="CI243" s="490"/>
      <c r="CJ243" s="490"/>
      <c r="CK243" s="490"/>
      <c r="CL243" s="490"/>
      <c r="CM243" s="490"/>
      <c r="CN243" s="490"/>
      <c r="CO243" s="490"/>
      <c r="CP243" s="490"/>
      <c r="CQ243" s="490"/>
      <c r="CR243" s="490"/>
      <c r="CS243" s="490"/>
      <c r="CT243" s="490"/>
      <c r="CU243" s="490"/>
      <c r="CV243" s="490"/>
      <c r="CW243" s="490"/>
      <c r="CX243" s="490"/>
      <c r="CY243" s="490"/>
      <c r="CZ243" s="490"/>
      <c r="DA243" s="490"/>
      <c r="DB243" s="490"/>
      <c r="DC243" s="490"/>
      <c r="DD243" s="490"/>
      <c r="DE243" s="490"/>
      <c r="DF243" s="490"/>
      <c r="DG243" s="490"/>
      <c r="DH243" s="490"/>
      <c r="DI243" s="490"/>
      <c r="DJ243" s="490"/>
      <c r="DK243" s="490"/>
      <c r="DL243" s="490"/>
      <c r="DM243" s="490"/>
      <c r="DN243" s="490"/>
      <c r="DO243" s="490"/>
      <c r="DP243" s="490"/>
      <c r="DQ243" s="490"/>
      <c r="DR243" s="490"/>
      <c r="DS243" s="490"/>
      <c r="DT243" s="490"/>
      <c r="DU243" s="490"/>
      <c r="DV243" s="490"/>
      <c r="DW243" s="490"/>
      <c r="DX243" s="490"/>
      <c r="DY243" s="490"/>
      <c r="DZ243" s="490"/>
      <c r="EA243" s="490"/>
      <c r="EB243" s="490"/>
      <c r="EC243" s="490"/>
      <c r="ED243" s="490"/>
      <c r="EE243" s="490"/>
      <c r="EF243" s="490"/>
      <c r="EG243" s="490"/>
      <c r="EH243" s="490"/>
      <c r="EI243" s="490"/>
      <c r="EJ243" s="490"/>
      <c r="EK243" s="490"/>
      <c r="EL243" s="490"/>
      <c r="EM243" s="490"/>
      <c r="EN243" s="490"/>
      <c r="EO243" s="490"/>
      <c r="EP243" s="490"/>
      <c r="EQ243" s="490"/>
      <c r="ER243" s="490"/>
      <c r="ES243" s="490"/>
      <c r="ET243" s="490"/>
      <c r="EU243" s="490"/>
      <c r="EV243" s="490"/>
      <c r="EW243" s="490"/>
      <c r="EX243" s="490"/>
      <c r="EY243" s="490"/>
      <c r="EZ243" s="490"/>
      <c r="FA243" s="490"/>
      <c r="FB243" s="490"/>
      <c r="FC243" s="490"/>
      <c r="FD243" s="490"/>
      <c r="FE243" s="490"/>
      <c r="FF243" s="490"/>
      <c r="FG243" s="490"/>
      <c r="FH243" s="490"/>
      <c r="FI243" s="490"/>
      <c r="FJ243" s="490"/>
      <c r="FK243" s="490"/>
      <c r="FL243" s="490"/>
      <c r="FM243" s="490"/>
      <c r="FN243" s="490"/>
    </row>
    <row r="244" s="492" customFormat="1" spans="1:170">
      <c r="A244" s="540"/>
      <c r="B244" s="515"/>
      <c r="C244" s="541"/>
      <c r="D244" s="515"/>
      <c r="E244" s="515"/>
      <c r="F244" s="515" t="s">
        <v>90</v>
      </c>
      <c r="G244" s="541">
        <v>2</v>
      </c>
      <c r="H244" s="560">
        <v>0.28</v>
      </c>
      <c r="I244" s="546" t="s">
        <v>44</v>
      </c>
      <c r="J244" s="546">
        <v>4</v>
      </c>
      <c r="K244" s="515"/>
      <c r="L244" s="569"/>
      <c r="M244" s="490"/>
      <c r="N244" s="490"/>
      <c r="O244" s="490"/>
      <c r="P244" s="490"/>
      <c r="Q244" s="490"/>
      <c r="R244" s="490"/>
      <c r="S244" s="490"/>
      <c r="T244" s="490"/>
      <c r="U244" s="490"/>
      <c r="V244" s="490"/>
      <c r="W244" s="490"/>
      <c r="X244" s="490"/>
      <c r="Y244" s="490"/>
      <c r="Z244" s="490"/>
      <c r="AA244" s="490"/>
      <c r="AB244" s="490"/>
      <c r="AC244" s="490"/>
      <c r="AD244" s="490"/>
      <c r="AE244" s="490"/>
      <c r="AF244" s="490"/>
      <c r="AG244" s="490"/>
      <c r="AH244" s="490"/>
      <c r="AI244" s="490"/>
      <c r="AJ244" s="490"/>
      <c r="AK244" s="490"/>
      <c r="AL244" s="490"/>
      <c r="AM244" s="490"/>
      <c r="AN244" s="490"/>
      <c r="AO244" s="490"/>
      <c r="AP244" s="490"/>
      <c r="AQ244" s="490"/>
      <c r="AR244" s="490"/>
      <c r="AS244" s="490"/>
      <c r="AT244" s="490"/>
      <c r="AU244" s="490"/>
      <c r="AV244" s="490"/>
      <c r="AW244" s="490"/>
      <c r="AX244" s="490"/>
      <c r="AY244" s="490"/>
      <c r="AZ244" s="490"/>
      <c r="BA244" s="490"/>
      <c r="BB244" s="490"/>
      <c r="BC244" s="490"/>
      <c r="BD244" s="490"/>
      <c r="BE244" s="490"/>
      <c r="BF244" s="490"/>
      <c r="BG244" s="490"/>
      <c r="BH244" s="490"/>
      <c r="BI244" s="490"/>
      <c r="BJ244" s="490"/>
      <c r="BK244" s="490"/>
      <c r="BL244" s="490"/>
      <c r="BM244" s="490"/>
      <c r="BN244" s="490"/>
      <c r="BO244" s="490"/>
      <c r="BP244" s="490"/>
      <c r="BQ244" s="490"/>
      <c r="BR244" s="490"/>
      <c r="BS244" s="490"/>
      <c r="BT244" s="490"/>
      <c r="BU244" s="490"/>
      <c r="BV244" s="490"/>
      <c r="BW244" s="490"/>
      <c r="BX244" s="490"/>
      <c r="BY244" s="490"/>
      <c r="BZ244" s="490"/>
      <c r="CA244" s="490"/>
      <c r="CB244" s="490"/>
      <c r="CC244" s="490"/>
      <c r="CD244" s="490"/>
      <c r="CE244" s="490"/>
      <c r="CF244" s="490"/>
      <c r="CG244" s="490"/>
      <c r="CH244" s="490"/>
      <c r="CI244" s="490"/>
      <c r="CJ244" s="490"/>
      <c r="CK244" s="490"/>
      <c r="CL244" s="490"/>
      <c r="CM244" s="490"/>
      <c r="CN244" s="490"/>
      <c r="CO244" s="490"/>
      <c r="CP244" s="490"/>
      <c r="CQ244" s="490"/>
      <c r="CR244" s="490"/>
      <c r="CS244" s="490"/>
      <c r="CT244" s="490"/>
      <c r="CU244" s="490"/>
      <c r="CV244" s="490"/>
      <c r="CW244" s="490"/>
      <c r="CX244" s="490"/>
      <c r="CY244" s="490"/>
      <c r="CZ244" s="490"/>
      <c r="DA244" s="490"/>
      <c r="DB244" s="490"/>
      <c r="DC244" s="490"/>
      <c r="DD244" s="490"/>
      <c r="DE244" s="490"/>
      <c r="DF244" s="490"/>
      <c r="DG244" s="490"/>
      <c r="DH244" s="490"/>
      <c r="DI244" s="490"/>
      <c r="DJ244" s="490"/>
      <c r="DK244" s="490"/>
      <c r="DL244" s="490"/>
      <c r="DM244" s="490"/>
      <c r="DN244" s="490"/>
      <c r="DO244" s="490"/>
      <c r="DP244" s="490"/>
      <c r="DQ244" s="490"/>
      <c r="DR244" s="490"/>
      <c r="DS244" s="490"/>
      <c r="DT244" s="490"/>
      <c r="DU244" s="490"/>
      <c r="DV244" s="490"/>
      <c r="DW244" s="490"/>
      <c r="DX244" s="490"/>
      <c r="DY244" s="490"/>
      <c r="DZ244" s="490"/>
      <c r="EA244" s="490"/>
      <c r="EB244" s="490"/>
      <c r="EC244" s="490"/>
      <c r="ED244" s="490"/>
      <c r="EE244" s="490"/>
      <c r="EF244" s="490"/>
      <c r="EG244" s="490"/>
      <c r="EH244" s="490"/>
      <c r="EI244" s="490"/>
      <c r="EJ244" s="490"/>
      <c r="EK244" s="490"/>
      <c r="EL244" s="490"/>
      <c r="EM244" s="490"/>
      <c r="EN244" s="490"/>
      <c r="EO244" s="490"/>
      <c r="EP244" s="490"/>
      <c r="EQ244" s="490"/>
      <c r="ER244" s="490"/>
      <c r="ES244" s="490"/>
      <c r="ET244" s="490"/>
      <c r="EU244" s="490"/>
      <c r="EV244" s="490"/>
      <c r="EW244" s="490"/>
      <c r="EX244" s="490"/>
      <c r="EY244" s="490"/>
      <c r="EZ244" s="490"/>
      <c r="FA244" s="490"/>
      <c r="FB244" s="490"/>
      <c r="FC244" s="490"/>
      <c r="FD244" s="490"/>
      <c r="FE244" s="490"/>
      <c r="FF244" s="490"/>
      <c r="FG244" s="490"/>
      <c r="FH244" s="490"/>
      <c r="FI244" s="490"/>
      <c r="FJ244" s="490"/>
      <c r="FK244" s="490"/>
      <c r="FL244" s="490"/>
      <c r="FM244" s="490"/>
      <c r="FN244" s="490"/>
    </row>
    <row r="245" s="492" customFormat="1" spans="1:170">
      <c r="A245" s="540"/>
      <c r="B245" s="515"/>
      <c r="C245" s="541"/>
      <c r="D245" s="515"/>
      <c r="E245" s="515"/>
      <c r="F245" s="515" t="s">
        <v>91</v>
      </c>
      <c r="G245" s="541">
        <v>2</v>
      </c>
      <c r="H245" s="560">
        <v>0.42</v>
      </c>
      <c r="I245" s="546" t="s">
        <v>24</v>
      </c>
      <c r="J245" s="546" t="s">
        <v>24</v>
      </c>
      <c r="K245" s="515"/>
      <c r="L245" s="570"/>
      <c r="M245" s="490"/>
      <c r="N245" s="490"/>
      <c r="O245" s="490"/>
      <c r="P245" s="490"/>
      <c r="Q245" s="490"/>
      <c r="R245" s="490"/>
      <c r="S245" s="490"/>
      <c r="T245" s="490"/>
      <c r="U245" s="490"/>
      <c r="V245" s="490"/>
      <c r="W245" s="490"/>
      <c r="X245" s="490"/>
      <c r="Y245" s="490"/>
      <c r="Z245" s="490"/>
      <c r="AA245" s="490"/>
      <c r="AB245" s="490"/>
      <c r="AC245" s="490"/>
      <c r="AD245" s="490"/>
      <c r="AE245" s="490"/>
      <c r="AF245" s="490"/>
      <c r="AG245" s="490"/>
      <c r="AH245" s="490"/>
      <c r="AI245" s="490"/>
      <c r="AJ245" s="490"/>
      <c r="AK245" s="490"/>
      <c r="AL245" s="490"/>
      <c r="AM245" s="490"/>
      <c r="AN245" s="490"/>
      <c r="AO245" s="490"/>
      <c r="AP245" s="490"/>
      <c r="AQ245" s="490"/>
      <c r="AR245" s="490"/>
      <c r="AS245" s="490"/>
      <c r="AT245" s="490"/>
      <c r="AU245" s="490"/>
      <c r="AV245" s="490"/>
      <c r="AW245" s="490"/>
      <c r="AX245" s="490"/>
      <c r="AY245" s="490"/>
      <c r="AZ245" s="490"/>
      <c r="BA245" s="490"/>
      <c r="BB245" s="490"/>
      <c r="BC245" s="490"/>
      <c r="BD245" s="490"/>
      <c r="BE245" s="490"/>
      <c r="BF245" s="490"/>
      <c r="BG245" s="490"/>
      <c r="BH245" s="490"/>
      <c r="BI245" s="490"/>
      <c r="BJ245" s="490"/>
      <c r="BK245" s="490"/>
      <c r="BL245" s="490"/>
      <c r="BM245" s="490"/>
      <c r="BN245" s="490"/>
      <c r="BO245" s="490"/>
      <c r="BP245" s="490"/>
      <c r="BQ245" s="490"/>
      <c r="BR245" s="490"/>
      <c r="BS245" s="490"/>
      <c r="BT245" s="490"/>
      <c r="BU245" s="490"/>
      <c r="BV245" s="490"/>
      <c r="BW245" s="490"/>
      <c r="BX245" s="490"/>
      <c r="BY245" s="490"/>
      <c r="BZ245" s="490"/>
      <c r="CA245" s="490"/>
      <c r="CB245" s="490"/>
      <c r="CC245" s="490"/>
      <c r="CD245" s="490"/>
      <c r="CE245" s="490"/>
      <c r="CF245" s="490"/>
      <c r="CG245" s="490"/>
      <c r="CH245" s="490"/>
      <c r="CI245" s="490"/>
      <c r="CJ245" s="490"/>
      <c r="CK245" s="490"/>
      <c r="CL245" s="490"/>
      <c r="CM245" s="490"/>
      <c r="CN245" s="490"/>
      <c r="CO245" s="490"/>
      <c r="CP245" s="490"/>
      <c r="CQ245" s="490"/>
      <c r="CR245" s="490"/>
      <c r="CS245" s="490"/>
      <c r="CT245" s="490"/>
      <c r="CU245" s="490"/>
      <c r="CV245" s="490"/>
      <c r="CW245" s="490"/>
      <c r="CX245" s="490"/>
      <c r="CY245" s="490"/>
      <c r="CZ245" s="490"/>
      <c r="DA245" s="490"/>
      <c r="DB245" s="490"/>
      <c r="DC245" s="490"/>
      <c r="DD245" s="490"/>
      <c r="DE245" s="490"/>
      <c r="DF245" s="490"/>
      <c r="DG245" s="490"/>
      <c r="DH245" s="490"/>
      <c r="DI245" s="490"/>
      <c r="DJ245" s="490"/>
      <c r="DK245" s="490"/>
      <c r="DL245" s="490"/>
      <c r="DM245" s="490"/>
      <c r="DN245" s="490"/>
      <c r="DO245" s="490"/>
      <c r="DP245" s="490"/>
      <c r="DQ245" s="490"/>
      <c r="DR245" s="490"/>
      <c r="DS245" s="490"/>
      <c r="DT245" s="490"/>
      <c r="DU245" s="490"/>
      <c r="DV245" s="490"/>
      <c r="DW245" s="490"/>
      <c r="DX245" s="490"/>
      <c r="DY245" s="490"/>
      <c r="DZ245" s="490"/>
      <c r="EA245" s="490"/>
      <c r="EB245" s="490"/>
      <c r="EC245" s="490"/>
      <c r="ED245" s="490"/>
      <c r="EE245" s="490"/>
      <c r="EF245" s="490"/>
      <c r="EG245" s="490"/>
      <c r="EH245" s="490"/>
      <c r="EI245" s="490"/>
      <c r="EJ245" s="490"/>
      <c r="EK245" s="490"/>
      <c r="EL245" s="490"/>
      <c r="EM245" s="490"/>
      <c r="EN245" s="490"/>
      <c r="EO245" s="490"/>
      <c r="EP245" s="490"/>
      <c r="EQ245" s="490"/>
      <c r="ER245" s="490"/>
      <c r="ES245" s="490"/>
      <c r="ET245" s="490"/>
      <c r="EU245" s="490"/>
      <c r="EV245" s="490"/>
      <c r="EW245" s="490"/>
      <c r="EX245" s="490"/>
      <c r="EY245" s="490"/>
      <c r="EZ245" s="490"/>
      <c r="FA245" s="490"/>
      <c r="FB245" s="490"/>
      <c r="FC245" s="490"/>
      <c r="FD245" s="490"/>
      <c r="FE245" s="490"/>
      <c r="FF245" s="490"/>
      <c r="FG245" s="490"/>
      <c r="FH245" s="490"/>
      <c r="FI245" s="490"/>
      <c r="FJ245" s="490"/>
      <c r="FK245" s="490"/>
      <c r="FL245" s="490"/>
      <c r="FM245" s="490"/>
      <c r="FN245" s="490"/>
    </row>
    <row r="246" s="492" customFormat="1" spans="1:170">
      <c r="A246" s="540">
        <v>46161</v>
      </c>
      <c r="B246" s="515" t="s">
        <v>794</v>
      </c>
      <c r="C246" s="541">
        <v>8</v>
      </c>
      <c r="D246" s="515" t="s">
        <v>177</v>
      </c>
      <c r="E246" s="515" t="s">
        <v>14</v>
      </c>
      <c r="F246" s="515" t="s">
        <v>73</v>
      </c>
      <c r="G246" s="541">
        <v>1.02</v>
      </c>
      <c r="H246" s="560">
        <v>6.96</v>
      </c>
      <c r="I246" s="546" t="s">
        <v>17</v>
      </c>
      <c r="J246" s="546">
        <v>1.6</v>
      </c>
      <c r="K246" s="515" t="s">
        <v>601</v>
      </c>
      <c r="L246" s="543" t="s">
        <v>89</v>
      </c>
      <c r="M246" s="490"/>
      <c r="N246" s="490"/>
      <c r="O246" s="490"/>
      <c r="P246" s="490"/>
      <c r="Q246" s="490"/>
      <c r="R246" s="490"/>
      <c r="S246" s="490"/>
      <c r="T246" s="490"/>
      <c r="U246" s="490"/>
      <c r="V246" s="490"/>
      <c r="W246" s="490"/>
      <c r="X246" s="490"/>
      <c r="Y246" s="490"/>
      <c r="Z246" s="490"/>
      <c r="AA246" s="490"/>
      <c r="AB246" s="490"/>
      <c r="AC246" s="490"/>
      <c r="AD246" s="490"/>
      <c r="AE246" s="490"/>
      <c r="AF246" s="490"/>
      <c r="AG246" s="490"/>
      <c r="AH246" s="490"/>
      <c r="AI246" s="490"/>
      <c r="AJ246" s="490"/>
      <c r="AK246" s="490"/>
      <c r="AL246" s="490"/>
      <c r="AM246" s="490"/>
      <c r="AN246" s="490"/>
      <c r="AO246" s="490"/>
      <c r="AP246" s="490"/>
      <c r="AQ246" s="490"/>
      <c r="AR246" s="490"/>
      <c r="AS246" s="490"/>
      <c r="AT246" s="490"/>
      <c r="AU246" s="490"/>
      <c r="AV246" s="490"/>
      <c r="AW246" s="490"/>
      <c r="AX246" s="490"/>
      <c r="AY246" s="490"/>
      <c r="AZ246" s="490"/>
      <c r="BA246" s="490"/>
      <c r="BB246" s="490"/>
      <c r="BC246" s="490"/>
      <c r="BD246" s="490"/>
      <c r="BE246" s="490"/>
      <c r="BF246" s="490"/>
      <c r="BG246" s="490"/>
      <c r="BH246" s="490"/>
      <c r="BI246" s="490"/>
      <c r="BJ246" s="490"/>
      <c r="BK246" s="490"/>
      <c r="BL246" s="490"/>
      <c r="BM246" s="490"/>
      <c r="BN246" s="490"/>
      <c r="BO246" s="490"/>
      <c r="BP246" s="490"/>
      <c r="BQ246" s="490"/>
      <c r="BR246" s="490"/>
      <c r="BS246" s="490"/>
      <c r="BT246" s="490"/>
      <c r="BU246" s="490"/>
      <c r="BV246" s="490"/>
      <c r="BW246" s="490"/>
      <c r="BX246" s="490"/>
      <c r="BY246" s="490"/>
      <c r="BZ246" s="490"/>
      <c r="CA246" s="490"/>
      <c r="CB246" s="490"/>
      <c r="CC246" s="490"/>
      <c r="CD246" s="490"/>
      <c r="CE246" s="490"/>
      <c r="CF246" s="490"/>
      <c r="CG246" s="490"/>
      <c r="CH246" s="490"/>
      <c r="CI246" s="490"/>
      <c r="CJ246" s="490"/>
      <c r="CK246" s="490"/>
      <c r="CL246" s="490"/>
      <c r="CM246" s="490"/>
      <c r="CN246" s="490"/>
      <c r="CO246" s="490"/>
      <c r="CP246" s="490"/>
      <c r="CQ246" s="490"/>
      <c r="CR246" s="490"/>
      <c r="CS246" s="490"/>
      <c r="CT246" s="490"/>
      <c r="CU246" s="490"/>
      <c r="CV246" s="490"/>
      <c r="CW246" s="490"/>
      <c r="CX246" s="490"/>
      <c r="CY246" s="490"/>
      <c r="CZ246" s="490"/>
      <c r="DA246" s="490"/>
      <c r="DB246" s="490"/>
      <c r="DC246" s="490"/>
      <c r="DD246" s="490"/>
      <c r="DE246" s="490"/>
      <c r="DF246" s="490"/>
      <c r="DG246" s="490"/>
      <c r="DH246" s="490"/>
      <c r="DI246" s="490"/>
      <c r="DJ246" s="490"/>
      <c r="DK246" s="490"/>
      <c r="DL246" s="490"/>
      <c r="DM246" s="490"/>
      <c r="DN246" s="490"/>
      <c r="DO246" s="490"/>
      <c r="DP246" s="490"/>
      <c r="DQ246" s="490"/>
      <c r="DR246" s="490"/>
      <c r="DS246" s="490"/>
      <c r="DT246" s="490"/>
      <c r="DU246" s="490"/>
      <c r="DV246" s="490"/>
      <c r="DW246" s="490"/>
      <c r="DX246" s="490"/>
      <c r="DY246" s="490"/>
      <c r="DZ246" s="490"/>
      <c r="EA246" s="490"/>
      <c r="EB246" s="490"/>
      <c r="EC246" s="490"/>
      <c r="ED246" s="490"/>
      <c r="EE246" s="490"/>
      <c r="EF246" s="490"/>
      <c r="EG246" s="490"/>
      <c r="EH246" s="490"/>
      <c r="EI246" s="490"/>
      <c r="EJ246" s="490"/>
      <c r="EK246" s="490"/>
      <c r="EL246" s="490"/>
      <c r="EM246" s="490"/>
      <c r="EN246" s="490"/>
      <c r="EO246" s="490"/>
      <c r="EP246" s="490"/>
      <c r="EQ246" s="490"/>
      <c r="ER246" s="490"/>
      <c r="ES246" s="490"/>
      <c r="ET246" s="490"/>
      <c r="EU246" s="490"/>
      <c r="EV246" s="490"/>
      <c r="EW246" s="490"/>
      <c r="EX246" s="490"/>
      <c r="EY246" s="490"/>
      <c r="EZ246" s="490"/>
      <c r="FA246" s="490"/>
      <c r="FB246" s="490"/>
      <c r="FC246" s="490"/>
      <c r="FD246" s="490"/>
      <c r="FE246" s="490"/>
      <c r="FF246" s="490"/>
      <c r="FG246" s="490"/>
      <c r="FH246" s="490"/>
      <c r="FI246" s="490"/>
      <c r="FJ246" s="490"/>
      <c r="FK246" s="490"/>
      <c r="FL246" s="490"/>
      <c r="FM246" s="490"/>
      <c r="FN246" s="490"/>
    </row>
    <row r="247" s="492" customFormat="1" spans="1:170">
      <c r="A247" s="540"/>
      <c r="B247" s="515"/>
      <c r="C247" s="541"/>
      <c r="D247" s="515"/>
      <c r="E247" s="515"/>
      <c r="F247" s="515" t="s">
        <v>75</v>
      </c>
      <c r="G247" s="541">
        <v>1.02</v>
      </c>
      <c r="H247" s="560">
        <v>0.4</v>
      </c>
      <c r="I247" s="546" t="s">
        <v>22</v>
      </c>
      <c r="J247" s="546">
        <v>1.7</v>
      </c>
      <c r="K247" s="515"/>
      <c r="L247" s="543"/>
      <c r="M247" s="490"/>
      <c r="N247" s="490"/>
      <c r="O247" s="490"/>
      <c r="P247" s="490"/>
      <c r="Q247" s="490"/>
      <c r="R247" s="490"/>
      <c r="S247" s="490"/>
      <c r="T247" s="490"/>
      <c r="U247" s="490"/>
      <c r="V247" s="490"/>
      <c r="W247" s="490"/>
      <c r="X247" s="490"/>
      <c r="Y247" s="490"/>
      <c r="Z247" s="490"/>
      <c r="AA247" s="490"/>
      <c r="AB247" s="490"/>
      <c r="AC247" s="490"/>
      <c r="AD247" s="490"/>
      <c r="AE247" s="490"/>
      <c r="AF247" s="490"/>
      <c r="AG247" s="490"/>
      <c r="AH247" s="490"/>
      <c r="AI247" s="490"/>
      <c r="AJ247" s="490"/>
      <c r="AK247" s="490"/>
      <c r="AL247" s="490"/>
      <c r="AM247" s="490"/>
      <c r="AN247" s="490"/>
      <c r="AO247" s="490"/>
      <c r="AP247" s="490"/>
      <c r="AQ247" s="490"/>
      <c r="AR247" s="490"/>
      <c r="AS247" s="490"/>
      <c r="AT247" s="490"/>
      <c r="AU247" s="490"/>
      <c r="AV247" s="490"/>
      <c r="AW247" s="490"/>
      <c r="AX247" s="490"/>
      <c r="AY247" s="490"/>
      <c r="AZ247" s="490"/>
      <c r="BA247" s="490"/>
      <c r="BB247" s="490"/>
      <c r="BC247" s="490"/>
      <c r="BD247" s="490"/>
      <c r="BE247" s="490"/>
      <c r="BF247" s="490"/>
      <c r="BG247" s="490"/>
      <c r="BH247" s="490"/>
      <c r="BI247" s="490"/>
      <c r="BJ247" s="490"/>
      <c r="BK247" s="490"/>
      <c r="BL247" s="490"/>
      <c r="BM247" s="490"/>
      <c r="BN247" s="490"/>
      <c r="BO247" s="490"/>
      <c r="BP247" s="490"/>
      <c r="BQ247" s="490"/>
      <c r="BR247" s="490"/>
      <c r="BS247" s="490"/>
      <c r="BT247" s="490"/>
      <c r="BU247" s="490"/>
      <c r="BV247" s="490"/>
      <c r="BW247" s="490"/>
      <c r="BX247" s="490"/>
      <c r="BY247" s="490"/>
      <c r="BZ247" s="490"/>
      <c r="CA247" s="490"/>
      <c r="CB247" s="490"/>
      <c r="CC247" s="490"/>
      <c r="CD247" s="490"/>
      <c r="CE247" s="490"/>
      <c r="CF247" s="490"/>
      <c r="CG247" s="490"/>
      <c r="CH247" s="490"/>
      <c r="CI247" s="490"/>
      <c r="CJ247" s="490"/>
      <c r="CK247" s="490"/>
      <c r="CL247" s="490"/>
      <c r="CM247" s="490"/>
      <c r="CN247" s="490"/>
      <c r="CO247" s="490"/>
      <c r="CP247" s="490"/>
      <c r="CQ247" s="490"/>
      <c r="CR247" s="490"/>
      <c r="CS247" s="490"/>
      <c r="CT247" s="490"/>
      <c r="CU247" s="490"/>
      <c r="CV247" s="490"/>
      <c r="CW247" s="490"/>
      <c r="CX247" s="490"/>
      <c r="CY247" s="490"/>
      <c r="CZ247" s="490"/>
      <c r="DA247" s="490"/>
      <c r="DB247" s="490"/>
      <c r="DC247" s="490"/>
      <c r="DD247" s="490"/>
      <c r="DE247" s="490"/>
      <c r="DF247" s="490"/>
      <c r="DG247" s="490"/>
      <c r="DH247" s="490"/>
      <c r="DI247" s="490"/>
      <c r="DJ247" s="490"/>
      <c r="DK247" s="490"/>
      <c r="DL247" s="490"/>
      <c r="DM247" s="490"/>
      <c r="DN247" s="490"/>
      <c r="DO247" s="490"/>
      <c r="DP247" s="490"/>
      <c r="DQ247" s="490"/>
      <c r="DR247" s="490"/>
      <c r="DS247" s="490"/>
      <c r="DT247" s="490"/>
      <c r="DU247" s="490"/>
      <c r="DV247" s="490"/>
      <c r="DW247" s="490"/>
      <c r="DX247" s="490"/>
      <c r="DY247" s="490"/>
      <c r="DZ247" s="490"/>
      <c r="EA247" s="490"/>
      <c r="EB247" s="490"/>
      <c r="EC247" s="490"/>
      <c r="ED247" s="490"/>
      <c r="EE247" s="490"/>
      <c r="EF247" s="490"/>
      <c r="EG247" s="490"/>
      <c r="EH247" s="490"/>
      <c r="EI247" s="490"/>
      <c r="EJ247" s="490"/>
      <c r="EK247" s="490"/>
      <c r="EL247" s="490"/>
      <c r="EM247" s="490"/>
      <c r="EN247" s="490"/>
      <c r="EO247" s="490"/>
      <c r="EP247" s="490"/>
      <c r="EQ247" s="490"/>
      <c r="ER247" s="490"/>
      <c r="ES247" s="490"/>
      <c r="ET247" s="490"/>
      <c r="EU247" s="490"/>
      <c r="EV247" s="490"/>
      <c r="EW247" s="490"/>
      <c r="EX247" s="490"/>
      <c r="EY247" s="490"/>
      <c r="EZ247" s="490"/>
      <c r="FA247" s="490"/>
      <c r="FB247" s="490"/>
      <c r="FC247" s="490"/>
      <c r="FD247" s="490"/>
      <c r="FE247" s="490"/>
      <c r="FF247" s="490"/>
      <c r="FG247" s="490"/>
      <c r="FH247" s="490"/>
      <c r="FI247" s="490"/>
      <c r="FJ247" s="490"/>
      <c r="FK247" s="490"/>
      <c r="FL247" s="490"/>
      <c r="FM247" s="490"/>
      <c r="FN247" s="490"/>
    </row>
    <row r="248" s="492" customFormat="1" spans="1:170">
      <c r="A248" s="571"/>
      <c r="B248" s="561"/>
      <c r="C248" s="563"/>
      <c r="D248" s="561"/>
      <c r="E248" s="561"/>
      <c r="F248" s="561" t="s">
        <v>91</v>
      </c>
      <c r="G248" s="563">
        <v>1.86</v>
      </c>
      <c r="H248" s="560">
        <v>0.64</v>
      </c>
      <c r="I248" s="560" t="s">
        <v>24</v>
      </c>
      <c r="J248" s="560" t="s">
        <v>24</v>
      </c>
      <c r="K248" s="561"/>
      <c r="L248" s="543"/>
      <c r="M248" s="490"/>
      <c r="N248" s="490"/>
      <c r="O248" s="490"/>
      <c r="P248" s="490"/>
      <c r="Q248" s="490"/>
      <c r="R248" s="490"/>
      <c r="S248" s="490"/>
      <c r="T248" s="490"/>
      <c r="U248" s="490"/>
      <c r="V248" s="490"/>
      <c r="W248" s="490"/>
      <c r="X248" s="490"/>
      <c r="Y248" s="490"/>
      <c r="Z248" s="490"/>
      <c r="AA248" s="490"/>
      <c r="AB248" s="490"/>
      <c r="AC248" s="490"/>
      <c r="AD248" s="490"/>
      <c r="AE248" s="490"/>
      <c r="AF248" s="490"/>
      <c r="AG248" s="490"/>
      <c r="AH248" s="490"/>
      <c r="AI248" s="490"/>
      <c r="AJ248" s="490"/>
      <c r="AK248" s="490"/>
      <c r="AL248" s="490"/>
      <c r="AM248" s="490"/>
      <c r="AN248" s="490"/>
      <c r="AO248" s="490"/>
      <c r="AP248" s="490"/>
      <c r="AQ248" s="490"/>
      <c r="AR248" s="490"/>
      <c r="AS248" s="490"/>
      <c r="AT248" s="490"/>
      <c r="AU248" s="490"/>
      <c r="AV248" s="490"/>
      <c r="AW248" s="490"/>
      <c r="AX248" s="490"/>
      <c r="AY248" s="490"/>
      <c r="AZ248" s="490"/>
      <c r="BA248" s="490"/>
      <c r="BB248" s="490"/>
      <c r="BC248" s="490"/>
      <c r="BD248" s="490"/>
      <c r="BE248" s="490"/>
      <c r="BF248" s="490"/>
      <c r="BG248" s="490"/>
      <c r="BH248" s="490"/>
      <c r="BI248" s="490"/>
      <c r="BJ248" s="490"/>
      <c r="BK248" s="490"/>
      <c r="BL248" s="490"/>
      <c r="BM248" s="490"/>
      <c r="BN248" s="490"/>
      <c r="BO248" s="490"/>
      <c r="BP248" s="490"/>
      <c r="BQ248" s="490"/>
      <c r="BR248" s="490"/>
      <c r="BS248" s="490"/>
      <c r="BT248" s="490"/>
      <c r="BU248" s="490"/>
      <c r="BV248" s="490"/>
      <c r="BW248" s="490"/>
      <c r="BX248" s="490"/>
      <c r="BY248" s="490"/>
      <c r="BZ248" s="490"/>
      <c r="CA248" s="490"/>
      <c r="CB248" s="490"/>
      <c r="CC248" s="490"/>
      <c r="CD248" s="490"/>
      <c r="CE248" s="490"/>
      <c r="CF248" s="490"/>
      <c r="CG248" s="490"/>
      <c r="CH248" s="490"/>
      <c r="CI248" s="490"/>
      <c r="CJ248" s="490"/>
      <c r="CK248" s="490"/>
      <c r="CL248" s="490"/>
      <c r="CM248" s="490"/>
      <c r="CN248" s="490"/>
      <c r="CO248" s="490"/>
      <c r="CP248" s="490"/>
      <c r="CQ248" s="490"/>
      <c r="CR248" s="490"/>
      <c r="CS248" s="490"/>
      <c r="CT248" s="490"/>
      <c r="CU248" s="490"/>
      <c r="CV248" s="490"/>
      <c r="CW248" s="490"/>
      <c r="CX248" s="490"/>
      <c r="CY248" s="490"/>
      <c r="CZ248" s="490"/>
      <c r="DA248" s="490"/>
      <c r="DB248" s="490"/>
      <c r="DC248" s="490"/>
      <c r="DD248" s="490"/>
      <c r="DE248" s="490"/>
      <c r="DF248" s="490"/>
      <c r="DG248" s="490"/>
      <c r="DH248" s="490"/>
      <c r="DI248" s="490"/>
      <c r="DJ248" s="490"/>
      <c r="DK248" s="490"/>
      <c r="DL248" s="490"/>
      <c r="DM248" s="490"/>
      <c r="DN248" s="490"/>
      <c r="DO248" s="490"/>
      <c r="DP248" s="490"/>
      <c r="DQ248" s="490"/>
      <c r="DR248" s="490"/>
      <c r="DS248" s="490"/>
      <c r="DT248" s="490"/>
      <c r="DU248" s="490"/>
      <c r="DV248" s="490"/>
      <c r="DW248" s="490"/>
      <c r="DX248" s="490"/>
      <c r="DY248" s="490"/>
      <c r="DZ248" s="490"/>
      <c r="EA248" s="490"/>
      <c r="EB248" s="490"/>
      <c r="EC248" s="490"/>
      <c r="ED248" s="490"/>
      <c r="EE248" s="490"/>
      <c r="EF248" s="490"/>
      <c r="EG248" s="490"/>
      <c r="EH248" s="490"/>
      <c r="EI248" s="490"/>
      <c r="EJ248" s="490"/>
      <c r="EK248" s="490"/>
      <c r="EL248" s="490"/>
      <c r="EM248" s="490"/>
      <c r="EN248" s="490"/>
      <c r="EO248" s="490"/>
      <c r="EP248" s="490"/>
      <c r="EQ248" s="490"/>
      <c r="ER248" s="490"/>
      <c r="ES248" s="490"/>
      <c r="ET248" s="490"/>
      <c r="EU248" s="490"/>
      <c r="EV248" s="490"/>
      <c r="EW248" s="490"/>
      <c r="EX248" s="490"/>
      <c r="EY248" s="490"/>
      <c r="EZ248" s="490"/>
      <c r="FA248" s="490"/>
      <c r="FB248" s="490"/>
      <c r="FC248" s="490"/>
      <c r="FD248" s="490"/>
      <c r="FE248" s="490"/>
      <c r="FF248" s="490"/>
      <c r="FG248" s="490"/>
      <c r="FH248" s="490"/>
      <c r="FI248" s="490"/>
      <c r="FJ248" s="490"/>
      <c r="FK248" s="490"/>
      <c r="FL248" s="490"/>
      <c r="FM248" s="490"/>
      <c r="FN248" s="490"/>
    </row>
    <row r="249" s="492" customFormat="1" spans="1:170">
      <c r="A249" s="540">
        <v>46162</v>
      </c>
      <c r="B249" s="515" t="s">
        <v>795</v>
      </c>
      <c r="C249" s="541">
        <v>10</v>
      </c>
      <c r="D249" s="515" t="s">
        <v>85</v>
      </c>
      <c r="E249" s="515" t="s">
        <v>66</v>
      </c>
      <c r="F249" s="515" t="s">
        <v>220</v>
      </c>
      <c r="G249" s="541">
        <v>1</v>
      </c>
      <c r="H249" s="560">
        <v>3</v>
      </c>
      <c r="I249" s="546" t="s">
        <v>17</v>
      </c>
      <c r="J249" s="546">
        <v>1.58</v>
      </c>
      <c r="K249" s="515" t="s">
        <v>630</v>
      </c>
      <c r="L249" s="545" t="s">
        <v>256</v>
      </c>
      <c r="M249" s="490"/>
      <c r="N249" s="490"/>
      <c r="O249" s="490"/>
      <c r="P249" s="490"/>
      <c r="Q249" s="490"/>
      <c r="R249" s="490"/>
      <c r="S249" s="490"/>
      <c r="T249" s="490"/>
      <c r="U249" s="490"/>
      <c r="V249" s="490"/>
      <c r="W249" s="490"/>
      <c r="X249" s="490"/>
      <c r="Y249" s="490"/>
      <c r="Z249" s="490"/>
      <c r="AA249" s="490"/>
      <c r="AB249" s="490"/>
      <c r="AC249" s="490"/>
      <c r="AD249" s="490"/>
      <c r="AE249" s="490"/>
      <c r="AF249" s="490"/>
      <c r="AG249" s="490"/>
      <c r="AH249" s="490"/>
      <c r="AI249" s="490"/>
      <c r="AJ249" s="490"/>
      <c r="AK249" s="490"/>
      <c r="AL249" s="490"/>
      <c r="AM249" s="490"/>
      <c r="AN249" s="490"/>
      <c r="AO249" s="490"/>
      <c r="AP249" s="490"/>
      <c r="AQ249" s="490"/>
      <c r="AR249" s="490"/>
      <c r="AS249" s="490"/>
      <c r="AT249" s="490"/>
      <c r="AU249" s="490"/>
      <c r="AV249" s="490"/>
      <c r="AW249" s="490"/>
      <c r="AX249" s="490"/>
      <c r="AY249" s="490"/>
      <c r="AZ249" s="490"/>
      <c r="BA249" s="490"/>
      <c r="BB249" s="490"/>
      <c r="BC249" s="490"/>
      <c r="BD249" s="490"/>
      <c r="BE249" s="490"/>
      <c r="BF249" s="490"/>
      <c r="BG249" s="490"/>
      <c r="BH249" s="490"/>
      <c r="BI249" s="490"/>
      <c r="BJ249" s="490"/>
      <c r="BK249" s="490"/>
      <c r="BL249" s="490"/>
      <c r="BM249" s="490"/>
      <c r="BN249" s="490"/>
      <c r="BO249" s="490"/>
      <c r="BP249" s="490"/>
      <c r="BQ249" s="490"/>
      <c r="BR249" s="490"/>
      <c r="BS249" s="490"/>
      <c r="BT249" s="490"/>
      <c r="BU249" s="490"/>
      <c r="BV249" s="490"/>
      <c r="BW249" s="490"/>
      <c r="BX249" s="490"/>
      <c r="BY249" s="490"/>
      <c r="BZ249" s="490"/>
      <c r="CA249" s="490"/>
      <c r="CB249" s="490"/>
      <c r="CC249" s="490"/>
      <c r="CD249" s="490"/>
      <c r="CE249" s="490"/>
      <c r="CF249" s="490"/>
      <c r="CG249" s="490"/>
      <c r="CH249" s="490"/>
      <c r="CI249" s="490"/>
      <c r="CJ249" s="490"/>
      <c r="CK249" s="490"/>
      <c r="CL249" s="490"/>
      <c r="CM249" s="490"/>
      <c r="CN249" s="490"/>
      <c r="CO249" s="490"/>
      <c r="CP249" s="490"/>
      <c r="CQ249" s="490"/>
      <c r="CR249" s="490"/>
      <c r="CS249" s="490"/>
      <c r="CT249" s="490"/>
      <c r="CU249" s="490"/>
      <c r="CV249" s="490"/>
      <c r="CW249" s="490"/>
      <c r="CX249" s="490"/>
      <c r="CY249" s="490"/>
      <c r="CZ249" s="490"/>
      <c r="DA249" s="490"/>
      <c r="DB249" s="490"/>
      <c r="DC249" s="490"/>
      <c r="DD249" s="490"/>
      <c r="DE249" s="490"/>
      <c r="DF249" s="490"/>
      <c r="DG249" s="490"/>
      <c r="DH249" s="490"/>
      <c r="DI249" s="490"/>
      <c r="DJ249" s="490"/>
      <c r="DK249" s="490"/>
      <c r="DL249" s="490"/>
      <c r="DM249" s="490"/>
      <c r="DN249" s="490"/>
      <c r="DO249" s="490"/>
      <c r="DP249" s="490"/>
      <c r="DQ249" s="490"/>
      <c r="DR249" s="490"/>
      <c r="DS249" s="490"/>
      <c r="DT249" s="490"/>
      <c r="DU249" s="490"/>
      <c r="DV249" s="490"/>
      <c r="DW249" s="490"/>
      <c r="DX249" s="490"/>
      <c r="DY249" s="490"/>
      <c r="DZ249" s="490"/>
      <c r="EA249" s="490"/>
      <c r="EB249" s="490"/>
      <c r="EC249" s="490"/>
      <c r="ED249" s="490"/>
      <c r="EE249" s="490"/>
      <c r="EF249" s="490"/>
      <c r="EG249" s="490"/>
      <c r="EH249" s="490"/>
      <c r="EI249" s="490"/>
      <c r="EJ249" s="490"/>
      <c r="EK249" s="490"/>
      <c r="EL249" s="490"/>
      <c r="EM249" s="490"/>
      <c r="EN249" s="490"/>
      <c r="EO249" s="490"/>
      <c r="EP249" s="490"/>
      <c r="EQ249" s="490"/>
      <c r="ER249" s="490"/>
      <c r="ES249" s="490"/>
      <c r="ET249" s="490"/>
      <c r="EU249" s="490"/>
      <c r="EV249" s="490"/>
      <c r="EW249" s="490"/>
      <c r="EX249" s="490"/>
      <c r="EY249" s="490"/>
      <c r="EZ249" s="490"/>
      <c r="FA249" s="490"/>
      <c r="FB249" s="490"/>
      <c r="FC249" s="490"/>
      <c r="FD249" s="490"/>
      <c r="FE249" s="490"/>
      <c r="FF249" s="490"/>
      <c r="FG249" s="490"/>
      <c r="FH249" s="490"/>
      <c r="FI249" s="490"/>
      <c r="FJ249" s="490"/>
      <c r="FK249" s="490"/>
      <c r="FL249" s="490"/>
      <c r="FM249" s="490"/>
      <c r="FN249" s="490"/>
    </row>
    <row r="250" s="492" customFormat="1" spans="1:170">
      <c r="A250" s="540"/>
      <c r="B250" s="515"/>
      <c r="C250" s="541"/>
      <c r="D250" s="515"/>
      <c r="E250" s="515"/>
      <c r="F250" s="515" t="s">
        <v>221</v>
      </c>
      <c r="G250" s="541">
        <v>1</v>
      </c>
      <c r="H250" s="560">
        <v>5.8</v>
      </c>
      <c r="I250" s="546" t="s">
        <v>17</v>
      </c>
      <c r="J250" s="546">
        <v>1.58</v>
      </c>
      <c r="K250" s="515"/>
      <c r="L250" s="545"/>
      <c r="M250" s="490"/>
      <c r="N250" s="490"/>
      <c r="O250" s="490"/>
      <c r="P250" s="490"/>
      <c r="Q250" s="490"/>
      <c r="R250" s="490"/>
      <c r="S250" s="490"/>
      <c r="T250" s="490"/>
      <c r="U250" s="490"/>
      <c r="V250" s="490"/>
      <c r="W250" s="490"/>
      <c r="X250" s="490"/>
      <c r="Y250" s="490"/>
      <c r="Z250" s="490"/>
      <c r="AA250" s="490"/>
      <c r="AB250" s="490"/>
      <c r="AC250" s="490"/>
      <c r="AD250" s="490"/>
      <c r="AE250" s="490"/>
      <c r="AF250" s="490"/>
      <c r="AG250" s="490"/>
      <c r="AH250" s="490"/>
      <c r="AI250" s="490"/>
      <c r="AJ250" s="490"/>
      <c r="AK250" s="490"/>
      <c r="AL250" s="490"/>
      <c r="AM250" s="490"/>
      <c r="AN250" s="490"/>
      <c r="AO250" s="490"/>
      <c r="AP250" s="490"/>
      <c r="AQ250" s="490"/>
      <c r="AR250" s="490"/>
      <c r="AS250" s="490"/>
      <c r="AT250" s="490"/>
      <c r="AU250" s="490"/>
      <c r="AV250" s="490"/>
      <c r="AW250" s="490"/>
      <c r="AX250" s="490"/>
      <c r="AY250" s="490"/>
      <c r="AZ250" s="490"/>
      <c r="BA250" s="490"/>
      <c r="BB250" s="490"/>
      <c r="BC250" s="490"/>
      <c r="BD250" s="490"/>
      <c r="BE250" s="490"/>
      <c r="BF250" s="490"/>
      <c r="BG250" s="490"/>
      <c r="BH250" s="490"/>
      <c r="BI250" s="490"/>
      <c r="BJ250" s="490"/>
      <c r="BK250" s="490"/>
      <c r="BL250" s="490"/>
      <c r="BM250" s="490"/>
      <c r="BN250" s="490"/>
      <c r="BO250" s="490"/>
      <c r="BP250" s="490"/>
      <c r="BQ250" s="490"/>
      <c r="BR250" s="490"/>
      <c r="BS250" s="490"/>
      <c r="BT250" s="490"/>
      <c r="BU250" s="490"/>
      <c r="BV250" s="490"/>
      <c r="BW250" s="490"/>
      <c r="BX250" s="490"/>
      <c r="BY250" s="490"/>
      <c r="BZ250" s="490"/>
      <c r="CA250" s="490"/>
      <c r="CB250" s="490"/>
      <c r="CC250" s="490"/>
      <c r="CD250" s="490"/>
      <c r="CE250" s="490"/>
      <c r="CF250" s="490"/>
      <c r="CG250" s="490"/>
      <c r="CH250" s="490"/>
      <c r="CI250" s="490"/>
      <c r="CJ250" s="490"/>
      <c r="CK250" s="490"/>
      <c r="CL250" s="490"/>
      <c r="CM250" s="490"/>
      <c r="CN250" s="490"/>
      <c r="CO250" s="490"/>
      <c r="CP250" s="490"/>
      <c r="CQ250" s="490"/>
      <c r="CR250" s="490"/>
      <c r="CS250" s="490"/>
      <c r="CT250" s="490"/>
      <c r="CU250" s="490"/>
      <c r="CV250" s="490"/>
      <c r="CW250" s="490"/>
      <c r="CX250" s="490"/>
      <c r="CY250" s="490"/>
      <c r="CZ250" s="490"/>
      <c r="DA250" s="490"/>
      <c r="DB250" s="490"/>
      <c r="DC250" s="490"/>
      <c r="DD250" s="490"/>
      <c r="DE250" s="490"/>
      <c r="DF250" s="490"/>
      <c r="DG250" s="490"/>
      <c r="DH250" s="490"/>
      <c r="DI250" s="490"/>
      <c r="DJ250" s="490"/>
      <c r="DK250" s="490"/>
      <c r="DL250" s="490"/>
      <c r="DM250" s="490"/>
      <c r="DN250" s="490"/>
      <c r="DO250" s="490"/>
      <c r="DP250" s="490"/>
      <c r="DQ250" s="490"/>
      <c r="DR250" s="490"/>
      <c r="DS250" s="490"/>
      <c r="DT250" s="490"/>
      <c r="DU250" s="490"/>
      <c r="DV250" s="490"/>
      <c r="DW250" s="490"/>
      <c r="DX250" s="490"/>
      <c r="DY250" s="490"/>
      <c r="DZ250" s="490"/>
      <c r="EA250" s="490"/>
      <c r="EB250" s="490"/>
      <c r="EC250" s="490"/>
      <c r="ED250" s="490"/>
      <c r="EE250" s="490"/>
      <c r="EF250" s="490"/>
      <c r="EG250" s="490"/>
      <c r="EH250" s="490"/>
      <c r="EI250" s="490"/>
      <c r="EJ250" s="490"/>
      <c r="EK250" s="490"/>
      <c r="EL250" s="490"/>
      <c r="EM250" s="490"/>
      <c r="EN250" s="490"/>
      <c r="EO250" s="490"/>
      <c r="EP250" s="490"/>
      <c r="EQ250" s="490"/>
      <c r="ER250" s="490"/>
      <c r="ES250" s="490"/>
      <c r="ET250" s="490"/>
      <c r="EU250" s="490"/>
      <c r="EV250" s="490"/>
      <c r="EW250" s="490"/>
      <c r="EX250" s="490"/>
      <c r="EY250" s="490"/>
      <c r="EZ250" s="490"/>
      <c r="FA250" s="490"/>
      <c r="FB250" s="490"/>
      <c r="FC250" s="490"/>
      <c r="FD250" s="490"/>
      <c r="FE250" s="490"/>
      <c r="FF250" s="490"/>
      <c r="FG250" s="490"/>
      <c r="FH250" s="490"/>
      <c r="FI250" s="490"/>
      <c r="FJ250" s="490"/>
      <c r="FK250" s="490"/>
      <c r="FL250" s="490"/>
      <c r="FM250" s="490"/>
      <c r="FN250" s="490"/>
    </row>
    <row r="251" s="492" customFormat="1" spans="1:170">
      <c r="A251" s="540"/>
      <c r="B251" s="515"/>
      <c r="C251" s="541"/>
      <c r="D251" s="515"/>
      <c r="E251" s="515"/>
      <c r="F251" s="515" t="s">
        <v>75</v>
      </c>
      <c r="G251" s="541">
        <v>1</v>
      </c>
      <c r="H251" s="560">
        <v>0.6</v>
      </c>
      <c r="I251" s="546" t="s">
        <v>22</v>
      </c>
      <c r="J251" s="546">
        <v>1.85</v>
      </c>
      <c r="K251" s="515"/>
      <c r="L251" s="545"/>
      <c r="M251" s="490"/>
      <c r="N251" s="490"/>
      <c r="O251" s="490"/>
      <c r="P251" s="490"/>
      <c r="Q251" s="490"/>
      <c r="R251" s="490"/>
      <c r="S251" s="490"/>
      <c r="T251" s="490"/>
      <c r="U251" s="490"/>
      <c r="V251" s="490"/>
      <c r="W251" s="490"/>
      <c r="X251" s="490"/>
      <c r="Y251" s="490"/>
      <c r="Z251" s="490"/>
      <c r="AA251" s="490"/>
      <c r="AB251" s="490"/>
      <c r="AC251" s="490"/>
      <c r="AD251" s="490"/>
      <c r="AE251" s="490"/>
      <c r="AF251" s="490"/>
      <c r="AG251" s="490"/>
      <c r="AH251" s="490"/>
      <c r="AI251" s="490"/>
      <c r="AJ251" s="490"/>
      <c r="AK251" s="490"/>
      <c r="AL251" s="490"/>
      <c r="AM251" s="490"/>
      <c r="AN251" s="490"/>
      <c r="AO251" s="490"/>
      <c r="AP251" s="490"/>
      <c r="AQ251" s="490"/>
      <c r="AR251" s="490"/>
      <c r="AS251" s="490"/>
      <c r="AT251" s="490"/>
      <c r="AU251" s="490"/>
      <c r="AV251" s="490"/>
      <c r="AW251" s="490"/>
      <c r="AX251" s="490"/>
      <c r="AY251" s="490"/>
      <c r="AZ251" s="490"/>
      <c r="BA251" s="490"/>
      <c r="BB251" s="490"/>
      <c r="BC251" s="490"/>
      <c r="BD251" s="490"/>
      <c r="BE251" s="490"/>
      <c r="BF251" s="490"/>
      <c r="BG251" s="490"/>
      <c r="BH251" s="490"/>
      <c r="BI251" s="490"/>
      <c r="BJ251" s="490"/>
      <c r="BK251" s="490"/>
      <c r="BL251" s="490"/>
      <c r="BM251" s="490"/>
      <c r="BN251" s="490"/>
      <c r="BO251" s="490"/>
      <c r="BP251" s="490"/>
      <c r="BQ251" s="490"/>
      <c r="BR251" s="490"/>
      <c r="BS251" s="490"/>
      <c r="BT251" s="490"/>
      <c r="BU251" s="490"/>
      <c r="BV251" s="490"/>
      <c r="BW251" s="490"/>
      <c r="BX251" s="490"/>
      <c r="BY251" s="490"/>
      <c r="BZ251" s="490"/>
      <c r="CA251" s="490"/>
      <c r="CB251" s="490"/>
      <c r="CC251" s="490"/>
      <c r="CD251" s="490"/>
      <c r="CE251" s="490"/>
      <c r="CF251" s="490"/>
      <c r="CG251" s="490"/>
      <c r="CH251" s="490"/>
      <c r="CI251" s="490"/>
      <c r="CJ251" s="490"/>
      <c r="CK251" s="490"/>
      <c r="CL251" s="490"/>
      <c r="CM251" s="490"/>
      <c r="CN251" s="490"/>
      <c r="CO251" s="490"/>
      <c r="CP251" s="490"/>
      <c r="CQ251" s="490"/>
      <c r="CR251" s="490"/>
      <c r="CS251" s="490"/>
      <c r="CT251" s="490"/>
      <c r="CU251" s="490"/>
      <c r="CV251" s="490"/>
      <c r="CW251" s="490"/>
      <c r="CX251" s="490"/>
      <c r="CY251" s="490"/>
      <c r="CZ251" s="490"/>
      <c r="DA251" s="490"/>
      <c r="DB251" s="490"/>
      <c r="DC251" s="490"/>
      <c r="DD251" s="490"/>
      <c r="DE251" s="490"/>
      <c r="DF251" s="490"/>
      <c r="DG251" s="490"/>
      <c r="DH251" s="490"/>
      <c r="DI251" s="490"/>
      <c r="DJ251" s="490"/>
      <c r="DK251" s="490"/>
      <c r="DL251" s="490"/>
      <c r="DM251" s="490"/>
      <c r="DN251" s="490"/>
      <c r="DO251" s="490"/>
      <c r="DP251" s="490"/>
      <c r="DQ251" s="490"/>
      <c r="DR251" s="490"/>
      <c r="DS251" s="490"/>
      <c r="DT251" s="490"/>
      <c r="DU251" s="490"/>
      <c r="DV251" s="490"/>
      <c r="DW251" s="490"/>
      <c r="DX251" s="490"/>
      <c r="DY251" s="490"/>
      <c r="DZ251" s="490"/>
      <c r="EA251" s="490"/>
      <c r="EB251" s="490"/>
      <c r="EC251" s="490"/>
      <c r="ED251" s="490"/>
      <c r="EE251" s="490"/>
      <c r="EF251" s="490"/>
      <c r="EG251" s="490"/>
      <c r="EH251" s="490"/>
      <c r="EI251" s="490"/>
      <c r="EJ251" s="490"/>
      <c r="EK251" s="490"/>
      <c r="EL251" s="490"/>
      <c r="EM251" s="490"/>
      <c r="EN251" s="490"/>
      <c r="EO251" s="490"/>
      <c r="EP251" s="490"/>
      <c r="EQ251" s="490"/>
      <c r="ER251" s="490"/>
      <c r="ES251" s="490"/>
      <c r="ET251" s="490"/>
      <c r="EU251" s="490"/>
      <c r="EV251" s="490"/>
      <c r="EW251" s="490"/>
      <c r="EX251" s="490"/>
      <c r="EY251" s="490"/>
      <c r="EZ251" s="490"/>
      <c r="FA251" s="490"/>
      <c r="FB251" s="490"/>
      <c r="FC251" s="490"/>
      <c r="FD251" s="490"/>
      <c r="FE251" s="490"/>
      <c r="FF251" s="490"/>
      <c r="FG251" s="490"/>
      <c r="FH251" s="490"/>
      <c r="FI251" s="490"/>
      <c r="FJ251" s="490"/>
      <c r="FK251" s="490"/>
      <c r="FL251" s="490"/>
      <c r="FM251" s="490"/>
      <c r="FN251" s="490"/>
    </row>
    <row r="252" s="492" customFormat="1" spans="1:170">
      <c r="A252" s="540"/>
      <c r="B252" s="515"/>
      <c r="C252" s="541"/>
      <c r="D252" s="515"/>
      <c r="E252" s="515"/>
      <c r="F252" s="515" t="s">
        <v>91</v>
      </c>
      <c r="G252" s="541">
        <v>2.99</v>
      </c>
      <c r="H252" s="560">
        <v>0.6</v>
      </c>
      <c r="I252" s="546" t="s">
        <v>24</v>
      </c>
      <c r="J252" s="546" t="s">
        <v>24</v>
      </c>
      <c r="K252" s="515"/>
      <c r="L252" s="545"/>
      <c r="M252" s="490"/>
      <c r="N252" s="490"/>
      <c r="O252" s="490"/>
      <c r="P252" s="490"/>
      <c r="Q252" s="490"/>
      <c r="R252" s="490"/>
      <c r="S252" s="490"/>
      <c r="T252" s="490"/>
      <c r="U252" s="490"/>
      <c r="V252" s="490"/>
      <c r="W252" s="490"/>
      <c r="X252" s="490"/>
      <c r="Y252" s="490"/>
      <c r="Z252" s="490"/>
      <c r="AA252" s="490"/>
      <c r="AB252" s="490"/>
      <c r="AC252" s="490"/>
      <c r="AD252" s="490"/>
      <c r="AE252" s="490"/>
      <c r="AF252" s="490"/>
      <c r="AG252" s="490"/>
      <c r="AH252" s="490"/>
      <c r="AI252" s="490"/>
      <c r="AJ252" s="490"/>
      <c r="AK252" s="490"/>
      <c r="AL252" s="490"/>
      <c r="AM252" s="490"/>
      <c r="AN252" s="490"/>
      <c r="AO252" s="490"/>
      <c r="AP252" s="490"/>
      <c r="AQ252" s="490"/>
      <c r="AR252" s="490"/>
      <c r="AS252" s="490"/>
      <c r="AT252" s="490"/>
      <c r="AU252" s="490"/>
      <c r="AV252" s="490"/>
      <c r="AW252" s="490"/>
      <c r="AX252" s="490"/>
      <c r="AY252" s="490"/>
      <c r="AZ252" s="490"/>
      <c r="BA252" s="490"/>
      <c r="BB252" s="490"/>
      <c r="BC252" s="490"/>
      <c r="BD252" s="490"/>
      <c r="BE252" s="490"/>
      <c r="BF252" s="490"/>
      <c r="BG252" s="490"/>
      <c r="BH252" s="490"/>
      <c r="BI252" s="490"/>
      <c r="BJ252" s="490"/>
      <c r="BK252" s="490"/>
      <c r="BL252" s="490"/>
      <c r="BM252" s="490"/>
      <c r="BN252" s="490"/>
      <c r="BO252" s="490"/>
      <c r="BP252" s="490"/>
      <c r="BQ252" s="490"/>
      <c r="BR252" s="490"/>
      <c r="BS252" s="490"/>
      <c r="BT252" s="490"/>
      <c r="BU252" s="490"/>
      <c r="BV252" s="490"/>
      <c r="BW252" s="490"/>
      <c r="BX252" s="490"/>
      <c r="BY252" s="490"/>
      <c r="BZ252" s="490"/>
      <c r="CA252" s="490"/>
      <c r="CB252" s="490"/>
      <c r="CC252" s="490"/>
      <c r="CD252" s="490"/>
      <c r="CE252" s="490"/>
      <c r="CF252" s="490"/>
      <c r="CG252" s="490"/>
      <c r="CH252" s="490"/>
      <c r="CI252" s="490"/>
      <c r="CJ252" s="490"/>
      <c r="CK252" s="490"/>
      <c r="CL252" s="490"/>
      <c r="CM252" s="490"/>
      <c r="CN252" s="490"/>
      <c r="CO252" s="490"/>
      <c r="CP252" s="490"/>
      <c r="CQ252" s="490"/>
      <c r="CR252" s="490"/>
      <c r="CS252" s="490"/>
      <c r="CT252" s="490"/>
      <c r="CU252" s="490"/>
      <c r="CV252" s="490"/>
      <c r="CW252" s="490"/>
      <c r="CX252" s="490"/>
      <c r="CY252" s="490"/>
      <c r="CZ252" s="490"/>
      <c r="DA252" s="490"/>
      <c r="DB252" s="490"/>
      <c r="DC252" s="490"/>
      <c r="DD252" s="490"/>
      <c r="DE252" s="490"/>
      <c r="DF252" s="490"/>
      <c r="DG252" s="490"/>
      <c r="DH252" s="490"/>
      <c r="DI252" s="490"/>
      <c r="DJ252" s="490"/>
      <c r="DK252" s="490"/>
      <c r="DL252" s="490"/>
      <c r="DM252" s="490"/>
      <c r="DN252" s="490"/>
      <c r="DO252" s="490"/>
      <c r="DP252" s="490"/>
      <c r="DQ252" s="490"/>
      <c r="DR252" s="490"/>
      <c r="DS252" s="490"/>
      <c r="DT252" s="490"/>
      <c r="DU252" s="490"/>
      <c r="DV252" s="490"/>
      <c r="DW252" s="490"/>
      <c r="DX252" s="490"/>
      <c r="DY252" s="490"/>
      <c r="DZ252" s="490"/>
      <c r="EA252" s="490"/>
      <c r="EB252" s="490"/>
      <c r="EC252" s="490"/>
      <c r="ED252" s="490"/>
      <c r="EE252" s="490"/>
      <c r="EF252" s="490"/>
      <c r="EG252" s="490"/>
      <c r="EH252" s="490"/>
      <c r="EI252" s="490"/>
      <c r="EJ252" s="490"/>
      <c r="EK252" s="490"/>
      <c r="EL252" s="490"/>
      <c r="EM252" s="490"/>
      <c r="EN252" s="490"/>
      <c r="EO252" s="490"/>
      <c r="EP252" s="490"/>
      <c r="EQ252" s="490"/>
      <c r="ER252" s="490"/>
      <c r="ES252" s="490"/>
      <c r="ET252" s="490"/>
      <c r="EU252" s="490"/>
      <c r="EV252" s="490"/>
      <c r="EW252" s="490"/>
      <c r="EX252" s="490"/>
      <c r="EY252" s="490"/>
      <c r="EZ252" s="490"/>
      <c r="FA252" s="490"/>
      <c r="FB252" s="490"/>
      <c r="FC252" s="490"/>
      <c r="FD252" s="490"/>
      <c r="FE252" s="490"/>
      <c r="FF252" s="490"/>
      <c r="FG252" s="490"/>
      <c r="FH252" s="490"/>
      <c r="FI252" s="490"/>
      <c r="FJ252" s="490"/>
      <c r="FK252" s="490"/>
      <c r="FL252" s="490"/>
      <c r="FM252" s="490"/>
      <c r="FN252" s="490"/>
    </row>
    <row r="253" s="492" customFormat="1" spans="1:170">
      <c r="A253" s="540">
        <v>46163</v>
      </c>
      <c r="B253" s="515" t="s">
        <v>796</v>
      </c>
      <c r="C253" s="541">
        <v>10</v>
      </c>
      <c r="D253" s="515" t="s">
        <v>33</v>
      </c>
      <c r="E253" s="515" t="s">
        <v>712</v>
      </c>
      <c r="F253" s="515" t="s">
        <v>73</v>
      </c>
      <c r="G253" s="541">
        <v>0.7</v>
      </c>
      <c r="H253" s="560">
        <v>9</v>
      </c>
      <c r="I253" s="546" t="s">
        <v>17</v>
      </c>
      <c r="J253" s="546">
        <v>1.56</v>
      </c>
      <c r="K253" s="515" t="s">
        <v>713</v>
      </c>
      <c r="L253" s="545"/>
      <c r="M253" s="490"/>
      <c r="N253" s="490"/>
      <c r="O253" s="490"/>
      <c r="P253" s="490"/>
      <c r="Q253" s="490"/>
      <c r="R253" s="490"/>
      <c r="S253" s="490"/>
      <c r="T253" s="490"/>
      <c r="U253" s="490"/>
      <c r="V253" s="490"/>
      <c r="W253" s="490"/>
      <c r="X253" s="490"/>
      <c r="Y253" s="490"/>
      <c r="Z253" s="490"/>
      <c r="AA253" s="490"/>
      <c r="AB253" s="490"/>
      <c r="AC253" s="490"/>
      <c r="AD253" s="490"/>
      <c r="AE253" s="490"/>
      <c r="AF253" s="490"/>
      <c r="AG253" s="490"/>
      <c r="AH253" s="490"/>
      <c r="AI253" s="490"/>
      <c r="AJ253" s="490"/>
      <c r="AK253" s="490"/>
      <c r="AL253" s="490"/>
      <c r="AM253" s="490"/>
      <c r="AN253" s="490"/>
      <c r="AO253" s="490"/>
      <c r="AP253" s="490"/>
      <c r="AQ253" s="490"/>
      <c r="AR253" s="490"/>
      <c r="AS253" s="490"/>
      <c r="AT253" s="490"/>
      <c r="AU253" s="490"/>
      <c r="AV253" s="490"/>
      <c r="AW253" s="490"/>
      <c r="AX253" s="490"/>
      <c r="AY253" s="490"/>
      <c r="AZ253" s="490"/>
      <c r="BA253" s="490"/>
      <c r="BB253" s="490"/>
      <c r="BC253" s="490"/>
      <c r="BD253" s="490"/>
      <c r="BE253" s="490"/>
      <c r="BF253" s="490"/>
      <c r="BG253" s="490"/>
      <c r="BH253" s="490"/>
      <c r="BI253" s="490"/>
      <c r="BJ253" s="490"/>
      <c r="BK253" s="490"/>
      <c r="BL253" s="490"/>
      <c r="BM253" s="490"/>
      <c r="BN253" s="490"/>
      <c r="BO253" s="490"/>
      <c r="BP253" s="490"/>
      <c r="BQ253" s="490"/>
      <c r="BR253" s="490"/>
      <c r="BS253" s="490"/>
      <c r="BT253" s="490"/>
      <c r="BU253" s="490"/>
      <c r="BV253" s="490"/>
      <c r="BW253" s="490"/>
      <c r="BX253" s="490"/>
      <c r="BY253" s="490"/>
      <c r="BZ253" s="490"/>
      <c r="CA253" s="490"/>
      <c r="CB253" s="490"/>
      <c r="CC253" s="490"/>
      <c r="CD253" s="490"/>
      <c r="CE253" s="490"/>
      <c r="CF253" s="490"/>
      <c r="CG253" s="490"/>
      <c r="CH253" s="490"/>
      <c r="CI253" s="490"/>
      <c r="CJ253" s="490"/>
      <c r="CK253" s="490"/>
      <c r="CL253" s="490"/>
      <c r="CM253" s="490"/>
      <c r="CN253" s="490"/>
      <c r="CO253" s="490"/>
      <c r="CP253" s="490"/>
      <c r="CQ253" s="490"/>
      <c r="CR253" s="490"/>
      <c r="CS253" s="490"/>
      <c r="CT253" s="490"/>
      <c r="CU253" s="490"/>
      <c r="CV253" s="490"/>
      <c r="CW253" s="490"/>
      <c r="CX253" s="490"/>
      <c r="CY253" s="490"/>
      <c r="CZ253" s="490"/>
      <c r="DA253" s="490"/>
      <c r="DB253" s="490"/>
      <c r="DC253" s="490"/>
      <c r="DD253" s="490"/>
      <c r="DE253" s="490"/>
      <c r="DF253" s="490"/>
      <c r="DG253" s="490"/>
      <c r="DH253" s="490"/>
      <c r="DI253" s="490"/>
      <c r="DJ253" s="490"/>
      <c r="DK253" s="490"/>
      <c r="DL253" s="490"/>
      <c r="DM253" s="490"/>
      <c r="DN253" s="490"/>
      <c r="DO253" s="490"/>
      <c r="DP253" s="490"/>
      <c r="DQ253" s="490"/>
      <c r="DR253" s="490"/>
      <c r="DS253" s="490"/>
      <c r="DT253" s="490"/>
      <c r="DU253" s="490"/>
      <c r="DV253" s="490"/>
      <c r="DW253" s="490"/>
      <c r="DX253" s="490"/>
      <c r="DY253" s="490"/>
      <c r="DZ253" s="490"/>
      <c r="EA253" s="490"/>
      <c r="EB253" s="490"/>
      <c r="EC253" s="490"/>
      <c r="ED253" s="490"/>
      <c r="EE253" s="490"/>
      <c r="EF253" s="490"/>
      <c r="EG253" s="490"/>
      <c r="EH253" s="490"/>
      <c r="EI253" s="490"/>
      <c r="EJ253" s="490"/>
      <c r="EK253" s="490"/>
      <c r="EL253" s="490"/>
      <c r="EM253" s="490"/>
      <c r="EN253" s="490"/>
      <c r="EO253" s="490"/>
      <c r="EP253" s="490"/>
      <c r="EQ253" s="490"/>
      <c r="ER253" s="490"/>
      <c r="ES253" s="490"/>
      <c r="ET253" s="490"/>
      <c r="EU253" s="490"/>
      <c r="EV253" s="490"/>
      <c r="EW253" s="490"/>
      <c r="EX253" s="490"/>
      <c r="EY253" s="490"/>
      <c r="EZ253" s="490"/>
      <c r="FA253" s="490"/>
      <c r="FB253" s="490"/>
      <c r="FC253" s="490"/>
      <c r="FD253" s="490"/>
      <c r="FE253" s="490"/>
      <c r="FF253" s="490"/>
      <c r="FG253" s="490"/>
      <c r="FH253" s="490"/>
      <c r="FI253" s="490"/>
      <c r="FJ253" s="490"/>
      <c r="FK253" s="490"/>
      <c r="FL253" s="490"/>
      <c r="FM253" s="490"/>
      <c r="FN253" s="490"/>
    </row>
    <row r="254" s="492" customFormat="1" spans="1:170">
      <c r="A254" s="540"/>
      <c r="B254" s="515"/>
      <c r="C254" s="541"/>
      <c r="D254" s="515"/>
      <c r="E254" s="515"/>
      <c r="F254" s="515" t="s">
        <v>75</v>
      </c>
      <c r="G254" s="541">
        <v>0.96</v>
      </c>
      <c r="H254" s="560">
        <v>0.3</v>
      </c>
      <c r="I254" s="546" t="s">
        <v>22</v>
      </c>
      <c r="J254" s="546">
        <v>1.8</v>
      </c>
      <c r="K254" s="515"/>
      <c r="L254" s="545"/>
      <c r="M254" s="490"/>
      <c r="N254" s="490"/>
      <c r="O254" s="490"/>
      <c r="P254" s="490"/>
      <c r="Q254" s="490"/>
      <c r="R254" s="490"/>
      <c r="S254" s="490"/>
      <c r="T254" s="490"/>
      <c r="U254" s="490"/>
      <c r="V254" s="490"/>
      <c r="W254" s="490"/>
      <c r="X254" s="490"/>
      <c r="Y254" s="490"/>
      <c r="Z254" s="490"/>
      <c r="AA254" s="490"/>
      <c r="AB254" s="490"/>
      <c r="AC254" s="490"/>
      <c r="AD254" s="490"/>
      <c r="AE254" s="490"/>
      <c r="AF254" s="490"/>
      <c r="AG254" s="490"/>
      <c r="AH254" s="490"/>
      <c r="AI254" s="490"/>
      <c r="AJ254" s="490"/>
      <c r="AK254" s="490"/>
      <c r="AL254" s="490"/>
      <c r="AM254" s="490"/>
      <c r="AN254" s="490"/>
      <c r="AO254" s="490"/>
      <c r="AP254" s="490"/>
      <c r="AQ254" s="490"/>
      <c r="AR254" s="490"/>
      <c r="AS254" s="490"/>
      <c r="AT254" s="490"/>
      <c r="AU254" s="490"/>
      <c r="AV254" s="490"/>
      <c r="AW254" s="490"/>
      <c r="AX254" s="490"/>
      <c r="AY254" s="490"/>
      <c r="AZ254" s="490"/>
      <c r="BA254" s="490"/>
      <c r="BB254" s="490"/>
      <c r="BC254" s="490"/>
      <c r="BD254" s="490"/>
      <c r="BE254" s="490"/>
      <c r="BF254" s="490"/>
      <c r="BG254" s="490"/>
      <c r="BH254" s="490"/>
      <c r="BI254" s="490"/>
      <c r="BJ254" s="490"/>
      <c r="BK254" s="490"/>
      <c r="BL254" s="490"/>
      <c r="BM254" s="490"/>
      <c r="BN254" s="490"/>
      <c r="BO254" s="490"/>
      <c r="BP254" s="490"/>
      <c r="BQ254" s="490"/>
      <c r="BR254" s="490"/>
      <c r="BS254" s="490"/>
      <c r="BT254" s="490"/>
      <c r="BU254" s="490"/>
      <c r="BV254" s="490"/>
      <c r="BW254" s="490"/>
      <c r="BX254" s="490"/>
      <c r="BY254" s="490"/>
      <c r="BZ254" s="490"/>
      <c r="CA254" s="490"/>
      <c r="CB254" s="490"/>
      <c r="CC254" s="490"/>
      <c r="CD254" s="490"/>
      <c r="CE254" s="490"/>
      <c r="CF254" s="490"/>
      <c r="CG254" s="490"/>
      <c r="CH254" s="490"/>
      <c r="CI254" s="490"/>
      <c r="CJ254" s="490"/>
      <c r="CK254" s="490"/>
      <c r="CL254" s="490"/>
      <c r="CM254" s="490"/>
      <c r="CN254" s="490"/>
      <c r="CO254" s="490"/>
      <c r="CP254" s="490"/>
      <c r="CQ254" s="490"/>
      <c r="CR254" s="490"/>
      <c r="CS254" s="490"/>
      <c r="CT254" s="490"/>
      <c r="CU254" s="490"/>
      <c r="CV254" s="490"/>
      <c r="CW254" s="490"/>
      <c r="CX254" s="490"/>
      <c r="CY254" s="490"/>
      <c r="CZ254" s="490"/>
      <c r="DA254" s="490"/>
      <c r="DB254" s="490"/>
      <c r="DC254" s="490"/>
      <c r="DD254" s="490"/>
      <c r="DE254" s="490"/>
      <c r="DF254" s="490"/>
      <c r="DG254" s="490"/>
      <c r="DH254" s="490"/>
      <c r="DI254" s="490"/>
      <c r="DJ254" s="490"/>
      <c r="DK254" s="490"/>
      <c r="DL254" s="490"/>
      <c r="DM254" s="490"/>
      <c r="DN254" s="490"/>
      <c r="DO254" s="490"/>
      <c r="DP254" s="490"/>
      <c r="DQ254" s="490"/>
      <c r="DR254" s="490"/>
      <c r="DS254" s="490"/>
      <c r="DT254" s="490"/>
      <c r="DU254" s="490"/>
      <c r="DV254" s="490"/>
      <c r="DW254" s="490"/>
      <c r="DX254" s="490"/>
      <c r="DY254" s="490"/>
      <c r="DZ254" s="490"/>
      <c r="EA254" s="490"/>
      <c r="EB254" s="490"/>
      <c r="EC254" s="490"/>
      <c r="ED254" s="490"/>
      <c r="EE254" s="490"/>
      <c r="EF254" s="490"/>
      <c r="EG254" s="490"/>
      <c r="EH254" s="490"/>
      <c r="EI254" s="490"/>
      <c r="EJ254" s="490"/>
      <c r="EK254" s="490"/>
      <c r="EL254" s="490"/>
      <c r="EM254" s="490"/>
      <c r="EN254" s="490"/>
      <c r="EO254" s="490"/>
      <c r="EP254" s="490"/>
      <c r="EQ254" s="490"/>
      <c r="ER254" s="490"/>
      <c r="ES254" s="490"/>
      <c r="ET254" s="490"/>
      <c r="EU254" s="490"/>
      <c r="EV254" s="490"/>
      <c r="EW254" s="490"/>
      <c r="EX254" s="490"/>
      <c r="EY254" s="490"/>
      <c r="EZ254" s="490"/>
      <c r="FA254" s="490"/>
      <c r="FB254" s="490"/>
      <c r="FC254" s="490"/>
      <c r="FD254" s="490"/>
      <c r="FE254" s="490"/>
      <c r="FF254" s="490"/>
      <c r="FG254" s="490"/>
      <c r="FH254" s="490"/>
      <c r="FI254" s="490"/>
      <c r="FJ254" s="490"/>
      <c r="FK254" s="490"/>
      <c r="FL254" s="490"/>
      <c r="FM254" s="490"/>
      <c r="FN254" s="490"/>
    </row>
    <row r="255" s="492" customFormat="1" spans="1:170">
      <c r="A255" s="540"/>
      <c r="B255" s="515"/>
      <c r="C255" s="541"/>
      <c r="D255" s="515"/>
      <c r="E255" s="515"/>
      <c r="F255" s="515" t="s">
        <v>91</v>
      </c>
      <c r="G255" s="541">
        <v>1.45</v>
      </c>
      <c r="H255" s="560">
        <v>0.7</v>
      </c>
      <c r="I255" s="546" t="s">
        <v>24</v>
      </c>
      <c r="J255" s="546" t="s">
        <v>24</v>
      </c>
      <c r="K255" s="515"/>
      <c r="L255" s="545"/>
      <c r="M255" s="490"/>
      <c r="N255" s="490"/>
      <c r="O255" s="490"/>
      <c r="P255" s="490"/>
      <c r="Q255" s="490"/>
      <c r="R255" s="490"/>
      <c r="S255" s="490"/>
      <c r="T255" s="490"/>
      <c r="U255" s="490"/>
      <c r="V255" s="490"/>
      <c r="W255" s="490"/>
      <c r="X255" s="490"/>
      <c r="Y255" s="490"/>
      <c r="Z255" s="490"/>
      <c r="AA255" s="490"/>
      <c r="AB255" s="490"/>
      <c r="AC255" s="490"/>
      <c r="AD255" s="490"/>
      <c r="AE255" s="490"/>
      <c r="AF255" s="490"/>
      <c r="AG255" s="490"/>
      <c r="AH255" s="490"/>
      <c r="AI255" s="490"/>
      <c r="AJ255" s="490"/>
      <c r="AK255" s="490"/>
      <c r="AL255" s="490"/>
      <c r="AM255" s="490"/>
      <c r="AN255" s="490"/>
      <c r="AO255" s="490"/>
      <c r="AP255" s="490"/>
      <c r="AQ255" s="490"/>
      <c r="AR255" s="490"/>
      <c r="AS255" s="490"/>
      <c r="AT255" s="490"/>
      <c r="AU255" s="490"/>
      <c r="AV255" s="490"/>
      <c r="AW255" s="490"/>
      <c r="AX255" s="490"/>
      <c r="AY255" s="490"/>
      <c r="AZ255" s="490"/>
      <c r="BA255" s="490"/>
      <c r="BB255" s="490"/>
      <c r="BC255" s="490"/>
      <c r="BD255" s="490"/>
      <c r="BE255" s="490"/>
      <c r="BF255" s="490"/>
      <c r="BG255" s="490"/>
      <c r="BH255" s="490"/>
      <c r="BI255" s="490"/>
      <c r="BJ255" s="490"/>
      <c r="BK255" s="490"/>
      <c r="BL255" s="490"/>
      <c r="BM255" s="490"/>
      <c r="BN255" s="490"/>
      <c r="BO255" s="490"/>
      <c r="BP255" s="490"/>
      <c r="BQ255" s="490"/>
      <c r="BR255" s="490"/>
      <c r="BS255" s="490"/>
      <c r="BT255" s="490"/>
      <c r="BU255" s="490"/>
      <c r="BV255" s="490"/>
      <c r="BW255" s="490"/>
      <c r="BX255" s="490"/>
      <c r="BY255" s="490"/>
      <c r="BZ255" s="490"/>
      <c r="CA255" s="490"/>
      <c r="CB255" s="490"/>
      <c r="CC255" s="490"/>
      <c r="CD255" s="490"/>
      <c r="CE255" s="490"/>
      <c r="CF255" s="490"/>
      <c r="CG255" s="490"/>
      <c r="CH255" s="490"/>
      <c r="CI255" s="490"/>
      <c r="CJ255" s="490"/>
      <c r="CK255" s="490"/>
      <c r="CL255" s="490"/>
      <c r="CM255" s="490"/>
      <c r="CN255" s="490"/>
      <c r="CO255" s="490"/>
      <c r="CP255" s="490"/>
      <c r="CQ255" s="490"/>
      <c r="CR255" s="490"/>
      <c r="CS255" s="490"/>
      <c r="CT255" s="490"/>
      <c r="CU255" s="490"/>
      <c r="CV255" s="490"/>
      <c r="CW255" s="490"/>
      <c r="CX255" s="490"/>
      <c r="CY255" s="490"/>
      <c r="CZ255" s="490"/>
      <c r="DA255" s="490"/>
      <c r="DB255" s="490"/>
      <c r="DC255" s="490"/>
      <c r="DD255" s="490"/>
      <c r="DE255" s="490"/>
      <c r="DF255" s="490"/>
      <c r="DG255" s="490"/>
      <c r="DH255" s="490"/>
      <c r="DI255" s="490"/>
      <c r="DJ255" s="490"/>
      <c r="DK255" s="490"/>
      <c r="DL255" s="490"/>
      <c r="DM255" s="490"/>
      <c r="DN255" s="490"/>
      <c r="DO255" s="490"/>
      <c r="DP255" s="490"/>
      <c r="DQ255" s="490"/>
      <c r="DR255" s="490"/>
      <c r="DS255" s="490"/>
      <c r="DT255" s="490"/>
      <c r="DU255" s="490"/>
      <c r="DV255" s="490"/>
      <c r="DW255" s="490"/>
      <c r="DX255" s="490"/>
      <c r="DY255" s="490"/>
      <c r="DZ255" s="490"/>
      <c r="EA255" s="490"/>
      <c r="EB255" s="490"/>
      <c r="EC255" s="490"/>
      <c r="ED255" s="490"/>
      <c r="EE255" s="490"/>
      <c r="EF255" s="490"/>
      <c r="EG255" s="490"/>
      <c r="EH255" s="490"/>
      <c r="EI255" s="490"/>
      <c r="EJ255" s="490"/>
      <c r="EK255" s="490"/>
      <c r="EL255" s="490"/>
      <c r="EM255" s="490"/>
      <c r="EN255" s="490"/>
      <c r="EO255" s="490"/>
      <c r="EP255" s="490"/>
      <c r="EQ255" s="490"/>
      <c r="ER255" s="490"/>
      <c r="ES255" s="490"/>
      <c r="ET255" s="490"/>
      <c r="EU255" s="490"/>
      <c r="EV255" s="490"/>
      <c r="EW255" s="490"/>
      <c r="EX255" s="490"/>
      <c r="EY255" s="490"/>
      <c r="EZ255" s="490"/>
      <c r="FA255" s="490"/>
      <c r="FB255" s="490"/>
      <c r="FC255" s="490"/>
      <c r="FD255" s="490"/>
      <c r="FE255" s="490"/>
      <c r="FF255" s="490"/>
      <c r="FG255" s="490"/>
      <c r="FH255" s="490"/>
      <c r="FI255" s="490"/>
      <c r="FJ255" s="490"/>
      <c r="FK255" s="490"/>
      <c r="FL255" s="490"/>
      <c r="FM255" s="490"/>
      <c r="FN255" s="490"/>
    </row>
    <row r="256" s="492" customFormat="1" spans="1:170">
      <c r="A256" s="540">
        <v>46164</v>
      </c>
      <c r="B256" s="515" t="s">
        <v>797</v>
      </c>
      <c r="C256" s="541">
        <v>10</v>
      </c>
      <c r="D256" s="515" t="s">
        <v>66</v>
      </c>
      <c r="E256" s="515" t="s">
        <v>712</v>
      </c>
      <c r="F256" s="515" t="s">
        <v>73</v>
      </c>
      <c r="G256" s="541">
        <v>0.7</v>
      </c>
      <c r="H256" s="560">
        <v>9</v>
      </c>
      <c r="I256" s="546" t="s">
        <v>17</v>
      </c>
      <c r="J256" s="546">
        <v>1.55</v>
      </c>
      <c r="K256" s="515" t="s">
        <v>713</v>
      </c>
      <c r="L256" s="545"/>
      <c r="M256" s="490"/>
      <c r="N256" s="490"/>
      <c r="O256" s="490"/>
      <c r="P256" s="490"/>
      <c r="Q256" s="490"/>
      <c r="R256" s="490"/>
      <c r="S256" s="490"/>
      <c r="T256" s="490"/>
      <c r="U256" s="490"/>
      <c r="V256" s="490"/>
      <c r="W256" s="490"/>
      <c r="X256" s="490"/>
      <c r="Y256" s="490"/>
      <c r="Z256" s="490"/>
      <c r="AA256" s="490"/>
      <c r="AB256" s="490"/>
      <c r="AC256" s="490"/>
      <c r="AD256" s="490"/>
      <c r="AE256" s="490"/>
      <c r="AF256" s="490"/>
      <c r="AG256" s="490"/>
      <c r="AH256" s="490"/>
      <c r="AI256" s="490"/>
      <c r="AJ256" s="490"/>
      <c r="AK256" s="490"/>
      <c r="AL256" s="490"/>
      <c r="AM256" s="490"/>
      <c r="AN256" s="490"/>
      <c r="AO256" s="490"/>
      <c r="AP256" s="490"/>
      <c r="AQ256" s="490"/>
      <c r="AR256" s="490"/>
      <c r="AS256" s="490"/>
      <c r="AT256" s="490"/>
      <c r="AU256" s="490"/>
      <c r="AV256" s="490"/>
      <c r="AW256" s="490"/>
      <c r="AX256" s="490"/>
      <c r="AY256" s="490"/>
      <c r="AZ256" s="490"/>
      <c r="BA256" s="490"/>
      <c r="BB256" s="490"/>
      <c r="BC256" s="490"/>
      <c r="BD256" s="490"/>
      <c r="BE256" s="490"/>
      <c r="BF256" s="490"/>
      <c r="BG256" s="490"/>
      <c r="BH256" s="490"/>
      <c r="BI256" s="490"/>
      <c r="BJ256" s="490"/>
      <c r="BK256" s="490"/>
      <c r="BL256" s="490"/>
      <c r="BM256" s="490"/>
      <c r="BN256" s="490"/>
      <c r="BO256" s="490"/>
      <c r="BP256" s="490"/>
      <c r="BQ256" s="490"/>
      <c r="BR256" s="490"/>
      <c r="BS256" s="490"/>
      <c r="BT256" s="490"/>
      <c r="BU256" s="490"/>
      <c r="BV256" s="490"/>
      <c r="BW256" s="490"/>
      <c r="BX256" s="490"/>
      <c r="BY256" s="490"/>
      <c r="BZ256" s="490"/>
      <c r="CA256" s="490"/>
      <c r="CB256" s="490"/>
      <c r="CC256" s="490"/>
      <c r="CD256" s="490"/>
      <c r="CE256" s="490"/>
      <c r="CF256" s="490"/>
      <c r="CG256" s="490"/>
      <c r="CH256" s="490"/>
      <c r="CI256" s="490"/>
      <c r="CJ256" s="490"/>
      <c r="CK256" s="490"/>
      <c r="CL256" s="490"/>
      <c r="CM256" s="490"/>
      <c r="CN256" s="490"/>
      <c r="CO256" s="490"/>
      <c r="CP256" s="490"/>
      <c r="CQ256" s="490"/>
      <c r="CR256" s="490"/>
      <c r="CS256" s="490"/>
      <c r="CT256" s="490"/>
      <c r="CU256" s="490"/>
      <c r="CV256" s="490"/>
      <c r="CW256" s="490"/>
      <c r="CX256" s="490"/>
      <c r="CY256" s="490"/>
      <c r="CZ256" s="490"/>
      <c r="DA256" s="490"/>
      <c r="DB256" s="490"/>
      <c r="DC256" s="490"/>
      <c r="DD256" s="490"/>
      <c r="DE256" s="490"/>
      <c r="DF256" s="490"/>
      <c r="DG256" s="490"/>
      <c r="DH256" s="490"/>
      <c r="DI256" s="490"/>
      <c r="DJ256" s="490"/>
      <c r="DK256" s="490"/>
      <c r="DL256" s="490"/>
      <c r="DM256" s="490"/>
      <c r="DN256" s="490"/>
      <c r="DO256" s="490"/>
      <c r="DP256" s="490"/>
      <c r="DQ256" s="490"/>
      <c r="DR256" s="490"/>
      <c r="DS256" s="490"/>
      <c r="DT256" s="490"/>
      <c r="DU256" s="490"/>
      <c r="DV256" s="490"/>
      <c r="DW256" s="490"/>
      <c r="DX256" s="490"/>
      <c r="DY256" s="490"/>
      <c r="DZ256" s="490"/>
      <c r="EA256" s="490"/>
      <c r="EB256" s="490"/>
      <c r="EC256" s="490"/>
      <c r="ED256" s="490"/>
      <c r="EE256" s="490"/>
      <c r="EF256" s="490"/>
      <c r="EG256" s="490"/>
      <c r="EH256" s="490"/>
      <c r="EI256" s="490"/>
      <c r="EJ256" s="490"/>
      <c r="EK256" s="490"/>
      <c r="EL256" s="490"/>
      <c r="EM256" s="490"/>
      <c r="EN256" s="490"/>
      <c r="EO256" s="490"/>
      <c r="EP256" s="490"/>
      <c r="EQ256" s="490"/>
      <c r="ER256" s="490"/>
      <c r="ES256" s="490"/>
      <c r="ET256" s="490"/>
      <c r="EU256" s="490"/>
      <c r="EV256" s="490"/>
      <c r="EW256" s="490"/>
      <c r="EX256" s="490"/>
      <c r="EY256" s="490"/>
      <c r="EZ256" s="490"/>
      <c r="FA256" s="490"/>
      <c r="FB256" s="490"/>
      <c r="FC256" s="490"/>
      <c r="FD256" s="490"/>
      <c r="FE256" s="490"/>
      <c r="FF256" s="490"/>
      <c r="FG256" s="490"/>
      <c r="FH256" s="490"/>
      <c r="FI256" s="490"/>
      <c r="FJ256" s="490"/>
      <c r="FK256" s="490"/>
      <c r="FL256" s="490"/>
      <c r="FM256" s="490"/>
      <c r="FN256" s="490"/>
    </row>
    <row r="257" s="492" customFormat="1" spans="1:170">
      <c r="A257" s="540"/>
      <c r="B257" s="515"/>
      <c r="C257" s="541"/>
      <c r="D257" s="515"/>
      <c r="E257" s="515"/>
      <c r="F257" s="515" t="s">
        <v>75</v>
      </c>
      <c r="G257" s="541">
        <v>0.96</v>
      </c>
      <c r="H257" s="560">
        <v>0.3</v>
      </c>
      <c r="I257" s="546" t="s">
        <v>22</v>
      </c>
      <c r="J257" s="546">
        <v>1.77</v>
      </c>
      <c r="K257" s="515"/>
      <c r="L257" s="545"/>
      <c r="M257" s="490"/>
      <c r="N257" s="490"/>
      <c r="O257" s="490"/>
      <c r="P257" s="490"/>
      <c r="Q257" s="490"/>
      <c r="R257" s="490"/>
      <c r="S257" s="490"/>
      <c r="T257" s="490"/>
      <c r="U257" s="490"/>
      <c r="V257" s="490"/>
      <c r="W257" s="490"/>
      <c r="X257" s="490"/>
      <c r="Y257" s="490"/>
      <c r="Z257" s="490"/>
      <c r="AA257" s="490"/>
      <c r="AB257" s="490"/>
      <c r="AC257" s="490"/>
      <c r="AD257" s="490"/>
      <c r="AE257" s="490"/>
      <c r="AF257" s="490"/>
      <c r="AG257" s="490"/>
      <c r="AH257" s="490"/>
      <c r="AI257" s="490"/>
      <c r="AJ257" s="490"/>
      <c r="AK257" s="490"/>
      <c r="AL257" s="490"/>
      <c r="AM257" s="490"/>
      <c r="AN257" s="490"/>
      <c r="AO257" s="490"/>
      <c r="AP257" s="490"/>
      <c r="AQ257" s="490"/>
      <c r="AR257" s="490"/>
      <c r="AS257" s="490"/>
      <c r="AT257" s="490"/>
      <c r="AU257" s="490"/>
      <c r="AV257" s="490"/>
      <c r="AW257" s="490"/>
      <c r="AX257" s="490"/>
      <c r="AY257" s="490"/>
      <c r="AZ257" s="490"/>
      <c r="BA257" s="490"/>
      <c r="BB257" s="490"/>
      <c r="BC257" s="490"/>
      <c r="BD257" s="490"/>
      <c r="BE257" s="490"/>
      <c r="BF257" s="490"/>
      <c r="BG257" s="490"/>
      <c r="BH257" s="490"/>
      <c r="BI257" s="490"/>
      <c r="BJ257" s="490"/>
      <c r="BK257" s="490"/>
      <c r="BL257" s="490"/>
      <c r="BM257" s="490"/>
      <c r="BN257" s="490"/>
      <c r="BO257" s="490"/>
      <c r="BP257" s="490"/>
      <c r="BQ257" s="490"/>
      <c r="BR257" s="490"/>
      <c r="BS257" s="490"/>
      <c r="BT257" s="490"/>
      <c r="BU257" s="490"/>
      <c r="BV257" s="490"/>
      <c r="BW257" s="490"/>
      <c r="BX257" s="490"/>
      <c r="BY257" s="490"/>
      <c r="BZ257" s="490"/>
      <c r="CA257" s="490"/>
      <c r="CB257" s="490"/>
      <c r="CC257" s="490"/>
      <c r="CD257" s="490"/>
      <c r="CE257" s="490"/>
      <c r="CF257" s="490"/>
      <c r="CG257" s="490"/>
      <c r="CH257" s="490"/>
      <c r="CI257" s="490"/>
      <c r="CJ257" s="490"/>
      <c r="CK257" s="490"/>
      <c r="CL257" s="490"/>
      <c r="CM257" s="490"/>
      <c r="CN257" s="490"/>
      <c r="CO257" s="490"/>
      <c r="CP257" s="490"/>
      <c r="CQ257" s="490"/>
      <c r="CR257" s="490"/>
      <c r="CS257" s="490"/>
      <c r="CT257" s="490"/>
      <c r="CU257" s="490"/>
      <c r="CV257" s="490"/>
      <c r="CW257" s="490"/>
      <c r="CX257" s="490"/>
      <c r="CY257" s="490"/>
      <c r="CZ257" s="490"/>
      <c r="DA257" s="490"/>
      <c r="DB257" s="490"/>
      <c r="DC257" s="490"/>
      <c r="DD257" s="490"/>
      <c r="DE257" s="490"/>
      <c r="DF257" s="490"/>
      <c r="DG257" s="490"/>
      <c r="DH257" s="490"/>
      <c r="DI257" s="490"/>
      <c r="DJ257" s="490"/>
      <c r="DK257" s="490"/>
      <c r="DL257" s="490"/>
      <c r="DM257" s="490"/>
      <c r="DN257" s="490"/>
      <c r="DO257" s="490"/>
      <c r="DP257" s="490"/>
      <c r="DQ257" s="490"/>
      <c r="DR257" s="490"/>
      <c r="DS257" s="490"/>
      <c r="DT257" s="490"/>
      <c r="DU257" s="490"/>
      <c r="DV257" s="490"/>
      <c r="DW257" s="490"/>
      <c r="DX257" s="490"/>
      <c r="DY257" s="490"/>
      <c r="DZ257" s="490"/>
      <c r="EA257" s="490"/>
      <c r="EB257" s="490"/>
      <c r="EC257" s="490"/>
      <c r="ED257" s="490"/>
      <c r="EE257" s="490"/>
      <c r="EF257" s="490"/>
      <c r="EG257" s="490"/>
      <c r="EH257" s="490"/>
      <c r="EI257" s="490"/>
      <c r="EJ257" s="490"/>
      <c r="EK257" s="490"/>
      <c r="EL257" s="490"/>
      <c r="EM257" s="490"/>
      <c r="EN257" s="490"/>
      <c r="EO257" s="490"/>
      <c r="EP257" s="490"/>
      <c r="EQ257" s="490"/>
      <c r="ER257" s="490"/>
      <c r="ES257" s="490"/>
      <c r="ET257" s="490"/>
      <c r="EU257" s="490"/>
      <c r="EV257" s="490"/>
      <c r="EW257" s="490"/>
      <c r="EX257" s="490"/>
      <c r="EY257" s="490"/>
      <c r="EZ257" s="490"/>
      <c r="FA257" s="490"/>
      <c r="FB257" s="490"/>
      <c r="FC257" s="490"/>
      <c r="FD257" s="490"/>
      <c r="FE257" s="490"/>
      <c r="FF257" s="490"/>
      <c r="FG257" s="490"/>
      <c r="FH257" s="490"/>
      <c r="FI257" s="490"/>
      <c r="FJ257" s="490"/>
      <c r="FK257" s="490"/>
      <c r="FL257" s="490"/>
      <c r="FM257" s="490"/>
      <c r="FN257" s="490"/>
    </row>
    <row r="258" s="492" customFormat="1" spans="1:170">
      <c r="A258" s="540"/>
      <c r="B258" s="515"/>
      <c r="C258" s="541"/>
      <c r="D258" s="515"/>
      <c r="E258" s="515"/>
      <c r="F258" s="515" t="s">
        <v>91</v>
      </c>
      <c r="G258" s="541">
        <v>1.45</v>
      </c>
      <c r="H258" s="560">
        <v>0.7</v>
      </c>
      <c r="I258" s="541" t="s">
        <v>24</v>
      </c>
      <c r="J258" s="546" t="s">
        <v>24</v>
      </c>
      <c r="K258" s="515"/>
      <c r="L258" s="545"/>
      <c r="M258" s="490"/>
      <c r="N258" s="490"/>
      <c r="O258" s="490"/>
      <c r="P258" s="490"/>
      <c r="Q258" s="490"/>
      <c r="R258" s="490"/>
      <c r="S258" s="490"/>
      <c r="T258" s="490"/>
      <c r="U258" s="490"/>
      <c r="V258" s="490"/>
      <c r="W258" s="490"/>
      <c r="X258" s="490"/>
      <c r="Y258" s="490"/>
      <c r="Z258" s="490"/>
      <c r="AA258" s="490"/>
      <c r="AB258" s="490"/>
      <c r="AC258" s="490"/>
      <c r="AD258" s="490"/>
      <c r="AE258" s="490"/>
      <c r="AF258" s="490"/>
      <c r="AG258" s="490"/>
      <c r="AH258" s="490"/>
      <c r="AI258" s="490"/>
      <c r="AJ258" s="490"/>
      <c r="AK258" s="490"/>
      <c r="AL258" s="490"/>
      <c r="AM258" s="490"/>
      <c r="AN258" s="490"/>
      <c r="AO258" s="490"/>
      <c r="AP258" s="490"/>
      <c r="AQ258" s="490"/>
      <c r="AR258" s="490"/>
      <c r="AS258" s="490"/>
      <c r="AT258" s="490"/>
      <c r="AU258" s="490"/>
      <c r="AV258" s="490"/>
      <c r="AW258" s="490"/>
      <c r="AX258" s="490"/>
      <c r="AY258" s="490"/>
      <c r="AZ258" s="490"/>
      <c r="BA258" s="490"/>
      <c r="BB258" s="490"/>
      <c r="BC258" s="490"/>
      <c r="BD258" s="490"/>
      <c r="BE258" s="490"/>
      <c r="BF258" s="490"/>
      <c r="BG258" s="490"/>
      <c r="BH258" s="490"/>
      <c r="BI258" s="490"/>
      <c r="BJ258" s="490"/>
      <c r="BK258" s="490"/>
      <c r="BL258" s="490"/>
      <c r="BM258" s="490"/>
      <c r="BN258" s="490"/>
      <c r="BO258" s="490"/>
      <c r="BP258" s="490"/>
      <c r="BQ258" s="490"/>
      <c r="BR258" s="490"/>
      <c r="BS258" s="490"/>
      <c r="BT258" s="490"/>
      <c r="BU258" s="490"/>
      <c r="BV258" s="490"/>
      <c r="BW258" s="490"/>
      <c r="BX258" s="490"/>
      <c r="BY258" s="490"/>
      <c r="BZ258" s="490"/>
      <c r="CA258" s="490"/>
      <c r="CB258" s="490"/>
      <c r="CC258" s="490"/>
      <c r="CD258" s="490"/>
      <c r="CE258" s="490"/>
      <c r="CF258" s="490"/>
      <c r="CG258" s="490"/>
      <c r="CH258" s="490"/>
      <c r="CI258" s="490"/>
      <c r="CJ258" s="490"/>
      <c r="CK258" s="490"/>
      <c r="CL258" s="490"/>
      <c r="CM258" s="490"/>
      <c r="CN258" s="490"/>
      <c r="CO258" s="490"/>
      <c r="CP258" s="490"/>
      <c r="CQ258" s="490"/>
      <c r="CR258" s="490"/>
      <c r="CS258" s="490"/>
      <c r="CT258" s="490"/>
      <c r="CU258" s="490"/>
      <c r="CV258" s="490"/>
      <c r="CW258" s="490"/>
      <c r="CX258" s="490"/>
      <c r="CY258" s="490"/>
      <c r="CZ258" s="490"/>
      <c r="DA258" s="490"/>
      <c r="DB258" s="490"/>
      <c r="DC258" s="490"/>
      <c r="DD258" s="490"/>
      <c r="DE258" s="490"/>
      <c r="DF258" s="490"/>
      <c r="DG258" s="490"/>
      <c r="DH258" s="490"/>
      <c r="DI258" s="490"/>
      <c r="DJ258" s="490"/>
      <c r="DK258" s="490"/>
      <c r="DL258" s="490"/>
      <c r="DM258" s="490"/>
      <c r="DN258" s="490"/>
      <c r="DO258" s="490"/>
      <c r="DP258" s="490"/>
      <c r="DQ258" s="490"/>
      <c r="DR258" s="490"/>
      <c r="DS258" s="490"/>
      <c r="DT258" s="490"/>
      <c r="DU258" s="490"/>
      <c r="DV258" s="490"/>
      <c r="DW258" s="490"/>
      <c r="DX258" s="490"/>
      <c r="DY258" s="490"/>
      <c r="DZ258" s="490"/>
      <c r="EA258" s="490"/>
      <c r="EB258" s="490"/>
      <c r="EC258" s="490"/>
      <c r="ED258" s="490"/>
      <c r="EE258" s="490"/>
      <c r="EF258" s="490"/>
      <c r="EG258" s="490"/>
      <c r="EH258" s="490"/>
      <c r="EI258" s="490"/>
      <c r="EJ258" s="490"/>
      <c r="EK258" s="490"/>
      <c r="EL258" s="490"/>
      <c r="EM258" s="490"/>
      <c r="EN258" s="490"/>
      <c r="EO258" s="490"/>
      <c r="EP258" s="490"/>
      <c r="EQ258" s="490"/>
      <c r="ER258" s="490"/>
      <c r="ES258" s="490"/>
      <c r="ET258" s="490"/>
      <c r="EU258" s="490"/>
      <c r="EV258" s="490"/>
      <c r="EW258" s="490"/>
      <c r="EX258" s="490"/>
      <c r="EY258" s="490"/>
      <c r="EZ258" s="490"/>
      <c r="FA258" s="490"/>
      <c r="FB258" s="490"/>
      <c r="FC258" s="490"/>
      <c r="FD258" s="490"/>
      <c r="FE258" s="490"/>
      <c r="FF258" s="490"/>
      <c r="FG258" s="490"/>
      <c r="FH258" s="490"/>
      <c r="FI258" s="490"/>
      <c r="FJ258" s="490"/>
      <c r="FK258" s="490"/>
      <c r="FL258" s="490"/>
      <c r="FM258" s="490"/>
      <c r="FN258" s="490"/>
    </row>
    <row r="259" s="492" customFormat="1" spans="1:170">
      <c r="A259" s="539">
        <v>46164</v>
      </c>
      <c r="B259" s="509" t="s">
        <v>798</v>
      </c>
      <c r="C259" s="538">
        <v>10</v>
      </c>
      <c r="D259" s="509" t="s">
        <v>208</v>
      </c>
      <c r="E259" s="509" t="s">
        <v>649</v>
      </c>
      <c r="F259" s="515" t="s">
        <v>73</v>
      </c>
      <c r="G259" s="572">
        <v>1</v>
      </c>
      <c r="H259" s="572">
        <v>8.9</v>
      </c>
      <c r="I259" s="546" t="s">
        <v>17</v>
      </c>
      <c r="J259" s="546">
        <v>1.55</v>
      </c>
      <c r="K259" s="527" t="s">
        <v>603</v>
      </c>
      <c r="L259" s="545" t="s">
        <v>261</v>
      </c>
      <c r="M259" s="490"/>
      <c r="N259" s="490"/>
      <c r="O259" s="490"/>
      <c r="P259" s="490"/>
      <c r="Q259" s="490"/>
      <c r="R259" s="490"/>
      <c r="S259" s="490"/>
      <c r="T259" s="490"/>
      <c r="U259" s="490"/>
      <c r="V259" s="490"/>
      <c r="W259" s="490"/>
      <c r="X259" s="490"/>
      <c r="Y259" s="490"/>
      <c r="Z259" s="490"/>
      <c r="AA259" s="490"/>
      <c r="AB259" s="490"/>
      <c r="AC259" s="490"/>
      <c r="AD259" s="490"/>
      <c r="AE259" s="490"/>
      <c r="AF259" s="490"/>
      <c r="AG259" s="490"/>
      <c r="AH259" s="490"/>
      <c r="AI259" s="490"/>
      <c r="AJ259" s="490"/>
      <c r="AK259" s="490"/>
      <c r="AL259" s="490"/>
      <c r="AM259" s="490"/>
      <c r="AN259" s="490"/>
      <c r="AO259" s="490"/>
      <c r="AP259" s="490"/>
      <c r="AQ259" s="490"/>
      <c r="AR259" s="490"/>
      <c r="AS259" s="490"/>
      <c r="AT259" s="490"/>
      <c r="AU259" s="490"/>
      <c r="AV259" s="490"/>
      <c r="AW259" s="490"/>
      <c r="AX259" s="490"/>
      <c r="AY259" s="490"/>
      <c r="AZ259" s="490"/>
      <c r="BA259" s="490"/>
      <c r="BB259" s="490"/>
      <c r="BC259" s="490"/>
      <c r="BD259" s="490"/>
      <c r="BE259" s="490"/>
      <c r="BF259" s="490"/>
      <c r="BG259" s="490"/>
      <c r="BH259" s="490"/>
      <c r="BI259" s="490"/>
      <c r="BJ259" s="490"/>
      <c r="BK259" s="490"/>
      <c r="BL259" s="490"/>
      <c r="BM259" s="490"/>
      <c r="BN259" s="490"/>
      <c r="BO259" s="490"/>
      <c r="BP259" s="490"/>
      <c r="BQ259" s="490"/>
      <c r="BR259" s="490"/>
      <c r="BS259" s="490"/>
      <c r="BT259" s="490"/>
      <c r="BU259" s="490"/>
      <c r="BV259" s="490"/>
      <c r="BW259" s="490"/>
      <c r="BX259" s="490"/>
      <c r="BY259" s="490"/>
      <c r="BZ259" s="490"/>
      <c r="CA259" s="490"/>
      <c r="CB259" s="490"/>
      <c r="CC259" s="490"/>
      <c r="CD259" s="490"/>
      <c r="CE259" s="490"/>
      <c r="CF259" s="490"/>
      <c r="CG259" s="490"/>
      <c r="CH259" s="490"/>
      <c r="CI259" s="490"/>
      <c r="CJ259" s="490"/>
      <c r="CK259" s="490"/>
      <c r="CL259" s="490"/>
      <c r="CM259" s="490"/>
      <c r="CN259" s="490"/>
      <c r="CO259" s="490"/>
      <c r="CP259" s="490"/>
      <c r="CQ259" s="490"/>
      <c r="CR259" s="490"/>
      <c r="CS259" s="490"/>
      <c r="CT259" s="490"/>
      <c r="CU259" s="490"/>
      <c r="CV259" s="490"/>
      <c r="CW259" s="490"/>
      <c r="CX259" s="490"/>
      <c r="CY259" s="490"/>
      <c r="CZ259" s="490"/>
      <c r="DA259" s="490"/>
      <c r="DB259" s="490"/>
      <c r="DC259" s="490"/>
      <c r="DD259" s="490"/>
      <c r="DE259" s="490"/>
      <c r="DF259" s="490"/>
      <c r="DG259" s="490"/>
      <c r="DH259" s="490"/>
      <c r="DI259" s="490"/>
      <c r="DJ259" s="490"/>
      <c r="DK259" s="490"/>
      <c r="DL259" s="490"/>
      <c r="DM259" s="490"/>
      <c r="DN259" s="490"/>
      <c r="DO259" s="490"/>
      <c r="DP259" s="490"/>
      <c r="DQ259" s="490"/>
      <c r="DR259" s="490"/>
      <c r="DS259" s="490"/>
      <c r="DT259" s="490"/>
      <c r="DU259" s="490"/>
      <c r="DV259" s="490"/>
      <c r="DW259" s="490"/>
      <c r="DX259" s="490"/>
      <c r="DY259" s="490"/>
      <c r="DZ259" s="490"/>
      <c r="EA259" s="490"/>
      <c r="EB259" s="490"/>
      <c r="EC259" s="490"/>
      <c r="ED259" s="490"/>
      <c r="EE259" s="490"/>
      <c r="EF259" s="490"/>
      <c r="EG259" s="490"/>
      <c r="EH259" s="490"/>
      <c r="EI259" s="490"/>
      <c r="EJ259" s="490"/>
      <c r="EK259" s="490"/>
      <c r="EL259" s="490"/>
      <c r="EM259" s="490"/>
      <c r="EN259" s="490"/>
      <c r="EO259" s="490"/>
      <c r="EP259" s="490"/>
      <c r="EQ259" s="490"/>
      <c r="ER259" s="490"/>
      <c r="ES259" s="490"/>
      <c r="ET259" s="490"/>
      <c r="EU259" s="490"/>
      <c r="EV259" s="490"/>
      <c r="EW259" s="490"/>
      <c r="EX259" s="490"/>
      <c r="EY259" s="490"/>
      <c r="EZ259" s="490"/>
      <c r="FA259" s="490"/>
      <c r="FB259" s="490"/>
      <c r="FC259" s="490"/>
      <c r="FD259" s="490"/>
      <c r="FE259" s="490"/>
      <c r="FF259" s="490"/>
      <c r="FG259" s="490"/>
      <c r="FH259" s="490"/>
      <c r="FI259" s="490"/>
      <c r="FJ259" s="490"/>
      <c r="FK259" s="490"/>
      <c r="FL259" s="490"/>
      <c r="FM259" s="490"/>
      <c r="FN259" s="490"/>
    </row>
    <row r="260" s="492" customFormat="1" spans="1:170">
      <c r="A260" s="539"/>
      <c r="B260" s="509"/>
      <c r="C260" s="538"/>
      <c r="D260" s="509"/>
      <c r="E260" s="509"/>
      <c r="F260" s="515" t="s">
        <v>75</v>
      </c>
      <c r="G260" s="572">
        <v>1.16</v>
      </c>
      <c r="H260" s="572">
        <v>0.5</v>
      </c>
      <c r="I260" s="546" t="s">
        <v>22</v>
      </c>
      <c r="J260" s="546">
        <v>1.77</v>
      </c>
      <c r="K260" s="527"/>
      <c r="L260" s="545"/>
      <c r="M260" s="490"/>
      <c r="N260" s="490"/>
      <c r="O260" s="490"/>
      <c r="P260" s="490"/>
      <c r="Q260" s="490"/>
      <c r="R260" s="490"/>
      <c r="S260" s="490"/>
      <c r="T260" s="490"/>
      <c r="U260" s="490"/>
      <c r="V260" s="490"/>
      <c r="W260" s="490"/>
      <c r="X260" s="490"/>
      <c r="Y260" s="490"/>
      <c r="Z260" s="490"/>
      <c r="AA260" s="490"/>
      <c r="AB260" s="490"/>
      <c r="AC260" s="490"/>
      <c r="AD260" s="490"/>
      <c r="AE260" s="490"/>
      <c r="AF260" s="490"/>
      <c r="AG260" s="490"/>
      <c r="AH260" s="490"/>
      <c r="AI260" s="490"/>
      <c r="AJ260" s="490"/>
      <c r="AK260" s="490"/>
      <c r="AL260" s="490"/>
      <c r="AM260" s="490"/>
      <c r="AN260" s="490"/>
      <c r="AO260" s="490"/>
      <c r="AP260" s="490"/>
      <c r="AQ260" s="490"/>
      <c r="AR260" s="490"/>
      <c r="AS260" s="490"/>
      <c r="AT260" s="490"/>
      <c r="AU260" s="490"/>
      <c r="AV260" s="490"/>
      <c r="AW260" s="490"/>
      <c r="AX260" s="490"/>
      <c r="AY260" s="490"/>
      <c r="AZ260" s="490"/>
      <c r="BA260" s="490"/>
      <c r="BB260" s="490"/>
      <c r="BC260" s="490"/>
      <c r="BD260" s="490"/>
      <c r="BE260" s="490"/>
      <c r="BF260" s="490"/>
      <c r="BG260" s="490"/>
      <c r="BH260" s="490"/>
      <c r="BI260" s="490"/>
      <c r="BJ260" s="490"/>
      <c r="BK260" s="490"/>
      <c r="BL260" s="490"/>
      <c r="BM260" s="490"/>
      <c r="BN260" s="490"/>
      <c r="BO260" s="490"/>
      <c r="BP260" s="490"/>
      <c r="BQ260" s="490"/>
      <c r="BR260" s="490"/>
      <c r="BS260" s="490"/>
      <c r="BT260" s="490"/>
      <c r="BU260" s="490"/>
      <c r="BV260" s="490"/>
      <c r="BW260" s="490"/>
      <c r="BX260" s="490"/>
      <c r="BY260" s="490"/>
      <c r="BZ260" s="490"/>
      <c r="CA260" s="490"/>
      <c r="CB260" s="490"/>
      <c r="CC260" s="490"/>
      <c r="CD260" s="490"/>
      <c r="CE260" s="490"/>
      <c r="CF260" s="490"/>
      <c r="CG260" s="490"/>
      <c r="CH260" s="490"/>
      <c r="CI260" s="490"/>
      <c r="CJ260" s="490"/>
      <c r="CK260" s="490"/>
      <c r="CL260" s="490"/>
      <c r="CM260" s="490"/>
      <c r="CN260" s="490"/>
      <c r="CO260" s="490"/>
      <c r="CP260" s="490"/>
      <c r="CQ260" s="490"/>
      <c r="CR260" s="490"/>
      <c r="CS260" s="490"/>
      <c r="CT260" s="490"/>
      <c r="CU260" s="490"/>
      <c r="CV260" s="490"/>
      <c r="CW260" s="490"/>
      <c r="CX260" s="490"/>
      <c r="CY260" s="490"/>
      <c r="CZ260" s="490"/>
      <c r="DA260" s="490"/>
      <c r="DB260" s="490"/>
      <c r="DC260" s="490"/>
      <c r="DD260" s="490"/>
      <c r="DE260" s="490"/>
      <c r="DF260" s="490"/>
      <c r="DG260" s="490"/>
      <c r="DH260" s="490"/>
      <c r="DI260" s="490"/>
      <c r="DJ260" s="490"/>
      <c r="DK260" s="490"/>
      <c r="DL260" s="490"/>
      <c r="DM260" s="490"/>
      <c r="DN260" s="490"/>
      <c r="DO260" s="490"/>
      <c r="DP260" s="490"/>
      <c r="DQ260" s="490"/>
      <c r="DR260" s="490"/>
      <c r="DS260" s="490"/>
      <c r="DT260" s="490"/>
      <c r="DU260" s="490"/>
      <c r="DV260" s="490"/>
      <c r="DW260" s="490"/>
      <c r="DX260" s="490"/>
      <c r="DY260" s="490"/>
      <c r="DZ260" s="490"/>
      <c r="EA260" s="490"/>
      <c r="EB260" s="490"/>
      <c r="EC260" s="490"/>
      <c r="ED260" s="490"/>
      <c r="EE260" s="490"/>
      <c r="EF260" s="490"/>
      <c r="EG260" s="490"/>
      <c r="EH260" s="490"/>
      <c r="EI260" s="490"/>
      <c r="EJ260" s="490"/>
      <c r="EK260" s="490"/>
      <c r="EL260" s="490"/>
      <c r="EM260" s="490"/>
      <c r="EN260" s="490"/>
      <c r="EO260" s="490"/>
      <c r="EP260" s="490"/>
      <c r="EQ260" s="490"/>
      <c r="ER260" s="490"/>
      <c r="ES260" s="490"/>
      <c r="ET260" s="490"/>
      <c r="EU260" s="490"/>
      <c r="EV260" s="490"/>
      <c r="EW260" s="490"/>
      <c r="EX260" s="490"/>
      <c r="EY260" s="490"/>
      <c r="EZ260" s="490"/>
      <c r="FA260" s="490"/>
      <c r="FB260" s="490"/>
      <c r="FC260" s="490"/>
      <c r="FD260" s="490"/>
      <c r="FE260" s="490"/>
      <c r="FF260" s="490"/>
      <c r="FG260" s="490"/>
      <c r="FH260" s="490"/>
      <c r="FI260" s="490"/>
      <c r="FJ260" s="490"/>
      <c r="FK260" s="490"/>
      <c r="FL260" s="490"/>
      <c r="FM260" s="490"/>
      <c r="FN260" s="490"/>
    </row>
    <row r="261" s="492" customFormat="1" spans="1:170">
      <c r="A261" s="539"/>
      <c r="B261" s="509"/>
      <c r="C261" s="538"/>
      <c r="D261" s="509"/>
      <c r="E261" s="509"/>
      <c r="F261" s="515" t="s">
        <v>91</v>
      </c>
      <c r="G261" s="572">
        <v>1.75</v>
      </c>
      <c r="H261" s="572">
        <v>0.6</v>
      </c>
      <c r="I261" s="546" t="s">
        <v>24</v>
      </c>
      <c r="J261" s="546">
        <v>0</v>
      </c>
      <c r="K261" s="527"/>
      <c r="L261" s="545"/>
      <c r="M261" s="490"/>
      <c r="N261" s="490"/>
      <c r="O261" s="490"/>
      <c r="P261" s="490"/>
      <c r="Q261" s="490"/>
      <c r="R261" s="490"/>
      <c r="S261" s="490"/>
      <c r="T261" s="490"/>
      <c r="U261" s="490"/>
      <c r="V261" s="490"/>
      <c r="W261" s="490"/>
      <c r="X261" s="490"/>
      <c r="Y261" s="490"/>
      <c r="Z261" s="490"/>
      <c r="AA261" s="490"/>
      <c r="AB261" s="490"/>
      <c r="AC261" s="490"/>
      <c r="AD261" s="490"/>
      <c r="AE261" s="490"/>
      <c r="AF261" s="490"/>
      <c r="AG261" s="490"/>
      <c r="AH261" s="490"/>
      <c r="AI261" s="490"/>
      <c r="AJ261" s="490"/>
      <c r="AK261" s="490"/>
      <c r="AL261" s="490"/>
      <c r="AM261" s="490"/>
      <c r="AN261" s="490"/>
      <c r="AO261" s="490"/>
      <c r="AP261" s="490"/>
      <c r="AQ261" s="490"/>
      <c r="AR261" s="490"/>
      <c r="AS261" s="490"/>
      <c r="AT261" s="490"/>
      <c r="AU261" s="490"/>
      <c r="AV261" s="490"/>
      <c r="AW261" s="490"/>
      <c r="AX261" s="490"/>
      <c r="AY261" s="490"/>
      <c r="AZ261" s="490"/>
      <c r="BA261" s="490"/>
      <c r="BB261" s="490"/>
      <c r="BC261" s="490"/>
      <c r="BD261" s="490"/>
      <c r="BE261" s="490"/>
      <c r="BF261" s="490"/>
      <c r="BG261" s="490"/>
      <c r="BH261" s="490"/>
      <c r="BI261" s="490"/>
      <c r="BJ261" s="490"/>
      <c r="BK261" s="490"/>
      <c r="BL261" s="490"/>
      <c r="BM261" s="490"/>
      <c r="BN261" s="490"/>
      <c r="BO261" s="490"/>
      <c r="BP261" s="490"/>
      <c r="BQ261" s="490"/>
      <c r="BR261" s="490"/>
      <c r="BS261" s="490"/>
      <c r="BT261" s="490"/>
      <c r="BU261" s="490"/>
      <c r="BV261" s="490"/>
      <c r="BW261" s="490"/>
      <c r="BX261" s="490"/>
      <c r="BY261" s="490"/>
      <c r="BZ261" s="490"/>
      <c r="CA261" s="490"/>
      <c r="CB261" s="490"/>
      <c r="CC261" s="490"/>
      <c r="CD261" s="490"/>
      <c r="CE261" s="490"/>
      <c r="CF261" s="490"/>
      <c r="CG261" s="490"/>
      <c r="CH261" s="490"/>
      <c r="CI261" s="490"/>
      <c r="CJ261" s="490"/>
      <c r="CK261" s="490"/>
      <c r="CL261" s="490"/>
      <c r="CM261" s="490"/>
      <c r="CN261" s="490"/>
      <c r="CO261" s="490"/>
      <c r="CP261" s="490"/>
      <c r="CQ261" s="490"/>
      <c r="CR261" s="490"/>
      <c r="CS261" s="490"/>
      <c r="CT261" s="490"/>
      <c r="CU261" s="490"/>
      <c r="CV261" s="490"/>
      <c r="CW261" s="490"/>
      <c r="CX261" s="490"/>
      <c r="CY261" s="490"/>
      <c r="CZ261" s="490"/>
      <c r="DA261" s="490"/>
      <c r="DB261" s="490"/>
      <c r="DC261" s="490"/>
      <c r="DD261" s="490"/>
      <c r="DE261" s="490"/>
      <c r="DF261" s="490"/>
      <c r="DG261" s="490"/>
      <c r="DH261" s="490"/>
      <c r="DI261" s="490"/>
      <c r="DJ261" s="490"/>
      <c r="DK261" s="490"/>
      <c r="DL261" s="490"/>
      <c r="DM261" s="490"/>
      <c r="DN261" s="490"/>
      <c r="DO261" s="490"/>
      <c r="DP261" s="490"/>
      <c r="DQ261" s="490"/>
      <c r="DR261" s="490"/>
      <c r="DS261" s="490"/>
      <c r="DT261" s="490"/>
      <c r="DU261" s="490"/>
      <c r="DV261" s="490"/>
      <c r="DW261" s="490"/>
      <c r="DX261" s="490"/>
      <c r="DY261" s="490"/>
      <c r="DZ261" s="490"/>
      <c r="EA261" s="490"/>
      <c r="EB261" s="490"/>
      <c r="EC261" s="490"/>
      <c r="ED261" s="490"/>
      <c r="EE261" s="490"/>
      <c r="EF261" s="490"/>
      <c r="EG261" s="490"/>
      <c r="EH261" s="490"/>
      <c r="EI261" s="490"/>
      <c r="EJ261" s="490"/>
      <c r="EK261" s="490"/>
      <c r="EL261" s="490"/>
      <c r="EM261" s="490"/>
      <c r="EN261" s="490"/>
      <c r="EO261" s="490"/>
      <c r="EP261" s="490"/>
      <c r="EQ261" s="490"/>
      <c r="ER261" s="490"/>
      <c r="ES261" s="490"/>
      <c r="ET261" s="490"/>
      <c r="EU261" s="490"/>
      <c r="EV261" s="490"/>
      <c r="EW261" s="490"/>
      <c r="EX261" s="490"/>
      <c r="EY261" s="490"/>
      <c r="EZ261" s="490"/>
      <c r="FA261" s="490"/>
      <c r="FB261" s="490"/>
      <c r="FC261" s="490"/>
      <c r="FD261" s="490"/>
      <c r="FE261" s="490"/>
      <c r="FF261" s="490"/>
      <c r="FG261" s="490"/>
      <c r="FH261" s="490"/>
      <c r="FI261" s="490"/>
      <c r="FJ261" s="490"/>
      <c r="FK261" s="490"/>
      <c r="FL261" s="490"/>
      <c r="FM261" s="490"/>
      <c r="FN261" s="490"/>
    </row>
    <row r="262" s="492" customFormat="1" spans="1:170">
      <c r="A262" s="539">
        <v>46164</v>
      </c>
      <c r="B262" s="507" t="s">
        <v>799</v>
      </c>
      <c r="C262" s="538">
        <v>10</v>
      </c>
      <c r="D262" s="509" t="s">
        <v>85</v>
      </c>
      <c r="E262" s="509" t="s">
        <v>66</v>
      </c>
      <c r="F262" s="515" t="s">
        <v>220</v>
      </c>
      <c r="G262" s="572">
        <v>1</v>
      </c>
      <c r="H262" s="572">
        <v>3</v>
      </c>
      <c r="I262" s="546" t="s">
        <v>17</v>
      </c>
      <c r="J262" s="546">
        <v>1.58</v>
      </c>
      <c r="K262" s="527" t="s">
        <v>630</v>
      </c>
      <c r="L262" s="545" t="s">
        <v>256</v>
      </c>
      <c r="M262" s="490"/>
      <c r="N262" s="490"/>
      <c r="O262" s="490"/>
      <c r="P262" s="490"/>
      <c r="Q262" s="490"/>
      <c r="R262" s="490"/>
      <c r="S262" s="490"/>
      <c r="T262" s="490"/>
      <c r="U262" s="490"/>
      <c r="V262" s="490"/>
      <c r="W262" s="490"/>
      <c r="X262" s="490"/>
      <c r="Y262" s="490"/>
      <c r="Z262" s="490"/>
      <c r="AA262" s="490"/>
      <c r="AB262" s="490"/>
      <c r="AC262" s="490"/>
      <c r="AD262" s="490"/>
      <c r="AE262" s="490"/>
      <c r="AF262" s="490"/>
      <c r="AG262" s="490"/>
      <c r="AH262" s="490"/>
      <c r="AI262" s="490"/>
      <c r="AJ262" s="490"/>
      <c r="AK262" s="490"/>
      <c r="AL262" s="490"/>
      <c r="AM262" s="490"/>
      <c r="AN262" s="490"/>
      <c r="AO262" s="490"/>
      <c r="AP262" s="490"/>
      <c r="AQ262" s="490"/>
      <c r="AR262" s="490"/>
      <c r="AS262" s="490"/>
      <c r="AT262" s="490"/>
      <c r="AU262" s="490"/>
      <c r="AV262" s="490"/>
      <c r="AW262" s="490"/>
      <c r="AX262" s="490"/>
      <c r="AY262" s="490"/>
      <c r="AZ262" s="490"/>
      <c r="BA262" s="490"/>
      <c r="BB262" s="490"/>
      <c r="BC262" s="490"/>
      <c r="BD262" s="490"/>
      <c r="BE262" s="490"/>
      <c r="BF262" s="490"/>
      <c r="BG262" s="490"/>
      <c r="BH262" s="490"/>
      <c r="BI262" s="490"/>
      <c r="BJ262" s="490"/>
      <c r="BK262" s="490"/>
      <c r="BL262" s="490"/>
      <c r="BM262" s="490"/>
      <c r="BN262" s="490"/>
      <c r="BO262" s="490"/>
      <c r="BP262" s="490"/>
      <c r="BQ262" s="490"/>
      <c r="BR262" s="490"/>
      <c r="BS262" s="490"/>
      <c r="BT262" s="490"/>
      <c r="BU262" s="490"/>
      <c r="BV262" s="490"/>
      <c r="BW262" s="490"/>
      <c r="BX262" s="490"/>
      <c r="BY262" s="490"/>
      <c r="BZ262" s="490"/>
      <c r="CA262" s="490"/>
      <c r="CB262" s="490"/>
      <c r="CC262" s="490"/>
      <c r="CD262" s="490"/>
      <c r="CE262" s="490"/>
      <c r="CF262" s="490"/>
      <c r="CG262" s="490"/>
      <c r="CH262" s="490"/>
      <c r="CI262" s="490"/>
      <c r="CJ262" s="490"/>
      <c r="CK262" s="490"/>
      <c r="CL262" s="490"/>
      <c r="CM262" s="490"/>
      <c r="CN262" s="490"/>
      <c r="CO262" s="490"/>
      <c r="CP262" s="490"/>
      <c r="CQ262" s="490"/>
      <c r="CR262" s="490"/>
      <c r="CS262" s="490"/>
      <c r="CT262" s="490"/>
      <c r="CU262" s="490"/>
      <c r="CV262" s="490"/>
      <c r="CW262" s="490"/>
      <c r="CX262" s="490"/>
      <c r="CY262" s="490"/>
      <c r="CZ262" s="490"/>
      <c r="DA262" s="490"/>
      <c r="DB262" s="490"/>
      <c r="DC262" s="490"/>
      <c r="DD262" s="490"/>
      <c r="DE262" s="490"/>
      <c r="DF262" s="490"/>
      <c r="DG262" s="490"/>
      <c r="DH262" s="490"/>
      <c r="DI262" s="490"/>
      <c r="DJ262" s="490"/>
      <c r="DK262" s="490"/>
      <c r="DL262" s="490"/>
      <c r="DM262" s="490"/>
      <c r="DN262" s="490"/>
      <c r="DO262" s="490"/>
      <c r="DP262" s="490"/>
      <c r="DQ262" s="490"/>
      <c r="DR262" s="490"/>
      <c r="DS262" s="490"/>
      <c r="DT262" s="490"/>
      <c r="DU262" s="490"/>
      <c r="DV262" s="490"/>
      <c r="DW262" s="490"/>
      <c r="DX262" s="490"/>
      <c r="DY262" s="490"/>
      <c r="DZ262" s="490"/>
      <c r="EA262" s="490"/>
      <c r="EB262" s="490"/>
      <c r="EC262" s="490"/>
      <c r="ED262" s="490"/>
      <c r="EE262" s="490"/>
      <c r="EF262" s="490"/>
      <c r="EG262" s="490"/>
      <c r="EH262" s="490"/>
      <c r="EI262" s="490"/>
      <c r="EJ262" s="490"/>
      <c r="EK262" s="490"/>
      <c r="EL262" s="490"/>
      <c r="EM262" s="490"/>
      <c r="EN262" s="490"/>
      <c r="EO262" s="490"/>
      <c r="EP262" s="490"/>
      <c r="EQ262" s="490"/>
      <c r="ER262" s="490"/>
      <c r="ES262" s="490"/>
      <c r="ET262" s="490"/>
      <c r="EU262" s="490"/>
      <c r="EV262" s="490"/>
      <c r="EW262" s="490"/>
      <c r="EX262" s="490"/>
      <c r="EY262" s="490"/>
      <c r="EZ262" s="490"/>
      <c r="FA262" s="490"/>
      <c r="FB262" s="490"/>
      <c r="FC262" s="490"/>
      <c r="FD262" s="490"/>
      <c r="FE262" s="490"/>
      <c r="FF262" s="490"/>
      <c r="FG262" s="490"/>
      <c r="FH262" s="490"/>
      <c r="FI262" s="490"/>
      <c r="FJ262" s="490"/>
      <c r="FK262" s="490"/>
      <c r="FL262" s="490"/>
      <c r="FM262" s="490"/>
      <c r="FN262" s="490"/>
    </row>
    <row r="263" s="492" customFormat="1" spans="1:170">
      <c r="A263" s="539"/>
      <c r="B263" s="513"/>
      <c r="C263" s="538"/>
      <c r="D263" s="509"/>
      <c r="E263" s="509"/>
      <c r="F263" s="515" t="s">
        <v>221</v>
      </c>
      <c r="G263" s="572">
        <v>1</v>
      </c>
      <c r="H263" s="572">
        <v>5.8</v>
      </c>
      <c r="I263" s="546" t="s">
        <v>17</v>
      </c>
      <c r="J263" s="546">
        <v>1.58</v>
      </c>
      <c r="K263" s="527"/>
      <c r="L263" s="545"/>
      <c r="M263" s="490"/>
      <c r="N263" s="490"/>
      <c r="O263" s="490"/>
      <c r="P263" s="490"/>
      <c r="Q263" s="490"/>
      <c r="R263" s="490"/>
      <c r="S263" s="490"/>
      <c r="T263" s="490"/>
      <c r="U263" s="490"/>
      <c r="V263" s="490"/>
      <c r="W263" s="490"/>
      <c r="X263" s="490"/>
      <c r="Y263" s="490"/>
      <c r="Z263" s="490"/>
      <c r="AA263" s="490"/>
      <c r="AB263" s="490"/>
      <c r="AC263" s="490"/>
      <c r="AD263" s="490"/>
      <c r="AE263" s="490"/>
      <c r="AF263" s="490"/>
      <c r="AG263" s="490"/>
      <c r="AH263" s="490"/>
      <c r="AI263" s="490"/>
      <c r="AJ263" s="490"/>
      <c r="AK263" s="490"/>
      <c r="AL263" s="490"/>
      <c r="AM263" s="490"/>
      <c r="AN263" s="490"/>
      <c r="AO263" s="490"/>
      <c r="AP263" s="490"/>
      <c r="AQ263" s="490"/>
      <c r="AR263" s="490"/>
      <c r="AS263" s="490"/>
      <c r="AT263" s="490"/>
      <c r="AU263" s="490"/>
      <c r="AV263" s="490"/>
      <c r="AW263" s="490"/>
      <c r="AX263" s="490"/>
      <c r="AY263" s="490"/>
      <c r="AZ263" s="490"/>
      <c r="BA263" s="490"/>
      <c r="BB263" s="490"/>
      <c r="BC263" s="490"/>
      <c r="BD263" s="490"/>
      <c r="BE263" s="490"/>
      <c r="BF263" s="490"/>
      <c r="BG263" s="490"/>
      <c r="BH263" s="490"/>
      <c r="BI263" s="490"/>
      <c r="BJ263" s="490"/>
      <c r="BK263" s="490"/>
      <c r="BL263" s="490"/>
      <c r="BM263" s="490"/>
      <c r="BN263" s="490"/>
      <c r="BO263" s="490"/>
      <c r="BP263" s="490"/>
      <c r="BQ263" s="490"/>
      <c r="BR263" s="490"/>
      <c r="BS263" s="490"/>
      <c r="BT263" s="490"/>
      <c r="BU263" s="490"/>
      <c r="BV263" s="490"/>
      <c r="BW263" s="490"/>
      <c r="BX263" s="490"/>
      <c r="BY263" s="490"/>
      <c r="BZ263" s="490"/>
      <c r="CA263" s="490"/>
      <c r="CB263" s="490"/>
      <c r="CC263" s="490"/>
      <c r="CD263" s="490"/>
      <c r="CE263" s="490"/>
      <c r="CF263" s="490"/>
      <c r="CG263" s="490"/>
      <c r="CH263" s="490"/>
      <c r="CI263" s="490"/>
      <c r="CJ263" s="490"/>
      <c r="CK263" s="490"/>
      <c r="CL263" s="490"/>
      <c r="CM263" s="490"/>
      <c r="CN263" s="490"/>
      <c r="CO263" s="490"/>
      <c r="CP263" s="490"/>
      <c r="CQ263" s="490"/>
      <c r="CR263" s="490"/>
      <c r="CS263" s="490"/>
      <c r="CT263" s="490"/>
      <c r="CU263" s="490"/>
      <c r="CV263" s="490"/>
      <c r="CW263" s="490"/>
      <c r="CX263" s="490"/>
      <c r="CY263" s="490"/>
      <c r="CZ263" s="490"/>
      <c r="DA263" s="490"/>
      <c r="DB263" s="490"/>
      <c r="DC263" s="490"/>
      <c r="DD263" s="490"/>
      <c r="DE263" s="490"/>
      <c r="DF263" s="490"/>
      <c r="DG263" s="490"/>
      <c r="DH263" s="490"/>
      <c r="DI263" s="490"/>
      <c r="DJ263" s="490"/>
      <c r="DK263" s="490"/>
      <c r="DL263" s="490"/>
      <c r="DM263" s="490"/>
      <c r="DN263" s="490"/>
      <c r="DO263" s="490"/>
      <c r="DP263" s="490"/>
      <c r="DQ263" s="490"/>
      <c r="DR263" s="490"/>
      <c r="DS263" s="490"/>
      <c r="DT263" s="490"/>
      <c r="DU263" s="490"/>
      <c r="DV263" s="490"/>
      <c r="DW263" s="490"/>
      <c r="DX263" s="490"/>
      <c r="DY263" s="490"/>
      <c r="DZ263" s="490"/>
      <c r="EA263" s="490"/>
      <c r="EB263" s="490"/>
      <c r="EC263" s="490"/>
      <c r="ED263" s="490"/>
      <c r="EE263" s="490"/>
      <c r="EF263" s="490"/>
      <c r="EG263" s="490"/>
      <c r="EH263" s="490"/>
      <c r="EI263" s="490"/>
      <c r="EJ263" s="490"/>
      <c r="EK263" s="490"/>
      <c r="EL263" s="490"/>
      <c r="EM263" s="490"/>
      <c r="EN263" s="490"/>
      <c r="EO263" s="490"/>
      <c r="EP263" s="490"/>
      <c r="EQ263" s="490"/>
      <c r="ER263" s="490"/>
      <c r="ES263" s="490"/>
      <c r="ET263" s="490"/>
      <c r="EU263" s="490"/>
      <c r="EV263" s="490"/>
      <c r="EW263" s="490"/>
      <c r="EX263" s="490"/>
      <c r="EY263" s="490"/>
      <c r="EZ263" s="490"/>
      <c r="FA263" s="490"/>
      <c r="FB263" s="490"/>
      <c r="FC263" s="490"/>
      <c r="FD263" s="490"/>
      <c r="FE263" s="490"/>
      <c r="FF263" s="490"/>
      <c r="FG263" s="490"/>
      <c r="FH263" s="490"/>
      <c r="FI263" s="490"/>
      <c r="FJ263" s="490"/>
      <c r="FK263" s="490"/>
      <c r="FL263" s="490"/>
      <c r="FM263" s="490"/>
      <c r="FN263" s="490"/>
    </row>
    <row r="264" s="492" customFormat="1" spans="1:170">
      <c r="A264" s="539"/>
      <c r="B264" s="513"/>
      <c r="C264" s="538"/>
      <c r="D264" s="509"/>
      <c r="E264" s="509"/>
      <c r="F264" s="515" t="s">
        <v>75</v>
      </c>
      <c r="G264" s="572">
        <v>1</v>
      </c>
      <c r="H264" s="572">
        <v>0.6</v>
      </c>
      <c r="I264" s="546" t="s">
        <v>22</v>
      </c>
      <c r="J264" s="546">
        <v>1.85</v>
      </c>
      <c r="K264" s="527"/>
      <c r="L264" s="545"/>
      <c r="M264" s="490"/>
      <c r="N264" s="490"/>
      <c r="O264" s="490"/>
      <c r="P264" s="490"/>
      <c r="Q264" s="490"/>
      <c r="R264" s="490"/>
      <c r="S264" s="490"/>
      <c r="T264" s="490"/>
      <c r="U264" s="490"/>
      <c r="V264" s="490"/>
      <c r="W264" s="490"/>
      <c r="X264" s="490"/>
      <c r="Y264" s="490"/>
      <c r="Z264" s="490"/>
      <c r="AA264" s="490"/>
      <c r="AB264" s="490"/>
      <c r="AC264" s="490"/>
      <c r="AD264" s="490"/>
      <c r="AE264" s="490"/>
      <c r="AF264" s="490"/>
      <c r="AG264" s="490"/>
      <c r="AH264" s="490"/>
      <c r="AI264" s="490"/>
      <c r="AJ264" s="490"/>
      <c r="AK264" s="490"/>
      <c r="AL264" s="490"/>
      <c r="AM264" s="490"/>
      <c r="AN264" s="490"/>
      <c r="AO264" s="490"/>
      <c r="AP264" s="490"/>
      <c r="AQ264" s="490"/>
      <c r="AR264" s="490"/>
      <c r="AS264" s="490"/>
      <c r="AT264" s="490"/>
      <c r="AU264" s="490"/>
      <c r="AV264" s="490"/>
      <c r="AW264" s="490"/>
      <c r="AX264" s="490"/>
      <c r="AY264" s="490"/>
      <c r="AZ264" s="490"/>
      <c r="BA264" s="490"/>
      <c r="BB264" s="490"/>
      <c r="BC264" s="490"/>
      <c r="BD264" s="490"/>
      <c r="BE264" s="490"/>
      <c r="BF264" s="490"/>
      <c r="BG264" s="490"/>
      <c r="BH264" s="490"/>
      <c r="BI264" s="490"/>
      <c r="BJ264" s="490"/>
      <c r="BK264" s="490"/>
      <c r="BL264" s="490"/>
      <c r="BM264" s="490"/>
      <c r="BN264" s="490"/>
      <c r="BO264" s="490"/>
      <c r="BP264" s="490"/>
      <c r="BQ264" s="490"/>
      <c r="BR264" s="490"/>
      <c r="BS264" s="490"/>
      <c r="BT264" s="490"/>
      <c r="BU264" s="490"/>
      <c r="BV264" s="490"/>
      <c r="BW264" s="490"/>
      <c r="BX264" s="490"/>
      <c r="BY264" s="490"/>
      <c r="BZ264" s="490"/>
      <c r="CA264" s="490"/>
      <c r="CB264" s="490"/>
      <c r="CC264" s="490"/>
      <c r="CD264" s="490"/>
      <c r="CE264" s="490"/>
      <c r="CF264" s="490"/>
      <c r="CG264" s="490"/>
      <c r="CH264" s="490"/>
      <c r="CI264" s="490"/>
      <c r="CJ264" s="490"/>
      <c r="CK264" s="490"/>
      <c r="CL264" s="490"/>
      <c r="CM264" s="490"/>
      <c r="CN264" s="490"/>
      <c r="CO264" s="490"/>
      <c r="CP264" s="490"/>
      <c r="CQ264" s="490"/>
      <c r="CR264" s="490"/>
      <c r="CS264" s="490"/>
      <c r="CT264" s="490"/>
      <c r="CU264" s="490"/>
      <c r="CV264" s="490"/>
      <c r="CW264" s="490"/>
      <c r="CX264" s="490"/>
      <c r="CY264" s="490"/>
      <c r="CZ264" s="490"/>
      <c r="DA264" s="490"/>
      <c r="DB264" s="490"/>
      <c r="DC264" s="490"/>
      <c r="DD264" s="490"/>
      <c r="DE264" s="490"/>
      <c r="DF264" s="490"/>
      <c r="DG264" s="490"/>
      <c r="DH264" s="490"/>
      <c r="DI264" s="490"/>
      <c r="DJ264" s="490"/>
      <c r="DK264" s="490"/>
      <c r="DL264" s="490"/>
      <c r="DM264" s="490"/>
      <c r="DN264" s="490"/>
      <c r="DO264" s="490"/>
      <c r="DP264" s="490"/>
      <c r="DQ264" s="490"/>
      <c r="DR264" s="490"/>
      <c r="DS264" s="490"/>
      <c r="DT264" s="490"/>
      <c r="DU264" s="490"/>
      <c r="DV264" s="490"/>
      <c r="DW264" s="490"/>
      <c r="DX264" s="490"/>
      <c r="DY264" s="490"/>
      <c r="DZ264" s="490"/>
      <c r="EA264" s="490"/>
      <c r="EB264" s="490"/>
      <c r="EC264" s="490"/>
      <c r="ED264" s="490"/>
      <c r="EE264" s="490"/>
      <c r="EF264" s="490"/>
      <c r="EG264" s="490"/>
      <c r="EH264" s="490"/>
      <c r="EI264" s="490"/>
      <c r="EJ264" s="490"/>
      <c r="EK264" s="490"/>
      <c r="EL264" s="490"/>
      <c r="EM264" s="490"/>
      <c r="EN264" s="490"/>
      <c r="EO264" s="490"/>
      <c r="EP264" s="490"/>
      <c r="EQ264" s="490"/>
      <c r="ER264" s="490"/>
      <c r="ES264" s="490"/>
      <c r="ET264" s="490"/>
      <c r="EU264" s="490"/>
      <c r="EV264" s="490"/>
      <c r="EW264" s="490"/>
      <c r="EX264" s="490"/>
      <c r="EY264" s="490"/>
      <c r="EZ264" s="490"/>
      <c r="FA264" s="490"/>
      <c r="FB264" s="490"/>
      <c r="FC264" s="490"/>
      <c r="FD264" s="490"/>
      <c r="FE264" s="490"/>
      <c r="FF264" s="490"/>
      <c r="FG264" s="490"/>
      <c r="FH264" s="490"/>
      <c r="FI264" s="490"/>
      <c r="FJ264" s="490"/>
      <c r="FK264" s="490"/>
      <c r="FL264" s="490"/>
      <c r="FM264" s="490"/>
      <c r="FN264" s="490"/>
    </row>
    <row r="265" s="492" customFormat="1" spans="1:170">
      <c r="A265" s="539"/>
      <c r="B265" s="517"/>
      <c r="C265" s="538"/>
      <c r="D265" s="509"/>
      <c r="E265" s="509"/>
      <c r="F265" s="515" t="s">
        <v>91</v>
      </c>
      <c r="G265" s="572">
        <v>3</v>
      </c>
      <c r="H265" s="572">
        <v>0.6</v>
      </c>
      <c r="I265" s="546" t="s">
        <v>24</v>
      </c>
      <c r="J265" s="546" t="s">
        <v>24</v>
      </c>
      <c r="K265" s="527"/>
      <c r="L265" s="545"/>
      <c r="M265" s="490"/>
      <c r="N265" s="490"/>
      <c r="O265" s="490"/>
      <c r="P265" s="490"/>
      <c r="Q265" s="490"/>
      <c r="R265" s="490"/>
      <c r="S265" s="490"/>
      <c r="T265" s="490"/>
      <c r="U265" s="490"/>
      <c r="V265" s="490"/>
      <c r="W265" s="490"/>
      <c r="X265" s="490"/>
      <c r="Y265" s="490"/>
      <c r="Z265" s="490"/>
      <c r="AA265" s="490"/>
      <c r="AB265" s="490"/>
      <c r="AC265" s="490"/>
      <c r="AD265" s="490"/>
      <c r="AE265" s="490"/>
      <c r="AF265" s="490"/>
      <c r="AG265" s="490"/>
      <c r="AH265" s="490"/>
      <c r="AI265" s="490"/>
      <c r="AJ265" s="490"/>
      <c r="AK265" s="490"/>
      <c r="AL265" s="490"/>
      <c r="AM265" s="490"/>
      <c r="AN265" s="490"/>
      <c r="AO265" s="490"/>
      <c r="AP265" s="490"/>
      <c r="AQ265" s="490"/>
      <c r="AR265" s="490"/>
      <c r="AS265" s="490"/>
      <c r="AT265" s="490"/>
      <c r="AU265" s="490"/>
      <c r="AV265" s="490"/>
      <c r="AW265" s="490"/>
      <c r="AX265" s="490"/>
      <c r="AY265" s="490"/>
      <c r="AZ265" s="490"/>
      <c r="BA265" s="490"/>
      <c r="BB265" s="490"/>
      <c r="BC265" s="490"/>
      <c r="BD265" s="490"/>
      <c r="BE265" s="490"/>
      <c r="BF265" s="490"/>
      <c r="BG265" s="490"/>
      <c r="BH265" s="490"/>
      <c r="BI265" s="490"/>
      <c r="BJ265" s="490"/>
      <c r="BK265" s="490"/>
      <c r="BL265" s="490"/>
      <c r="BM265" s="490"/>
      <c r="BN265" s="490"/>
      <c r="BO265" s="490"/>
      <c r="BP265" s="490"/>
      <c r="BQ265" s="490"/>
      <c r="BR265" s="490"/>
      <c r="BS265" s="490"/>
      <c r="BT265" s="490"/>
      <c r="BU265" s="490"/>
      <c r="BV265" s="490"/>
      <c r="BW265" s="490"/>
      <c r="BX265" s="490"/>
      <c r="BY265" s="490"/>
      <c r="BZ265" s="490"/>
      <c r="CA265" s="490"/>
      <c r="CB265" s="490"/>
      <c r="CC265" s="490"/>
      <c r="CD265" s="490"/>
      <c r="CE265" s="490"/>
      <c r="CF265" s="490"/>
      <c r="CG265" s="490"/>
      <c r="CH265" s="490"/>
      <c r="CI265" s="490"/>
      <c r="CJ265" s="490"/>
      <c r="CK265" s="490"/>
      <c r="CL265" s="490"/>
      <c r="CM265" s="490"/>
      <c r="CN265" s="490"/>
      <c r="CO265" s="490"/>
      <c r="CP265" s="490"/>
      <c r="CQ265" s="490"/>
      <c r="CR265" s="490"/>
      <c r="CS265" s="490"/>
      <c r="CT265" s="490"/>
      <c r="CU265" s="490"/>
      <c r="CV265" s="490"/>
      <c r="CW265" s="490"/>
      <c r="CX265" s="490"/>
      <c r="CY265" s="490"/>
      <c r="CZ265" s="490"/>
      <c r="DA265" s="490"/>
      <c r="DB265" s="490"/>
      <c r="DC265" s="490"/>
      <c r="DD265" s="490"/>
      <c r="DE265" s="490"/>
      <c r="DF265" s="490"/>
      <c r="DG265" s="490"/>
      <c r="DH265" s="490"/>
      <c r="DI265" s="490"/>
      <c r="DJ265" s="490"/>
      <c r="DK265" s="490"/>
      <c r="DL265" s="490"/>
      <c r="DM265" s="490"/>
      <c r="DN265" s="490"/>
      <c r="DO265" s="490"/>
      <c r="DP265" s="490"/>
      <c r="DQ265" s="490"/>
      <c r="DR265" s="490"/>
      <c r="DS265" s="490"/>
      <c r="DT265" s="490"/>
      <c r="DU265" s="490"/>
      <c r="DV265" s="490"/>
      <c r="DW265" s="490"/>
      <c r="DX265" s="490"/>
      <c r="DY265" s="490"/>
      <c r="DZ265" s="490"/>
      <c r="EA265" s="490"/>
      <c r="EB265" s="490"/>
      <c r="EC265" s="490"/>
      <c r="ED265" s="490"/>
      <c r="EE265" s="490"/>
      <c r="EF265" s="490"/>
      <c r="EG265" s="490"/>
      <c r="EH265" s="490"/>
      <c r="EI265" s="490"/>
      <c r="EJ265" s="490"/>
      <c r="EK265" s="490"/>
      <c r="EL265" s="490"/>
      <c r="EM265" s="490"/>
      <c r="EN265" s="490"/>
      <c r="EO265" s="490"/>
      <c r="EP265" s="490"/>
      <c r="EQ265" s="490"/>
      <c r="ER265" s="490"/>
      <c r="ES265" s="490"/>
      <c r="ET265" s="490"/>
      <c r="EU265" s="490"/>
      <c r="EV265" s="490"/>
      <c r="EW265" s="490"/>
      <c r="EX265" s="490"/>
      <c r="EY265" s="490"/>
      <c r="EZ265" s="490"/>
      <c r="FA265" s="490"/>
      <c r="FB265" s="490"/>
      <c r="FC265" s="490"/>
      <c r="FD265" s="490"/>
      <c r="FE265" s="490"/>
      <c r="FF265" s="490"/>
      <c r="FG265" s="490"/>
      <c r="FH265" s="490"/>
      <c r="FI265" s="490"/>
      <c r="FJ265" s="490"/>
      <c r="FK265" s="490"/>
      <c r="FL265" s="490"/>
      <c r="FM265" s="490"/>
      <c r="FN265" s="490"/>
    </row>
    <row r="266" s="492" customFormat="1" spans="1:170">
      <c r="A266" s="539">
        <v>46167</v>
      </c>
      <c r="B266" s="509" t="s">
        <v>800</v>
      </c>
      <c r="C266" s="538">
        <v>10</v>
      </c>
      <c r="D266" s="509" t="s">
        <v>66</v>
      </c>
      <c r="E266" s="509" t="s">
        <v>208</v>
      </c>
      <c r="F266" s="515" t="s">
        <v>73</v>
      </c>
      <c r="G266" s="572">
        <v>1</v>
      </c>
      <c r="H266" s="572">
        <v>8.9</v>
      </c>
      <c r="I266" s="546" t="s">
        <v>17</v>
      </c>
      <c r="J266" s="546">
        <v>1.55</v>
      </c>
      <c r="K266" s="527" t="s">
        <v>603</v>
      </c>
      <c r="L266" s="545" t="s">
        <v>261</v>
      </c>
      <c r="M266" s="490"/>
      <c r="N266" s="490"/>
      <c r="O266" s="490"/>
      <c r="P266" s="490"/>
      <c r="Q266" s="490"/>
      <c r="R266" s="490"/>
      <c r="S266" s="490"/>
      <c r="T266" s="490"/>
      <c r="U266" s="490"/>
      <c r="V266" s="490"/>
      <c r="W266" s="490"/>
      <c r="X266" s="490"/>
      <c r="Y266" s="490"/>
      <c r="Z266" s="490"/>
      <c r="AA266" s="490"/>
      <c r="AB266" s="490"/>
      <c r="AC266" s="490"/>
      <c r="AD266" s="490"/>
      <c r="AE266" s="490"/>
      <c r="AF266" s="490"/>
      <c r="AG266" s="490"/>
      <c r="AH266" s="490"/>
      <c r="AI266" s="490"/>
      <c r="AJ266" s="490"/>
      <c r="AK266" s="490"/>
      <c r="AL266" s="490"/>
      <c r="AM266" s="490"/>
      <c r="AN266" s="490"/>
      <c r="AO266" s="490"/>
      <c r="AP266" s="490"/>
      <c r="AQ266" s="490"/>
      <c r="AR266" s="490"/>
      <c r="AS266" s="490"/>
      <c r="AT266" s="490"/>
      <c r="AU266" s="490"/>
      <c r="AV266" s="490"/>
      <c r="AW266" s="490"/>
      <c r="AX266" s="490"/>
      <c r="AY266" s="490"/>
      <c r="AZ266" s="490"/>
      <c r="BA266" s="490"/>
      <c r="BB266" s="490"/>
      <c r="BC266" s="490"/>
      <c r="BD266" s="490"/>
      <c r="BE266" s="490"/>
      <c r="BF266" s="490"/>
      <c r="BG266" s="490"/>
      <c r="BH266" s="490"/>
      <c r="BI266" s="490"/>
      <c r="BJ266" s="490"/>
      <c r="BK266" s="490"/>
      <c r="BL266" s="490"/>
      <c r="BM266" s="490"/>
      <c r="BN266" s="490"/>
      <c r="BO266" s="490"/>
      <c r="BP266" s="490"/>
      <c r="BQ266" s="490"/>
      <c r="BR266" s="490"/>
      <c r="BS266" s="490"/>
      <c r="BT266" s="490"/>
      <c r="BU266" s="490"/>
      <c r="BV266" s="490"/>
      <c r="BW266" s="490"/>
      <c r="BX266" s="490"/>
      <c r="BY266" s="490"/>
      <c r="BZ266" s="490"/>
      <c r="CA266" s="490"/>
      <c r="CB266" s="490"/>
      <c r="CC266" s="490"/>
      <c r="CD266" s="490"/>
      <c r="CE266" s="490"/>
      <c r="CF266" s="490"/>
      <c r="CG266" s="490"/>
      <c r="CH266" s="490"/>
      <c r="CI266" s="490"/>
      <c r="CJ266" s="490"/>
      <c r="CK266" s="490"/>
      <c r="CL266" s="490"/>
      <c r="CM266" s="490"/>
      <c r="CN266" s="490"/>
      <c r="CO266" s="490"/>
      <c r="CP266" s="490"/>
      <c r="CQ266" s="490"/>
      <c r="CR266" s="490"/>
      <c r="CS266" s="490"/>
      <c r="CT266" s="490"/>
      <c r="CU266" s="490"/>
      <c r="CV266" s="490"/>
      <c r="CW266" s="490"/>
      <c r="CX266" s="490"/>
      <c r="CY266" s="490"/>
      <c r="CZ266" s="490"/>
      <c r="DA266" s="490"/>
      <c r="DB266" s="490"/>
      <c r="DC266" s="490"/>
      <c r="DD266" s="490"/>
      <c r="DE266" s="490"/>
      <c r="DF266" s="490"/>
      <c r="DG266" s="490"/>
      <c r="DH266" s="490"/>
      <c r="DI266" s="490"/>
      <c r="DJ266" s="490"/>
      <c r="DK266" s="490"/>
      <c r="DL266" s="490"/>
      <c r="DM266" s="490"/>
      <c r="DN266" s="490"/>
      <c r="DO266" s="490"/>
      <c r="DP266" s="490"/>
      <c r="DQ266" s="490"/>
      <c r="DR266" s="490"/>
      <c r="DS266" s="490"/>
      <c r="DT266" s="490"/>
      <c r="DU266" s="490"/>
      <c r="DV266" s="490"/>
      <c r="DW266" s="490"/>
      <c r="DX266" s="490"/>
      <c r="DY266" s="490"/>
      <c r="DZ266" s="490"/>
      <c r="EA266" s="490"/>
      <c r="EB266" s="490"/>
      <c r="EC266" s="490"/>
      <c r="ED266" s="490"/>
      <c r="EE266" s="490"/>
      <c r="EF266" s="490"/>
      <c r="EG266" s="490"/>
      <c r="EH266" s="490"/>
      <c r="EI266" s="490"/>
      <c r="EJ266" s="490"/>
      <c r="EK266" s="490"/>
      <c r="EL266" s="490"/>
      <c r="EM266" s="490"/>
      <c r="EN266" s="490"/>
      <c r="EO266" s="490"/>
      <c r="EP266" s="490"/>
      <c r="EQ266" s="490"/>
      <c r="ER266" s="490"/>
      <c r="ES266" s="490"/>
      <c r="ET266" s="490"/>
      <c r="EU266" s="490"/>
      <c r="EV266" s="490"/>
      <c r="EW266" s="490"/>
      <c r="EX266" s="490"/>
      <c r="EY266" s="490"/>
      <c r="EZ266" s="490"/>
      <c r="FA266" s="490"/>
      <c r="FB266" s="490"/>
      <c r="FC266" s="490"/>
      <c r="FD266" s="490"/>
      <c r="FE266" s="490"/>
      <c r="FF266" s="490"/>
      <c r="FG266" s="490"/>
      <c r="FH266" s="490"/>
      <c r="FI266" s="490"/>
      <c r="FJ266" s="490"/>
      <c r="FK266" s="490"/>
      <c r="FL266" s="490"/>
      <c r="FM266" s="490"/>
      <c r="FN266" s="490"/>
    </row>
    <row r="267" s="492" customFormat="1" spans="1:170">
      <c r="A267" s="539"/>
      <c r="B267" s="509"/>
      <c r="C267" s="538"/>
      <c r="D267" s="509"/>
      <c r="E267" s="509"/>
      <c r="F267" s="515" t="s">
        <v>75</v>
      </c>
      <c r="G267" s="572">
        <v>1</v>
      </c>
      <c r="H267" s="572">
        <v>0.5</v>
      </c>
      <c r="I267" s="546" t="s">
        <v>22</v>
      </c>
      <c r="J267" s="546">
        <v>1.78</v>
      </c>
      <c r="K267" s="527"/>
      <c r="L267" s="545"/>
      <c r="M267" s="490"/>
      <c r="N267" s="490"/>
      <c r="O267" s="490"/>
      <c r="P267" s="490"/>
      <c r="Q267" s="490"/>
      <c r="R267" s="490"/>
      <c r="S267" s="490"/>
      <c r="T267" s="490"/>
      <c r="U267" s="490"/>
      <c r="V267" s="490"/>
      <c r="W267" s="490"/>
      <c r="X267" s="490"/>
      <c r="Y267" s="490"/>
      <c r="Z267" s="490"/>
      <c r="AA267" s="490"/>
      <c r="AB267" s="490"/>
      <c r="AC267" s="490"/>
      <c r="AD267" s="490"/>
      <c r="AE267" s="490"/>
      <c r="AF267" s="490"/>
      <c r="AG267" s="490"/>
      <c r="AH267" s="490"/>
      <c r="AI267" s="490"/>
      <c r="AJ267" s="490"/>
      <c r="AK267" s="490"/>
      <c r="AL267" s="490"/>
      <c r="AM267" s="490"/>
      <c r="AN267" s="490"/>
      <c r="AO267" s="490"/>
      <c r="AP267" s="490"/>
      <c r="AQ267" s="490"/>
      <c r="AR267" s="490"/>
      <c r="AS267" s="490"/>
      <c r="AT267" s="490"/>
      <c r="AU267" s="490"/>
      <c r="AV267" s="490"/>
      <c r="AW267" s="490"/>
      <c r="AX267" s="490"/>
      <c r="AY267" s="490"/>
      <c r="AZ267" s="490"/>
      <c r="BA267" s="490"/>
      <c r="BB267" s="490"/>
      <c r="BC267" s="490"/>
      <c r="BD267" s="490"/>
      <c r="BE267" s="490"/>
      <c r="BF267" s="490"/>
      <c r="BG267" s="490"/>
      <c r="BH267" s="490"/>
      <c r="BI267" s="490"/>
      <c r="BJ267" s="490"/>
      <c r="BK267" s="490"/>
      <c r="BL267" s="490"/>
      <c r="BM267" s="490"/>
      <c r="BN267" s="490"/>
      <c r="BO267" s="490"/>
      <c r="BP267" s="490"/>
      <c r="BQ267" s="490"/>
      <c r="BR267" s="490"/>
      <c r="BS267" s="490"/>
      <c r="BT267" s="490"/>
      <c r="BU267" s="490"/>
      <c r="BV267" s="490"/>
      <c r="BW267" s="490"/>
      <c r="BX267" s="490"/>
      <c r="BY267" s="490"/>
      <c r="BZ267" s="490"/>
      <c r="CA267" s="490"/>
      <c r="CB267" s="490"/>
      <c r="CC267" s="490"/>
      <c r="CD267" s="490"/>
      <c r="CE267" s="490"/>
      <c r="CF267" s="490"/>
      <c r="CG267" s="490"/>
      <c r="CH267" s="490"/>
      <c r="CI267" s="490"/>
      <c r="CJ267" s="490"/>
      <c r="CK267" s="490"/>
      <c r="CL267" s="490"/>
      <c r="CM267" s="490"/>
      <c r="CN267" s="490"/>
      <c r="CO267" s="490"/>
      <c r="CP267" s="490"/>
      <c r="CQ267" s="490"/>
      <c r="CR267" s="490"/>
      <c r="CS267" s="490"/>
      <c r="CT267" s="490"/>
      <c r="CU267" s="490"/>
      <c r="CV267" s="490"/>
      <c r="CW267" s="490"/>
      <c r="CX267" s="490"/>
      <c r="CY267" s="490"/>
      <c r="CZ267" s="490"/>
      <c r="DA267" s="490"/>
      <c r="DB267" s="490"/>
      <c r="DC267" s="490"/>
      <c r="DD267" s="490"/>
      <c r="DE267" s="490"/>
      <c r="DF267" s="490"/>
      <c r="DG267" s="490"/>
      <c r="DH267" s="490"/>
      <c r="DI267" s="490"/>
      <c r="DJ267" s="490"/>
      <c r="DK267" s="490"/>
      <c r="DL267" s="490"/>
      <c r="DM267" s="490"/>
      <c r="DN267" s="490"/>
      <c r="DO267" s="490"/>
      <c r="DP267" s="490"/>
      <c r="DQ267" s="490"/>
      <c r="DR267" s="490"/>
      <c r="DS267" s="490"/>
      <c r="DT267" s="490"/>
      <c r="DU267" s="490"/>
      <c r="DV267" s="490"/>
      <c r="DW267" s="490"/>
      <c r="DX267" s="490"/>
      <c r="DY267" s="490"/>
      <c r="DZ267" s="490"/>
      <c r="EA267" s="490"/>
      <c r="EB267" s="490"/>
      <c r="EC267" s="490"/>
      <c r="ED267" s="490"/>
      <c r="EE267" s="490"/>
      <c r="EF267" s="490"/>
      <c r="EG267" s="490"/>
      <c r="EH267" s="490"/>
      <c r="EI267" s="490"/>
      <c r="EJ267" s="490"/>
      <c r="EK267" s="490"/>
      <c r="EL267" s="490"/>
      <c r="EM267" s="490"/>
      <c r="EN267" s="490"/>
      <c r="EO267" s="490"/>
      <c r="EP267" s="490"/>
      <c r="EQ267" s="490"/>
      <c r="ER267" s="490"/>
      <c r="ES267" s="490"/>
      <c r="ET267" s="490"/>
      <c r="EU267" s="490"/>
      <c r="EV267" s="490"/>
      <c r="EW267" s="490"/>
      <c r="EX267" s="490"/>
      <c r="EY267" s="490"/>
      <c r="EZ267" s="490"/>
      <c r="FA267" s="490"/>
      <c r="FB267" s="490"/>
      <c r="FC267" s="490"/>
      <c r="FD267" s="490"/>
      <c r="FE267" s="490"/>
      <c r="FF267" s="490"/>
      <c r="FG267" s="490"/>
      <c r="FH267" s="490"/>
      <c r="FI267" s="490"/>
      <c r="FJ267" s="490"/>
      <c r="FK267" s="490"/>
      <c r="FL267" s="490"/>
      <c r="FM267" s="490"/>
      <c r="FN267" s="490"/>
    </row>
    <row r="268" s="492" customFormat="1" spans="1:170">
      <c r="A268" s="539"/>
      <c r="B268" s="509"/>
      <c r="C268" s="538"/>
      <c r="D268" s="509"/>
      <c r="E268" s="509"/>
      <c r="F268" s="515" t="s">
        <v>91</v>
      </c>
      <c r="G268" s="572">
        <v>1.75</v>
      </c>
      <c r="H268" s="572">
        <v>0.6</v>
      </c>
      <c r="I268" s="546" t="s">
        <v>24</v>
      </c>
      <c r="J268" s="546" t="s">
        <v>24</v>
      </c>
      <c r="K268" s="527"/>
      <c r="L268" s="545"/>
      <c r="M268" s="490"/>
      <c r="N268" s="490"/>
      <c r="O268" s="490"/>
      <c r="P268" s="490"/>
      <c r="Q268" s="490"/>
      <c r="R268" s="490"/>
      <c r="S268" s="490"/>
      <c r="T268" s="490"/>
      <c r="U268" s="490"/>
      <c r="V268" s="490"/>
      <c r="W268" s="490"/>
      <c r="X268" s="490"/>
      <c r="Y268" s="490"/>
      <c r="Z268" s="490"/>
      <c r="AA268" s="490"/>
      <c r="AB268" s="490"/>
      <c r="AC268" s="490"/>
      <c r="AD268" s="490"/>
      <c r="AE268" s="490"/>
      <c r="AF268" s="490"/>
      <c r="AG268" s="490"/>
      <c r="AH268" s="490"/>
      <c r="AI268" s="490"/>
      <c r="AJ268" s="490"/>
      <c r="AK268" s="490"/>
      <c r="AL268" s="490"/>
      <c r="AM268" s="490"/>
      <c r="AN268" s="490"/>
      <c r="AO268" s="490"/>
      <c r="AP268" s="490"/>
      <c r="AQ268" s="490"/>
      <c r="AR268" s="490"/>
      <c r="AS268" s="490"/>
      <c r="AT268" s="490"/>
      <c r="AU268" s="490"/>
      <c r="AV268" s="490"/>
      <c r="AW268" s="490"/>
      <c r="AX268" s="490"/>
      <c r="AY268" s="490"/>
      <c r="AZ268" s="490"/>
      <c r="BA268" s="490"/>
      <c r="BB268" s="490"/>
      <c r="BC268" s="490"/>
      <c r="BD268" s="490"/>
      <c r="BE268" s="490"/>
      <c r="BF268" s="490"/>
      <c r="BG268" s="490"/>
      <c r="BH268" s="490"/>
      <c r="BI268" s="490"/>
      <c r="BJ268" s="490"/>
      <c r="BK268" s="490"/>
      <c r="BL268" s="490"/>
      <c r="BM268" s="490"/>
      <c r="BN268" s="490"/>
      <c r="BO268" s="490"/>
      <c r="BP268" s="490"/>
      <c r="BQ268" s="490"/>
      <c r="BR268" s="490"/>
      <c r="BS268" s="490"/>
      <c r="BT268" s="490"/>
      <c r="BU268" s="490"/>
      <c r="BV268" s="490"/>
      <c r="BW268" s="490"/>
      <c r="BX268" s="490"/>
      <c r="BY268" s="490"/>
      <c r="BZ268" s="490"/>
      <c r="CA268" s="490"/>
      <c r="CB268" s="490"/>
      <c r="CC268" s="490"/>
      <c r="CD268" s="490"/>
      <c r="CE268" s="490"/>
      <c r="CF268" s="490"/>
      <c r="CG268" s="490"/>
      <c r="CH268" s="490"/>
      <c r="CI268" s="490"/>
      <c r="CJ268" s="490"/>
      <c r="CK268" s="490"/>
      <c r="CL268" s="490"/>
      <c r="CM268" s="490"/>
      <c r="CN268" s="490"/>
      <c r="CO268" s="490"/>
      <c r="CP268" s="490"/>
      <c r="CQ268" s="490"/>
      <c r="CR268" s="490"/>
      <c r="CS268" s="490"/>
      <c r="CT268" s="490"/>
      <c r="CU268" s="490"/>
      <c r="CV268" s="490"/>
      <c r="CW268" s="490"/>
      <c r="CX268" s="490"/>
      <c r="CY268" s="490"/>
      <c r="CZ268" s="490"/>
      <c r="DA268" s="490"/>
      <c r="DB268" s="490"/>
      <c r="DC268" s="490"/>
      <c r="DD268" s="490"/>
      <c r="DE268" s="490"/>
      <c r="DF268" s="490"/>
      <c r="DG268" s="490"/>
      <c r="DH268" s="490"/>
      <c r="DI268" s="490"/>
      <c r="DJ268" s="490"/>
      <c r="DK268" s="490"/>
      <c r="DL268" s="490"/>
      <c r="DM268" s="490"/>
      <c r="DN268" s="490"/>
      <c r="DO268" s="490"/>
      <c r="DP268" s="490"/>
      <c r="DQ268" s="490"/>
      <c r="DR268" s="490"/>
      <c r="DS268" s="490"/>
      <c r="DT268" s="490"/>
      <c r="DU268" s="490"/>
      <c r="DV268" s="490"/>
      <c r="DW268" s="490"/>
      <c r="DX268" s="490"/>
      <c r="DY268" s="490"/>
      <c r="DZ268" s="490"/>
      <c r="EA268" s="490"/>
      <c r="EB268" s="490"/>
      <c r="EC268" s="490"/>
      <c r="ED268" s="490"/>
      <c r="EE268" s="490"/>
      <c r="EF268" s="490"/>
      <c r="EG268" s="490"/>
      <c r="EH268" s="490"/>
      <c r="EI268" s="490"/>
      <c r="EJ268" s="490"/>
      <c r="EK268" s="490"/>
      <c r="EL268" s="490"/>
      <c r="EM268" s="490"/>
      <c r="EN268" s="490"/>
      <c r="EO268" s="490"/>
      <c r="EP268" s="490"/>
      <c r="EQ268" s="490"/>
      <c r="ER268" s="490"/>
      <c r="ES268" s="490"/>
      <c r="ET268" s="490"/>
      <c r="EU268" s="490"/>
      <c r="EV268" s="490"/>
      <c r="EW268" s="490"/>
      <c r="EX268" s="490"/>
      <c r="EY268" s="490"/>
      <c r="EZ268" s="490"/>
      <c r="FA268" s="490"/>
      <c r="FB268" s="490"/>
      <c r="FC268" s="490"/>
      <c r="FD268" s="490"/>
      <c r="FE268" s="490"/>
      <c r="FF268" s="490"/>
      <c r="FG268" s="490"/>
      <c r="FH268" s="490"/>
      <c r="FI268" s="490"/>
      <c r="FJ268" s="490"/>
      <c r="FK268" s="490"/>
      <c r="FL268" s="490"/>
      <c r="FM268" s="490"/>
      <c r="FN268" s="490"/>
    </row>
    <row r="269" s="492" customFormat="1" spans="1:170">
      <c r="A269" s="504" t="s">
        <v>801</v>
      </c>
      <c r="B269" s="504" t="s">
        <v>802</v>
      </c>
      <c r="C269" s="505">
        <v>10</v>
      </c>
      <c r="D269" s="504" t="s">
        <v>33</v>
      </c>
      <c r="E269" s="504" t="s">
        <v>72</v>
      </c>
      <c r="F269" s="504" t="s">
        <v>361</v>
      </c>
      <c r="G269" s="505">
        <v>0.72</v>
      </c>
      <c r="H269" s="505">
        <v>9</v>
      </c>
      <c r="I269" s="504" t="s">
        <v>17</v>
      </c>
      <c r="J269" s="505">
        <v>1.55</v>
      </c>
      <c r="K269" s="504" t="s">
        <v>713</v>
      </c>
      <c r="L269" s="504"/>
      <c r="M269" s="490"/>
      <c r="N269" s="490"/>
      <c r="O269" s="490"/>
      <c r="P269" s="490"/>
      <c r="Q269" s="490"/>
      <c r="R269" s="490"/>
      <c r="S269" s="490"/>
      <c r="T269" s="490"/>
      <c r="U269" s="490"/>
      <c r="V269" s="490"/>
      <c r="W269" s="490"/>
      <c r="X269" s="490"/>
      <c r="Y269" s="490"/>
      <c r="Z269" s="490"/>
      <c r="AA269" s="490"/>
      <c r="AB269" s="490"/>
      <c r="AC269" s="490"/>
      <c r="AD269" s="490"/>
      <c r="AE269" s="490"/>
      <c r="AF269" s="490"/>
      <c r="AG269" s="490"/>
      <c r="AH269" s="490"/>
      <c r="AI269" s="490"/>
      <c r="AJ269" s="490"/>
      <c r="AK269" s="490"/>
      <c r="AL269" s="490"/>
      <c r="AM269" s="490"/>
      <c r="AN269" s="490"/>
      <c r="AO269" s="490"/>
      <c r="AP269" s="490"/>
      <c r="AQ269" s="490"/>
      <c r="AR269" s="490"/>
      <c r="AS269" s="490"/>
      <c r="AT269" s="490"/>
      <c r="AU269" s="490"/>
      <c r="AV269" s="490"/>
      <c r="AW269" s="490"/>
      <c r="AX269" s="490"/>
      <c r="AY269" s="490"/>
      <c r="AZ269" s="490"/>
      <c r="BA269" s="490"/>
      <c r="BB269" s="490"/>
      <c r="BC269" s="490"/>
      <c r="BD269" s="490"/>
      <c r="BE269" s="490"/>
      <c r="BF269" s="490"/>
      <c r="BG269" s="490"/>
      <c r="BH269" s="490"/>
      <c r="BI269" s="490"/>
      <c r="BJ269" s="490"/>
      <c r="BK269" s="490"/>
      <c r="BL269" s="490"/>
      <c r="BM269" s="490"/>
      <c r="BN269" s="490"/>
      <c r="BO269" s="490"/>
      <c r="BP269" s="490"/>
      <c r="BQ269" s="490"/>
      <c r="BR269" s="490"/>
      <c r="BS269" s="490"/>
      <c r="BT269" s="490"/>
      <c r="BU269" s="490"/>
      <c r="BV269" s="490"/>
      <c r="BW269" s="490"/>
      <c r="BX269" s="490"/>
      <c r="BY269" s="490"/>
      <c r="BZ269" s="490"/>
      <c r="CA269" s="490"/>
      <c r="CB269" s="490"/>
      <c r="CC269" s="490"/>
      <c r="CD269" s="490"/>
      <c r="CE269" s="490"/>
      <c r="CF269" s="490"/>
      <c r="CG269" s="490"/>
      <c r="CH269" s="490"/>
      <c r="CI269" s="490"/>
      <c r="CJ269" s="490"/>
      <c r="CK269" s="490"/>
      <c r="CL269" s="490"/>
      <c r="CM269" s="490"/>
      <c r="CN269" s="490"/>
      <c r="CO269" s="490"/>
      <c r="CP269" s="490"/>
      <c r="CQ269" s="490"/>
      <c r="CR269" s="490"/>
      <c r="CS269" s="490"/>
      <c r="CT269" s="490"/>
      <c r="CU269" s="490"/>
      <c r="CV269" s="490"/>
      <c r="CW269" s="490"/>
      <c r="CX269" s="490"/>
      <c r="CY269" s="490"/>
      <c r="CZ269" s="490"/>
      <c r="DA269" s="490"/>
      <c r="DB269" s="490"/>
      <c r="DC269" s="490"/>
      <c r="DD269" s="490"/>
      <c r="DE269" s="490"/>
      <c r="DF269" s="490"/>
      <c r="DG269" s="490"/>
      <c r="DH269" s="490"/>
      <c r="DI269" s="490"/>
      <c r="DJ269" s="490"/>
      <c r="DK269" s="490"/>
      <c r="DL269" s="490"/>
      <c r="DM269" s="490"/>
      <c r="DN269" s="490"/>
      <c r="DO269" s="490"/>
      <c r="DP269" s="490"/>
      <c r="DQ269" s="490"/>
      <c r="DR269" s="490"/>
      <c r="DS269" s="490"/>
      <c r="DT269" s="490"/>
      <c r="DU269" s="490"/>
      <c r="DV269" s="490"/>
      <c r="DW269" s="490"/>
      <c r="DX269" s="490"/>
      <c r="DY269" s="490"/>
      <c r="DZ269" s="490"/>
      <c r="EA269" s="490"/>
      <c r="EB269" s="490"/>
      <c r="EC269" s="490"/>
      <c r="ED269" s="490"/>
      <c r="EE269" s="490"/>
      <c r="EF269" s="490"/>
      <c r="EG269" s="490"/>
      <c r="EH269" s="490"/>
      <c r="EI269" s="490"/>
      <c r="EJ269" s="490"/>
      <c r="EK269" s="490"/>
      <c r="EL269" s="490"/>
      <c r="EM269" s="490"/>
      <c r="EN269" s="490"/>
      <c r="EO269" s="490"/>
      <c r="EP269" s="490"/>
      <c r="EQ269" s="490"/>
      <c r="ER269" s="490"/>
      <c r="ES269" s="490"/>
      <c r="ET269" s="490"/>
      <c r="EU269" s="490"/>
      <c r="EV269" s="490"/>
      <c r="EW269" s="490"/>
      <c r="EX269" s="490"/>
      <c r="EY269" s="490"/>
      <c r="EZ269" s="490"/>
      <c r="FA269" s="490"/>
      <c r="FB269" s="490"/>
      <c r="FC269" s="490"/>
      <c r="FD269" s="490"/>
      <c r="FE269" s="490"/>
      <c r="FF269" s="490"/>
      <c r="FG269" s="490"/>
      <c r="FH269" s="490"/>
      <c r="FI269" s="490"/>
      <c r="FJ269" s="490"/>
      <c r="FK269" s="490"/>
      <c r="FL269" s="490"/>
      <c r="FM269" s="490"/>
      <c r="FN269" s="490"/>
    </row>
    <row r="270" s="492" customFormat="1" spans="1:170">
      <c r="A270" s="504"/>
      <c r="B270" s="504"/>
      <c r="C270" s="505"/>
      <c r="D270" s="504"/>
      <c r="E270" s="504"/>
      <c r="F270" s="504" t="s">
        <v>349</v>
      </c>
      <c r="G270" s="505">
        <v>0.96</v>
      </c>
      <c r="H270" s="505">
        <v>0.3</v>
      </c>
      <c r="I270" s="504" t="s">
        <v>22</v>
      </c>
      <c r="J270" s="505">
        <v>1.77</v>
      </c>
      <c r="K270" s="504"/>
      <c r="L270" s="504"/>
      <c r="M270" s="490"/>
      <c r="N270" s="490"/>
      <c r="O270" s="490"/>
      <c r="P270" s="490"/>
      <c r="Q270" s="490"/>
      <c r="R270" s="490"/>
      <c r="S270" s="490"/>
      <c r="T270" s="490"/>
      <c r="U270" s="490"/>
      <c r="V270" s="490"/>
      <c r="W270" s="490"/>
      <c r="X270" s="490"/>
      <c r="Y270" s="490"/>
      <c r="Z270" s="490"/>
      <c r="AA270" s="490"/>
      <c r="AB270" s="490"/>
      <c r="AC270" s="490"/>
      <c r="AD270" s="490"/>
      <c r="AE270" s="490"/>
      <c r="AF270" s="490"/>
      <c r="AG270" s="490"/>
      <c r="AH270" s="490"/>
      <c r="AI270" s="490"/>
      <c r="AJ270" s="490"/>
      <c r="AK270" s="490"/>
      <c r="AL270" s="490"/>
      <c r="AM270" s="490"/>
      <c r="AN270" s="490"/>
      <c r="AO270" s="490"/>
      <c r="AP270" s="490"/>
      <c r="AQ270" s="490"/>
      <c r="AR270" s="490"/>
      <c r="AS270" s="490"/>
      <c r="AT270" s="490"/>
      <c r="AU270" s="490"/>
      <c r="AV270" s="490"/>
      <c r="AW270" s="490"/>
      <c r="AX270" s="490"/>
      <c r="AY270" s="490"/>
      <c r="AZ270" s="490"/>
      <c r="BA270" s="490"/>
      <c r="BB270" s="490"/>
      <c r="BC270" s="490"/>
      <c r="BD270" s="490"/>
      <c r="BE270" s="490"/>
      <c r="BF270" s="490"/>
      <c r="BG270" s="490"/>
      <c r="BH270" s="490"/>
      <c r="BI270" s="490"/>
      <c r="BJ270" s="490"/>
      <c r="BK270" s="490"/>
      <c r="BL270" s="490"/>
      <c r="BM270" s="490"/>
      <c r="BN270" s="490"/>
      <c r="BO270" s="490"/>
      <c r="BP270" s="490"/>
      <c r="BQ270" s="490"/>
      <c r="BR270" s="490"/>
      <c r="BS270" s="490"/>
      <c r="BT270" s="490"/>
      <c r="BU270" s="490"/>
      <c r="BV270" s="490"/>
      <c r="BW270" s="490"/>
      <c r="BX270" s="490"/>
      <c r="BY270" s="490"/>
      <c r="BZ270" s="490"/>
      <c r="CA270" s="490"/>
      <c r="CB270" s="490"/>
      <c r="CC270" s="490"/>
      <c r="CD270" s="490"/>
      <c r="CE270" s="490"/>
      <c r="CF270" s="490"/>
      <c r="CG270" s="490"/>
      <c r="CH270" s="490"/>
      <c r="CI270" s="490"/>
      <c r="CJ270" s="490"/>
      <c r="CK270" s="490"/>
      <c r="CL270" s="490"/>
      <c r="CM270" s="490"/>
      <c r="CN270" s="490"/>
      <c r="CO270" s="490"/>
      <c r="CP270" s="490"/>
      <c r="CQ270" s="490"/>
      <c r="CR270" s="490"/>
      <c r="CS270" s="490"/>
      <c r="CT270" s="490"/>
      <c r="CU270" s="490"/>
      <c r="CV270" s="490"/>
      <c r="CW270" s="490"/>
      <c r="CX270" s="490"/>
      <c r="CY270" s="490"/>
      <c r="CZ270" s="490"/>
      <c r="DA270" s="490"/>
      <c r="DB270" s="490"/>
      <c r="DC270" s="490"/>
      <c r="DD270" s="490"/>
      <c r="DE270" s="490"/>
      <c r="DF270" s="490"/>
      <c r="DG270" s="490"/>
      <c r="DH270" s="490"/>
      <c r="DI270" s="490"/>
      <c r="DJ270" s="490"/>
      <c r="DK270" s="490"/>
      <c r="DL270" s="490"/>
      <c r="DM270" s="490"/>
      <c r="DN270" s="490"/>
      <c r="DO270" s="490"/>
      <c r="DP270" s="490"/>
      <c r="DQ270" s="490"/>
      <c r="DR270" s="490"/>
      <c r="DS270" s="490"/>
      <c r="DT270" s="490"/>
      <c r="DU270" s="490"/>
      <c r="DV270" s="490"/>
      <c r="DW270" s="490"/>
      <c r="DX270" s="490"/>
      <c r="DY270" s="490"/>
      <c r="DZ270" s="490"/>
      <c r="EA270" s="490"/>
      <c r="EB270" s="490"/>
      <c r="EC270" s="490"/>
      <c r="ED270" s="490"/>
      <c r="EE270" s="490"/>
      <c r="EF270" s="490"/>
      <c r="EG270" s="490"/>
      <c r="EH270" s="490"/>
      <c r="EI270" s="490"/>
      <c r="EJ270" s="490"/>
      <c r="EK270" s="490"/>
      <c r="EL270" s="490"/>
      <c r="EM270" s="490"/>
      <c r="EN270" s="490"/>
      <c r="EO270" s="490"/>
      <c r="EP270" s="490"/>
      <c r="EQ270" s="490"/>
      <c r="ER270" s="490"/>
      <c r="ES270" s="490"/>
      <c r="ET270" s="490"/>
      <c r="EU270" s="490"/>
      <c r="EV270" s="490"/>
      <c r="EW270" s="490"/>
      <c r="EX270" s="490"/>
      <c r="EY270" s="490"/>
      <c r="EZ270" s="490"/>
      <c r="FA270" s="490"/>
      <c r="FB270" s="490"/>
      <c r="FC270" s="490"/>
      <c r="FD270" s="490"/>
      <c r="FE270" s="490"/>
      <c r="FF270" s="490"/>
      <c r="FG270" s="490"/>
      <c r="FH270" s="490"/>
      <c r="FI270" s="490"/>
      <c r="FJ270" s="490"/>
      <c r="FK270" s="490"/>
      <c r="FL270" s="490"/>
      <c r="FM270" s="490"/>
      <c r="FN270" s="490"/>
    </row>
    <row r="271" s="492" customFormat="1" spans="1:170">
      <c r="A271" s="504"/>
      <c r="B271" s="504"/>
      <c r="C271" s="505"/>
      <c r="D271" s="504"/>
      <c r="E271" s="504"/>
      <c r="F271" s="504" t="s">
        <v>91</v>
      </c>
      <c r="G271" s="505">
        <v>1.45</v>
      </c>
      <c r="H271" s="505">
        <v>0.7</v>
      </c>
      <c r="I271" s="504" t="s">
        <v>24</v>
      </c>
      <c r="J271" s="504" t="s">
        <v>24</v>
      </c>
      <c r="K271" s="504"/>
      <c r="L271" s="504"/>
      <c r="M271" s="490"/>
      <c r="N271" s="490"/>
      <c r="O271" s="490"/>
      <c r="P271" s="490"/>
      <c r="Q271" s="490"/>
      <c r="R271" s="490"/>
      <c r="S271" s="490"/>
      <c r="T271" s="490"/>
      <c r="U271" s="490"/>
      <c r="V271" s="490"/>
      <c r="W271" s="490"/>
      <c r="X271" s="490"/>
      <c r="Y271" s="490"/>
      <c r="Z271" s="490"/>
      <c r="AA271" s="490"/>
      <c r="AB271" s="490"/>
      <c r="AC271" s="490"/>
      <c r="AD271" s="490"/>
      <c r="AE271" s="490"/>
      <c r="AF271" s="490"/>
      <c r="AG271" s="490"/>
      <c r="AH271" s="490"/>
      <c r="AI271" s="490"/>
      <c r="AJ271" s="490"/>
      <c r="AK271" s="490"/>
      <c r="AL271" s="490"/>
      <c r="AM271" s="490"/>
      <c r="AN271" s="490"/>
      <c r="AO271" s="490"/>
      <c r="AP271" s="490"/>
      <c r="AQ271" s="490"/>
      <c r="AR271" s="490"/>
      <c r="AS271" s="490"/>
      <c r="AT271" s="490"/>
      <c r="AU271" s="490"/>
      <c r="AV271" s="490"/>
      <c r="AW271" s="490"/>
      <c r="AX271" s="490"/>
      <c r="AY271" s="490"/>
      <c r="AZ271" s="490"/>
      <c r="BA271" s="490"/>
      <c r="BB271" s="490"/>
      <c r="BC271" s="490"/>
      <c r="BD271" s="490"/>
      <c r="BE271" s="490"/>
      <c r="BF271" s="490"/>
      <c r="BG271" s="490"/>
      <c r="BH271" s="490"/>
      <c r="BI271" s="490"/>
      <c r="BJ271" s="490"/>
      <c r="BK271" s="490"/>
      <c r="BL271" s="490"/>
      <c r="BM271" s="490"/>
      <c r="BN271" s="490"/>
      <c r="BO271" s="490"/>
      <c r="BP271" s="490"/>
      <c r="BQ271" s="490"/>
      <c r="BR271" s="490"/>
      <c r="BS271" s="490"/>
      <c r="BT271" s="490"/>
      <c r="BU271" s="490"/>
      <c r="BV271" s="490"/>
      <c r="BW271" s="490"/>
      <c r="BX271" s="490"/>
      <c r="BY271" s="490"/>
      <c r="BZ271" s="490"/>
      <c r="CA271" s="490"/>
      <c r="CB271" s="490"/>
      <c r="CC271" s="490"/>
      <c r="CD271" s="490"/>
      <c r="CE271" s="490"/>
      <c r="CF271" s="490"/>
      <c r="CG271" s="490"/>
      <c r="CH271" s="490"/>
      <c r="CI271" s="490"/>
      <c r="CJ271" s="490"/>
      <c r="CK271" s="490"/>
      <c r="CL271" s="490"/>
      <c r="CM271" s="490"/>
      <c r="CN271" s="490"/>
      <c r="CO271" s="490"/>
      <c r="CP271" s="490"/>
      <c r="CQ271" s="490"/>
      <c r="CR271" s="490"/>
      <c r="CS271" s="490"/>
      <c r="CT271" s="490"/>
      <c r="CU271" s="490"/>
      <c r="CV271" s="490"/>
      <c r="CW271" s="490"/>
      <c r="CX271" s="490"/>
      <c r="CY271" s="490"/>
      <c r="CZ271" s="490"/>
      <c r="DA271" s="490"/>
      <c r="DB271" s="490"/>
      <c r="DC271" s="490"/>
      <c r="DD271" s="490"/>
      <c r="DE271" s="490"/>
      <c r="DF271" s="490"/>
      <c r="DG271" s="490"/>
      <c r="DH271" s="490"/>
      <c r="DI271" s="490"/>
      <c r="DJ271" s="490"/>
      <c r="DK271" s="490"/>
      <c r="DL271" s="490"/>
      <c r="DM271" s="490"/>
      <c r="DN271" s="490"/>
      <c r="DO271" s="490"/>
      <c r="DP271" s="490"/>
      <c r="DQ271" s="490"/>
      <c r="DR271" s="490"/>
      <c r="DS271" s="490"/>
      <c r="DT271" s="490"/>
      <c r="DU271" s="490"/>
      <c r="DV271" s="490"/>
      <c r="DW271" s="490"/>
      <c r="DX271" s="490"/>
      <c r="DY271" s="490"/>
      <c r="DZ271" s="490"/>
      <c r="EA271" s="490"/>
      <c r="EB271" s="490"/>
      <c r="EC271" s="490"/>
      <c r="ED271" s="490"/>
      <c r="EE271" s="490"/>
      <c r="EF271" s="490"/>
      <c r="EG271" s="490"/>
      <c r="EH271" s="490"/>
      <c r="EI271" s="490"/>
      <c r="EJ271" s="490"/>
      <c r="EK271" s="490"/>
      <c r="EL271" s="490"/>
      <c r="EM271" s="490"/>
      <c r="EN271" s="490"/>
      <c r="EO271" s="490"/>
      <c r="EP271" s="490"/>
      <c r="EQ271" s="490"/>
      <c r="ER271" s="490"/>
      <c r="ES271" s="490"/>
      <c r="ET271" s="490"/>
      <c r="EU271" s="490"/>
      <c r="EV271" s="490"/>
      <c r="EW271" s="490"/>
      <c r="EX271" s="490"/>
      <c r="EY271" s="490"/>
      <c r="EZ271" s="490"/>
      <c r="FA271" s="490"/>
      <c r="FB271" s="490"/>
      <c r="FC271" s="490"/>
      <c r="FD271" s="490"/>
      <c r="FE271" s="490"/>
      <c r="FF271" s="490"/>
      <c r="FG271" s="490"/>
      <c r="FH271" s="490"/>
      <c r="FI271" s="490"/>
      <c r="FJ271" s="490"/>
      <c r="FK271" s="490"/>
      <c r="FL271" s="490"/>
      <c r="FM271" s="490"/>
      <c r="FN271" s="490"/>
    </row>
    <row r="272" s="492" customFormat="1" spans="1:170">
      <c r="A272" s="539">
        <v>46168</v>
      </c>
      <c r="B272" s="509" t="s">
        <v>803</v>
      </c>
      <c r="C272" s="538">
        <v>3</v>
      </c>
      <c r="D272" s="509" t="s">
        <v>33</v>
      </c>
      <c r="E272" s="509" t="s">
        <v>33</v>
      </c>
      <c r="F272" s="515" t="s">
        <v>73</v>
      </c>
      <c r="G272" s="511">
        <v>1.04</v>
      </c>
      <c r="H272" s="546">
        <v>2.64</v>
      </c>
      <c r="I272" s="546" t="s">
        <v>17</v>
      </c>
      <c r="J272" s="546">
        <v>1.65</v>
      </c>
      <c r="K272" s="527" t="s">
        <v>601</v>
      </c>
      <c r="L272" s="545" t="s">
        <v>316</v>
      </c>
      <c r="M272" s="490"/>
      <c r="N272" s="490"/>
      <c r="O272" s="490"/>
      <c r="P272" s="490"/>
      <c r="Q272" s="490"/>
      <c r="R272" s="490"/>
      <c r="S272" s="490"/>
      <c r="T272" s="490"/>
      <c r="U272" s="490"/>
      <c r="V272" s="490"/>
      <c r="W272" s="490"/>
      <c r="X272" s="490"/>
      <c r="Y272" s="490"/>
      <c r="Z272" s="490"/>
      <c r="AA272" s="490"/>
      <c r="AB272" s="490"/>
      <c r="AC272" s="490"/>
      <c r="AD272" s="490"/>
      <c r="AE272" s="490"/>
      <c r="AF272" s="490"/>
      <c r="AG272" s="490"/>
      <c r="AH272" s="490"/>
      <c r="AI272" s="490"/>
      <c r="AJ272" s="490"/>
      <c r="AK272" s="490"/>
      <c r="AL272" s="490"/>
      <c r="AM272" s="490"/>
      <c r="AN272" s="490"/>
      <c r="AO272" s="490"/>
      <c r="AP272" s="490"/>
      <c r="AQ272" s="490"/>
      <c r="AR272" s="490"/>
      <c r="AS272" s="490"/>
      <c r="AT272" s="490"/>
      <c r="AU272" s="490"/>
      <c r="AV272" s="490"/>
      <c r="AW272" s="490"/>
      <c r="AX272" s="490"/>
      <c r="AY272" s="490"/>
      <c r="AZ272" s="490"/>
      <c r="BA272" s="490"/>
      <c r="BB272" s="490"/>
      <c r="BC272" s="490"/>
      <c r="BD272" s="490"/>
      <c r="BE272" s="490"/>
      <c r="BF272" s="490"/>
      <c r="BG272" s="490"/>
      <c r="BH272" s="490"/>
      <c r="BI272" s="490"/>
      <c r="BJ272" s="490"/>
      <c r="BK272" s="490"/>
      <c r="BL272" s="490"/>
      <c r="BM272" s="490"/>
      <c r="BN272" s="490"/>
      <c r="BO272" s="490"/>
      <c r="BP272" s="490"/>
      <c r="BQ272" s="490"/>
      <c r="BR272" s="490"/>
      <c r="BS272" s="490"/>
      <c r="BT272" s="490"/>
      <c r="BU272" s="490"/>
      <c r="BV272" s="490"/>
      <c r="BW272" s="490"/>
      <c r="BX272" s="490"/>
      <c r="BY272" s="490"/>
      <c r="BZ272" s="490"/>
      <c r="CA272" s="490"/>
      <c r="CB272" s="490"/>
      <c r="CC272" s="490"/>
      <c r="CD272" s="490"/>
      <c r="CE272" s="490"/>
      <c r="CF272" s="490"/>
      <c r="CG272" s="490"/>
      <c r="CH272" s="490"/>
      <c r="CI272" s="490"/>
      <c r="CJ272" s="490"/>
      <c r="CK272" s="490"/>
      <c r="CL272" s="490"/>
      <c r="CM272" s="490"/>
      <c r="CN272" s="490"/>
      <c r="CO272" s="490"/>
      <c r="CP272" s="490"/>
      <c r="CQ272" s="490"/>
      <c r="CR272" s="490"/>
      <c r="CS272" s="490"/>
      <c r="CT272" s="490"/>
      <c r="CU272" s="490"/>
      <c r="CV272" s="490"/>
      <c r="CW272" s="490"/>
      <c r="CX272" s="490"/>
      <c r="CY272" s="490"/>
      <c r="CZ272" s="490"/>
      <c r="DA272" s="490"/>
      <c r="DB272" s="490"/>
      <c r="DC272" s="490"/>
      <c r="DD272" s="490"/>
      <c r="DE272" s="490"/>
      <c r="DF272" s="490"/>
      <c r="DG272" s="490"/>
      <c r="DH272" s="490"/>
      <c r="DI272" s="490"/>
      <c r="DJ272" s="490"/>
      <c r="DK272" s="490"/>
      <c r="DL272" s="490"/>
      <c r="DM272" s="490"/>
      <c r="DN272" s="490"/>
      <c r="DO272" s="490"/>
      <c r="DP272" s="490"/>
      <c r="DQ272" s="490"/>
      <c r="DR272" s="490"/>
      <c r="DS272" s="490"/>
      <c r="DT272" s="490"/>
      <c r="DU272" s="490"/>
      <c r="DV272" s="490"/>
      <c r="DW272" s="490"/>
      <c r="DX272" s="490"/>
      <c r="DY272" s="490"/>
      <c r="DZ272" s="490"/>
      <c r="EA272" s="490"/>
      <c r="EB272" s="490"/>
      <c r="EC272" s="490"/>
      <c r="ED272" s="490"/>
      <c r="EE272" s="490"/>
      <c r="EF272" s="490"/>
      <c r="EG272" s="490"/>
      <c r="EH272" s="490"/>
      <c r="EI272" s="490"/>
      <c r="EJ272" s="490"/>
      <c r="EK272" s="490"/>
      <c r="EL272" s="490"/>
      <c r="EM272" s="490"/>
      <c r="EN272" s="490"/>
      <c r="EO272" s="490"/>
      <c r="EP272" s="490"/>
      <c r="EQ272" s="490"/>
      <c r="ER272" s="490"/>
      <c r="ES272" s="490"/>
      <c r="ET272" s="490"/>
      <c r="EU272" s="490"/>
      <c r="EV272" s="490"/>
      <c r="EW272" s="490"/>
      <c r="EX272" s="490"/>
      <c r="EY272" s="490"/>
      <c r="EZ272" s="490"/>
      <c r="FA272" s="490"/>
      <c r="FB272" s="490"/>
      <c r="FC272" s="490"/>
      <c r="FD272" s="490"/>
      <c r="FE272" s="490"/>
      <c r="FF272" s="490"/>
      <c r="FG272" s="490"/>
      <c r="FH272" s="490"/>
      <c r="FI272" s="490"/>
      <c r="FJ272" s="490"/>
      <c r="FK272" s="490"/>
      <c r="FL272" s="490"/>
      <c r="FM272" s="490"/>
      <c r="FN272" s="490"/>
    </row>
    <row r="273" s="492" customFormat="1" spans="1:170">
      <c r="A273" s="539"/>
      <c r="B273" s="509"/>
      <c r="C273" s="538"/>
      <c r="D273" s="509"/>
      <c r="E273" s="509"/>
      <c r="F273" s="515" t="s">
        <v>75</v>
      </c>
      <c r="G273" s="511">
        <v>1.04</v>
      </c>
      <c r="H273" s="546">
        <v>0.06</v>
      </c>
      <c r="I273" s="546" t="s">
        <v>17</v>
      </c>
      <c r="J273" s="546">
        <v>1.7</v>
      </c>
      <c r="K273" s="527"/>
      <c r="L273" s="545"/>
      <c r="M273" s="490"/>
      <c r="N273" s="490"/>
      <c r="O273" s="490"/>
      <c r="P273" s="490"/>
      <c r="Q273" s="490"/>
      <c r="R273" s="490"/>
      <c r="S273" s="490"/>
      <c r="T273" s="490"/>
      <c r="U273" s="490"/>
      <c r="V273" s="490"/>
      <c r="W273" s="490"/>
      <c r="X273" s="490"/>
      <c r="Y273" s="490"/>
      <c r="Z273" s="490"/>
      <c r="AA273" s="490"/>
      <c r="AB273" s="490"/>
      <c r="AC273" s="490"/>
      <c r="AD273" s="490"/>
      <c r="AE273" s="490"/>
      <c r="AF273" s="490"/>
      <c r="AG273" s="490"/>
      <c r="AH273" s="490"/>
      <c r="AI273" s="490"/>
      <c r="AJ273" s="490"/>
      <c r="AK273" s="490"/>
      <c r="AL273" s="490"/>
      <c r="AM273" s="490"/>
      <c r="AN273" s="490"/>
      <c r="AO273" s="490"/>
      <c r="AP273" s="490"/>
      <c r="AQ273" s="490"/>
      <c r="AR273" s="490"/>
      <c r="AS273" s="490"/>
      <c r="AT273" s="490"/>
      <c r="AU273" s="490"/>
      <c r="AV273" s="490"/>
      <c r="AW273" s="490"/>
      <c r="AX273" s="490"/>
      <c r="AY273" s="490"/>
      <c r="AZ273" s="490"/>
      <c r="BA273" s="490"/>
      <c r="BB273" s="490"/>
      <c r="BC273" s="490"/>
      <c r="BD273" s="490"/>
      <c r="BE273" s="490"/>
      <c r="BF273" s="490"/>
      <c r="BG273" s="490"/>
      <c r="BH273" s="490"/>
      <c r="BI273" s="490"/>
      <c r="BJ273" s="490"/>
      <c r="BK273" s="490"/>
      <c r="BL273" s="490"/>
      <c r="BM273" s="490"/>
      <c r="BN273" s="490"/>
      <c r="BO273" s="490"/>
      <c r="BP273" s="490"/>
      <c r="BQ273" s="490"/>
      <c r="BR273" s="490"/>
      <c r="BS273" s="490"/>
      <c r="BT273" s="490"/>
      <c r="BU273" s="490"/>
      <c r="BV273" s="490"/>
      <c r="BW273" s="490"/>
      <c r="BX273" s="490"/>
      <c r="BY273" s="490"/>
      <c r="BZ273" s="490"/>
      <c r="CA273" s="490"/>
      <c r="CB273" s="490"/>
      <c r="CC273" s="490"/>
      <c r="CD273" s="490"/>
      <c r="CE273" s="490"/>
      <c r="CF273" s="490"/>
      <c r="CG273" s="490"/>
      <c r="CH273" s="490"/>
      <c r="CI273" s="490"/>
      <c r="CJ273" s="490"/>
      <c r="CK273" s="490"/>
      <c r="CL273" s="490"/>
      <c r="CM273" s="490"/>
      <c r="CN273" s="490"/>
      <c r="CO273" s="490"/>
      <c r="CP273" s="490"/>
      <c r="CQ273" s="490"/>
      <c r="CR273" s="490"/>
      <c r="CS273" s="490"/>
      <c r="CT273" s="490"/>
      <c r="CU273" s="490"/>
      <c r="CV273" s="490"/>
      <c r="CW273" s="490"/>
      <c r="CX273" s="490"/>
      <c r="CY273" s="490"/>
      <c r="CZ273" s="490"/>
      <c r="DA273" s="490"/>
      <c r="DB273" s="490"/>
      <c r="DC273" s="490"/>
      <c r="DD273" s="490"/>
      <c r="DE273" s="490"/>
      <c r="DF273" s="490"/>
      <c r="DG273" s="490"/>
      <c r="DH273" s="490"/>
      <c r="DI273" s="490"/>
      <c r="DJ273" s="490"/>
      <c r="DK273" s="490"/>
      <c r="DL273" s="490"/>
      <c r="DM273" s="490"/>
      <c r="DN273" s="490"/>
      <c r="DO273" s="490"/>
      <c r="DP273" s="490"/>
      <c r="DQ273" s="490"/>
      <c r="DR273" s="490"/>
      <c r="DS273" s="490"/>
      <c r="DT273" s="490"/>
      <c r="DU273" s="490"/>
      <c r="DV273" s="490"/>
      <c r="DW273" s="490"/>
      <c r="DX273" s="490"/>
      <c r="DY273" s="490"/>
      <c r="DZ273" s="490"/>
      <c r="EA273" s="490"/>
      <c r="EB273" s="490"/>
      <c r="EC273" s="490"/>
      <c r="ED273" s="490"/>
      <c r="EE273" s="490"/>
      <c r="EF273" s="490"/>
      <c r="EG273" s="490"/>
      <c r="EH273" s="490"/>
      <c r="EI273" s="490"/>
      <c r="EJ273" s="490"/>
      <c r="EK273" s="490"/>
      <c r="EL273" s="490"/>
      <c r="EM273" s="490"/>
      <c r="EN273" s="490"/>
      <c r="EO273" s="490"/>
      <c r="EP273" s="490"/>
      <c r="EQ273" s="490"/>
      <c r="ER273" s="490"/>
      <c r="ES273" s="490"/>
      <c r="ET273" s="490"/>
      <c r="EU273" s="490"/>
      <c r="EV273" s="490"/>
      <c r="EW273" s="490"/>
      <c r="EX273" s="490"/>
      <c r="EY273" s="490"/>
      <c r="EZ273" s="490"/>
      <c r="FA273" s="490"/>
      <c r="FB273" s="490"/>
      <c r="FC273" s="490"/>
      <c r="FD273" s="490"/>
      <c r="FE273" s="490"/>
      <c r="FF273" s="490"/>
      <c r="FG273" s="490"/>
      <c r="FH273" s="490"/>
      <c r="FI273" s="490"/>
      <c r="FJ273" s="490"/>
      <c r="FK273" s="490"/>
      <c r="FL273" s="490"/>
      <c r="FM273" s="490"/>
      <c r="FN273" s="490"/>
    </row>
    <row r="274" s="492" customFormat="1" spans="1:170">
      <c r="A274" s="539"/>
      <c r="B274" s="509"/>
      <c r="C274" s="538"/>
      <c r="D274" s="509"/>
      <c r="E274" s="509"/>
      <c r="F274" s="515" t="s">
        <v>91</v>
      </c>
      <c r="G274" s="511">
        <v>1.38</v>
      </c>
      <c r="H274" s="546">
        <v>0.3</v>
      </c>
      <c r="I274" s="546" t="s">
        <v>24</v>
      </c>
      <c r="J274" s="546" t="s">
        <v>24</v>
      </c>
      <c r="K274" s="527"/>
      <c r="L274" s="545"/>
      <c r="M274" s="490"/>
      <c r="N274" s="490"/>
      <c r="O274" s="490"/>
      <c r="P274" s="490"/>
      <c r="Q274" s="490"/>
      <c r="R274" s="490"/>
      <c r="S274" s="490"/>
      <c r="T274" s="490"/>
      <c r="U274" s="490"/>
      <c r="V274" s="490"/>
      <c r="W274" s="490"/>
      <c r="X274" s="490"/>
      <c r="Y274" s="490"/>
      <c r="Z274" s="490"/>
      <c r="AA274" s="490"/>
      <c r="AB274" s="490"/>
      <c r="AC274" s="490"/>
      <c r="AD274" s="490"/>
      <c r="AE274" s="490"/>
      <c r="AF274" s="490"/>
      <c r="AG274" s="490"/>
      <c r="AH274" s="490"/>
      <c r="AI274" s="490"/>
      <c r="AJ274" s="490"/>
      <c r="AK274" s="490"/>
      <c r="AL274" s="490"/>
      <c r="AM274" s="490"/>
      <c r="AN274" s="490"/>
      <c r="AO274" s="490"/>
      <c r="AP274" s="490"/>
      <c r="AQ274" s="490"/>
      <c r="AR274" s="490"/>
      <c r="AS274" s="490"/>
      <c r="AT274" s="490"/>
      <c r="AU274" s="490"/>
      <c r="AV274" s="490"/>
      <c r="AW274" s="490"/>
      <c r="AX274" s="490"/>
      <c r="AY274" s="490"/>
      <c r="AZ274" s="490"/>
      <c r="BA274" s="490"/>
      <c r="BB274" s="490"/>
      <c r="BC274" s="490"/>
      <c r="BD274" s="490"/>
      <c r="BE274" s="490"/>
      <c r="BF274" s="490"/>
      <c r="BG274" s="490"/>
      <c r="BH274" s="490"/>
      <c r="BI274" s="490"/>
      <c r="BJ274" s="490"/>
      <c r="BK274" s="490"/>
      <c r="BL274" s="490"/>
      <c r="BM274" s="490"/>
      <c r="BN274" s="490"/>
      <c r="BO274" s="490"/>
      <c r="BP274" s="490"/>
      <c r="BQ274" s="490"/>
      <c r="BR274" s="490"/>
      <c r="BS274" s="490"/>
      <c r="BT274" s="490"/>
      <c r="BU274" s="490"/>
      <c r="BV274" s="490"/>
      <c r="BW274" s="490"/>
      <c r="BX274" s="490"/>
      <c r="BY274" s="490"/>
      <c r="BZ274" s="490"/>
      <c r="CA274" s="490"/>
      <c r="CB274" s="490"/>
      <c r="CC274" s="490"/>
      <c r="CD274" s="490"/>
      <c r="CE274" s="490"/>
      <c r="CF274" s="490"/>
      <c r="CG274" s="490"/>
      <c r="CH274" s="490"/>
      <c r="CI274" s="490"/>
      <c r="CJ274" s="490"/>
      <c r="CK274" s="490"/>
      <c r="CL274" s="490"/>
      <c r="CM274" s="490"/>
      <c r="CN274" s="490"/>
      <c r="CO274" s="490"/>
      <c r="CP274" s="490"/>
      <c r="CQ274" s="490"/>
      <c r="CR274" s="490"/>
      <c r="CS274" s="490"/>
      <c r="CT274" s="490"/>
      <c r="CU274" s="490"/>
      <c r="CV274" s="490"/>
      <c r="CW274" s="490"/>
      <c r="CX274" s="490"/>
      <c r="CY274" s="490"/>
      <c r="CZ274" s="490"/>
      <c r="DA274" s="490"/>
      <c r="DB274" s="490"/>
      <c r="DC274" s="490"/>
      <c r="DD274" s="490"/>
      <c r="DE274" s="490"/>
      <c r="DF274" s="490"/>
      <c r="DG274" s="490"/>
      <c r="DH274" s="490"/>
      <c r="DI274" s="490"/>
      <c r="DJ274" s="490"/>
      <c r="DK274" s="490"/>
      <c r="DL274" s="490"/>
      <c r="DM274" s="490"/>
      <c r="DN274" s="490"/>
      <c r="DO274" s="490"/>
      <c r="DP274" s="490"/>
      <c r="DQ274" s="490"/>
      <c r="DR274" s="490"/>
      <c r="DS274" s="490"/>
      <c r="DT274" s="490"/>
      <c r="DU274" s="490"/>
      <c r="DV274" s="490"/>
      <c r="DW274" s="490"/>
      <c r="DX274" s="490"/>
      <c r="DY274" s="490"/>
      <c r="DZ274" s="490"/>
      <c r="EA274" s="490"/>
      <c r="EB274" s="490"/>
      <c r="EC274" s="490"/>
      <c r="ED274" s="490"/>
      <c r="EE274" s="490"/>
      <c r="EF274" s="490"/>
      <c r="EG274" s="490"/>
      <c r="EH274" s="490"/>
      <c r="EI274" s="490"/>
      <c r="EJ274" s="490"/>
      <c r="EK274" s="490"/>
      <c r="EL274" s="490"/>
      <c r="EM274" s="490"/>
      <c r="EN274" s="490"/>
      <c r="EO274" s="490"/>
      <c r="EP274" s="490"/>
      <c r="EQ274" s="490"/>
      <c r="ER274" s="490"/>
      <c r="ES274" s="490"/>
      <c r="ET274" s="490"/>
      <c r="EU274" s="490"/>
      <c r="EV274" s="490"/>
      <c r="EW274" s="490"/>
      <c r="EX274" s="490"/>
      <c r="EY274" s="490"/>
      <c r="EZ274" s="490"/>
      <c r="FA274" s="490"/>
      <c r="FB274" s="490"/>
      <c r="FC274" s="490"/>
      <c r="FD274" s="490"/>
      <c r="FE274" s="490"/>
      <c r="FF274" s="490"/>
      <c r="FG274" s="490"/>
      <c r="FH274" s="490"/>
      <c r="FI274" s="490"/>
      <c r="FJ274" s="490"/>
      <c r="FK274" s="490"/>
      <c r="FL274" s="490"/>
      <c r="FM274" s="490"/>
      <c r="FN274" s="490"/>
    </row>
    <row r="275" s="492" customFormat="1" spans="1:170">
      <c r="A275" s="539">
        <v>46168</v>
      </c>
      <c r="B275" s="509" t="s">
        <v>804</v>
      </c>
      <c r="C275" s="538">
        <v>10</v>
      </c>
      <c r="D275" s="509" t="s">
        <v>66</v>
      </c>
      <c r="E275" s="509" t="s">
        <v>72</v>
      </c>
      <c r="F275" s="515" t="s">
        <v>73</v>
      </c>
      <c r="G275" s="572">
        <v>1</v>
      </c>
      <c r="H275" s="546">
        <v>8.8</v>
      </c>
      <c r="I275" s="546" t="s">
        <v>17</v>
      </c>
      <c r="J275" s="546">
        <v>1.55</v>
      </c>
      <c r="K275" s="527" t="s">
        <v>603</v>
      </c>
      <c r="L275" s="573" t="s">
        <v>538</v>
      </c>
      <c r="M275" s="490"/>
      <c r="N275" s="490"/>
      <c r="O275" s="490"/>
      <c r="P275" s="490"/>
      <c r="Q275" s="490"/>
      <c r="R275" s="490"/>
      <c r="S275" s="490"/>
      <c r="T275" s="490"/>
      <c r="U275" s="490"/>
      <c r="V275" s="490"/>
      <c r="W275" s="490"/>
      <c r="X275" s="490"/>
      <c r="Y275" s="490"/>
      <c r="Z275" s="490"/>
      <c r="AA275" s="490"/>
      <c r="AB275" s="490"/>
      <c r="AC275" s="490"/>
      <c r="AD275" s="490"/>
      <c r="AE275" s="490"/>
      <c r="AF275" s="490"/>
      <c r="AG275" s="490"/>
      <c r="AH275" s="490"/>
      <c r="AI275" s="490"/>
      <c r="AJ275" s="490"/>
      <c r="AK275" s="490"/>
      <c r="AL275" s="490"/>
      <c r="AM275" s="490"/>
      <c r="AN275" s="490"/>
      <c r="AO275" s="490"/>
      <c r="AP275" s="490"/>
      <c r="AQ275" s="490"/>
      <c r="AR275" s="490"/>
      <c r="AS275" s="490"/>
      <c r="AT275" s="490"/>
      <c r="AU275" s="490"/>
      <c r="AV275" s="490"/>
      <c r="AW275" s="490"/>
      <c r="AX275" s="490"/>
      <c r="AY275" s="490"/>
      <c r="AZ275" s="490"/>
      <c r="BA275" s="490"/>
      <c r="BB275" s="490"/>
      <c r="BC275" s="490"/>
      <c r="BD275" s="490"/>
      <c r="BE275" s="490"/>
      <c r="BF275" s="490"/>
      <c r="BG275" s="490"/>
      <c r="BH275" s="490"/>
      <c r="BI275" s="490"/>
      <c r="BJ275" s="490"/>
      <c r="BK275" s="490"/>
      <c r="BL275" s="490"/>
      <c r="BM275" s="490"/>
      <c r="BN275" s="490"/>
      <c r="BO275" s="490"/>
      <c r="BP275" s="490"/>
      <c r="BQ275" s="490"/>
      <c r="BR275" s="490"/>
      <c r="BS275" s="490"/>
      <c r="BT275" s="490"/>
      <c r="BU275" s="490"/>
      <c r="BV275" s="490"/>
      <c r="BW275" s="490"/>
      <c r="BX275" s="490"/>
      <c r="BY275" s="490"/>
      <c r="BZ275" s="490"/>
      <c r="CA275" s="490"/>
      <c r="CB275" s="490"/>
      <c r="CC275" s="490"/>
      <c r="CD275" s="490"/>
      <c r="CE275" s="490"/>
      <c r="CF275" s="490"/>
      <c r="CG275" s="490"/>
      <c r="CH275" s="490"/>
      <c r="CI275" s="490"/>
      <c r="CJ275" s="490"/>
      <c r="CK275" s="490"/>
      <c r="CL275" s="490"/>
      <c r="CM275" s="490"/>
      <c r="CN275" s="490"/>
      <c r="CO275" s="490"/>
      <c r="CP275" s="490"/>
      <c r="CQ275" s="490"/>
      <c r="CR275" s="490"/>
      <c r="CS275" s="490"/>
      <c r="CT275" s="490"/>
      <c r="CU275" s="490"/>
      <c r="CV275" s="490"/>
      <c r="CW275" s="490"/>
      <c r="CX275" s="490"/>
      <c r="CY275" s="490"/>
      <c r="CZ275" s="490"/>
      <c r="DA275" s="490"/>
      <c r="DB275" s="490"/>
      <c r="DC275" s="490"/>
      <c r="DD275" s="490"/>
      <c r="DE275" s="490"/>
      <c r="DF275" s="490"/>
      <c r="DG275" s="490"/>
      <c r="DH275" s="490"/>
      <c r="DI275" s="490"/>
      <c r="DJ275" s="490"/>
      <c r="DK275" s="490"/>
      <c r="DL275" s="490"/>
      <c r="DM275" s="490"/>
      <c r="DN275" s="490"/>
      <c r="DO275" s="490"/>
      <c r="DP275" s="490"/>
      <c r="DQ275" s="490"/>
      <c r="DR275" s="490"/>
      <c r="DS275" s="490"/>
      <c r="DT275" s="490"/>
      <c r="DU275" s="490"/>
      <c r="DV275" s="490"/>
      <c r="DW275" s="490"/>
      <c r="DX275" s="490"/>
      <c r="DY275" s="490"/>
      <c r="DZ275" s="490"/>
      <c r="EA275" s="490"/>
      <c r="EB275" s="490"/>
      <c r="EC275" s="490"/>
      <c r="ED275" s="490"/>
      <c r="EE275" s="490"/>
      <c r="EF275" s="490"/>
      <c r="EG275" s="490"/>
      <c r="EH275" s="490"/>
      <c r="EI275" s="490"/>
      <c r="EJ275" s="490"/>
      <c r="EK275" s="490"/>
      <c r="EL275" s="490"/>
      <c r="EM275" s="490"/>
      <c r="EN275" s="490"/>
      <c r="EO275" s="490"/>
      <c r="EP275" s="490"/>
      <c r="EQ275" s="490"/>
      <c r="ER275" s="490"/>
      <c r="ES275" s="490"/>
      <c r="ET275" s="490"/>
      <c r="EU275" s="490"/>
      <c r="EV275" s="490"/>
      <c r="EW275" s="490"/>
      <c r="EX275" s="490"/>
      <c r="EY275" s="490"/>
      <c r="EZ275" s="490"/>
      <c r="FA275" s="490"/>
      <c r="FB275" s="490"/>
      <c r="FC275" s="490"/>
      <c r="FD275" s="490"/>
      <c r="FE275" s="490"/>
      <c r="FF275" s="490"/>
      <c r="FG275" s="490"/>
      <c r="FH275" s="490"/>
      <c r="FI275" s="490"/>
      <c r="FJ275" s="490"/>
      <c r="FK275" s="490"/>
      <c r="FL275" s="490"/>
      <c r="FM275" s="490"/>
      <c r="FN275" s="490"/>
    </row>
    <row r="276" s="492" customFormat="1" spans="1:170">
      <c r="A276" s="539"/>
      <c r="B276" s="509"/>
      <c r="C276" s="538"/>
      <c r="D276" s="509"/>
      <c r="E276" s="509"/>
      <c r="F276" s="515" t="s">
        <v>75</v>
      </c>
      <c r="G276" s="572">
        <v>1.09</v>
      </c>
      <c r="H276" s="546">
        <v>0.6</v>
      </c>
      <c r="I276" s="546" t="s">
        <v>22</v>
      </c>
      <c r="J276" s="546">
        <v>1.77</v>
      </c>
      <c r="K276" s="527"/>
      <c r="L276" s="545"/>
      <c r="M276" s="490"/>
      <c r="N276" s="490"/>
      <c r="O276" s="490"/>
      <c r="P276" s="490"/>
      <c r="Q276" s="490"/>
      <c r="R276" s="490"/>
      <c r="S276" s="490"/>
      <c r="T276" s="490"/>
      <c r="U276" s="490"/>
      <c r="V276" s="490"/>
      <c r="W276" s="490"/>
      <c r="X276" s="490"/>
      <c r="Y276" s="490"/>
      <c r="Z276" s="490"/>
      <c r="AA276" s="490"/>
      <c r="AB276" s="490"/>
      <c r="AC276" s="490"/>
      <c r="AD276" s="490"/>
      <c r="AE276" s="490"/>
      <c r="AF276" s="490"/>
      <c r="AG276" s="490"/>
      <c r="AH276" s="490"/>
      <c r="AI276" s="490"/>
      <c r="AJ276" s="490"/>
      <c r="AK276" s="490"/>
      <c r="AL276" s="490"/>
      <c r="AM276" s="490"/>
      <c r="AN276" s="490"/>
      <c r="AO276" s="490"/>
      <c r="AP276" s="490"/>
      <c r="AQ276" s="490"/>
      <c r="AR276" s="490"/>
      <c r="AS276" s="490"/>
      <c r="AT276" s="490"/>
      <c r="AU276" s="490"/>
      <c r="AV276" s="490"/>
      <c r="AW276" s="490"/>
      <c r="AX276" s="490"/>
      <c r="AY276" s="490"/>
      <c r="AZ276" s="490"/>
      <c r="BA276" s="490"/>
      <c r="BB276" s="490"/>
      <c r="BC276" s="490"/>
      <c r="BD276" s="490"/>
      <c r="BE276" s="490"/>
      <c r="BF276" s="490"/>
      <c r="BG276" s="490"/>
      <c r="BH276" s="490"/>
      <c r="BI276" s="490"/>
      <c r="BJ276" s="490"/>
      <c r="BK276" s="490"/>
      <c r="BL276" s="490"/>
      <c r="BM276" s="490"/>
      <c r="BN276" s="490"/>
      <c r="BO276" s="490"/>
      <c r="BP276" s="490"/>
      <c r="BQ276" s="490"/>
      <c r="BR276" s="490"/>
      <c r="BS276" s="490"/>
      <c r="BT276" s="490"/>
      <c r="BU276" s="490"/>
      <c r="BV276" s="490"/>
      <c r="BW276" s="490"/>
      <c r="BX276" s="490"/>
      <c r="BY276" s="490"/>
      <c r="BZ276" s="490"/>
      <c r="CA276" s="490"/>
      <c r="CB276" s="490"/>
      <c r="CC276" s="490"/>
      <c r="CD276" s="490"/>
      <c r="CE276" s="490"/>
      <c r="CF276" s="490"/>
      <c r="CG276" s="490"/>
      <c r="CH276" s="490"/>
      <c r="CI276" s="490"/>
      <c r="CJ276" s="490"/>
      <c r="CK276" s="490"/>
      <c r="CL276" s="490"/>
      <c r="CM276" s="490"/>
      <c r="CN276" s="490"/>
      <c r="CO276" s="490"/>
      <c r="CP276" s="490"/>
      <c r="CQ276" s="490"/>
      <c r="CR276" s="490"/>
      <c r="CS276" s="490"/>
      <c r="CT276" s="490"/>
      <c r="CU276" s="490"/>
      <c r="CV276" s="490"/>
      <c r="CW276" s="490"/>
      <c r="CX276" s="490"/>
      <c r="CY276" s="490"/>
      <c r="CZ276" s="490"/>
      <c r="DA276" s="490"/>
      <c r="DB276" s="490"/>
      <c r="DC276" s="490"/>
      <c r="DD276" s="490"/>
      <c r="DE276" s="490"/>
      <c r="DF276" s="490"/>
      <c r="DG276" s="490"/>
      <c r="DH276" s="490"/>
      <c r="DI276" s="490"/>
      <c r="DJ276" s="490"/>
      <c r="DK276" s="490"/>
      <c r="DL276" s="490"/>
      <c r="DM276" s="490"/>
      <c r="DN276" s="490"/>
      <c r="DO276" s="490"/>
      <c r="DP276" s="490"/>
      <c r="DQ276" s="490"/>
      <c r="DR276" s="490"/>
      <c r="DS276" s="490"/>
      <c r="DT276" s="490"/>
      <c r="DU276" s="490"/>
      <c r="DV276" s="490"/>
      <c r="DW276" s="490"/>
      <c r="DX276" s="490"/>
      <c r="DY276" s="490"/>
      <c r="DZ276" s="490"/>
      <c r="EA276" s="490"/>
      <c r="EB276" s="490"/>
      <c r="EC276" s="490"/>
      <c r="ED276" s="490"/>
      <c r="EE276" s="490"/>
      <c r="EF276" s="490"/>
      <c r="EG276" s="490"/>
      <c r="EH276" s="490"/>
      <c r="EI276" s="490"/>
      <c r="EJ276" s="490"/>
      <c r="EK276" s="490"/>
      <c r="EL276" s="490"/>
      <c r="EM276" s="490"/>
      <c r="EN276" s="490"/>
      <c r="EO276" s="490"/>
      <c r="EP276" s="490"/>
      <c r="EQ276" s="490"/>
      <c r="ER276" s="490"/>
      <c r="ES276" s="490"/>
      <c r="ET276" s="490"/>
      <c r="EU276" s="490"/>
      <c r="EV276" s="490"/>
      <c r="EW276" s="490"/>
      <c r="EX276" s="490"/>
      <c r="EY276" s="490"/>
      <c r="EZ276" s="490"/>
      <c r="FA276" s="490"/>
      <c r="FB276" s="490"/>
      <c r="FC276" s="490"/>
      <c r="FD276" s="490"/>
      <c r="FE276" s="490"/>
      <c r="FF276" s="490"/>
      <c r="FG276" s="490"/>
      <c r="FH276" s="490"/>
      <c r="FI276" s="490"/>
      <c r="FJ276" s="490"/>
      <c r="FK276" s="490"/>
      <c r="FL276" s="490"/>
      <c r="FM276" s="490"/>
      <c r="FN276" s="490"/>
    </row>
    <row r="277" s="492" customFormat="1" spans="1:170">
      <c r="A277" s="539"/>
      <c r="B277" s="509"/>
      <c r="C277" s="538"/>
      <c r="D277" s="509"/>
      <c r="E277" s="509"/>
      <c r="F277" s="515" t="s">
        <v>91</v>
      </c>
      <c r="G277" s="572">
        <v>1.69</v>
      </c>
      <c r="H277" s="572">
        <v>0.6</v>
      </c>
      <c r="I277" s="546" t="s">
        <v>24</v>
      </c>
      <c r="J277" s="546" t="s">
        <v>24</v>
      </c>
      <c r="K277" s="527"/>
      <c r="L277" s="545"/>
      <c r="M277" s="490"/>
      <c r="N277" s="490"/>
      <c r="O277" s="490"/>
      <c r="P277" s="490"/>
      <c r="Q277" s="490"/>
      <c r="R277" s="490"/>
      <c r="S277" s="490"/>
      <c r="T277" s="490"/>
      <c r="U277" s="490"/>
      <c r="V277" s="490"/>
      <c r="W277" s="490"/>
      <c r="X277" s="490"/>
      <c r="Y277" s="490"/>
      <c r="Z277" s="490"/>
      <c r="AA277" s="490"/>
      <c r="AB277" s="490"/>
      <c r="AC277" s="490"/>
      <c r="AD277" s="490"/>
      <c r="AE277" s="490"/>
      <c r="AF277" s="490"/>
      <c r="AG277" s="490"/>
      <c r="AH277" s="490"/>
      <c r="AI277" s="490"/>
      <c r="AJ277" s="490"/>
      <c r="AK277" s="490"/>
      <c r="AL277" s="490"/>
      <c r="AM277" s="490"/>
      <c r="AN277" s="490"/>
      <c r="AO277" s="490"/>
      <c r="AP277" s="490"/>
      <c r="AQ277" s="490"/>
      <c r="AR277" s="490"/>
      <c r="AS277" s="490"/>
      <c r="AT277" s="490"/>
      <c r="AU277" s="490"/>
      <c r="AV277" s="490"/>
      <c r="AW277" s="490"/>
      <c r="AX277" s="490"/>
      <c r="AY277" s="490"/>
      <c r="AZ277" s="490"/>
      <c r="BA277" s="490"/>
      <c r="BB277" s="490"/>
      <c r="BC277" s="490"/>
      <c r="BD277" s="490"/>
      <c r="BE277" s="490"/>
      <c r="BF277" s="490"/>
      <c r="BG277" s="490"/>
      <c r="BH277" s="490"/>
      <c r="BI277" s="490"/>
      <c r="BJ277" s="490"/>
      <c r="BK277" s="490"/>
      <c r="BL277" s="490"/>
      <c r="BM277" s="490"/>
      <c r="BN277" s="490"/>
      <c r="BO277" s="490"/>
      <c r="BP277" s="490"/>
      <c r="BQ277" s="490"/>
      <c r="BR277" s="490"/>
      <c r="BS277" s="490"/>
      <c r="BT277" s="490"/>
      <c r="BU277" s="490"/>
      <c r="BV277" s="490"/>
      <c r="BW277" s="490"/>
      <c r="BX277" s="490"/>
      <c r="BY277" s="490"/>
      <c r="BZ277" s="490"/>
      <c r="CA277" s="490"/>
      <c r="CB277" s="490"/>
      <c r="CC277" s="490"/>
      <c r="CD277" s="490"/>
      <c r="CE277" s="490"/>
      <c r="CF277" s="490"/>
      <c r="CG277" s="490"/>
      <c r="CH277" s="490"/>
      <c r="CI277" s="490"/>
      <c r="CJ277" s="490"/>
      <c r="CK277" s="490"/>
      <c r="CL277" s="490"/>
      <c r="CM277" s="490"/>
      <c r="CN277" s="490"/>
      <c r="CO277" s="490"/>
      <c r="CP277" s="490"/>
      <c r="CQ277" s="490"/>
      <c r="CR277" s="490"/>
      <c r="CS277" s="490"/>
      <c r="CT277" s="490"/>
      <c r="CU277" s="490"/>
      <c r="CV277" s="490"/>
      <c r="CW277" s="490"/>
      <c r="CX277" s="490"/>
      <c r="CY277" s="490"/>
      <c r="CZ277" s="490"/>
      <c r="DA277" s="490"/>
      <c r="DB277" s="490"/>
      <c r="DC277" s="490"/>
      <c r="DD277" s="490"/>
      <c r="DE277" s="490"/>
      <c r="DF277" s="490"/>
      <c r="DG277" s="490"/>
      <c r="DH277" s="490"/>
      <c r="DI277" s="490"/>
      <c r="DJ277" s="490"/>
      <c r="DK277" s="490"/>
      <c r="DL277" s="490"/>
      <c r="DM277" s="490"/>
      <c r="DN277" s="490"/>
      <c r="DO277" s="490"/>
      <c r="DP277" s="490"/>
      <c r="DQ277" s="490"/>
      <c r="DR277" s="490"/>
      <c r="DS277" s="490"/>
      <c r="DT277" s="490"/>
      <c r="DU277" s="490"/>
      <c r="DV277" s="490"/>
      <c r="DW277" s="490"/>
      <c r="DX277" s="490"/>
      <c r="DY277" s="490"/>
      <c r="DZ277" s="490"/>
      <c r="EA277" s="490"/>
      <c r="EB277" s="490"/>
      <c r="EC277" s="490"/>
      <c r="ED277" s="490"/>
      <c r="EE277" s="490"/>
      <c r="EF277" s="490"/>
      <c r="EG277" s="490"/>
      <c r="EH277" s="490"/>
      <c r="EI277" s="490"/>
      <c r="EJ277" s="490"/>
      <c r="EK277" s="490"/>
      <c r="EL277" s="490"/>
      <c r="EM277" s="490"/>
      <c r="EN277" s="490"/>
      <c r="EO277" s="490"/>
      <c r="EP277" s="490"/>
      <c r="EQ277" s="490"/>
      <c r="ER277" s="490"/>
      <c r="ES277" s="490"/>
      <c r="ET277" s="490"/>
      <c r="EU277" s="490"/>
      <c r="EV277" s="490"/>
      <c r="EW277" s="490"/>
      <c r="EX277" s="490"/>
      <c r="EY277" s="490"/>
      <c r="EZ277" s="490"/>
      <c r="FA277" s="490"/>
      <c r="FB277" s="490"/>
      <c r="FC277" s="490"/>
      <c r="FD277" s="490"/>
      <c r="FE277" s="490"/>
      <c r="FF277" s="490"/>
      <c r="FG277" s="490"/>
      <c r="FH277" s="490"/>
      <c r="FI277" s="490"/>
      <c r="FJ277" s="490"/>
      <c r="FK277" s="490"/>
      <c r="FL277" s="490"/>
      <c r="FM277" s="490"/>
      <c r="FN277" s="490"/>
    </row>
    <row r="278" s="492" customFormat="1" spans="1:170">
      <c r="A278" s="539">
        <v>46169</v>
      </c>
      <c r="B278" s="509" t="s">
        <v>805</v>
      </c>
      <c r="C278" s="538">
        <v>10</v>
      </c>
      <c r="D278" s="509" t="s">
        <v>51</v>
      </c>
      <c r="E278" s="509" t="s">
        <v>208</v>
      </c>
      <c r="F278" s="515" t="s">
        <v>73</v>
      </c>
      <c r="G278" s="541">
        <v>1</v>
      </c>
      <c r="H278" s="546">
        <v>9</v>
      </c>
      <c r="I278" s="546" t="s">
        <v>17</v>
      </c>
      <c r="J278" s="546">
        <v>1.57</v>
      </c>
      <c r="K278" s="527" t="s">
        <v>607</v>
      </c>
      <c r="L278" s="545" t="s">
        <v>277</v>
      </c>
      <c r="M278" s="490"/>
      <c r="N278" s="490"/>
      <c r="O278" s="490"/>
      <c r="P278" s="490"/>
      <c r="Q278" s="490"/>
      <c r="R278" s="490"/>
      <c r="S278" s="490"/>
      <c r="T278" s="490"/>
      <c r="U278" s="490"/>
      <c r="V278" s="490"/>
      <c r="W278" s="490"/>
      <c r="X278" s="490"/>
      <c r="Y278" s="490"/>
      <c r="Z278" s="490"/>
      <c r="AA278" s="490"/>
      <c r="AB278" s="490"/>
      <c r="AC278" s="490"/>
      <c r="AD278" s="490"/>
      <c r="AE278" s="490"/>
      <c r="AF278" s="490"/>
      <c r="AG278" s="490"/>
      <c r="AH278" s="490"/>
      <c r="AI278" s="490"/>
      <c r="AJ278" s="490"/>
      <c r="AK278" s="490"/>
      <c r="AL278" s="490"/>
      <c r="AM278" s="490"/>
      <c r="AN278" s="490"/>
      <c r="AO278" s="490"/>
      <c r="AP278" s="490"/>
      <c r="AQ278" s="490"/>
      <c r="AR278" s="490"/>
      <c r="AS278" s="490"/>
      <c r="AT278" s="490"/>
      <c r="AU278" s="490"/>
      <c r="AV278" s="490"/>
      <c r="AW278" s="490"/>
      <c r="AX278" s="490"/>
      <c r="AY278" s="490"/>
      <c r="AZ278" s="490"/>
      <c r="BA278" s="490"/>
      <c r="BB278" s="490"/>
      <c r="BC278" s="490"/>
      <c r="BD278" s="490"/>
      <c r="BE278" s="490"/>
      <c r="BF278" s="490"/>
      <c r="BG278" s="490"/>
      <c r="BH278" s="490"/>
      <c r="BI278" s="490"/>
      <c r="BJ278" s="490"/>
      <c r="BK278" s="490"/>
      <c r="BL278" s="490"/>
      <c r="BM278" s="490"/>
      <c r="BN278" s="490"/>
      <c r="BO278" s="490"/>
      <c r="BP278" s="490"/>
      <c r="BQ278" s="490"/>
      <c r="BR278" s="490"/>
      <c r="BS278" s="490"/>
      <c r="BT278" s="490"/>
      <c r="BU278" s="490"/>
      <c r="BV278" s="490"/>
      <c r="BW278" s="490"/>
      <c r="BX278" s="490"/>
      <c r="BY278" s="490"/>
      <c r="BZ278" s="490"/>
      <c r="CA278" s="490"/>
      <c r="CB278" s="490"/>
      <c r="CC278" s="490"/>
      <c r="CD278" s="490"/>
      <c r="CE278" s="490"/>
      <c r="CF278" s="490"/>
      <c r="CG278" s="490"/>
      <c r="CH278" s="490"/>
      <c r="CI278" s="490"/>
      <c r="CJ278" s="490"/>
      <c r="CK278" s="490"/>
      <c r="CL278" s="490"/>
      <c r="CM278" s="490"/>
      <c r="CN278" s="490"/>
      <c r="CO278" s="490"/>
      <c r="CP278" s="490"/>
      <c r="CQ278" s="490"/>
      <c r="CR278" s="490"/>
      <c r="CS278" s="490"/>
      <c r="CT278" s="490"/>
      <c r="CU278" s="490"/>
      <c r="CV278" s="490"/>
      <c r="CW278" s="490"/>
      <c r="CX278" s="490"/>
      <c r="CY278" s="490"/>
      <c r="CZ278" s="490"/>
      <c r="DA278" s="490"/>
      <c r="DB278" s="490"/>
      <c r="DC278" s="490"/>
      <c r="DD278" s="490"/>
      <c r="DE278" s="490"/>
      <c r="DF278" s="490"/>
      <c r="DG278" s="490"/>
      <c r="DH278" s="490"/>
      <c r="DI278" s="490"/>
      <c r="DJ278" s="490"/>
      <c r="DK278" s="490"/>
      <c r="DL278" s="490"/>
      <c r="DM278" s="490"/>
      <c r="DN278" s="490"/>
      <c r="DO278" s="490"/>
      <c r="DP278" s="490"/>
      <c r="DQ278" s="490"/>
      <c r="DR278" s="490"/>
      <c r="DS278" s="490"/>
      <c r="DT278" s="490"/>
      <c r="DU278" s="490"/>
      <c r="DV278" s="490"/>
      <c r="DW278" s="490"/>
      <c r="DX278" s="490"/>
      <c r="DY278" s="490"/>
      <c r="DZ278" s="490"/>
      <c r="EA278" s="490"/>
      <c r="EB278" s="490"/>
      <c r="EC278" s="490"/>
      <c r="ED278" s="490"/>
      <c r="EE278" s="490"/>
      <c r="EF278" s="490"/>
      <c r="EG278" s="490"/>
      <c r="EH278" s="490"/>
      <c r="EI278" s="490"/>
      <c r="EJ278" s="490"/>
      <c r="EK278" s="490"/>
      <c r="EL278" s="490"/>
      <c r="EM278" s="490"/>
      <c r="EN278" s="490"/>
      <c r="EO278" s="490"/>
      <c r="EP278" s="490"/>
      <c r="EQ278" s="490"/>
      <c r="ER278" s="490"/>
      <c r="ES278" s="490"/>
      <c r="ET278" s="490"/>
      <c r="EU278" s="490"/>
      <c r="EV278" s="490"/>
      <c r="EW278" s="490"/>
      <c r="EX278" s="490"/>
      <c r="EY278" s="490"/>
      <c r="EZ278" s="490"/>
      <c r="FA278" s="490"/>
      <c r="FB278" s="490"/>
      <c r="FC278" s="490"/>
      <c r="FD278" s="490"/>
      <c r="FE278" s="490"/>
      <c r="FF278" s="490"/>
      <c r="FG278" s="490"/>
      <c r="FH278" s="490"/>
      <c r="FI278" s="490"/>
      <c r="FJ278" s="490"/>
      <c r="FK278" s="490"/>
      <c r="FL278" s="490"/>
      <c r="FM278" s="490"/>
      <c r="FN278" s="490"/>
    </row>
    <row r="279" s="492" customFormat="1" spans="1:170">
      <c r="A279" s="539"/>
      <c r="B279" s="509"/>
      <c r="C279" s="538"/>
      <c r="D279" s="509"/>
      <c r="E279" s="509"/>
      <c r="F279" s="515" t="s">
        <v>75</v>
      </c>
      <c r="G279" s="541">
        <v>1</v>
      </c>
      <c r="H279" s="546">
        <v>0.3</v>
      </c>
      <c r="I279" s="546" t="s">
        <v>22</v>
      </c>
      <c r="J279" s="546">
        <v>1.75</v>
      </c>
      <c r="K279" s="527"/>
      <c r="L279" s="545"/>
      <c r="M279" s="490"/>
      <c r="N279" s="490"/>
      <c r="O279" s="490"/>
      <c r="P279" s="490"/>
      <c r="Q279" s="490"/>
      <c r="R279" s="490"/>
      <c r="S279" s="490"/>
      <c r="T279" s="490"/>
      <c r="U279" s="490"/>
      <c r="V279" s="490"/>
      <c r="W279" s="490"/>
      <c r="X279" s="490"/>
      <c r="Y279" s="490"/>
      <c r="Z279" s="490"/>
      <c r="AA279" s="490"/>
      <c r="AB279" s="490"/>
      <c r="AC279" s="490"/>
      <c r="AD279" s="490"/>
      <c r="AE279" s="490"/>
      <c r="AF279" s="490"/>
      <c r="AG279" s="490"/>
      <c r="AH279" s="490"/>
      <c r="AI279" s="490"/>
      <c r="AJ279" s="490"/>
      <c r="AK279" s="490"/>
      <c r="AL279" s="490"/>
      <c r="AM279" s="490"/>
      <c r="AN279" s="490"/>
      <c r="AO279" s="490"/>
      <c r="AP279" s="490"/>
      <c r="AQ279" s="490"/>
      <c r="AR279" s="490"/>
      <c r="AS279" s="490"/>
      <c r="AT279" s="490"/>
      <c r="AU279" s="490"/>
      <c r="AV279" s="490"/>
      <c r="AW279" s="490"/>
      <c r="AX279" s="490"/>
      <c r="AY279" s="490"/>
      <c r="AZ279" s="490"/>
      <c r="BA279" s="490"/>
      <c r="BB279" s="490"/>
      <c r="BC279" s="490"/>
      <c r="BD279" s="490"/>
      <c r="BE279" s="490"/>
      <c r="BF279" s="490"/>
      <c r="BG279" s="490"/>
      <c r="BH279" s="490"/>
      <c r="BI279" s="490"/>
      <c r="BJ279" s="490"/>
      <c r="BK279" s="490"/>
      <c r="BL279" s="490"/>
      <c r="BM279" s="490"/>
      <c r="BN279" s="490"/>
      <c r="BO279" s="490"/>
      <c r="BP279" s="490"/>
      <c r="BQ279" s="490"/>
      <c r="BR279" s="490"/>
      <c r="BS279" s="490"/>
      <c r="BT279" s="490"/>
      <c r="BU279" s="490"/>
      <c r="BV279" s="490"/>
      <c r="BW279" s="490"/>
      <c r="BX279" s="490"/>
      <c r="BY279" s="490"/>
      <c r="BZ279" s="490"/>
      <c r="CA279" s="490"/>
      <c r="CB279" s="490"/>
      <c r="CC279" s="490"/>
      <c r="CD279" s="490"/>
      <c r="CE279" s="490"/>
      <c r="CF279" s="490"/>
      <c r="CG279" s="490"/>
      <c r="CH279" s="490"/>
      <c r="CI279" s="490"/>
      <c r="CJ279" s="490"/>
      <c r="CK279" s="490"/>
      <c r="CL279" s="490"/>
      <c r="CM279" s="490"/>
      <c r="CN279" s="490"/>
      <c r="CO279" s="490"/>
      <c r="CP279" s="490"/>
      <c r="CQ279" s="490"/>
      <c r="CR279" s="490"/>
      <c r="CS279" s="490"/>
      <c r="CT279" s="490"/>
      <c r="CU279" s="490"/>
      <c r="CV279" s="490"/>
      <c r="CW279" s="490"/>
      <c r="CX279" s="490"/>
      <c r="CY279" s="490"/>
      <c r="CZ279" s="490"/>
      <c r="DA279" s="490"/>
      <c r="DB279" s="490"/>
      <c r="DC279" s="490"/>
      <c r="DD279" s="490"/>
      <c r="DE279" s="490"/>
      <c r="DF279" s="490"/>
      <c r="DG279" s="490"/>
      <c r="DH279" s="490"/>
      <c r="DI279" s="490"/>
      <c r="DJ279" s="490"/>
      <c r="DK279" s="490"/>
      <c r="DL279" s="490"/>
      <c r="DM279" s="490"/>
      <c r="DN279" s="490"/>
      <c r="DO279" s="490"/>
      <c r="DP279" s="490"/>
      <c r="DQ279" s="490"/>
      <c r="DR279" s="490"/>
      <c r="DS279" s="490"/>
      <c r="DT279" s="490"/>
      <c r="DU279" s="490"/>
      <c r="DV279" s="490"/>
      <c r="DW279" s="490"/>
      <c r="DX279" s="490"/>
      <c r="DY279" s="490"/>
      <c r="DZ279" s="490"/>
      <c r="EA279" s="490"/>
      <c r="EB279" s="490"/>
      <c r="EC279" s="490"/>
      <c r="ED279" s="490"/>
      <c r="EE279" s="490"/>
      <c r="EF279" s="490"/>
      <c r="EG279" s="490"/>
      <c r="EH279" s="490"/>
      <c r="EI279" s="490"/>
      <c r="EJ279" s="490"/>
      <c r="EK279" s="490"/>
      <c r="EL279" s="490"/>
      <c r="EM279" s="490"/>
      <c r="EN279" s="490"/>
      <c r="EO279" s="490"/>
      <c r="EP279" s="490"/>
      <c r="EQ279" s="490"/>
      <c r="ER279" s="490"/>
      <c r="ES279" s="490"/>
      <c r="ET279" s="490"/>
      <c r="EU279" s="490"/>
      <c r="EV279" s="490"/>
      <c r="EW279" s="490"/>
      <c r="EX279" s="490"/>
      <c r="EY279" s="490"/>
      <c r="EZ279" s="490"/>
      <c r="FA279" s="490"/>
      <c r="FB279" s="490"/>
      <c r="FC279" s="490"/>
      <c r="FD279" s="490"/>
      <c r="FE279" s="490"/>
      <c r="FF279" s="490"/>
      <c r="FG279" s="490"/>
      <c r="FH279" s="490"/>
      <c r="FI279" s="490"/>
      <c r="FJ279" s="490"/>
      <c r="FK279" s="490"/>
      <c r="FL279" s="490"/>
      <c r="FM279" s="490"/>
      <c r="FN279" s="490"/>
    </row>
    <row r="280" s="492" customFormat="1" spans="1:170">
      <c r="A280" s="539"/>
      <c r="B280" s="509"/>
      <c r="C280" s="538"/>
      <c r="D280" s="509"/>
      <c r="E280" s="509"/>
      <c r="F280" s="515" t="s">
        <v>99</v>
      </c>
      <c r="G280" s="541">
        <v>1</v>
      </c>
      <c r="H280" s="546">
        <v>0.2</v>
      </c>
      <c r="I280" s="546" t="s">
        <v>44</v>
      </c>
      <c r="J280" s="546">
        <v>3.1</v>
      </c>
      <c r="K280" s="527"/>
      <c r="L280" s="545"/>
      <c r="M280" s="490"/>
      <c r="N280" s="490"/>
      <c r="O280" s="490"/>
      <c r="P280" s="490"/>
      <c r="Q280" s="490"/>
      <c r="R280" s="490"/>
      <c r="S280" s="490"/>
      <c r="T280" s="490"/>
      <c r="U280" s="490"/>
      <c r="V280" s="490"/>
      <c r="W280" s="490"/>
      <c r="X280" s="490"/>
      <c r="Y280" s="490"/>
      <c r="Z280" s="490"/>
      <c r="AA280" s="490"/>
      <c r="AB280" s="490"/>
      <c r="AC280" s="490"/>
      <c r="AD280" s="490"/>
      <c r="AE280" s="490"/>
      <c r="AF280" s="490"/>
      <c r="AG280" s="490"/>
      <c r="AH280" s="490"/>
      <c r="AI280" s="490"/>
      <c r="AJ280" s="490"/>
      <c r="AK280" s="490"/>
      <c r="AL280" s="490"/>
      <c r="AM280" s="490"/>
      <c r="AN280" s="490"/>
      <c r="AO280" s="490"/>
      <c r="AP280" s="490"/>
      <c r="AQ280" s="490"/>
      <c r="AR280" s="490"/>
      <c r="AS280" s="490"/>
      <c r="AT280" s="490"/>
      <c r="AU280" s="490"/>
      <c r="AV280" s="490"/>
      <c r="AW280" s="490"/>
      <c r="AX280" s="490"/>
      <c r="AY280" s="490"/>
      <c r="AZ280" s="490"/>
      <c r="BA280" s="490"/>
      <c r="BB280" s="490"/>
      <c r="BC280" s="490"/>
      <c r="BD280" s="490"/>
      <c r="BE280" s="490"/>
      <c r="BF280" s="490"/>
      <c r="BG280" s="490"/>
      <c r="BH280" s="490"/>
      <c r="BI280" s="490"/>
      <c r="BJ280" s="490"/>
      <c r="BK280" s="490"/>
      <c r="BL280" s="490"/>
      <c r="BM280" s="490"/>
      <c r="BN280" s="490"/>
      <c r="BO280" s="490"/>
      <c r="BP280" s="490"/>
      <c r="BQ280" s="490"/>
      <c r="BR280" s="490"/>
      <c r="BS280" s="490"/>
      <c r="BT280" s="490"/>
      <c r="BU280" s="490"/>
      <c r="BV280" s="490"/>
      <c r="BW280" s="490"/>
      <c r="BX280" s="490"/>
      <c r="BY280" s="490"/>
      <c r="BZ280" s="490"/>
      <c r="CA280" s="490"/>
      <c r="CB280" s="490"/>
      <c r="CC280" s="490"/>
      <c r="CD280" s="490"/>
      <c r="CE280" s="490"/>
      <c r="CF280" s="490"/>
      <c r="CG280" s="490"/>
      <c r="CH280" s="490"/>
      <c r="CI280" s="490"/>
      <c r="CJ280" s="490"/>
      <c r="CK280" s="490"/>
      <c r="CL280" s="490"/>
      <c r="CM280" s="490"/>
      <c r="CN280" s="490"/>
      <c r="CO280" s="490"/>
      <c r="CP280" s="490"/>
      <c r="CQ280" s="490"/>
      <c r="CR280" s="490"/>
      <c r="CS280" s="490"/>
      <c r="CT280" s="490"/>
      <c r="CU280" s="490"/>
      <c r="CV280" s="490"/>
      <c r="CW280" s="490"/>
      <c r="CX280" s="490"/>
      <c r="CY280" s="490"/>
      <c r="CZ280" s="490"/>
      <c r="DA280" s="490"/>
      <c r="DB280" s="490"/>
      <c r="DC280" s="490"/>
      <c r="DD280" s="490"/>
      <c r="DE280" s="490"/>
      <c r="DF280" s="490"/>
      <c r="DG280" s="490"/>
      <c r="DH280" s="490"/>
      <c r="DI280" s="490"/>
      <c r="DJ280" s="490"/>
      <c r="DK280" s="490"/>
      <c r="DL280" s="490"/>
      <c r="DM280" s="490"/>
      <c r="DN280" s="490"/>
      <c r="DO280" s="490"/>
      <c r="DP280" s="490"/>
      <c r="DQ280" s="490"/>
      <c r="DR280" s="490"/>
      <c r="DS280" s="490"/>
      <c r="DT280" s="490"/>
      <c r="DU280" s="490"/>
      <c r="DV280" s="490"/>
      <c r="DW280" s="490"/>
      <c r="DX280" s="490"/>
      <c r="DY280" s="490"/>
      <c r="DZ280" s="490"/>
      <c r="EA280" s="490"/>
      <c r="EB280" s="490"/>
      <c r="EC280" s="490"/>
      <c r="ED280" s="490"/>
      <c r="EE280" s="490"/>
      <c r="EF280" s="490"/>
      <c r="EG280" s="490"/>
      <c r="EH280" s="490"/>
      <c r="EI280" s="490"/>
      <c r="EJ280" s="490"/>
      <c r="EK280" s="490"/>
      <c r="EL280" s="490"/>
      <c r="EM280" s="490"/>
      <c r="EN280" s="490"/>
      <c r="EO280" s="490"/>
      <c r="EP280" s="490"/>
      <c r="EQ280" s="490"/>
      <c r="ER280" s="490"/>
      <c r="ES280" s="490"/>
      <c r="ET280" s="490"/>
      <c r="EU280" s="490"/>
      <c r="EV280" s="490"/>
      <c r="EW280" s="490"/>
      <c r="EX280" s="490"/>
      <c r="EY280" s="490"/>
      <c r="EZ280" s="490"/>
      <c r="FA280" s="490"/>
      <c r="FB280" s="490"/>
      <c r="FC280" s="490"/>
      <c r="FD280" s="490"/>
      <c r="FE280" s="490"/>
      <c r="FF280" s="490"/>
      <c r="FG280" s="490"/>
      <c r="FH280" s="490"/>
      <c r="FI280" s="490"/>
      <c r="FJ280" s="490"/>
      <c r="FK280" s="490"/>
      <c r="FL280" s="490"/>
      <c r="FM280" s="490"/>
      <c r="FN280" s="490"/>
    </row>
    <row r="281" s="492" customFormat="1" spans="1:170">
      <c r="A281" s="539"/>
      <c r="B281" s="509"/>
      <c r="C281" s="538"/>
      <c r="D281" s="509"/>
      <c r="E281" s="509"/>
      <c r="F281" s="515" t="s">
        <v>91</v>
      </c>
      <c r="G281" s="541">
        <v>2.99</v>
      </c>
      <c r="H281" s="546">
        <v>0.5</v>
      </c>
      <c r="I281" s="546" t="s">
        <v>24</v>
      </c>
      <c r="J281" s="546" t="s">
        <v>24</v>
      </c>
      <c r="K281" s="527"/>
      <c r="L281" s="545"/>
      <c r="M281" s="490"/>
      <c r="N281" s="490"/>
      <c r="O281" s="490"/>
      <c r="P281" s="490"/>
      <c r="Q281" s="490"/>
      <c r="R281" s="490"/>
      <c r="S281" s="490"/>
      <c r="T281" s="490"/>
      <c r="U281" s="490"/>
      <c r="V281" s="490"/>
      <c r="W281" s="490"/>
      <c r="X281" s="490"/>
      <c r="Y281" s="490"/>
      <c r="Z281" s="490"/>
      <c r="AA281" s="490"/>
      <c r="AB281" s="490"/>
      <c r="AC281" s="490"/>
      <c r="AD281" s="490"/>
      <c r="AE281" s="490"/>
      <c r="AF281" s="490"/>
      <c r="AG281" s="490"/>
      <c r="AH281" s="490"/>
      <c r="AI281" s="490"/>
      <c r="AJ281" s="490"/>
      <c r="AK281" s="490"/>
      <c r="AL281" s="490"/>
      <c r="AM281" s="490"/>
      <c r="AN281" s="490"/>
      <c r="AO281" s="490"/>
      <c r="AP281" s="490"/>
      <c r="AQ281" s="490"/>
      <c r="AR281" s="490"/>
      <c r="AS281" s="490"/>
      <c r="AT281" s="490"/>
      <c r="AU281" s="490"/>
      <c r="AV281" s="490"/>
      <c r="AW281" s="490"/>
      <c r="AX281" s="490"/>
      <c r="AY281" s="490"/>
      <c r="AZ281" s="490"/>
      <c r="BA281" s="490"/>
      <c r="BB281" s="490"/>
      <c r="BC281" s="490"/>
      <c r="BD281" s="490"/>
      <c r="BE281" s="490"/>
      <c r="BF281" s="490"/>
      <c r="BG281" s="490"/>
      <c r="BH281" s="490"/>
      <c r="BI281" s="490"/>
      <c r="BJ281" s="490"/>
      <c r="BK281" s="490"/>
      <c r="BL281" s="490"/>
      <c r="BM281" s="490"/>
      <c r="BN281" s="490"/>
      <c r="BO281" s="490"/>
      <c r="BP281" s="490"/>
      <c r="BQ281" s="490"/>
      <c r="BR281" s="490"/>
      <c r="BS281" s="490"/>
      <c r="BT281" s="490"/>
      <c r="BU281" s="490"/>
      <c r="BV281" s="490"/>
      <c r="BW281" s="490"/>
      <c r="BX281" s="490"/>
      <c r="BY281" s="490"/>
      <c r="BZ281" s="490"/>
      <c r="CA281" s="490"/>
      <c r="CB281" s="490"/>
      <c r="CC281" s="490"/>
      <c r="CD281" s="490"/>
      <c r="CE281" s="490"/>
      <c r="CF281" s="490"/>
      <c r="CG281" s="490"/>
      <c r="CH281" s="490"/>
      <c r="CI281" s="490"/>
      <c r="CJ281" s="490"/>
      <c r="CK281" s="490"/>
      <c r="CL281" s="490"/>
      <c r="CM281" s="490"/>
      <c r="CN281" s="490"/>
      <c r="CO281" s="490"/>
      <c r="CP281" s="490"/>
      <c r="CQ281" s="490"/>
      <c r="CR281" s="490"/>
      <c r="CS281" s="490"/>
      <c r="CT281" s="490"/>
      <c r="CU281" s="490"/>
      <c r="CV281" s="490"/>
      <c r="CW281" s="490"/>
      <c r="CX281" s="490"/>
      <c r="CY281" s="490"/>
      <c r="CZ281" s="490"/>
      <c r="DA281" s="490"/>
      <c r="DB281" s="490"/>
      <c r="DC281" s="490"/>
      <c r="DD281" s="490"/>
      <c r="DE281" s="490"/>
      <c r="DF281" s="490"/>
      <c r="DG281" s="490"/>
      <c r="DH281" s="490"/>
      <c r="DI281" s="490"/>
      <c r="DJ281" s="490"/>
      <c r="DK281" s="490"/>
      <c r="DL281" s="490"/>
      <c r="DM281" s="490"/>
      <c r="DN281" s="490"/>
      <c r="DO281" s="490"/>
      <c r="DP281" s="490"/>
      <c r="DQ281" s="490"/>
      <c r="DR281" s="490"/>
      <c r="DS281" s="490"/>
      <c r="DT281" s="490"/>
      <c r="DU281" s="490"/>
      <c r="DV281" s="490"/>
      <c r="DW281" s="490"/>
      <c r="DX281" s="490"/>
      <c r="DY281" s="490"/>
      <c r="DZ281" s="490"/>
      <c r="EA281" s="490"/>
      <c r="EB281" s="490"/>
      <c r="EC281" s="490"/>
      <c r="ED281" s="490"/>
      <c r="EE281" s="490"/>
      <c r="EF281" s="490"/>
      <c r="EG281" s="490"/>
      <c r="EH281" s="490"/>
      <c r="EI281" s="490"/>
      <c r="EJ281" s="490"/>
      <c r="EK281" s="490"/>
      <c r="EL281" s="490"/>
      <c r="EM281" s="490"/>
      <c r="EN281" s="490"/>
      <c r="EO281" s="490"/>
      <c r="EP281" s="490"/>
      <c r="EQ281" s="490"/>
      <c r="ER281" s="490"/>
      <c r="ES281" s="490"/>
      <c r="ET281" s="490"/>
      <c r="EU281" s="490"/>
      <c r="EV281" s="490"/>
      <c r="EW281" s="490"/>
      <c r="EX281" s="490"/>
      <c r="EY281" s="490"/>
      <c r="EZ281" s="490"/>
      <c r="FA281" s="490"/>
      <c r="FB281" s="490"/>
      <c r="FC281" s="490"/>
      <c r="FD281" s="490"/>
      <c r="FE281" s="490"/>
      <c r="FF281" s="490"/>
      <c r="FG281" s="490"/>
      <c r="FH281" s="490"/>
      <c r="FI281" s="490"/>
      <c r="FJ281" s="490"/>
      <c r="FK281" s="490"/>
      <c r="FL281" s="490"/>
      <c r="FM281" s="490"/>
      <c r="FN281" s="490"/>
    </row>
    <row r="282" s="492" customFormat="1" spans="1:170">
      <c r="A282" s="539">
        <v>46169</v>
      </c>
      <c r="B282" s="509" t="s">
        <v>806</v>
      </c>
      <c r="C282" s="538">
        <v>5.64</v>
      </c>
      <c r="D282" s="509" t="s">
        <v>66</v>
      </c>
      <c r="E282" s="509" t="s">
        <v>66</v>
      </c>
      <c r="F282" s="515" t="s">
        <v>73</v>
      </c>
      <c r="G282" s="541">
        <v>1</v>
      </c>
      <c r="H282" s="546">
        <v>5.28</v>
      </c>
      <c r="I282" s="546" t="s">
        <v>17</v>
      </c>
      <c r="J282" s="546">
        <v>1.57</v>
      </c>
      <c r="K282" s="527" t="s">
        <v>630</v>
      </c>
      <c r="L282" s="545" t="s">
        <v>256</v>
      </c>
      <c r="M282" s="490"/>
      <c r="N282" s="490"/>
      <c r="O282" s="490"/>
      <c r="P282" s="490"/>
      <c r="Q282" s="490"/>
      <c r="R282" s="490"/>
      <c r="S282" s="490"/>
      <c r="T282" s="490"/>
      <c r="U282" s="490"/>
      <c r="V282" s="490"/>
      <c r="W282" s="490"/>
      <c r="X282" s="490"/>
      <c r="Y282" s="490"/>
      <c r="Z282" s="490"/>
      <c r="AA282" s="490"/>
      <c r="AB282" s="490"/>
      <c r="AC282" s="490"/>
      <c r="AD282" s="490"/>
      <c r="AE282" s="490"/>
      <c r="AF282" s="490"/>
      <c r="AG282" s="490"/>
      <c r="AH282" s="490"/>
      <c r="AI282" s="490"/>
      <c r="AJ282" s="490"/>
      <c r="AK282" s="490"/>
      <c r="AL282" s="490"/>
      <c r="AM282" s="490"/>
      <c r="AN282" s="490"/>
      <c r="AO282" s="490"/>
      <c r="AP282" s="490"/>
      <c r="AQ282" s="490"/>
      <c r="AR282" s="490"/>
      <c r="AS282" s="490"/>
      <c r="AT282" s="490"/>
      <c r="AU282" s="490"/>
      <c r="AV282" s="490"/>
      <c r="AW282" s="490"/>
      <c r="AX282" s="490"/>
      <c r="AY282" s="490"/>
      <c r="AZ282" s="490"/>
      <c r="BA282" s="490"/>
      <c r="BB282" s="490"/>
      <c r="BC282" s="490"/>
      <c r="BD282" s="490"/>
      <c r="BE282" s="490"/>
      <c r="BF282" s="490"/>
      <c r="BG282" s="490"/>
      <c r="BH282" s="490"/>
      <c r="BI282" s="490"/>
      <c r="BJ282" s="490"/>
      <c r="BK282" s="490"/>
      <c r="BL282" s="490"/>
      <c r="BM282" s="490"/>
      <c r="BN282" s="490"/>
      <c r="BO282" s="490"/>
      <c r="BP282" s="490"/>
      <c r="BQ282" s="490"/>
      <c r="BR282" s="490"/>
      <c r="BS282" s="490"/>
      <c r="BT282" s="490"/>
      <c r="BU282" s="490"/>
      <c r="BV282" s="490"/>
      <c r="BW282" s="490"/>
      <c r="BX282" s="490"/>
      <c r="BY282" s="490"/>
      <c r="BZ282" s="490"/>
      <c r="CA282" s="490"/>
      <c r="CB282" s="490"/>
      <c r="CC282" s="490"/>
      <c r="CD282" s="490"/>
      <c r="CE282" s="490"/>
      <c r="CF282" s="490"/>
      <c r="CG282" s="490"/>
      <c r="CH282" s="490"/>
      <c r="CI282" s="490"/>
      <c r="CJ282" s="490"/>
      <c r="CK282" s="490"/>
      <c r="CL282" s="490"/>
      <c r="CM282" s="490"/>
      <c r="CN282" s="490"/>
      <c r="CO282" s="490"/>
      <c r="CP282" s="490"/>
      <c r="CQ282" s="490"/>
      <c r="CR282" s="490"/>
      <c r="CS282" s="490"/>
      <c r="CT282" s="490"/>
      <c r="CU282" s="490"/>
      <c r="CV282" s="490"/>
      <c r="CW282" s="490"/>
      <c r="CX282" s="490"/>
      <c r="CY282" s="490"/>
      <c r="CZ282" s="490"/>
      <c r="DA282" s="490"/>
      <c r="DB282" s="490"/>
      <c r="DC282" s="490"/>
      <c r="DD282" s="490"/>
      <c r="DE282" s="490"/>
      <c r="DF282" s="490"/>
      <c r="DG282" s="490"/>
      <c r="DH282" s="490"/>
      <c r="DI282" s="490"/>
      <c r="DJ282" s="490"/>
      <c r="DK282" s="490"/>
      <c r="DL282" s="490"/>
      <c r="DM282" s="490"/>
      <c r="DN282" s="490"/>
      <c r="DO282" s="490"/>
      <c r="DP282" s="490"/>
      <c r="DQ282" s="490"/>
      <c r="DR282" s="490"/>
      <c r="DS282" s="490"/>
      <c r="DT282" s="490"/>
      <c r="DU282" s="490"/>
      <c r="DV282" s="490"/>
      <c r="DW282" s="490"/>
      <c r="DX282" s="490"/>
      <c r="DY282" s="490"/>
      <c r="DZ282" s="490"/>
      <c r="EA282" s="490"/>
      <c r="EB282" s="490"/>
      <c r="EC282" s="490"/>
      <c r="ED282" s="490"/>
      <c r="EE282" s="490"/>
      <c r="EF282" s="490"/>
      <c r="EG282" s="490"/>
      <c r="EH282" s="490"/>
      <c r="EI282" s="490"/>
      <c r="EJ282" s="490"/>
      <c r="EK282" s="490"/>
      <c r="EL282" s="490"/>
      <c r="EM282" s="490"/>
      <c r="EN282" s="490"/>
      <c r="EO282" s="490"/>
      <c r="EP282" s="490"/>
      <c r="EQ282" s="490"/>
      <c r="ER282" s="490"/>
      <c r="ES282" s="490"/>
      <c r="ET282" s="490"/>
      <c r="EU282" s="490"/>
      <c r="EV282" s="490"/>
      <c r="EW282" s="490"/>
      <c r="EX282" s="490"/>
      <c r="EY282" s="490"/>
      <c r="EZ282" s="490"/>
      <c r="FA282" s="490"/>
      <c r="FB282" s="490"/>
      <c r="FC282" s="490"/>
      <c r="FD282" s="490"/>
      <c r="FE282" s="490"/>
      <c r="FF282" s="490"/>
      <c r="FG282" s="490"/>
      <c r="FH282" s="490"/>
      <c r="FI282" s="490"/>
      <c r="FJ282" s="490"/>
      <c r="FK282" s="490"/>
      <c r="FL282" s="490"/>
      <c r="FM282" s="490"/>
      <c r="FN282" s="490"/>
    </row>
    <row r="283" s="492" customFormat="1" spans="1:170">
      <c r="A283" s="539"/>
      <c r="B283" s="509"/>
      <c r="C283" s="538"/>
      <c r="D283" s="509"/>
      <c r="E283" s="509"/>
      <c r="F283" s="515" t="s">
        <v>75</v>
      </c>
      <c r="G283" s="541">
        <v>1</v>
      </c>
      <c r="H283" s="546">
        <v>0.36</v>
      </c>
      <c r="I283" s="546" t="s">
        <v>22</v>
      </c>
      <c r="J283" s="546">
        <v>1.8</v>
      </c>
      <c r="K283" s="527"/>
      <c r="L283" s="545"/>
      <c r="M283" s="490"/>
      <c r="N283" s="490"/>
      <c r="O283" s="490"/>
      <c r="P283" s="490"/>
      <c r="Q283" s="490"/>
      <c r="R283" s="490"/>
      <c r="S283" s="490"/>
      <c r="T283" s="490"/>
      <c r="U283" s="490"/>
      <c r="V283" s="490"/>
      <c r="W283" s="490"/>
      <c r="X283" s="490"/>
      <c r="Y283" s="490"/>
      <c r="Z283" s="490"/>
      <c r="AA283" s="490"/>
      <c r="AB283" s="490"/>
      <c r="AC283" s="490"/>
      <c r="AD283" s="490"/>
      <c r="AE283" s="490"/>
      <c r="AF283" s="490"/>
      <c r="AG283" s="490"/>
      <c r="AH283" s="490"/>
      <c r="AI283" s="490"/>
      <c r="AJ283" s="490"/>
      <c r="AK283" s="490"/>
      <c r="AL283" s="490"/>
      <c r="AM283" s="490"/>
      <c r="AN283" s="490"/>
      <c r="AO283" s="490"/>
      <c r="AP283" s="490"/>
      <c r="AQ283" s="490"/>
      <c r="AR283" s="490"/>
      <c r="AS283" s="490"/>
      <c r="AT283" s="490"/>
      <c r="AU283" s="490"/>
      <c r="AV283" s="490"/>
      <c r="AW283" s="490"/>
      <c r="AX283" s="490"/>
      <c r="AY283" s="490"/>
      <c r="AZ283" s="490"/>
      <c r="BA283" s="490"/>
      <c r="BB283" s="490"/>
      <c r="BC283" s="490"/>
      <c r="BD283" s="490"/>
      <c r="BE283" s="490"/>
      <c r="BF283" s="490"/>
      <c r="BG283" s="490"/>
      <c r="BH283" s="490"/>
      <c r="BI283" s="490"/>
      <c r="BJ283" s="490"/>
      <c r="BK283" s="490"/>
      <c r="BL283" s="490"/>
      <c r="BM283" s="490"/>
      <c r="BN283" s="490"/>
      <c r="BO283" s="490"/>
      <c r="BP283" s="490"/>
      <c r="BQ283" s="490"/>
      <c r="BR283" s="490"/>
      <c r="BS283" s="490"/>
      <c r="BT283" s="490"/>
      <c r="BU283" s="490"/>
      <c r="BV283" s="490"/>
      <c r="BW283" s="490"/>
      <c r="BX283" s="490"/>
      <c r="BY283" s="490"/>
      <c r="BZ283" s="490"/>
      <c r="CA283" s="490"/>
      <c r="CB283" s="490"/>
      <c r="CC283" s="490"/>
      <c r="CD283" s="490"/>
      <c r="CE283" s="490"/>
      <c r="CF283" s="490"/>
      <c r="CG283" s="490"/>
      <c r="CH283" s="490"/>
      <c r="CI283" s="490"/>
      <c r="CJ283" s="490"/>
      <c r="CK283" s="490"/>
      <c r="CL283" s="490"/>
      <c r="CM283" s="490"/>
      <c r="CN283" s="490"/>
      <c r="CO283" s="490"/>
      <c r="CP283" s="490"/>
      <c r="CQ283" s="490"/>
      <c r="CR283" s="490"/>
      <c r="CS283" s="490"/>
      <c r="CT283" s="490"/>
      <c r="CU283" s="490"/>
      <c r="CV283" s="490"/>
      <c r="CW283" s="490"/>
      <c r="CX283" s="490"/>
      <c r="CY283" s="490"/>
      <c r="CZ283" s="490"/>
      <c r="DA283" s="490"/>
      <c r="DB283" s="490"/>
      <c r="DC283" s="490"/>
      <c r="DD283" s="490"/>
      <c r="DE283" s="490"/>
      <c r="DF283" s="490"/>
      <c r="DG283" s="490"/>
      <c r="DH283" s="490"/>
      <c r="DI283" s="490"/>
      <c r="DJ283" s="490"/>
      <c r="DK283" s="490"/>
      <c r="DL283" s="490"/>
      <c r="DM283" s="490"/>
      <c r="DN283" s="490"/>
      <c r="DO283" s="490"/>
      <c r="DP283" s="490"/>
      <c r="DQ283" s="490"/>
      <c r="DR283" s="490"/>
      <c r="DS283" s="490"/>
      <c r="DT283" s="490"/>
      <c r="DU283" s="490"/>
      <c r="DV283" s="490"/>
      <c r="DW283" s="490"/>
      <c r="DX283" s="490"/>
      <c r="DY283" s="490"/>
      <c r="DZ283" s="490"/>
      <c r="EA283" s="490"/>
      <c r="EB283" s="490"/>
      <c r="EC283" s="490"/>
      <c r="ED283" s="490"/>
      <c r="EE283" s="490"/>
      <c r="EF283" s="490"/>
      <c r="EG283" s="490"/>
      <c r="EH283" s="490"/>
      <c r="EI283" s="490"/>
      <c r="EJ283" s="490"/>
      <c r="EK283" s="490"/>
      <c r="EL283" s="490"/>
      <c r="EM283" s="490"/>
      <c r="EN283" s="490"/>
      <c r="EO283" s="490"/>
      <c r="EP283" s="490"/>
      <c r="EQ283" s="490"/>
      <c r="ER283" s="490"/>
      <c r="ES283" s="490"/>
      <c r="ET283" s="490"/>
      <c r="EU283" s="490"/>
      <c r="EV283" s="490"/>
      <c r="EW283" s="490"/>
      <c r="EX283" s="490"/>
      <c r="EY283" s="490"/>
      <c r="EZ283" s="490"/>
      <c r="FA283" s="490"/>
      <c r="FB283" s="490"/>
      <c r="FC283" s="490"/>
      <c r="FD283" s="490"/>
      <c r="FE283" s="490"/>
      <c r="FF283" s="490"/>
      <c r="FG283" s="490"/>
      <c r="FH283" s="490"/>
      <c r="FI283" s="490"/>
      <c r="FJ283" s="490"/>
      <c r="FK283" s="490"/>
      <c r="FL283" s="490"/>
      <c r="FM283" s="490"/>
      <c r="FN283" s="490"/>
    </row>
    <row r="284" s="492" customFormat="1" spans="1:170">
      <c r="A284" s="539">
        <v>46169</v>
      </c>
      <c r="B284" s="509" t="s">
        <v>807</v>
      </c>
      <c r="C284" s="538">
        <v>10</v>
      </c>
      <c r="D284" s="509" t="s">
        <v>72</v>
      </c>
      <c r="E284" s="509" t="s">
        <v>66</v>
      </c>
      <c r="F284" s="515" t="s">
        <v>73</v>
      </c>
      <c r="G284" s="572">
        <v>0.72</v>
      </c>
      <c r="H284" s="546">
        <v>9</v>
      </c>
      <c r="I284" s="546" t="s">
        <v>17</v>
      </c>
      <c r="J284" s="546">
        <v>1.52</v>
      </c>
      <c r="K284" s="527" t="s">
        <v>713</v>
      </c>
      <c r="L284" s="545"/>
      <c r="M284" s="490"/>
      <c r="N284" s="490"/>
      <c r="O284" s="490"/>
      <c r="P284" s="490"/>
      <c r="Q284" s="490"/>
      <c r="R284" s="490"/>
      <c r="S284" s="490"/>
      <c r="T284" s="490"/>
      <c r="U284" s="490"/>
      <c r="V284" s="490"/>
      <c r="W284" s="490"/>
      <c r="X284" s="490"/>
      <c r="Y284" s="490"/>
      <c r="Z284" s="490"/>
      <c r="AA284" s="490"/>
      <c r="AB284" s="490"/>
      <c r="AC284" s="490"/>
      <c r="AD284" s="490"/>
      <c r="AE284" s="490"/>
      <c r="AF284" s="490"/>
      <c r="AG284" s="490"/>
      <c r="AH284" s="490"/>
      <c r="AI284" s="490"/>
      <c r="AJ284" s="490"/>
      <c r="AK284" s="490"/>
      <c r="AL284" s="490"/>
      <c r="AM284" s="490"/>
      <c r="AN284" s="490"/>
      <c r="AO284" s="490"/>
      <c r="AP284" s="490"/>
      <c r="AQ284" s="490"/>
      <c r="AR284" s="490"/>
      <c r="AS284" s="490"/>
      <c r="AT284" s="490"/>
      <c r="AU284" s="490"/>
      <c r="AV284" s="490"/>
      <c r="AW284" s="490"/>
      <c r="AX284" s="490"/>
      <c r="AY284" s="490"/>
      <c r="AZ284" s="490"/>
      <c r="BA284" s="490"/>
      <c r="BB284" s="490"/>
      <c r="BC284" s="490"/>
      <c r="BD284" s="490"/>
      <c r="BE284" s="490"/>
      <c r="BF284" s="490"/>
      <c r="BG284" s="490"/>
      <c r="BH284" s="490"/>
      <c r="BI284" s="490"/>
      <c r="BJ284" s="490"/>
      <c r="BK284" s="490"/>
      <c r="BL284" s="490"/>
      <c r="BM284" s="490"/>
      <c r="BN284" s="490"/>
      <c r="BO284" s="490"/>
      <c r="BP284" s="490"/>
      <c r="BQ284" s="490"/>
      <c r="BR284" s="490"/>
      <c r="BS284" s="490"/>
      <c r="BT284" s="490"/>
      <c r="BU284" s="490"/>
      <c r="BV284" s="490"/>
      <c r="BW284" s="490"/>
      <c r="BX284" s="490"/>
      <c r="BY284" s="490"/>
      <c r="BZ284" s="490"/>
      <c r="CA284" s="490"/>
      <c r="CB284" s="490"/>
      <c r="CC284" s="490"/>
      <c r="CD284" s="490"/>
      <c r="CE284" s="490"/>
      <c r="CF284" s="490"/>
      <c r="CG284" s="490"/>
      <c r="CH284" s="490"/>
      <c r="CI284" s="490"/>
      <c r="CJ284" s="490"/>
      <c r="CK284" s="490"/>
      <c r="CL284" s="490"/>
      <c r="CM284" s="490"/>
      <c r="CN284" s="490"/>
      <c r="CO284" s="490"/>
      <c r="CP284" s="490"/>
      <c r="CQ284" s="490"/>
      <c r="CR284" s="490"/>
      <c r="CS284" s="490"/>
      <c r="CT284" s="490"/>
      <c r="CU284" s="490"/>
      <c r="CV284" s="490"/>
      <c r="CW284" s="490"/>
      <c r="CX284" s="490"/>
      <c r="CY284" s="490"/>
      <c r="CZ284" s="490"/>
      <c r="DA284" s="490"/>
      <c r="DB284" s="490"/>
      <c r="DC284" s="490"/>
      <c r="DD284" s="490"/>
      <c r="DE284" s="490"/>
      <c r="DF284" s="490"/>
      <c r="DG284" s="490"/>
      <c r="DH284" s="490"/>
      <c r="DI284" s="490"/>
      <c r="DJ284" s="490"/>
      <c r="DK284" s="490"/>
      <c r="DL284" s="490"/>
      <c r="DM284" s="490"/>
      <c r="DN284" s="490"/>
      <c r="DO284" s="490"/>
      <c r="DP284" s="490"/>
      <c r="DQ284" s="490"/>
      <c r="DR284" s="490"/>
      <c r="DS284" s="490"/>
      <c r="DT284" s="490"/>
      <c r="DU284" s="490"/>
      <c r="DV284" s="490"/>
      <c r="DW284" s="490"/>
      <c r="DX284" s="490"/>
      <c r="DY284" s="490"/>
      <c r="DZ284" s="490"/>
      <c r="EA284" s="490"/>
      <c r="EB284" s="490"/>
      <c r="EC284" s="490"/>
      <c r="ED284" s="490"/>
      <c r="EE284" s="490"/>
      <c r="EF284" s="490"/>
      <c r="EG284" s="490"/>
      <c r="EH284" s="490"/>
      <c r="EI284" s="490"/>
      <c r="EJ284" s="490"/>
      <c r="EK284" s="490"/>
      <c r="EL284" s="490"/>
      <c r="EM284" s="490"/>
      <c r="EN284" s="490"/>
      <c r="EO284" s="490"/>
      <c r="EP284" s="490"/>
      <c r="EQ284" s="490"/>
      <c r="ER284" s="490"/>
      <c r="ES284" s="490"/>
      <c r="ET284" s="490"/>
      <c r="EU284" s="490"/>
      <c r="EV284" s="490"/>
      <c r="EW284" s="490"/>
      <c r="EX284" s="490"/>
      <c r="EY284" s="490"/>
      <c r="EZ284" s="490"/>
      <c r="FA284" s="490"/>
      <c r="FB284" s="490"/>
      <c r="FC284" s="490"/>
      <c r="FD284" s="490"/>
      <c r="FE284" s="490"/>
      <c r="FF284" s="490"/>
      <c r="FG284" s="490"/>
      <c r="FH284" s="490"/>
      <c r="FI284" s="490"/>
      <c r="FJ284" s="490"/>
      <c r="FK284" s="490"/>
      <c r="FL284" s="490"/>
      <c r="FM284" s="490"/>
      <c r="FN284" s="490"/>
    </row>
    <row r="285" s="492" customFormat="1" spans="1:170">
      <c r="A285" s="539"/>
      <c r="B285" s="509"/>
      <c r="C285" s="538"/>
      <c r="D285" s="509"/>
      <c r="E285" s="509"/>
      <c r="F285" s="515" t="s">
        <v>75</v>
      </c>
      <c r="G285" s="511">
        <v>0.96</v>
      </c>
      <c r="H285" s="546">
        <v>0.3</v>
      </c>
      <c r="I285" s="546" t="s">
        <v>22</v>
      </c>
      <c r="J285" s="546">
        <v>1.77</v>
      </c>
      <c r="K285" s="527"/>
      <c r="L285" s="545"/>
      <c r="M285" s="490"/>
      <c r="N285" s="490"/>
      <c r="O285" s="490"/>
      <c r="P285" s="490"/>
      <c r="Q285" s="490"/>
      <c r="R285" s="490"/>
      <c r="S285" s="490"/>
      <c r="T285" s="490"/>
      <c r="U285" s="490"/>
      <c r="V285" s="490"/>
      <c r="W285" s="490"/>
      <c r="X285" s="490"/>
      <c r="Y285" s="490"/>
      <c r="Z285" s="490"/>
      <c r="AA285" s="490"/>
      <c r="AB285" s="490"/>
      <c r="AC285" s="490"/>
      <c r="AD285" s="490"/>
      <c r="AE285" s="490"/>
      <c r="AF285" s="490"/>
      <c r="AG285" s="490"/>
      <c r="AH285" s="490"/>
      <c r="AI285" s="490"/>
      <c r="AJ285" s="490"/>
      <c r="AK285" s="490"/>
      <c r="AL285" s="490"/>
      <c r="AM285" s="490"/>
      <c r="AN285" s="490"/>
      <c r="AO285" s="490"/>
      <c r="AP285" s="490"/>
      <c r="AQ285" s="490"/>
      <c r="AR285" s="490"/>
      <c r="AS285" s="490"/>
      <c r="AT285" s="490"/>
      <c r="AU285" s="490"/>
      <c r="AV285" s="490"/>
      <c r="AW285" s="490"/>
      <c r="AX285" s="490"/>
      <c r="AY285" s="490"/>
      <c r="AZ285" s="490"/>
      <c r="BA285" s="490"/>
      <c r="BB285" s="490"/>
      <c r="BC285" s="490"/>
      <c r="BD285" s="490"/>
      <c r="BE285" s="490"/>
      <c r="BF285" s="490"/>
      <c r="BG285" s="490"/>
      <c r="BH285" s="490"/>
      <c r="BI285" s="490"/>
      <c r="BJ285" s="490"/>
      <c r="BK285" s="490"/>
      <c r="BL285" s="490"/>
      <c r="BM285" s="490"/>
      <c r="BN285" s="490"/>
      <c r="BO285" s="490"/>
      <c r="BP285" s="490"/>
      <c r="BQ285" s="490"/>
      <c r="BR285" s="490"/>
      <c r="BS285" s="490"/>
      <c r="BT285" s="490"/>
      <c r="BU285" s="490"/>
      <c r="BV285" s="490"/>
      <c r="BW285" s="490"/>
      <c r="BX285" s="490"/>
      <c r="BY285" s="490"/>
      <c r="BZ285" s="490"/>
      <c r="CA285" s="490"/>
      <c r="CB285" s="490"/>
      <c r="CC285" s="490"/>
      <c r="CD285" s="490"/>
      <c r="CE285" s="490"/>
      <c r="CF285" s="490"/>
      <c r="CG285" s="490"/>
      <c r="CH285" s="490"/>
      <c r="CI285" s="490"/>
      <c r="CJ285" s="490"/>
      <c r="CK285" s="490"/>
      <c r="CL285" s="490"/>
      <c r="CM285" s="490"/>
      <c r="CN285" s="490"/>
      <c r="CO285" s="490"/>
      <c r="CP285" s="490"/>
      <c r="CQ285" s="490"/>
      <c r="CR285" s="490"/>
      <c r="CS285" s="490"/>
      <c r="CT285" s="490"/>
      <c r="CU285" s="490"/>
      <c r="CV285" s="490"/>
      <c r="CW285" s="490"/>
      <c r="CX285" s="490"/>
      <c r="CY285" s="490"/>
      <c r="CZ285" s="490"/>
      <c r="DA285" s="490"/>
      <c r="DB285" s="490"/>
      <c r="DC285" s="490"/>
      <c r="DD285" s="490"/>
      <c r="DE285" s="490"/>
      <c r="DF285" s="490"/>
      <c r="DG285" s="490"/>
      <c r="DH285" s="490"/>
      <c r="DI285" s="490"/>
      <c r="DJ285" s="490"/>
      <c r="DK285" s="490"/>
      <c r="DL285" s="490"/>
      <c r="DM285" s="490"/>
      <c r="DN285" s="490"/>
      <c r="DO285" s="490"/>
      <c r="DP285" s="490"/>
      <c r="DQ285" s="490"/>
      <c r="DR285" s="490"/>
      <c r="DS285" s="490"/>
      <c r="DT285" s="490"/>
      <c r="DU285" s="490"/>
      <c r="DV285" s="490"/>
      <c r="DW285" s="490"/>
      <c r="DX285" s="490"/>
      <c r="DY285" s="490"/>
      <c r="DZ285" s="490"/>
      <c r="EA285" s="490"/>
      <c r="EB285" s="490"/>
      <c r="EC285" s="490"/>
      <c r="ED285" s="490"/>
      <c r="EE285" s="490"/>
      <c r="EF285" s="490"/>
      <c r="EG285" s="490"/>
      <c r="EH285" s="490"/>
      <c r="EI285" s="490"/>
      <c r="EJ285" s="490"/>
      <c r="EK285" s="490"/>
      <c r="EL285" s="490"/>
      <c r="EM285" s="490"/>
      <c r="EN285" s="490"/>
      <c r="EO285" s="490"/>
      <c r="EP285" s="490"/>
      <c r="EQ285" s="490"/>
      <c r="ER285" s="490"/>
      <c r="ES285" s="490"/>
      <c r="ET285" s="490"/>
      <c r="EU285" s="490"/>
      <c r="EV285" s="490"/>
      <c r="EW285" s="490"/>
      <c r="EX285" s="490"/>
      <c r="EY285" s="490"/>
      <c r="EZ285" s="490"/>
      <c r="FA285" s="490"/>
      <c r="FB285" s="490"/>
      <c r="FC285" s="490"/>
      <c r="FD285" s="490"/>
      <c r="FE285" s="490"/>
      <c r="FF285" s="490"/>
      <c r="FG285" s="490"/>
      <c r="FH285" s="490"/>
      <c r="FI285" s="490"/>
      <c r="FJ285" s="490"/>
      <c r="FK285" s="490"/>
      <c r="FL285" s="490"/>
      <c r="FM285" s="490"/>
      <c r="FN285" s="490"/>
    </row>
    <row r="286" s="492" customFormat="1" spans="1:170">
      <c r="A286" s="539"/>
      <c r="B286" s="509"/>
      <c r="C286" s="538"/>
      <c r="D286" s="509"/>
      <c r="E286" s="509"/>
      <c r="F286" s="515" t="s">
        <v>91</v>
      </c>
      <c r="G286" s="511">
        <v>1.45</v>
      </c>
      <c r="H286" s="546">
        <v>0.7</v>
      </c>
      <c r="I286" s="546" t="s">
        <v>24</v>
      </c>
      <c r="J286" s="546" t="s">
        <v>24</v>
      </c>
      <c r="K286" s="527"/>
      <c r="L286" s="545"/>
      <c r="M286" s="490"/>
      <c r="N286" s="490"/>
      <c r="O286" s="490"/>
      <c r="P286" s="490"/>
      <c r="Q286" s="490"/>
      <c r="R286" s="490"/>
      <c r="S286" s="490"/>
      <c r="T286" s="490"/>
      <c r="U286" s="490"/>
      <c r="V286" s="490"/>
      <c r="W286" s="490"/>
      <c r="X286" s="490"/>
      <c r="Y286" s="490"/>
      <c r="Z286" s="490"/>
      <c r="AA286" s="490"/>
      <c r="AB286" s="490"/>
      <c r="AC286" s="490"/>
      <c r="AD286" s="490"/>
      <c r="AE286" s="490"/>
      <c r="AF286" s="490"/>
      <c r="AG286" s="490"/>
      <c r="AH286" s="490"/>
      <c r="AI286" s="490"/>
      <c r="AJ286" s="490"/>
      <c r="AK286" s="490"/>
      <c r="AL286" s="490"/>
      <c r="AM286" s="490"/>
      <c r="AN286" s="490"/>
      <c r="AO286" s="490"/>
      <c r="AP286" s="490"/>
      <c r="AQ286" s="490"/>
      <c r="AR286" s="490"/>
      <c r="AS286" s="490"/>
      <c r="AT286" s="490"/>
      <c r="AU286" s="490"/>
      <c r="AV286" s="490"/>
      <c r="AW286" s="490"/>
      <c r="AX286" s="490"/>
      <c r="AY286" s="490"/>
      <c r="AZ286" s="490"/>
      <c r="BA286" s="490"/>
      <c r="BB286" s="490"/>
      <c r="BC286" s="490"/>
      <c r="BD286" s="490"/>
      <c r="BE286" s="490"/>
      <c r="BF286" s="490"/>
      <c r="BG286" s="490"/>
      <c r="BH286" s="490"/>
      <c r="BI286" s="490"/>
      <c r="BJ286" s="490"/>
      <c r="BK286" s="490"/>
      <c r="BL286" s="490"/>
      <c r="BM286" s="490"/>
      <c r="BN286" s="490"/>
      <c r="BO286" s="490"/>
      <c r="BP286" s="490"/>
      <c r="BQ286" s="490"/>
      <c r="BR286" s="490"/>
      <c r="BS286" s="490"/>
      <c r="BT286" s="490"/>
      <c r="BU286" s="490"/>
      <c r="BV286" s="490"/>
      <c r="BW286" s="490"/>
      <c r="BX286" s="490"/>
      <c r="BY286" s="490"/>
      <c r="BZ286" s="490"/>
      <c r="CA286" s="490"/>
      <c r="CB286" s="490"/>
      <c r="CC286" s="490"/>
      <c r="CD286" s="490"/>
      <c r="CE286" s="490"/>
      <c r="CF286" s="490"/>
      <c r="CG286" s="490"/>
      <c r="CH286" s="490"/>
      <c r="CI286" s="490"/>
      <c r="CJ286" s="490"/>
      <c r="CK286" s="490"/>
      <c r="CL286" s="490"/>
      <c r="CM286" s="490"/>
      <c r="CN286" s="490"/>
      <c r="CO286" s="490"/>
      <c r="CP286" s="490"/>
      <c r="CQ286" s="490"/>
      <c r="CR286" s="490"/>
      <c r="CS286" s="490"/>
      <c r="CT286" s="490"/>
      <c r="CU286" s="490"/>
      <c r="CV286" s="490"/>
      <c r="CW286" s="490"/>
      <c r="CX286" s="490"/>
      <c r="CY286" s="490"/>
      <c r="CZ286" s="490"/>
      <c r="DA286" s="490"/>
      <c r="DB286" s="490"/>
      <c r="DC286" s="490"/>
      <c r="DD286" s="490"/>
      <c r="DE286" s="490"/>
      <c r="DF286" s="490"/>
      <c r="DG286" s="490"/>
      <c r="DH286" s="490"/>
      <c r="DI286" s="490"/>
      <c r="DJ286" s="490"/>
      <c r="DK286" s="490"/>
      <c r="DL286" s="490"/>
      <c r="DM286" s="490"/>
      <c r="DN286" s="490"/>
      <c r="DO286" s="490"/>
      <c r="DP286" s="490"/>
      <c r="DQ286" s="490"/>
      <c r="DR286" s="490"/>
      <c r="DS286" s="490"/>
      <c r="DT286" s="490"/>
      <c r="DU286" s="490"/>
      <c r="DV286" s="490"/>
      <c r="DW286" s="490"/>
      <c r="DX286" s="490"/>
      <c r="DY286" s="490"/>
      <c r="DZ286" s="490"/>
      <c r="EA286" s="490"/>
      <c r="EB286" s="490"/>
      <c r="EC286" s="490"/>
      <c r="ED286" s="490"/>
      <c r="EE286" s="490"/>
      <c r="EF286" s="490"/>
      <c r="EG286" s="490"/>
      <c r="EH286" s="490"/>
      <c r="EI286" s="490"/>
      <c r="EJ286" s="490"/>
      <c r="EK286" s="490"/>
      <c r="EL286" s="490"/>
      <c r="EM286" s="490"/>
      <c r="EN286" s="490"/>
      <c r="EO286" s="490"/>
      <c r="EP286" s="490"/>
      <c r="EQ286" s="490"/>
      <c r="ER286" s="490"/>
      <c r="ES286" s="490"/>
      <c r="ET286" s="490"/>
      <c r="EU286" s="490"/>
      <c r="EV286" s="490"/>
      <c r="EW286" s="490"/>
      <c r="EX286" s="490"/>
      <c r="EY286" s="490"/>
      <c r="EZ286" s="490"/>
      <c r="FA286" s="490"/>
      <c r="FB286" s="490"/>
      <c r="FC286" s="490"/>
      <c r="FD286" s="490"/>
      <c r="FE286" s="490"/>
      <c r="FF286" s="490"/>
      <c r="FG286" s="490"/>
      <c r="FH286" s="490"/>
      <c r="FI286" s="490"/>
      <c r="FJ286" s="490"/>
      <c r="FK286" s="490"/>
      <c r="FL286" s="490"/>
      <c r="FM286" s="490"/>
      <c r="FN286" s="490"/>
    </row>
    <row r="287" s="492" customFormat="1" spans="1:170">
      <c r="A287" s="539">
        <v>46170</v>
      </c>
      <c r="B287" s="509" t="s">
        <v>808</v>
      </c>
      <c r="C287" s="538">
        <v>7.52</v>
      </c>
      <c r="D287" s="509" t="s">
        <v>14</v>
      </c>
      <c r="E287" s="509" t="s">
        <v>66</v>
      </c>
      <c r="F287" s="515" t="s">
        <v>73</v>
      </c>
      <c r="G287" s="541">
        <v>1</v>
      </c>
      <c r="H287" s="546">
        <v>7.04</v>
      </c>
      <c r="I287" s="546" t="s">
        <v>17</v>
      </c>
      <c r="J287" s="546">
        <v>1.57</v>
      </c>
      <c r="K287" s="527" t="s">
        <v>630</v>
      </c>
      <c r="L287" s="545" t="s">
        <v>256</v>
      </c>
      <c r="M287" s="490"/>
      <c r="N287" s="490"/>
      <c r="O287" s="490"/>
      <c r="P287" s="490"/>
      <c r="Q287" s="490"/>
      <c r="R287" s="490"/>
      <c r="S287" s="490"/>
      <c r="T287" s="490"/>
      <c r="U287" s="490"/>
      <c r="V287" s="490"/>
      <c r="W287" s="490"/>
      <c r="X287" s="490"/>
      <c r="Y287" s="490"/>
      <c r="Z287" s="490"/>
      <c r="AA287" s="490"/>
      <c r="AB287" s="490"/>
      <c r="AC287" s="490"/>
      <c r="AD287" s="490"/>
      <c r="AE287" s="490"/>
      <c r="AF287" s="490"/>
      <c r="AG287" s="490"/>
      <c r="AH287" s="490"/>
      <c r="AI287" s="490"/>
      <c r="AJ287" s="490"/>
      <c r="AK287" s="490"/>
      <c r="AL287" s="490"/>
      <c r="AM287" s="490"/>
      <c r="AN287" s="490"/>
      <c r="AO287" s="490"/>
      <c r="AP287" s="490"/>
      <c r="AQ287" s="490"/>
      <c r="AR287" s="490"/>
      <c r="AS287" s="490"/>
      <c r="AT287" s="490"/>
      <c r="AU287" s="490"/>
      <c r="AV287" s="490"/>
      <c r="AW287" s="490"/>
      <c r="AX287" s="490"/>
      <c r="AY287" s="490"/>
      <c r="AZ287" s="490"/>
      <c r="BA287" s="490"/>
      <c r="BB287" s="490"/>
      <c r="BC287" s="490"/>
      <c r="BD287" s="490"/>
      <c r="BE287" s="490"/>
      <c r="BF287" s="490"/>
      <c r="BG287" s="490"/>
      <c r="BH287" s="490"/>
      <c r="BI287" s="490"/>
      <c r="BJ287" s="490"/>
      <c r="BK287" s="490"/>
      <c r="BL287" s="490"/>
      <c r="BM287" s="490"/>
      <c r="BN287" s="490"/>
      <c r="BO287" s="490"/>
      <c r="BP287" s="490"/>
      <c r="BQ287" s="490"/>
      <c r="BR287" s="490"/>
      <c r="BS287" s="490"/>
      <c r="BT287" s="490"/>
      <c r="BU287" s="490"/>
      <c r="BV287" s="490"/>
      <c r="BW287" s="490"/>
      <c r="BX287" s="490"/>
      <c r="BY287" s="490"/>
      <c r="BZ287" s="490"/>
      <c r="CA287" s="490"/>
      <c r="CB287" s="490"/>
      <c r="CC287" s="490"/>
      <c r="CD287" s="490"/>
      <c r="CE287" s="490"/>
      <c r="CF287" s="490"/>
      <c r="CG287" s="490"/>
      <c r="CH287" s="490"/>
      <c r="CI287" s="490"/>
      <c r="CJ287" s="490"/>
      <c r="CK287" s="490"/>
      <c r="CL287" s="490"/>
      <c r="CM287" s="490"/>
      <c r="CN287" s="490"/>
      <c r="CO287" s="490"/>
      <c r="CP287" s="490"/>
      <c r="CQ287" s="490"/>
      <c r="CR287" s="490"/>
      <c r="CS287" s="490"/>
      <c r="CT287" s="490"/>
      <c r="CU287" s="490"/>
      <c r="CV287" s="490"/>
      <c r="CW287" s="490"/>
      <c r="CX287" s="490"/>
      <c r="CY287" s="490"/>
      <c r="CZ287" s="490"/>
      <c r="DA287" s="490"/>
      <c r="DB287" s="490"/>
      <c r="DC287" s="490"/>
      <c r="DD287" s="490"/>
      <c r="DE287" s="490"/>
      <c r="DF287" s="490"/>
      <c r="DG287" s="490"/>
      <c r="DH287" s="490"/>
      <c r="DI287" s="490"/>
      <c r="DJ287" s="490"/>
      <c r="DK287" s="490"/>
      <c r="DL287" s="490"/>
      <c r="DM287" s="490"/>
      <c r="DN287" s="490"/>
      <c r="DO287" s="490"/>
      <c r="DP287" s="490"/>
      <c r="DQ287" s="490"/>
      <c r="DR287" s="490"/>
      <c r="DS287" s="490"/>
      <c r="DT287" s="490"/>
      <c r="DU287" s="490"/>
      <c r="DV287" s="490"/>
      <c r="DW287" s="490"/>
      <c r="DX287" s="490"/>
      <c r="DY287" s="490"/>
      <c r="DZ287" s="490"/>
      <c r="EA287" s="490"/>
      <c r="EB287" s="490"/>
      <c r="EC287" s="490"/>
      <c r="ED287" s="490"/>
      <c r="EE287" s="490"/>
      <c r="EF287" s="490"/>
      <c r="EG287" s="490"/>
      <c r="EH287" s="490"/>
      <c r="EI287" s="490"/>
      <c r="EJ287" s="490"/>
      <c r="EK287" s="490"/>
      <c r="EL287" s="490"/>
      <c r="EM287" s="490"/>
      <c r="EN287" s="490"/>
      <c r="EO287" s="490"/>
      <c r="EP287" s="490"/>
      <c r="EQ287" s="490"/>
      <c r="ER287" s="490"/>
      <c r="ES287" s="490"/>
      <c r="ET287" s="490"/>
      <c r="EU287" s="490"/>
      <c r="EV287" s="490"/>
      <c r="EW287" s="490"/>
      <c r="EX287" s="490"/>
      <c r="EY287" s="490"/>
      <c r="EZ287" s="490"/>
      <c r="FA287" s="490"/>
      <c r="FB287" s="490"/>
      <c r="FC287" s="490"/>
      <c r="FD287" s="490"/>
      <c r="FE287" s="490"/>
      <c r="FF287" s="490"/>
      <c r="FG287" s="490"/>
      <c r="FH287" s="490"/>
      <c r="FI287" s="490"/>
      <c r="FJ287" s="490"/>
      <c r="FK287" s="490"/>
      <c r="FL287" s="490"/>
      <c r="FM287" s="490"/>
      <c r="FN287" s="490"/>
    </row>
    <row r="288" s="492" customFormat="1" spans="1:170">
      <c r="A288" s="539"/>
      <c r="B288" s="509"/>
      <c r="C288" s="538"/>
      <c r="D288" s="509"/>
      <c r="E288" s="509"/>
      <c r="F288" s="515" t="s">
        <v>75</v>
      </c>
      <c r="G288" s="541">
        <v>1</v>
      </c>
      <c r="H288" s="546">
        <v>0.48</v>
      </c>
      <c r="I288" s="546" t="s">
        <v>22</v>
      </c>
      <c r="J288" s="546">
        <v>1.75</v>
      </c>
      <c r="K288" s="527"/>
      <c r="L288" s="545"/>
      <c r="M288" s="490"/>
      <c r="N288" s="490"/>
      <c r="O288" s="490"/>
      <c r="P288" s="490"/>
      <c r="Q288" s="490"/>
      <c r="R288" s="490"/>
      <c r="S288" s="490"/>
      <c r="T288" s="490"/>
      <c r="U288" s="490"/>
      <c r="V288" s="490"/>
      <c r="W288" s="490"/>
      <c r="X288" s="490"/>
      <c r="Y288" s="490"/>
      <c r="Z288" s="490"/>
      <c r="AA288" s="490"/>
      <c r="AB288" s="490"/>
      <c r="AC288" s="490"/>
      <c r="AD288" s="490"/>
      <c r="AE288" s="490"/>
      <c r="AF288" s="490"/>
      <c r="AG288" s="490"/>
      <c r="AH288" s="490"/>
      <c r="AI288" s="490"/>
      <c r="AJ288" s="490"/>
      <c r="AK288" s="490"/>
      <c r="AL288" s="490"/>
      <c r="AM288" s="490"/>
      <c r="AN288" s="490"/>
      <c r="AO288" s="490"/>
      <c r="AP288" s="490"/>
      <c r="AQ288" s="490"/>
      <c r="AR288" s="490"/>
      <c r="AS288" s="490"/>
      <c r="AT288" s="490"/>
      <c r="AU288" s="490"/>
      <c r="AV288" s="490"/>
      <c r="AW288" s="490"/>
      <c r="AX288" s="490"/>
      <c r="AY288" s="490"/>
      <c r="AZ288" s="490"/>
      <c r="BA288" s="490"/>
      <c r="BB288" s="490"/>
      <c r="BC288" s="490"/>
      <c r="BD288" s="490"/>
      <c r="BE288" s="490"/>
      <c r="BF288" s="490"/>
      <c r="BG288" s="490"/>
      <c r="BH288" s="490"/>
      <c r="BI288" s="490"/>
      <c r="BJ288" s="490"/>
      <c r="BK288" s="490"/>
      <c r="BL288" s="490"/>
      <c r="BM288" s="490"/>
      <c r="BN288" s="490"/>
      <c r="BO288" s="490"/>
      <c r="BP288" s="490"/>
      <c r="BQ288" s="490"/>
      <c r="BR288" s="490"/>
      <c r="BS288" s="490"/>
      <c r="BT288" s="490"/>
      <c r="BU288" s="490"/>
      <c r="BV288" s="490"/>
      <c r="BW288" s="490"/>
      <c r="BX288" s="490"/>
      <c r="BY288" s="490"/>
      <c r="BZ288" s="490"/>
      <c r="CA288" s="490"/>
      <c r="CB288" s="490"/>
      <c r="CC288" s="490"/>
      <c r="CD288" s="490"/>
      <c r="CE288" s="490"/>
      <c r="CF288" s="490"/>
      <c r="CG288" s="490"/>
      <c r="CH288" s="490"/>
      <c r="CI288" s="490"/>
      <c r="CJ288" s="490"/>
      <c r="CK288" s="490"/>
      <c r="CL288" s="490"/>
      <c r="CM288" s="490"/>
      <c r="CN288" s="490"/>
      <c r="CO288" s="490"/>
      <c r="CP288" s="490"/>
      <c r="CQ288" s="490"/>
      <c r="CR288" s="490"/>
      <c r="CS288" s="490"/>
      <c r="CT288" s="490"/>
      <c r="CU288" s="490"/>
      <c r="CV288" s="490"/>
      <c r="CW288" s="490"/>
      <c r="CX288" s="490"/>
      <c r="CY288" s="490"/>
      <c r="CZ288" s="490"/>
      <c r="DA288" s="490"/>
      <c r="DB288" s="490"/>
      <c r="DC288" s="490"/>
      <c r="DD288" s="490"/>
      <c r="DE288" s="490"/>
      <c r="DF288" s="490"/>
      <c r="DG288" s="490"/>
      <c r="DH288" s="490"/>
      <c r="DI288" s="490"/>
      <c r="DJ288" s="490"/>
      <c r="DK288" s="490"/>
      <c r="DL288" s="490"/>
      <c r="DM288" s="490"/>
      <c r="DN288" s="490"/>
      <c r="DO288" s="490"/>
      <c r="DP288" s="490"/>
      <c r="DQ288" s="490"/>
      <c r="DR288" s="490"/>
      <c r="DS288" s="490"/>
      <c r="DT288" s="490"/>
      <c r="DU288" s="490"/>
      <c r="DV288" s="490"/>
      <c r="DW288" s="490"/>
      <c r="DX288" s="490"/>
      <c r="DY288" s="490"/>
      <c r="DZ288" s="490"/>
      <c r="EA288" s="490"/>
      <c r="EB288" s="490"/>
      <c r="EC288" s="490"/>
      <c r="ED288" s="490"/>
      <c r="EE288" s="490"/>
      <c r="EF288" s="490"/>
      <c r="EG288" s="490"/>
      <c r="EH288" s="490"/>
      <c r="EI288" s="490"/>
      <c r="EJ288" s="490"/>
      <c r="EK288" s="490"/>
      <c r="EL288" s="490"/>
      <c r="EM288" s="490"/>
      <c r="EN288" s="490"/>
      <c r="EO288" s="490"/>
      <c r="EP288" s="490"/>
      <c r="EQ288" s="490"/>
      <c r="ER288" s="490"/>
      <c r="ES288" s="490"/>
      <c r="ET288" s="490"/>
      <c r="EU288" s="490"/>
      <c r="EV288" s="490"/>
      <c r="EW288" s="490"/>
      <c r="EX288" s="490"/>
      <c r="EY288" s="490"/>
      <c r="EZ288" s="490"/>
      <c r="FA288" s="490"/>
      <c r="FB288" s="490"/>
      <c r="FC288" s="490"/>
      <c r="FD288" s="490"/>
      <c r="FE288" s="490"/>
      <c r="FF288" s="490"/>
      <c r="FG288" s="490"/>
      <c r="FH288" s="490"/>
      <c r="FI288" s="490"/>
      <c r="FJ288" s="490"/>
      <c r="FK288" s="490"/>
      <c r="FL288" s="490"/>
      <c r="FM288" s="490"/>
      <c r="FN288" s="490"/>
    </row>
    <row r="289" s="492" customFormat="1" spans="1:170">
      <c r="A289" s="519">
        <v>46170</v>
      </c>
      <c r="B289" s="509" t="s">
        <v>809</v>
      </c>
      <c r="C289" s="520">
        <v>5</v>
      </c>
      <c r="D289" s="509" t="s">
        <v>704</v>
      </c>
      <c r="E289" s="509" t="s">
        <v>14</v>
      </c>
      <c r="F289" s="515" t="s">
        <v>73</v>
      </c>
      <c r="G289" s="542">
        <v>0.91</v>
      </c>
      <c r="H289" s="542">
        <v>4.05</v>
      </c>
      <c r="I289" s="546" t="s">
        <v>17</v>
      </c>
      <c r="J289" s="542">
        <v>1.8</v>
      </c>
      <c r="K289" s="507" t="s">
        <v>706</v>
      </c>
      <c r="L289" s="509"/>
      <c r="M289" s="490"/>
      <c r="N289" s="490"/>
      <c r="O289" s="490"/>
      <c r="P289" s="490"/>
      <c r="Q289" s="490"/>
      <c r="R289" s="490"/>
      <c r="S289" s="490"/>
      <c r="T289" s="490"/>
      <c r="U289" s="490"/>
      <c r="V289" s="490"/>
      <c r="W289" s="490"/>
      <c r="X289" s="490"/>
      <c r="Y289" s="490"/>
      <c r="Z289" s="490"/>
      <c r="AA289" s="490"/>
      <c r="AB289" s="490"/>
      <c r="AC289" s="490"/>
      <c r="AD289" s="490"/>
      <c r="AE289" s="490"/>
      <c r="AF289" s="490"/>
      <c r="AG289" s="490"/>
      <c r="AH289" s="490"/>
      <c r="AI289" s="490"/>
      <c r="AJ289" s="490"/>
      <c r="AK289" s="490"/>
      <c r="AL289" s="490"/>
      <c r="AM289" s="490"/>
      <c r="AN289" s="490"/>
      <c r="AO289" s="490"/>
      <c r="AP289" s="490"/>
      <c r="AQ289" s="490"/>
      <c r="AR289" s="490"/>
      <c r="AS289" s="490"/>
      <c r="AT289" s="490"/>
      <c r="AU289" s="490"/>
      <c r="AV289" s="490"/>
      <c r="AW289" s="490"/>
      <c r="AX289" s="490"/>
      <c r="AY289" s="490"/>
      <c r="AZ289" s="490"/>
      <c r="BA289" s="490"/>
      <c r="BB289" s="490"/>
      <c r="BC289" s="490"/>
      <c r="BD289" s="490"/>
      <c r="BE289" s="490"/>
      <c r="BF289" s="490"/>
      <c r="BG289" s="490"/>
      <c r="BH289" s="490"/>
      <c r="BI289" s="490"/>
      <c r="BJ289" s="490"/>
      <c r="BK289" s="490"/>
      <c r="BL289" s="490"/>
      <c r="BM289" s="490"/>
      <c r="BN289" s="490"/>
      <c r="BO289" s="490"/>
      <c r="BP289" s="490"/>
      <c r="BQ289" s="490"/>
      <c r="BR289" s="490"/>
      <c r="BS289" s="490"/>
      <c r="BT289" s="490"/>
      <c r="BU289" s="490"/>
      <c r="BV289" s="490"/>
      <c r="BW289" s="490"/>
      <c r="BX289" s="490"/>
      <c r="BY289" s="490"/>
      <c r="BZ289" s="490"/>
      <c r="CA289" s="490"/>
      <c r="CB289" s="490"/>
      <c r="CC289" s="490"/>
      <c r="CD289" s="490"/>
      <c r="CE289" s="490"/>
      <c r="CF289" s="490"/>
      <c r="CG289" s="490"/>
      <c r="CH289" s="490"/>
      <c r="CI289" s="490"/>
      <c r="CJ289" s="490"/>
      <c r="CK289" s="490"/>
      <c r="CL289" s="490"/>
      <c r="CM289" s="490"/>
      <c r="CN289" s="490"/>
      <c r="CO289" s="490"/>
      <c r="CP289" s="490"/>
      <c r="CQ289" s="490"/>
      <c r="CR289" s="490"/>
      <c r="CS289" s="490"/>
      <c r="CT289" s="490"/>
      <c r="CU289" s="490"/>
      <c r="CV289" s="490"/>
      <c r="CW289" s="490"/>
      <c r="CX289" s="490"/>
      <c r="CY289" s="490"/>
      <c r="CZ289" s="490"/>
      <c r="DA289" s="490"/>
      <c r="DB289" s="490"/>
      <c r="DC289" s="490"/>
      <c r="DD289" s="490"/>
      <c r="DE289" s="490"/>
      <c r="DF289" s="490"/>
      <c r="DG289" s="490"/>
      <c r="DH289" s="490"/>
      <c r="DI289" s="490"/>
      <c r="DJ289" s="490"/>
      <c r="DK289" s="490"/>
      <c r="DL289" s="490"/>
      <c r="DM289" s="490"/>
      <c r="DN289" s="490"/>
      <c r="DO289" s="490"/>
      <c r="DP289" s="490"/>
      <c r="DQ289" s="490"/>
      <c r="DR289" s="490"/>
      <c r="DS289" s="490"/>
      <c r="DT289" s="490"/>
      <c r="DU289" s="490"/>
      <c r="DV289" s="490"/>
      <c r="DW289" s="490"/>
      <c r="DX289" s="490"/>
      <c r="DY289" s="490"/>
      <c r="DZ289" s="490"/>
      <c r="EA289" s="490"/>
      <c r="EB289" s="490"/>
      <c r="EC289" s="490"/>
      <c r="ED289" s="490"/>
      <c r="EE289" s="490"/>
      <c r="EF289" s="490"/>
      <c r="EG289" s="490"/>
      <c r="EH289" s="490"/>
      <c r="EI289" s="490"/>
      <c r="EJ289" s="490"/>
      <c r="EK289" s="490"/>
      <c r="EL289" s="490"/>
      <c r="EM289" s="490"/>
      <c r="EN289" s="490"/>
      <c r="EO289" s="490"/>
      <c r="EP289" s="490"/>
      <c r="EQ289" s="490"/>
      <c r="ER289" s="490"/>
      <c r="ES289" s="490"/>
      <c r="ET289" s="490"/>
      <c r="EU289" s="490"/>
      <c r="EV289" s="490"/>
      <c r="EW289" s="490"/>
      <c r="EX289" s="490"/>
      <c r="EY289" s="490"/>
      <c r="EZ289" s="490"/>
      <c r="FA289" s="490"/>
      <c r="FB289" s="490"/>
      <c r="FC289" s="490"/>
      <c r="FD289" s="490"/>
      <c r="FE289" s="490"/>
      <c r="FF289" s="490"/>
      <c r="FG289" s="490"/>
      <c r="FH289" s="490"/>
      <c r="FI289" s="490"/>
      <c r="FJ289" s="490"/>
      <c r="FK289" s="490"/>
      <c r="FL289" s="490"/>
      <c r="FM289" s="490"/>
      <c r="FN289" s="490"/>
    </row>
    <row r="290" s="492" customFormat="1" spans="1:170">
      <c r="A290" s="519"/>
      <c r="B290" s="509"/>
      <c r="C290" s="520"/>
      <c r="D290" s="509"/>
      <c r="E290" s="509"/>
      <c r="F290" s="515" t="s">
        <v>75</v>
      </c>
      <c r="G290" s="542">
        <v>0.91</v>
      </c>
      <c r="H290" s="542">
        <v>0.25</v>
      </c>
      <c r="I290" s="546" t="s">
        <v>22</v>
      </c>
      <c r="J290" s="542">
        <v>2</v>
      </c>
      <c r="K290" s="513"/>
      <c r="L290" s="509"/>
      <c r="M290" s="490"/>
      <c r="N290" s="490"/>
      <c r="O290" s="490"/>
      <c r="P290" s="490"/>
      <c r="Q290" s="490"/>
      <c r="R290" s="490"/>
      <c r="S290" s="490"/>
      <c r="T290" s="490"/>
      <c r="U290" s="490"/>
      <c r="V290" s="490"/>
      <c r="W290" s="490"/>
      <c r="X290" s="490"/>
      <c r="Y290" s="490"/>
      <c r="Z290" s="490"/>
      <c r="AA290" s="490"/>
      <c r="AB290" s="490"/>
      <c r="AC290" s="490"/>
      <c r="AD290" s="490"/>
      <c r="AE290" s="490"/>
      <c r="AF290" s="490"/>
      <c r="AG290" s="490"/>
      <c r="AH290" s="490"/>
      <c r="AI290" s="490"/>
      <c r="AJ290" s="490"/>
      <c r="AK290" s="490"/>
      <c r="AL290" s="490"/>
      <c r="AM290" s="490"/>
      <c r="AN290" s="490"/>
      <c r="AO290" s="490"/>
      <c r="AP290" s="490"/>
      <c r="AQ290" s="490"/>
      <c r="AR290" s="490"/>
      <c r="AS290" s="490"/>
      <c r="AT290" s="490"/>
      <c r="AU290" s="490"/>
      <c r="AV290" s="490"/>
      <c r="AW290" s="490"/>
      <c r="AX290" s="490"/>
      <c r="AY290" s="490"/>
      <c r="AZ290" s="490"/>
      <c r="BA290" s="490"/>
      <c r="BB290" s="490"/>
      <c r="BC290" s="490"/>
      <c r="BD290" s="490"/>
      <c r="BE290" s="490"/>
      <c r="BF290" s="490"/>
      <c r="BG290" s="490"/>
      <c r="BH290" s="490"/>
      <c r="BI290" s="490"/>
      <c r="BJ290" s="490"/>
      <c r="BK290" s="490"/>
      <c r="BL290" s="490"/>
      <c r="BM290" s="490"/>
      <c r="BN290" s="490"/>
      <c r="BO290" s="490"/>
      <c r="BP290" s="490"/>
      <c r="BQ290" s="490"/>
      <c r="BR290" s="490"/>
      <c r="BS290" s="490"/>
      <c r="BT290" s="490"/>
      <c r="BU290" s="490"/>
      <c r="BV290" s="490"/>
      <c r="BW290" s="490"/>
      <c r="BX290" s="490"/>
      <c r="BY290" s="490"/>
      <c r="BZ290" s="490"/>
      <c r="CA290" s="490"/>
      <c r="CB290" s="490"/>
      <c r="CC290" s="490"/>
      <c r="CD290" s="490"/>
      <c r="CE290" s="490"/>
      <c r="CF290" s="490"/>
      <c r="CG290" s="490"/>
      <c r="CH290" s="490"/>
      <c r="CI290" s="490"/>
      <c r="CJ290" s="490"/>
      <c r="CK290" s="490"/>
      <c r="CL290" s="490"/>
      <c r="CM290" s="490"/>
      <c r="CN290" s="490"/>
      <c r="CO290" s="490"/>
      <c r="CP290" s="490"/>
      <c r="CQ290" s="490"/>
      <c r="CR290" s="490"/>
      <c r="CS290" s="490"/>
      <c r="CT290" s="490"/>
      <c r="CU290" s="490"/>
      <c r="CV290" s="490"/>
      <c r="CW290" s="490"/>
      <c r="CX290" s="490"/>
      <c r="CY290" s="490"/>
      <c r="CZ290" s="490"/>
      <c r="DA290" s="490"/>
      <c r="DB290" s="490"/>
      <c r="DC290" s="490"/>
      <c r="DD290" s="490"/>
      <c r="DE290" s="490"/>
      <c r="DF290" s="490"/>
      <c r="DG290" s="490"/>
      <c r="DH290" s="490"/>
      <c r="DI290" s="490"/>
      <c r="DJ290" s="490"/>
      <c r="DK290" s="490"/>
      <c r="DL290" s="490"/>
      <c r="DM290" s="490"/>
      <c r="DN290" s="490"/>
      <c r="DO290" s="490"/>
      <c r="DP290" s="490"/>
      <c r="DQ290" s="490"/>
      <c r="DR290" s="490"/>
      <c r="DS290" s="490"/>
      <c r="DT290" s="490"/>
      <c r="DU290" s="490"/>
      <c r="DV290" s="490"/>
      <c r="DW290" s="490"/>
      <c r="DX290" s="490"/>
      <c r="DY290" s="490"/>
      <c r="DZ290" s="490"/>
      <c r="EA290" s="490"/>
      <c r="EB290" s="490"/>
      <c r="EC290" s="490"/>
      <c r="ED290" s="490"/>
      <c r="EE290" s="490"/>
      <c r="EF290" s="490"/>
      <c r="EG290" s="490"/>
      <c r="EH290" s="490"/>
      <c r="EI290" s="490"/>
      <c r="EJ290" s="490"/>
      <c r="EK290" s="490"/>
      <c r="EL290" s="490"/>
      <c r="EM290" s="490"/>
      <c r="EN290" s="490"/>
      <c r="EO290" s="490"/>
      <c r="EP290" s="490"/>
      <c r="EQ290" s="490"/>
      <c r="ER290" s="490"/>
      <c r="ES290" s="490"/>
      <c r="ET290" s="490"/>
      <c r="EU290" s="490"/>
      <c r="EV290" s="490"/>
      <c r="EW290" s="490"/>
      <c r="EX290" s="490"/>
      <c r="EY290" s="490"/>
      <c r="EZ290" s="490"/>
      <c r="FA290" s="490"/>
      <c r="FB290" s="490"/>
      <c r="FC290" s="490"/>
      <c r="FD290" s="490"/>
      <c r="FE290" s="490"/>
      <c r="FF290" s="490"/>
      <c r="FG290" s="490"/>
      <c r="FH290" s="490"/>
      <c r="FI290" s="490"/>
      <c r="FJ290" s="490"/>
      <c r="FK290" s="490"/>
      <c r="FL290" s="490"/>
      <c r="FM290" s="490"/>
      <c r="FN290" s="490"/>
    </row>
    <row r="291" s="492" customFormat="1" spans="1:170">
      <c r="A291" s="519"/>
      <c r="B291" s="509"/>
      <c r="C291" s="520"/>
      <c r="D291" s="509"/>
      <c r="E291" s="509"/>
      <c r="F291" s="515" t="s">
        <v>90</v>
      </c>
      <c r="G291" s="542">
        <v>0.91</v>
      </c>
      <c r="H291" s="542">
        <v>0.25</v>
      </c>
      <c r="I291" s="546" t="s">
        <v>439</v>
      </c>
      <c r="J291" s="542">
        <v>3</v>
      </c>
      <c r="K291" s="513"/>
      <c r="L291" s="509"/>
      <c r="M291" s="490"/>
      <c r="N291" s="490"/>
      <c r="O291" s="490"/>
      <c r="P291" s="490"/>
      <c r="Q291" s="490"/>
      <c r="R291" s="490"/>
      <c r="S291" s="490"/>
      <c r="T291" s="490"/>
      <c r="U291" s="490"/>
      <c r="V291" s="490"/>
      <c r="W291" s="490"/>
      <c r="X291" s="490"/>
      <c r="Y291" s="490"/>
      <c r="Z291" s="490"/>
      <c r="AA291" s="490"/>
      <c r="AB291" s="490"/>
      <c r="AC291" s="490"/>
      <c r="AD291" s="490"/>
      <c r="AE291" s="490"/>
      <c r="AF291" s="490"/>
      <c r="AG291" s="490"/>
      <c r="AH291" s="490"/>
      <c r="AI291" s="490"/>
      <c r="AJ291" s="490"/>
      <c r="AK291" s="490"/>
      <c r="AL291" s="490"/>
      <c r="AM291" s="490"/>
      <c r="AN291" s="490"/>
      <c r="AO291" s="490"/>
      <c r="AP291" s="490"/>
      <c r="AQ291" s="490"/>
      <c r="AR291" s="490"/>
      <c r="AS291" s="490"/>
      <c r="AT291" s="490"/>
      <c r="AU291" s="490"/>
      <c r="AV291" s="490"/>
      <c r="AW291" s="490"/>
      <c r="AX291" s="490"/>
      <c r="AY291" s="490"/>
      <c r="AZ291" s="490"/>
      <c r="BA291" s="490"/>
      <c r="BB291" s="490"/>
      <c r="BC291" s="490"/>
      <c r="BD291" s="490"/>
      <c r="BE291" s="490"/>
      <c r="BF291" s="490"/>
      <c r="BG291" s="490"/>
      <c r="BH291" s="490"/>
      <c r="BI291" s="490"/>
      <c r="BJ291" s="490"/>
      <c r="BK291" s="490"/>
      <c r="BL291" s="490"/>
      <c r="BM291" s="490"/>
      <c r="BN291" s="490"/>
      <c r="BO291" s="490"/>
      <c r="BP291" s="490"/>
      <c r="BQ291" s="490"/>
      <c r="BR291" s="490"/>
      <c r="BS291" s="490"/>
      <c r="BT291" s="490"/>
      <c r="BU291" s="490"/>
      <c r="BV291" s="490"/>
      <c r="BW291" s="490"/>
      <c r="BX291" s="490"/>
      <c r="BY291" s="490"/>
      <c r="BZ291" s="490"/>
      <c r="CA291" s="490"/>
      <c r="CB291" s="490"/>
      <c r="CC291" s="490"/>
      <c r="CD291" s="490"/>
      <c r="CE291" s="490"/>
      <c r="CF291" s="490"/>
      <c r="CG291" s="490"/>
      <c r="CH291" s="490"/>
      <c r="CI291" s="490"/>
      <c r="CJ291" s="490"/>
      <c r="CK291" s="490"/>
      <c r="CL291" s="490"/>
      <c r="CM291" s="490"/>
      <c r="CN291" s="490"/>
      <c r="CO291" s="490"/>
      <c r="CP291" s="490"/>
      <c r="CQ291" s="490"/>
      <c r="CR291" s="490"/>
      <c r="CS291" s="490"/>
      <c r="CT291" s="490"/>
      <c r="CU291" s="490"/>
      <c r="CV291" s="490"/>
      <c r="CW291" s="490"/>
      <c r="CX291" s="490"/>
      <c r="CY291" s="490"/>
      <c r="CZ291" s="490"/>
      <c r="DA291" s="490"/>
      <c r="DB291" s="490"/>
      <c r="DC291" s="490"/>
      <c r="DD291" s="490"/>
      <c r="DE291" s="490"/>
      <c r="DF291" s="490"/>
      <c r="DG291" s="490"/>
      <c r="DH291" s="490"/>
      <c r="DI291" s="490"/>
      <c r="DJ291" s="490"/>
      <c r="DK291" s="490"/>
      <c r="DL291" s="490"/>
      <c r="DM291" s="490"/>
      <c r="DN291" s="490"/>
      <c r="DO291" s="490"/>
      <c r="DP291" s="490"/>
      <c r="DQ291" s="490"/>
      <c r="DR291" s="490"/>
      <c r="DS291" s="490"/>
      <c r="DT291" s="490"/>
      <c r="DU291" s="490"/>
      <c r="DV291" s="490"/>
      <c r="DW291" s="490"/>
      <c r="DX291" s="490"/>
      <c r="DY291" s="490"/>
      <c r="DZ291" s="490"/>
      <c r="EA291" s="490"/>
      <c r="EB291" s="490"/>
      <c r="EC291" s="490"/>
      <c r="ED291" s="490"/>
      <c r="EE291" s="490"/>
      <c r="EF291" s="490"/>
      <c r="EG291" s="490"/>
      <c r="EH291" s="490"/>
      <c r="EI291" s="490"/>
      <c r="EJ291" s="490"/>
      <c r="EK291" s="490"/>
      <c r="EL291" s="490"/>
      <c r="EM291" s="490"/>
      <c r="EN291" s="490"/>
      <c r="EO291" s="490"/>
      <c r="EP291" s="490"/>
      <c r="EQ291" s="490"/>
      <c r="ER291" s="490"/>
      <c r="ES291" s="490"/>
      <c r="ET291" s="490"/>
      <c r="EU291" s="490"/>
      <c r="EV291" s="490"/>
      <c r="EW291" s="490"/>
      <c r="EX291" s="490"/>
      <c r="EY291" s="490"/>
      <c r="EZ291" s="490"/>
      <c r="FA291" s="490"/>
      <c r="FB291" s="490"/>
      <c r="FC291" s="490"/>
      <c r="FD291" s="490"/>
      <c r="FE291" s="490"/>
      <c r="FF291" s="490"/>
      <c r="FG291" s="490"/>
      <c r="FH291" s="490"/>
      <c r="FI291" s="490"/>
      <c r="FJ291" s="490"/>
      <c r="FK291" s="490"/>
      <c r="FL291" s="490"/>
      <c r="FM291" s="490"/>
      <c r="FN291" s="490"/>
    </row>
    <row r="292" s="492" customFormat="1" spans="1:170">
      <c r="A292" s="519"/>
      <c r="B292" s="509"/>
      <c r="C292" s="520"/>
      <c r="D292" s="509"/>
      <c r="E292" s="509"/>
      <c r="F292" s="515" t="s">
        <v>91</v>
      </c>
      <c r="G292" s="542">
        <v>2.82</v>
      </c>
      <c r="H292" s="542">
        <v>0.45</v>
      </c>
      <c r="I292" s="546" t="s">
        <v>24</v>
      </c>
      <c r="J292" s="542" t="s">
        <v>24</v>
      </c>
      <c r="K292" s="517"/>
      <c r="L292" s="509"/>
      <c r="M292" s="490"/>
      <c r="N292" s="490"/>
      <c r="O292" s="490"/>
      <c r="P292" s="490"/>
      <c r="Q292" s="490"/>
      <c r="R292" s="490"/>
      <c r="S292" s="490"/>
      <c r="T292" s="490"/>
      <c r="U292" s="490"/>
      <c r="V292" s="490"/>
      <c r="W292" s="490"/>
      <c r="X292" s="490"/>
      <c r="Y292" s="490"/>
      <c r="Z292" s="490"/>
      <c r="AA292" s="490"/>
      <c r="AB292" s="490"/>
      <c r="AC292" s="490"/>
      <c r="AD292" s="490"/>
      <c r="AE292" s="490"/>
      <c r="AF292" s="490"/>
      <c r="AG292" s="490"/>
      <c r="AH292" s="490"/>
      <c r="AI292" s="490"/>
      <c r="AJ292" s="490"/>
      <c r="AK292" s="490"/>
      <c r="AL292" s="490"/>
      <c r="AM292" s="490"/>
      <c r="AN292" s="490"/>
      <c r="AO292" s="490"/>
      <c r="AP292" s="490"/>
      <c r="AQ292" s="490"/>
      <c r="AR292" s="490"/>
      <c r="AS292" s="490"/>
      <c r="AT292" s="490"/>
      <c r="AU292" s="490"/>
      <c r="AV292" s="490"/>
      <c r="AW292" s="490"/>
      <c r="AX292" s="490"/>
      <c r="AY292" s="490"/>
      <c r="AZ292" s="490"/>
      <c r="BA292" s="490"/>
      <c r="BB292" s="490"/>
      <c r="BC292" s="490"/>
      <c r="BD292" s="490"/>
      <c r="BE292" s="490"/>
      <c r="BF292" s="490"/>
      <c r="BG292" s="490"/>
      <c r="BH292" s="490"/>
      <c r="BI292" s="490"/>
      <c r="BJ292" s="490"/>
      <c r="BK292" s="490"/>
      <c r="BL292" s="490"/>
      <c r="BM292" s="490"/>
      <c r="BN292" s="490"/>
      <c r="BO292" s="490"/>
      <c r="BP292" s="490"/>
      <c r="BQ292" s="490"/>
      <c r="BR292" s="490"/>
      <c r="BS292" s="490"/>
      <c r="BT292" s="490"/>
      <c r="BU292" s="490"/>
      <c r="BV292" s="490"/>
      <c r="BW292" s="490"/>
      <c r="BX292" s="490"/>
      <c r="BY292" s="490"/>
      <c r="BZ292" s="490"/>
      <c r="CA292" s="490"/>
      <c r="CB292" s="490"/>
      <c r="CC292" s="490"/>
      <c r="CD292" s="490"/>
      <c r="CE292" s="490"/>
      <c r="CF292" s="490"/>
      <c r="CG292" s="490"/>
      <c r="CH292" s="490"/>
      <c r="CI292" s="490"/>
      <c r="CJ292" s="490"/>
      <c r="CK292" s="490"/>
      <c r="CL292" s="490"/>
      <c r="CM292" s="490"/>
      <c r="CN292" s="490"/>
      <c r="CO292" s="490"/>
      <c r="CP292" s="490"/>
      <c r="CQ292" s="490"/>
      <c r="CR292" s="490"/>
      <c r="CS292" s="490"/>
      <c r="CT292" s="490"/>
      <c r="CU292" s="490"/>
      <c r="CV292" s="490"/>
      <c r="CW292" s="490"/>
      <c r="CX292" s="490"/>
      <c r="CY292" s="490"/>
      <c r="CZ292" s="490"/>
      <c r="DA292" s="490"/>
      <c r="DB292" s="490"/>
      <c r="DC292" s="490"/>
      <c r="DD292" s="490"/>
      <c r="DE292" s="490"/>
      <c r="DF292" s="490"/>
      <c r="DG292" s="490"/>
      <c r="DH292" s="490"/>
      <c r="DI292" s="490"/>
      <c r="DJ292" s="490"/>
      <c r="DK292" s="490"/>
      <c r="DL292" s="490"/>
      <c r="DM292" s="490"/>
      <c r="DN292" s="490"/>
      <c r="DO292" s="490"/>
      <c r="DP292" s="490"/>
      <c r="DQ292" s="490"/>
      <c r="DR292" s="490"/>
      <c r="DS292" s="490"/>
      <c r="DT292" s="490"/>
      <c r="DU292" s="490"/>
      <c r="DV292" s="490"/>
      <c r="DW292" s="490"/>
      <c r="DX292" s="490"/>
      <c r="DY292" s="490"/>
      <c r="DZ292" s="490"/>
      <c r="EA292" s="490"/>
      <c r="EB292" s="490"/>
      <c r="EC292" s="490"/>
      <c r="ED292" s="490"/>
      <c r="EE292" s="490"/>
      <c r="EF292" s="490"/>
      <c r="EG292" s="490"/>
      <c r="EH292" s="490"/>
      <c r="EI292" s="490"/>
      <c r="EJ292" s="490"/>
      <c r="EK292" s="490"/>
      <c r="EL292" s="490"/>
      <c r="EM292" s="490"/>
      <c r="EN292" s="490"/>
      <c r="EO292" s="490"/>
      <c r="EP292" s="490"/>
      <c r="EQ292" s="490"/>
      <c r="ER292" s="490"/>
      <c r="ES292" s="490"/>
      <c r="ET292" s="490"/>
      <c r="EU292" s="490"/>
      <c r="EV292" s="490"/>
      <c r="EW292" s="490"/>
      <c r="EX292" s="490"/>
      <c r="EY292" s="490"/>
      <c r="EZ292" s="490"/>
      <c r="FA292" s="490"/>
      <c r="FB292" s="490"/>
      <c r="FC292" s="490"/>
      <c r="FD292" s="490"/>
      <c r="FE292" s="490"/>
      <c r="FF292" s="490"/>
      <c r="FG292" s="490"/>
      <c r="FH292" s="490"/>
      <c r="FI292" s="490"/>
      <c r="FJ292" s="490"/>
      <c r="FK292" s="490"/>
      <c r="FL292" s="490"/>
      <c r="FM292" s="490"/>
      <c r="FN292" s="490"/>
    </row>
    <row r="293" s="492" customFormat="1" spans="1:170">
      <c r="A293" s="519">
        <v>46170</v>
      </c>
      <c r="B293" s="509" t="s">
        <v>810</v>
      </c>
      <c r="C293" s="520">
        <v>10</v>
      </c>
      <c r="D293" s="509" t="s">
        <v>72</v>
      </c>
      <c r="E293" s="509" t="s">
        <v>208</v>
      </c>
      <c r="F293" s="545" t="s">
        <v>158</v>
      </c>
      <c r="G293" s="542">
        <v>0.99</v>
      </c>
      <c r="H293" s="542">
        <v>9</v>
      </c>
      <c r="I293" s="542" t="s">
        <v>17</v>
      </c>
      <c r="J293" s="542">
        <v>1.57</v>
      </c>
      <c r="K293" s="507" t="s">
        <v>607</v>
      </c>
      <c r="L293" s="509" t="s">
        <v>36</v>
      </c>
      <c r="M293" s="490"/>
      <c r="N293" s="490"/>
      <c r="O293" s="490"/>
      <c r="P293" s="490"/>
      <c r="Q293" s="490"/>
      <c r="R293" s="490"/>
      <c r="S293" s="490"/>
      <c r="T293" s="490"/>
      <c r="U293" s="490"/>
      <c r="V293" s="490"/>
      <c r="W293" s="490"/>
      <c r="X293" s="490"/>
      <c r="Y293" s="490"/>
      <c r="Z293" s="490"/>
      <c r="AA293" s="490"/>
      <c r="AB293" s="490"/>
      <c r="AC293" s="490"/>
      <c r="AD293" s="490"/>
      <c r="AE293" s="490"/>
      <c r="AF293" s="490"/>
      <c r="AG293" s="490"/>
      <c r="AH293" s="490"/>
      <c r="AI293" s="490"/>
      <c r="AJ293" s="490"/>
      <c r="AK293" s="490"/>
      <c r="AL293" s="490"/>
      <c r="AM293" s="490"/>
      <c r="AN293" s="490"/>
      <c r="AO293" s="490"/>
      <c r="AP293" s="490"/>
      <c r="AQ293" s="490"/>
      <c r="AR293" s="490"/>
      <c r="AS293" s="490"/>
      <c r="AT293" s="490"/>
      <c r="AU293" s="490"/>
      <c r="AV293" s="490"/>
      <c r="AW293" s="490"/>
      <c r="AX293" s="490"/>
      <c r="AY293" s="490"/>
      <c r="AZ293" s="490"/>
      <c r="BA293" s="490"/>
      <c r="BB293" s="490"/>
      <c r="BC293" s="490"/>
      <c r="BD293" s="490"/>
      <c r="BE293" s="490"/>
      <c r="BF293" s="490"/>
      <c r="BG293" s="490"/>
      <c r="BH293" s="490"/>
      <c r="BI293" s="490"/>
      <c r="BJ293" s="490"/>
      <c r="BK293" s="490"/>
      <c r="BL293" s="490"/>
      <c r="BM293" s="490"/>
      <c r="BN293" s="490"/>
      <c r="BO293" s="490"/>
      <c r="BP293" s="490"/>
      <c r="BQ293" s="490"/>
      <c r="BR293" s="490"/>
      <c r="BS293" s="490"/>
      <c r="BT293" s="490"/>
      <c r="BU293" s="490"/>
      <c r="BV293" s="490"/>
      <c r="BW293" s="490"/>
      <c r="BX293" s="490"/>
      <c r="BY293" s="490"/>
      <c r="BZ293" s="490"/>
      <c r="CA293" s="490"/>
      <c r="CB293" s="490"/>
      <c r="CC293" s="490"/>
      <c r="CD293" s="490"/>
      <c r="CE293" s="490"/>
      <c r="CF293" s="490"/>
      <c r="CG293" s="490"/>
      <c r="CH293" s="490"/>
      <c r="CI293" s="490"/>
      <c r="CJ293" s="490"/>
      <c r="CK293" s="490"/>
      <c r="CL293" s="490"/>
      <c r="CM293" s="490"/>
      <c r="CN293" s="490"/>
      <c r="CO293" s="490"/>
      <c r="CP293" s="490"/>
      <c r="CQ293" s="490"/>
      <c r="CR293" s="490"/>
      <c r="CS293" s="490"/>
      <c r="CT293" s="490"/>
      <c r="CU293" s="490"/>
      <c r="CV293" s="490"/>
      <c r="CW293" s="490"/>
      <c r="CX293" s="490"/>
      <c r="CY293" s="490"/>
      <c r="CZ293" s="490"/>
      <c r="DA293" s="490"/>
      <c r="DB293" s="490"/>
      <c r="DC293" s="490"/>
      <c r="DD293" s="490"/>
      <c r="DE293" s="490"/>
      <c r="DF293" s="490"/>
      <c r="DG293" s="490"/>
      <c r="DH293" s="490"/>
      <c r="DI293" s="490"/>
      <c r="DJ293" s="490"/>
      <c r="DK293" s="490"/>
      <c r="DL293" s="490"/>
      <c r="DM293" s="490"/>
      <c r="DN293" s="490"/>
      <c r="DO293" s="490"/>
      <c r="DP293" s="490"/>
      <c r="DQ293" s="490"/>
      <c r="DR293" s="490"/>
      <c r="DS293" s="490"/>
      <c r="DT293" s="490"/>
      <c r="DU293" s="490"/>
      <c r="DV293" s="490"/>
      <c r="DW293" s="490"/>
      <c r="DX293" s="490"/>
      <c r="DY293" s="490"/>
      <c r="DZ293" s="490"/>
      <c r="EA293" s="490"/>
      <c r="EB293" s="490"/>
      <c r="EC293" s="490"/>
      <c r="ED293" s="490"/>
      <c r="EE293" s="490"/>
      <c r="EF293" s="490"/>
      <c r="EG293" s="490"/>
      <c r="EH293" s="490"/>
      <c r="EI293" s="490"/>
      <c r="EJ293" s="490"/>
      <c r="EK293" s="490"/>
      <c r="EL293" s="490"/>
      <c r="EM293" s="490"/>
      <c r="EN293" s="490"/>
      <c r="EO293" s="490"/>
      <c r="EP293" s="490"/>
      <c r="EQ293" s="490"/>
      <c r="ER293" s="490"/>
      <c r="ES293" s="490"/>
      <c r="ET293" s="490"/>
      <c r="EU293" s="490"/>
      <c r="EV293" s="490"/>
      <c r="EW293" s="490"/>
      <c r="EX293" s="490"/>
      <c r="EY293" s="490"/>
      <c r="EZ293" s="490"/>
      <c r="FA293" s="490"/>
      <c r="FB293" s="490"/>
      <c r="FC293" s="490"/>
      <c r="FD293" s="490"/>
      <c r="FE293" s="490"/>
      <c r="FF293" s="490"/>
      <c r="FG293" s="490"/>
      <c r="FH293" s="490"/>
      <c r="FI293" s="490"/>
      <c r="FJ293" s="490"/>
      <c r="FK293" s="490"/>
      <c r="FL293" s="490"/>
      <c r="FM293" s="490"/>
      <c r="FN293" s="490"/>
    </row>
    <row r="294" s="492" customFormat="1" spans="1:170">
      <c r="A294" s="519"/>
      <c r="B294" s="509"/>
      <c r="C294" s="520"/>
      <c r="D294" s="509"/>
      <c r="E294" s="509"/>
      <c r="F294" s="545" t="s">
        <v>159</v>
      </c>
      <c r="G294" s="542">
        <v>0.99</v>
      </c>
      <c r="H294" s="542">
        <v>0.3</v>
      </c>
      <c r="I294" s="542" t="s">
        <v>22</v>
      </c>
      <c r="J294" s="542">
        <v>1.7</v>
      </c>
      <c r="K294" s="513"/>
      <c r="L294" s="509"/>
      <c r="M294" s="490"/>
      <c r="N294" s="490"/>
      <c r="O294" s="490"/>
      <c r="P294" s="490"/>
      <c r="Q294" s="490"/>
      <c r="R294" s="490"/>
      <c r="S294" s="490"/>
      <c r="T294" s="490"/>
      <c r="U294" s="490"/>
      <c r="V294" s="490"/>
      <c r="W294" s="490"/>
      <c r="X294" s="490"/>
      <c r="Y294" s="490"/>
      <c r="Z294" s="490"/>
      <c r="AA294" s="490"/>
      <c r="AB294" s="490"/>
      <c r="AC294" s="490"/>
      <c r="AD294" s="490"/>
      <c r="AE294" s="490"/>
      <c r="AF294" s="490"/>
      <c r="AG294" s="490"/>
      <c r="AH294" s="490"/>
      <c r="AI294" s="490"/>
      <c r="AJ294" s="490"/>
      <c r="AK294" s="490"/>
      <c r="AL294" s="490"/>
      <c r="AM294" s="490"/>
      <c r="AN294" s="490"/>
      <c r="AO294" s="490"/>
      <c r="AP294" s="490"/>
      <c r="AQ294" s="490"/>
      <c r="AR294" s="490"/>
      <c r="AS294" s="490"/>
      <c r="AT294" s="490"/>
      <c r="AU294" s="490"/>
      <c r="AV294" s="490"/>
      <c r="AW294" s="490"/>
      <c r="AX294" s="490"/>
      <c r="AY294" s="490"/>
      <c r="AZ294" s="490"/>
      <c r="BA294" s="490"/>
      <c r="BB294" s="490"/>
      <c r="BC294" s="490"/>
      <c r="BD294" s="490"/>
      <c r="BE294" s="490"/>
      <c r="BF294" s="490"/>
      <c r="BG294" s="490"/>
      <c r="BH294" s="490"/>
      <c r="BI294" s="490"/>
      <c r="BJ294" s="490"/>
      <c r="BK294" s="490"/>
      <c r="BL294" s="490"/>
      <c r="BM294" s="490"/>
      <c r="BN294" s="490"/>
      <c r="BO294" s="490"/>
      <c r="BP294" s="490"/>
      <c r="BQ294" s="490"/>
      <c r="BR294" s="490"/>
      <c r="BS294" s="490"/>
      <c r="BT294" s="490"/>
      <c r="BU294" s="490"/>
      <c r="BV294" s="490"/>
      <c r="BW294" s="490"/>
      <c r="BX294" s="490"/>
      <c r="BY294" s="490"/>
      <c r="BZ294" s="490"/>
      <c r="CA294" s="490"/>
      <c r="CB294" s="490"/>
      <c r="CC294" s="490"/>
      <c r="CD294" s="490"/>
      <c r="CE294" s="490"/>
      <c r="CF294" s="490"/>
      <c r="CG294" s="490"/>
      <c r="CH294" s="490"/>
      <c r="CI294" s="490"/>
      <c r="CJ294" s="490"/>
      <c r="CK294" s="490"/>
      <c r="CL294" s="490"/>
      <c r="CM294" s="490"/>
      <c r="CN294" s="490"/>
      <c r="CO294" s="490"/>
      <c r="CP294" s="490"/>
      <c r="CQ294" s="490"/>
      <c r="CR294" s="490"/>
      <c r="CS294" s="490"/>
      <c r="CT294" s="490"/>
      <c r="CU294" s="490"/>
      <c r="CV294" s="490"/>
      <c r="CW294" s="490"/>
      <c r="CX294" s="490"/>
      <c r="CY294" s="490"/>
      <c r="CZ294" s="490"/>
      <c r="DA294" s="490"/>
      <c r="DB294" s="490"/>
      <c r="DC294" s="490"/>
      <c r="DD294" s="490"/>
      <c r="DE294" s="490"/>
      <c r="DF294" s="490"/>
      <c r="DG294" s="490"/>
      <c r="DH294" s="490"/>
      <c r="DI294" s="490"/>
      <c r="DJ294" s="490"/>
      <c r="DK294" s="490"/>
      <c r="DL294" s="490"/>
      <c r="DM294" s="490"/>
      <c r="DN294" s="490"/>
      <c r="DO294" s="490"/>
      <c r="DP294" s="490"/>
      <c r="DQ294" s="490"/>
      <c r="DR294" s="490"/>
      <c r="DS294" s="490"/>
      <c r="DT294" s="490"/>
      <c r="DU294" s="490"/>
      <c r="DV294" s="490"/>
      <c r="DW294" s="490"/>
      <c r="DX294" s="490"/>
      <c r="DY294" s="490"/>
      <c r="DZ294" s="490"/>
      <c r="EA294" s="490"/>
      <c r="EB294" s="490"/>
      <c r="EC294" s="490"/>
      <c r="ED294" s="490"/>
      <c r="EE294" s="490"/>
      <c r="EF294" s="490"/>
      <c r="EG294" s="490"/>
      <c r="EH294" s="490"/>
      <c r="EI294" s="490"/>
      <c r="EJ294" s="490"/>
      <c r="EK294" s="490"/>
      <c r="EL294" s="490"/>
      <c r="EM294" s="490"/>
      <c r="EN294" s="490"/>
      <c r="EO294" s="490"/>
      <c r="EP294" s="490"/>
      <c r="EQ294" s="490"/>
      <c r="ER294" s="490"/>
      <c r="ES294" s="490"/>
      <c r="ET294" s="490"/>
      <c r="EU294" s="490"/>
      <c r="EV294" s="490"/>
      <c r="EW294" s="490"/>
      <c r="EX294" s="490"/>
      <c r="EY294" s="490"/>
      <c r="EZ294" s="490"/>
      <c r="FA294" s="490"/>
      <c r="FB294" s="490"/>
      <c r="FC294" s="490"/>
      <c r="FD294" s="490"/>
      <c r="FE294" s="490"/>
      <c r="FF294" s="490"/>
      <c r="FG294" s="490"/>
      <c r="FH294" s="490"/>
      <c r="FI294" s="490"/>
      <c r="FJ294" s="490"/>
      <c r="FK294" s="490"/>
      <c r="FL294" s="490"/>
      <c r="FM294" s="490"/>
      <c r="FN294" s="490"/>
    </row>
    <row r="295" s="492" customFormat="1" spans="1:170">
      <c r="A295" s="519"/>
      <c r="B295" s="509"/>
      <c r="C295" s="520"/>
      <c r="D295" s="509"/>
      <c r="E295" s="509"/>
      <c r="F295" s="545" t="s">
        <v>175</v>
      </c>
      <c r="G295" s="542">
        <v>1.07</v>
      </c>
      <c r="H295" s="542">
        <v>0.2</v>
      </c>
      <c r="I295" s="542" t="s">
        <v>64</v>
      </c>
      <c r="J295" s="542">
        <v>3.1</v>
      </c>
      <c r="K295" s="513"/>
      <c r="L295" s="509"/>
      <c r="M295" s="490"/>
      <c r="N295" s="490"/>
      <c r="O295" s="490"/>
      <c r="P295" s="490"/>
      <c r="Q295" s="490"/>
      <c r="R295" s="490"/>
      <c r="S295" s="490"/>
      <c r="T295" s="490"/>
      <c r="U295" s="490"/>
      <c r="V295" s="490"/>
      <c r="W295" s="490"/>
      <c r="X295" s="490"/>
      <c r="Y295" s="490"/>
      <c r="Z295" s="490"/>
      <c r="AA295" s="490"/>
      <c r="AB295" s="490"/>
      <c r="AC295" s="490"/>
      <c r="AD295" s="490"/>
      <c r="AE295" s="490"/>
      <c r="AF295" s="490"/>
      <c r="AG295" s="490"/>
      <c r="AH295" s="490"/>
      <c r="AI295" s="490"/>
      <c r="AJ295" s="490"/>
      <c r="AK295" s="490"/>
      <c r="AL295" s="490"/>
      <c r="AM295" s="490"/>
      <c r="AN295" s="490"/>
      <c r="AO295" s="490"/>
      <c r="AP295" s="490"/>
      <c r="AQ295" s="490"/>
      <c r="AR295" s="490"/>
      <c r="AS295" s="490"/>
      <c r="AT295" s="490"/>
      <c r="AU295" s="490"/>
      <c r="AV295" s="490"/>
      <c r="AW295" s="490"/>
      <c r="AX295" s="490"/>
      <c r="AY295" s="490"/>
      <c r="AZ295" s="490"/>
      <c r="BA295" s="490"/>
      <c r="BB295" s="490"/>
      <c r="BC295" s="490"/>
      <c r="BD295" s="490"/>
      <c r="BE295" s="490"/>
      <c r="BF295" s="490"/>
      <c r="BG295" s="490"/>
      <c r="BH295" s="490"/>
      <c r="BI295" s="490"/>
      <c r="BJ295" s="490"/>
      <c r="BK295" s="490"/>
      <c r="BL295" s="490"/>
      <c r="BM295" s="490"/>
      <c r="BN295" s="490"/>
      <c r="BO295" s="490"/>
      <c r="BP295" s="490"/>
      <c r="BQ295" s="490"/>
      <c r="BR295" s="490"/>
      <c r="BS295" s="490"/>
      <c r="BT295" s="490"/>
      <c r="BU295" s="490"/>
      <c r="BV295" s="490"/>
      <c r="BW295" s="490"/>
      <c r="BX295" s="490"/>
      <c r="BY295" s="490"/>
      <c r="BZ295" s="490"/>
      <c r="CA295" s="490"/>
      <c r="CB295" s="490"/>
      <c r="CC295" s="490"/>
      <c r="CD295" s="490"/>
      <c r="CE295" s="490"/>
      <c r="CF295" s="490"/>
      <c r="CG295" s="490"/>
      <c r="CH295" s="490"/>
      <c r="CI295" s="490"/>
      <c r="CJ295" s="490"/>
      <c r="CK295" s="490"/>
      <c r="CL295" s="490"/>
      <c r="CM295" s="490"/>
      <c r="CN295" s="490"/>
      <c r="CO295" s="490"/>
      <c r="CP295" s="490"/>
      <c r="CQ295" s="490"/>
      <c r="CR295" s="490"/>
      <c r="CS295" s="490"/>
      <c r="CT295" s="490"/>
      <c r="CU295" s="490"/>
      <c r="CV295" s="490"/>
      <c r="CW295" s="490"/>
      <c r="CX295" s="490"/>
      <c r="CY295" s="490"/>
      <c r="CZ295" s="490"/>
      <c r="DA295" s="490"/>
      <c r="DB295" s="490"/>
      <c r="DC295" s="490"/>
      <c r="DD295" s="490"/>
      <c r="DE295" s="490"/>
      <c r="DF295" s="490"/>
      <c r="DG295" s="490"/>
      <c r="DH295" s="490"/>
      <c r="DI295" s="490"/>
      <c r="DJ295" s="490"/>
      <c r="DK295" s="490"/>
      <c r="DL295" s="490"/>
      <c r="DM295" s="490"/>
      <c r="DN295" s="490"/>
      <c r="DO295" s="490"/>
      <c r="DP295" s="490"/>
      <c r="DQ295" s="490"/>
      <c r="DR295" s="490"/>
      <c r="DS295" s="490"/>
      <c r="DT295" s="490"/>
      <c r="DU295" s="490"/>
      <c r="DV295" s="490"/>
      <c r="DW295" s="490"/>
      <c r="DX295" s="490"/>
      <c r="DY295" s="490"/>
      <c r="DZ295" s="490"/>
      <c r="EA295" s="490"/>
      <c r="EB295" s="490"/>
      <c r="EC295" s="490"/>
      <c r="ED295" s="490"/>
      <c r="EE295" s="490"/>
      <c r="EF295" s="490"/>
      <c r="EG295" s="490"/>
      <c r="EH295" s="490"/>
      <c r="EI295" s="490"/>
      <c r="EJ295" s="490"/>
      <c r="EK295" s="490"/>
      <c r="EL295" s="490"/>
      <c r="EM295" s="490"/>
      <c r="EN295" s="490"/>
      <c r="EO295" s="490"/>
      <c r="EP295" s="490"/>
      <c r="EQ295" s="490"/>
      <c r="ER295" s="490"/>
      <c r="ES295" s="490"/>
      <c r="ET295" s="490"/>
      <c r="EU295" s="490"/>
      <c r="EV295" s="490"/>
      <c r="EW295" s="490"/>
      <c r="EX295" s="490"/>
      <c r="EY295" s="490"/>
      <c r="EZ295" s="490"/>
      <c r="FA295" s="490"/>
      <c r="FB295" s="490"/>
      <c r="FC295" s="490"/>
      <c r="FD295" s="490"/>
      <c r="FE295" s="490"/>
      <c r="FF295" s="490"/>
      <c r="FG295" s="490"/>
      <c r="FH295" s="490"/>
      <c r="FI295" s="490"/>
      <c r="FJ295" s="490"/>
      <c r="FK295" s="490"/>
      <c r="FL295" s="490"/>
      <c r="FM295" s="490"/>
      <c r="FN295" s="490"/>
    </row>
    <row r="296" s="492" customFormat="1" spans="1:170">
      <c r="A296" s="519"/>
      <c r="B296" s="509"/>
      <c r="C296" s="520"/>
      <c r="D296" s="509"/>
      <c r="E296" s="509"/>
      <c r="F296" s="545" t="s">
        <v>148</v>
      </c>
      <c r="G296" s="542">
        <v>1.98</v>
      </c>
      <c r="H296" s="542">
        <v>0.5</v>
      </c>
      <c r="I296" s="542" t="s">
        <v>24</v>
      </c>
      <c r="J296" s="542" t="s">
        <v>24</v>
      </c>
      <c r="K296" s="517"/>
      <c r="L296" s="509"/>
      <c r="M296" s="490"/>
      <c r="N296" s="490"/>
      <c r="O296" s="490"/>
      <c r="P296" s="490"/>
      <c r="Q296" s="490"/>
      <c r="R296" s="490"/>
      <c r="S296" s="490"/>
      <c r="T296" s="490"/>
      <c r="U296" s="490"/>
      <c r="V296" s="490"/>
      <c r="W296" s="490"/>
      <c r="X296" s="490"/>
      <c r="Y296" s="490"/>
      <c r="Z296" s="490"/>
      <c r="AA296" s="490"/>
      <c r="AB296" s="490"/>
      <c r="AC296" s="490"/>
      <c r="AD296" s="490"/>
      <c r="AE296" s="490"/>
      <c r="AF296" s="490"/>
      <c r="AG296" s="490"/>
      <c r="AH296" s="490"/>
      <c r="AI296" s="490"/>
      <c r="AJ296" s="490"/>
      <c r="AK296" s="490"/>
      <c r="AL296" s="490"/>
      <c r="AM296" s="490"/>
      <c r="AN296" s="490"/>
      <c r="AO296" s="490"/>
      <c r="AP296" s="490"/>
      <c r="AQ296" s="490"/>
      <c r="AR296" s="490"/>
      <c r="AS296" s="490"/>
      <c r="AT296" s="490"/>
      <c r="AU296" s="490"/>
      <c r="AV296" s="490"/>
      <c r="AW296" s="490"/>
      <c r="AX296" s="490"/>
      <c r="AY296" s="490"/>
      <c r="AZ296" s="490"/>
      <c r="BA296" s="490"/>
      <c r="BB296" s="490"/>
      <c r="BC296" s="490"/>
      <c r="BD296" s="490"/>
      <c r="BE296" s="490"/>
      <c r="BF296" s="490"/>
      <c r="BG296" s="490"/>
      <c r="BH296" s="490"/>
      <c r="BI296" s="490"/>
      <c r="BJ296" s="490"/>
      <c r="BK296" s="490"/>
      <c r="BL296" s="490"/>
      <c r="BM296" s="490"/>
      <c r="BN296" s="490"/>
      <c r="BO296" s="490"/>
      <c r="BP296" s="490"/>
      <c r="BQ296" s="490"/>
      <c r="BR296" s="490"/>
      <c r="BS296" s="490"/>
      <c r="BT296" s="490"/>
      <c r="BU296" s="490"/>
      <c r="BV296" s="490"/>
      <c r="BW296" s="490"/>
      <c r="BX296" s="490"/>
      <c r="BY296" s="490"/>
      <c r="BZ296" s="490"/>
      <c r="CA296" s="490"/>
      <c r="CB296" s="490"/>
      <c r="CC296" s="490"/>
      <c r="CD296" s="490"/>
      <c r="CE296" s="490"/>
      <c r="CF296" s="490"/>
      <c r="CG296" s="490"/>
      <c r="CH296" s="490"/>
      <c r="CI296" s="490"/>
      <c r="CJ296" s="490"/>
      <c r="CK296" s="490"/>
      <c r="CL296" s="490"/>
      <c r="CM296" s="490"/>
      <c r="CN296" s="490"/>
      <c r="CO296" s="490"/>
      <c r="CP296" s="490"/>
      <c r="CQ296" s="490"/>
      <c r="CR296" s="490"/>
      <c r="CS296" s="490"/>
      <c r="CT296" s="490"/>
      <c r="CU296" s="490"/>
      <c r="CV296" s="490"/>
      <c r="CW296" s="490"/>
      <c r="CX296" s="490"/>
      <c r="CY296" s="490"/>
      <c r="CZ296" s="490"/>
      <c r="DA296" s="490"/>
      <c r="DB296" s="490"/>
      <c r="DC296" s="490"/>
      <c r="DD296" s="490"/>
      <c r="DE296" s="490"/>
      <c r="DF296" s="490"/>
      <c r="DG296" s="490"/>
      <c r="DH296" s="490"/>
      <c r="DI296" s="490"/>
      <c r="DJ296" s="490"/>
      <c r="DK296" s="490"/>
      <c r="DL296" s="490"/>
      <c r="DM296" s="490"/>
      <c r="DN296" s="490"/>
      <c r="DO296" s="490"/>
      <c r="DP296" s="490"/>
      <c r="DQ296" s="490"/>
      <c r="DR296" s="490"/>
      <c r="DS296" s="490"/>
      <c r="DT296" s="490"/>
      <c r="DU296" s="490"/>
      <c r="DV296" s="490"/>
      <c r="DW296" s="490"/>
      <c r="DX296" s="490"/>
      <c r="DY296" s="490"/>
      <c r="DZ296" s="490"/>
      <c r="EA296" s="490"/>
      <c r="EB296" s="490"/>
      <c r="EC296" s="490"/>
      <c r="ED296" s="490"/>
      <c r="EE296" s="490"/>
      <c r="EF296" s="490"/>
      <c r="EG296" s="490"/>
      <c r="EH296" s="490"/>
      <c r="EI296" s="490"/>
      <c r="EJ296" s="490"/>
      <c r="EK296" s="490"/>
      <c r="EL296" s="490"/>
      <c r="EM296" s="490"/>
      <c r="EN296" s="490"/>
      <c r="EO296" s="490"/>
      <c r="EP296" s="490"/>
      <c r="EQ296" s="490"/>
      <c r="ER296" s="490"/>
      <c r="ES296" s="490"/>
      <c r="ET296" s="490"/>
      <c r="EU296" s="490"/>
      <c r="EV296" s="490"/>
      <c r="EW296" s="490"/>
      <c r="EX296" s="490"/>
      <c r="EY296" s="490"/>
      <c r="EZ296" s="490"/>
      <c r="FA296" s="490"/>
      <c r="FB296" s="490"/>
      <c r="FC296" s="490"/>
      <c r="FD296" s="490"/>
      <c r="FE296" s="490"/>
      <c r="FF296" s="490"/>
      <c r="FG296" s="490"/>
      <c r="FH296" s="490"/>
      <c r="FI296" s="490"/>
      <c r="FJ296" s="490"/>
      <c r="FK296" s="490"/>
      <c r="FL296" s="490"/>
      <c r="FM296" s="490"/>
      <c r="FN296" s="490"/>
    </row>
    <row r="297" s="492" customFormat="1" spans="1:170">
      <c r="A297" s="519">
        <v>46171</v>
      </c>
      <c r="B297" s="509" t="s">
        <v>811</v>
      </c>
      <c r="C297" s="520">
        <v>10</v>
      </c>
      <c r="D297" s="509" t="s">
        <v>33</v>
      </c>
      <c r="E297" s="509" t="s">
        <v>72</v>
      </c>
      <c r="F297" s="545" t="s">
        <v>158</v>
      </c>
      <c r="G297" s="542">
        <v>0.95</v>
      </c>
      <c r="H297" s="542">
        <v>9</v>
      </c>
      <c r="I297" s="546" t="s">
        <v>17</v>
      </c>
      <c r="J297" s="542">
        <v>1.55</v>
      </c>
      <c r="K297" s="507" t="s">
        <v>713</v>
      </c>
      <c r="L297" s="509"/>
      <c r="M297" s="490"/>
      <c r="N297" s="490"/>
      <c r="O297" s="490"/>
      <c r="P297" s="490"/>
      <c r="Q297" s="490"/>
      <c r="R297" s="490"/>
      <c r="S297" s="490"/>
      <c r="T297" s="490"/>
      <c r="U297" s="490"/>
      <c r="V297" s="490"/>
      <c r="W297" s="490"/>
      <c r="X297" s="490"/>
      <c r="Y297" s="490"/>
      <c r="Z297" s="490"/>
      <c r="AA297" s="490"/>
      <c r="AB297" s="490"/>
      <c r="AC297" s="490"/>
      <c r="AD297" s="490"/>
      <c r="AE297" s="490"/>
      <c r="AF297" s="490"/>
      <c r="AG297" s="490"/>
      <c r="AH297" s="490"/>
      <c r="AI297" s="490"/>
      <c r="AJ297" s="490"/>
      <c r="AK297" s="490"/>
      <c r="AL297" s="490"/>
      <c r="AM297" s="490"/>
      <c r="AN297" s="490"/>
      <c r="AO297" s="490"/>
      <c r="AP297" s="490"/>
      <c r="AQ297" s="490"/>
      <c r="AR297" s="490"/>
      <c r="AS297" s="490"/>
      <c r="AT297" s="490"/>
      <c r="AU297" s="490"/>
      <c r="AV297" s="490"/>
      <c r="AW297" s="490"/>
      <c r="AX297" s="490"/>
      <c r="AY297" s="490"/>
      <c r="AZ297" s="490"/>
      <c r="BA297" s="490"/>
      <c r="BB297" s="490"/>
      <c r="BC297" s="490"/>
      <c r="BD297" s="490"/>
      <c r="BE297" s="490"/>
      <c r="BF297" s="490"/>
      <c r="BG297" s="490"/>
      <c r="BH297" s="490"/>
      <c r="BI297" s="490"/>
      <c r="BJ297" s="490"/>
      <c r="BK297" s="490"/>
      <c r="BL297" s="490"/>
      <c r="BM297" s="490"/>
      <c r="BN297" s="490"/>
      <c r="BO297" s="490"/>
      <c r="BP297" s="490"/>
      <c r="BQ297" s="490"/>
      <c r="BR297" s="490"/>
      <c r="BS297" s="490"/>
      <c r="BT297" s="490"/>
      <c r="BU297" s="490"/>
      <c r="BV297" s="490"/>
      <c r="BW297" s="490"/>
      <c r="BX297" s="490"/>
      <c r="BY297" s="490"/>
      <c r="BZ297" s="490"/>
      <c r="CA297" s="490"/>
      <c r="CB297" s="490"/>
      <c r="CC297" s="490"/>
      <c r="CD297" s="490"/>
      <c r="CE297" s="490"/>
      <c r="CF297" s="490"/>
      <c r="CG297" s="490"/>
      <c r="CH297" s="490"/>
      <c r="CI297" s="490"/>
      <c r="CJ297" s="490"/>
      <c r="CK297" s="490"/>
      <c r="CL297" s="490"/>
      <c r="CM297" s="490"/>
      <c r="CN297" s="490"/>
      <c r="CO297" s="490"/>
      <c r="CP297" s="490"/>
      <c r="CQ297" s="490"/>
      <c r="CR297" s="490"/>
      <c r="CS297" s="490"/>
      <c r="CT297" s="490"/>
      <c r="CU297" s="490"/>
      <c r="CV297" s="490"/>
      <c r="CW297" s="490"/>
      <c r="CX297" s="490"/>
      <c r="CY297" s="490"/>
      <c r="CZ297" s="490"/>
      <c r="DA297" s="490"/>
      <c r="DB297" s="490"/>
      <c r="DC297" s="490"/>
      <c r="DD297" s="490"/>
      <c r="DE297" s="490"/>
      <c r="DF297" s="490"/>
      <c r="DG297" s="490"/>
      <c r="DH297" s="490"/>
      <c r="DI297" s="490"/>
      <c r="DJ297" s="490"/>
      <c r="DK297" s="490"/>
      <c r="DL297" s="490"/>
      <c r="DM297" s="490"/>
      <c r="DN297" s="490"/>
      <c r="DO297" s="490"/>
      <c r="DP297" s="490"/>
      <c r="DQ297" s="490"/>
      <c r="DR297" s="490"/>
      <c r="DS297" s="490"/>
      <c r="DT297" s="490"/>
      <c r="DU297" s="490"/>
      <c r="DV297" s="490"/>
      <c r="DW297" s="490"/>
      <c r="DX297" s="490"/>
      <c r="DY297" s="490"/>
      <c r="DZ297" s="490"/>
      <c r="EA297" s="490"/>
      <c r="EB297" s="490"/>
      <c r="EC297" s="490"/>
      <c r="ED297" s="490"/>
      <c r="EE297" s="490"/>
      <c r="EF297" s="490"/>
      <c r="EG297" s="490"/>
      <c r="EH297" s="490"/>
      <c r="EI297" s="490"/>
      <c r="EJ297" s="490"/>
      <c r="EK297" s="490"/>
      <c r="EL297" s="490"/>
      <c r="EM297" s="490"/>
      <c r="EN297" s="490"/>
      <c r="EO297" s="490"/>
      <c r="EP297" s="490"/>
      <c r="EQ297" s="490"/>
      <c r="ER297" s="490"/>
      <c r="ES297" s="490"/>
      <c r="ET297" s="490"/>
      <c r="EU297" s="490"/>
      <c r="EV297" s="490"/>
      <c r="EW297" s="490"/>
      <c r="EX297" s="490"/>
      <c r="EY297" s="490"/>
      <c r="EZ297" s="490"/>
      <c r="FA297" s="490"/>
      <c r="FB297" s="490"/>
      <c r="FC297" s="490"/>
      <c r="FD297" s="490"/>
      <c r="FE297" s="490"/>
      <c r="FF297" s="490"/>
      <c r="FG297" s="490"/>
      <c r="FH297" s="490"/>
      <c r="FI297" s="490"/>
      <c r="FJ297" s="490"/>
      <c r="FK297" s="490"/>
      <c r="FL297" s="490"/>
      <c r="FM297" s="490"/>
      <c r="FN297" s="490"/>
    </row>
    <row r="298" s="492" customFormat="1" spans="1:170">
      <c r="A298" s="519"/>
      <c r="B298" s="509"/>
      <c r="C298" s="520"/>
      <c r="D298" s="509"/>
      <c r="E298" s="509"/>
      <c r="F298" s="545" t="s">
        <v>159</v>
      </c>
      <c r="G298" s="542">
        <v>1.19</v>
      </c>
      <c r="H298" s="542">
        <v>0.3</v>
      </c>
      <c r="I298" s="546" t="s">
        <v>22</v>
      </c>
      <c r="J298" s="542">
        <v>1.77</v>
      </c>
      <c r="K298" s="513"/>
      <c r="L298" s="509"/>
      <c r="M298" s="490"/>
      <c r="N298" s="490"/>
      <c r="O298" s="490"/>
      <c r="P298" s="490"/>
      <c r="Q298" s="490"/>
      <c r="R298" s="490"/>
      <c r="S298" s="490"/>
      <c r="T298" s="490"/>
      <c r="U298" s="490"/>
      <c r="V298" s="490"/>
      <c r="W298" s="490"/>
      <c r="X298" s="490"/>
      <c r="Y298" s="490"/>
      <c r="Z298" s="490"/>
      <c r="AA298" s="490"/>
      <c r="AB298" s="490"/>
      <c r="AC298" s="490"/>
      <c r="AD298" s="490"/>
      <c r="AE298" s="490"/>
      <c r="AF298" s="490"/>
      <c r="AG298" s="490"/>
      <c r="AH298" s="490"/>
      <c r="AI298" s="490"/>
      <c r="AJ298" s="490"/>
      <c r="AK298" s="490"/>
      <c r="AL298" s="490"/>
      <c r="AM298" s="490"/>
      <c r="AN298" s="490"/>
      <c r="AO298" s="490"/>
      <c r="AP298" s="490"/>
      <c r="AQ298" s="490"/>
      <c r="AR298" s="490"/>
      <c r="AS298" s="490"/>
      <c r="AT298" s="490"/>
      <c r="AU298" s="490"/>
      <c r="AV298" s="490"/>
      <c r="AW298" s="490"/>
      <c r="AX298" s="490"/>
      <c r="AY298" s="490"/>
      <c r="AZ298" s="490"/>
      <c r="BA298" s="490"/>
      <c r="BB298" s="490"/>
      <c r="BC298" s="490"/>
      <c r="BD298" s="490"/>
      <c r="BE298" s="490"/>
      <c r="BF298" s="490"/>
      <c r="BG298" s="490"/>
      <c r="BH298" s="490"/>
      <c r="BI298" s="490"/>
      <c r="BJ298" s="490"/>
      <c r="BK298" s="490"/>
      <c r="BL298" s="490"/>
      <c r="BM298" s="490"/>
      <c r="BN298" s="490"/>
      <c r="BO298" s="490"/>
      <c r="BP298" s="490"/>
      <c r="BQ298" s="490"/>
      <c r="BR298" s="490"/>
      <c r="BS298" s="490"/>
      <c r="BT298" s="490"/>
      <c r="BU298" s="490"/>
      <c r="BV298" s="490"/>
      <c r="BW298" s="490"/>
      <c r="BX298" s="490"/>
      <c r="BY298" s="490"/>
      <c r="BZ298" s="490"/>
      <c r="CA298" s="490"/>
      <c r="CB298" s="490"/>
      <c r="CC298" s="490"/>
      <c r="CD298" s="490"/>
      <c r="CE298" s="490"/>
      <c r="CF298" s="490"/>
      <c r="CG298" s="490"/>
      <c r="CH298" s="490"/>
      <c r="CI298" s="490"/>
      <c r="CJ298" s="490"/>
      <c r="CK298" s="490"/>
      <c r="CL298" s="490"/>
      <c r="CM298" s="490"/>
      <c r="CN298" s="490"/>
      <c r="CO298" s="490"/>
      <c r="CP298" s="490"/>
      <c r="CQ298" s="490"/>
      <c r="CR298" s="490"/>
      <c r="CS298" s="490"/>
      <c r="CT298" s="490"/>
      <c r="CU298" s="490"/>
      <c r="CV298" s="490"/>
      <c r="CW298" s="490"/>
      <c r="CX298" s="490"/>
      <c r="CY298" s="490"/>
      <c r="CZ298" s="490"/>
      <c r="DA298" s="490"/>
      <c r="DB298" s="490"/>
      <c r="DC298" s="490"/>
      <c r="DD298" s="490"/>
      <c r="DE298" s="490"/>
      <c r="DF298" s="490"/>
      <c r="DG298" s="490"/>
      <c r="DH298" s="490"/>
      <c r="DI298" s="490"/>
      <c r="DJ298" s="490"/>
      <c r="DK298" s="490"/>
      <c r="DL298" s="490"/>
      <c r="DM298" s="490"/>
      <c r="DN298" s="490"/>
      <c r="DO298" s="490"/>
      <c r="DP298" s="490"/>
      <c r="DQ298" s="490"/>
      <c r="DR298" s="490"/>
      <c r="DS298" s="490"/>
      <c r="DT298" s="490"/>
      <c r="DU298" s="490"/>
      <c r="DV298" s="490"/>
      <c r="DW298" s="490"/>
      <c r="DX298" s="490"/>
      <c r="DY298" s="490"/>
      <c r="DZ298" s="490"/>
      <c r="EA298" s="490"/>
      <c r="EB298" s="490"/>
      <c r="EC298" s="490"/>
      <c r="ED298" s="490"/>
      <c r="EE298" s="490"/>
      <c r="EF298" s="490"/>
      <c r="EG298" s="490"/>
      <c r="EH298" s="490"/>
      <c r="EI298" s="490"/>
      <c r="EJ298" s="490"/>
      <c r="EK298" s="490"/>
      <c r="EL298" s="490"/>
      <c r="EM298" s="490"/>
      <c r="EN298" s="490"/>
      <c r="EO298" s="490"/>
      <c r="EP298" s="490"/>
      <c r="EQ298" s="490"/>
      <c r="ER298" s="490"/>
      <c r="ES298" s="490"/>
      <c r="ET298" s="490"/>
      <c r="EU298" s="490"/>
      <c r="EV298" s="490"/>
      <c r="EW298" s="490"/>
      <c r="EX298" s="490"/>
      <c r="EY298" s="490"/>
      <c r="EZ298" s="490"/>
      <c r="FA298" s="490"/>
      <c r="FB298" s="490"/>
      <c r="FC298" s="490"/>
      <c r="FD298" s="490"/>
      <c r="FE298" s="490"/>
      <c r="FF298" s="490"/>
      <c r="FG298" s="490"/>
      <c r="FH298" s="490"/>
      <c r="FI298" s="490"/>
      <c r="FJ298" s="490"/>
      <c r="FK298" s="490"/>
      <c r="FL298" s="490"/>
      <c r="FM298" s="490"/>
      <c r="FN298" s="490"/>
    </row>
    <row r="299" s="492" customFormat="1" spans="1:170">
      <c r="A299" s="519"/>
      <c r="B299" s="509"/>
      <c r="C299" s="520"/>
      <c r="D299" s="509"/>
      <c r="E299" s="509"/>
      <c r="F299" s="545" t="s">
        <v>148</v>
      </c>
      <c r="G299" s="542">
        <v>1.69</v>
      </c>
      <c r="H299" s="542">
        <v>0.7</v>
      </c>
      <c r="I299" s="546" t="s">
        <v>24</v>
      </c>
      <c r="J299" s="542" t="s">
        <v>24</v>
      </c>
      <c r="K299" s="517"/>
      <c r="L299" s="509"/>
      <c r="M299" s="490"/>
      <c r="N299" s="490"/>
      <c r="O299" s="490"/>
      <c r="P299" s="490"/>
      <c r="Q299" s="490"/>
      <c r="R299" s="490"/>
      <c r="S299" s="490"/>
      <c r="T299" s="490"/>
      <c r="U299" s="490"/>
      <c r="V299" s="490"/>
      <c r="W299" s="490"/>
      <c r="X299" s="490"/>
      <c r="Y299" s="490"/>
      <c r="Z299" s="490"/>
      <c r="AA299" s="490"/>
      <c r="AB299" s="490"/>
      <c r="AC299" s="490"/>
      <c r="AD299" s="490"/>
      <c r="AE299" s="490"/>
      <c r="AF299" s="490"/>
      <c r="AG299" s="490"/>
      <c r="AH299" s="490"/>
      <c r="AI299" s="490"/>
      <c r="AJ299" s="490"/>
      <c r="AK299" s="490"/>
      <c r="AL299" s="490"/>
      <c r="AM299" s="490"/>
      <c r="AN299" s="490"/>
      <c r="AO299" s="490"/>
      <c r="AP299" s="490"/>
      <c r="AQ299" s="490"/>
      <c r="AR299" s="490"/>
      <c r="AS299" s="490"/>
      <c r="AT299" s="490"/>
      <c r="AU299" s="490"/>
      <c r="AV299" s="490"/>
      <c r="AW299" s="490"/>
      <c r="AX299" s="490"/>
      <c r="AY299" s="490"/>
      <c r="AZ299" s="490"/>
      <c r="BA299" s="490"/>
      <c r="BB299" s="490"/>
      <c r="BC299" s="490"/>
      <c r="BD299" s="490"/>
      <c r="BE299" s="490"/>
      <c r="BF299" s="490"/>
      <c r="BG299" s="490"/>
      <c r="BH299" s="490"/>
      <c r="BI299" s="490"/>
      <c r="BJ299" s="490"/>
      <c r="BK299" s="490"/>
      <c r="BL299" s="490"/>
      <c r="BM299" s="490"/>
      <c r="BN299" s="490"/>
      <c r="BO299" s="490"/>
      <c r="BP299" s="490"/>
      <c r="BQ299" s="490"/>
      <c r="BR299" s="490"/>
      <c r="BS299" s="490"/>
      <c r="BT299" s="490"/>
      <c r="BU299" s="490"/>
      <c r="BV299" s="490"/>
      <c r="BW299" s="490"/>
      <c r="BX299" s="490"/>
      <c r="BY299" s="490"/>
      <c r="BZ299" s="490"/>
      <c r="CA299" s="490"/>
      <c r="CB299" s="490"/>
      <c r="CC299" s="490"/>
      <c r="CD299" s="490"/>
      <c r="CE299" s="490"/>
      <c r="CF299" s="490"/>
      <c r="CG299" s="490"/>
      <c r="CH299" s="490"/>
      <c r="CI299" s="490"/>
      <c r="CJ299" s="490"/>
      <c r="CK299" s="490"/>
      <c r="CL299" s="490"/>
      <c r="CM299" s="490"/>
      <c r="CN299" s="490"/>
      <c r="CO299" s="490"/>
      <c r="CP299" s="490"/>
      <c r="CQ299" s="490"/>
      <c r="CR299" s="490"/>
      <c r="CS299" s="490"/>
      <c r="CT299" s="490"/>
      <c r="CU299" s="490"/>
      <c r="CV299" s="490"/>
      <c r="CW299" s="490"/>
      <c r="CX299" s="490"/>
      <c r="CY299" s="490"/>
      <c r="CZ299" s="490"/>
      <c r="DA299" s="490"/>
      <c r="DB299" s="490"/>
      <c r="DC299" s="490"/>
      <c r="DD299" s="490"/>
      <c r="DE299" s="490"/>
      <c r="DF299" s="490"/>
      <c r="DG299" s="490"/>
      <c r="DH299" s="490"/>
      <c r="DI299" s="490"/>
      <c r="DJ299" s="490"/>
      <c r="DK299" s="490"/>
      <c r="DL299" s="490"/>
      <c r="DM299" s="490"/>
      <c r="DN299" s="490"/>
      <c r="DO299" s="490"/>
      <c r="DP299" s="490"/>
      <c r="DQ299" s="490"/>
      <c r="DR299" s="490"/>
      <c r="DS299" s="490"/>
      <c r="DT299" s="490"/>
      <c r="DU299" s="490"/>
      <c r="DV299" s="490"/>
      <c r="DW299" s="490"/>
      <c r="DX299" s="490"/>
      <c r="DY299" s="490"/>
      <c r="DZ299" s="490"/>
      <c r="EA299" s="490"/>
      <c r="EB299" s="490"/>
      <c r="EC299" s="490"/>
      <c r="ED299" s="490"/>
      <c r="EE299" s="490"/>
      <c r="EF299" s="490"/>
      <c r="EG299" s="490"/>
      <c r="EH299" s="490"/>
      <c r="EI299" s="490"/>
      <c r="EJ299" s="490"/>
      <c r="EK299" s="490"/>
      <c r="EL299" s="490"/>
      <c r="EM299" s="490"/>
      <c r="EN299" s="490"/>
      <c r="EO299" s="490"/>
      <c r="EP299" s="490"/>
      <c r="EQ299" s="490"/>
      <c r="ER299" s="490"/>
      <c r="ES299" s="490"/>
      <c r="ET299" s="490"/>
      <c r="EU299" s="490"/>
      <c r="EV299" s="490"/>
      <c r="EW299" s="490"/>
      <c r="EX299" s="490"/>
      <c r="EY299" s="490"/>
      <c r="EZ299" s="490"/>
      <c r="FA299" s="490"/>
      <c r="FB299" s="490"/>
      <c r="FC299" s="490"/>
      <c r="FD299" s="490"/>
      <c r="FE299" s="490"/>
      <c r="FF299" s="490"/>
      <c r="FG299" s="490"/>
      <c r="FH299" s="490"/>
      <c r="FI299" s="490"/>
      <c r="FJ299" s="490"/>
      <c r="FK299" s="490"/>
      <c r="FL299" s="490"/>
      <c r="FM299" s="490"/>
      <c r="FN299" s="490"/>
    </row>
    <row r="300" s="492" customFormat="1" spans="1:170">
      <c r="A300" s="519">
        <v>46171</v>
      </c>
      <c r="B300" s="509" t="s">
        <v>812</v>
      </c>
      <c r="C300" s="520">
        <v>10</v>
      </c>
      <c r="D300" s="509" t="s">
        <v>51</v>
      </c>
      <c r="E300" s="509" t="s">
        <v>208</v>
      </c>
      <c r="F300" s="545" t="s">
        <v>158</v>
      </c>
      <c r="G300" s="542">
        <v>0.99</v>
      </c>
      <c r="H300" s="542">
        <v>9</v>
      </c>
      <c r="I300" s="542" t="s">
        <v>17</v>
      </c>
      <c r="J300" s="542">
        <v>1.55</v>
      </c>
      <c r="K300" s="507" t="s">
        <v>607</v>
      </c>
      <c r="L300" s="509" t="s">
        <v>53</v>
      </c>
      <c r="M300" s="490"/>
      <c r="N300" s="490"/>
      <c r="O300" s="490"/>
      <c r="P300" s="490"/>
      <c r="Q300" s="490"/>
      <c r="R300" s="490"/>
      <c r="S300" s="490"/>
      <c r="T300" s="490"/>
      <c r="U300" s="490"/>
      <c r="V300" s="490"/>
      <c r="W300" s="490"/>
      <c r="X300" s="490"/>
      <c r="Y300" s="490"/>
      <c r="Z300" s="490"/>
      <c r="AA300" s="490"/>
      <c r="AB300" s="490"/>
      <c r="AC300" s="490"/>
      <c r="AD300" s="490"/>
      <c r="AE300" s="490"/>
      <c r="AF300" s="490"/>
      <c r="AG300" s="490"/>
      <c r="AH300" s="490"/>
      <c r="AI300" s="490"/>
      <c r="AJ300" s="490"/>
      <c r="AK300" s="490"/>
      <c r="AL300" s="490"/>
      <c r="AM300" s="490"/>
      <c r="AN300" s="490"/>
      <c r="AO300" s="490"/>
      <c r="AP300" s="490"/>
      <c r="AQ300" s="490"/>
      <c r="AR300" s="490"/>
      <c r="AS300" s="490"/>
      <c r="AT300" s="490"/>
      <c r="AU300" s="490"/>
      <c r="AV300" s="490"/>
      <c r="AW300" s="490"/>
      <c r="AX300" s="490"/>
      <c r="AY300" s="490"/>
      <c r="AZ300" s="490"/>
      <c r="BA300" s="490"/>
      <c r="BB300" s="490"/>
      <c r="BC300" s="490"/>
      <c r="BD300" s="490"/>
      <c r="BE300" s="490"/>
      <c r="BF300" s="490"/>
      <c r="BG300" s="490"/>
      <c r="BH300" s="490"/>
      <c r="BI300" s="490"/>
      <c r="BJ300" s="490"/>
      <c r="BK300" s="490"/>
      <c r="BL300" s="490"/>
      <c r="BM300" s="490"/>
      <c r="BN300" s="490"/>
      <c r="BO300" s="490"/>
      <c r="BP300" s="490"/>
      <c r="BQ300" s="490"/>
      <c r="BR300" s="490"/>
      <c r="BS300" s="490"/>
      <c r="BT300" s="490"/>
      <c r="BU300" s="490"/>
      <c r="BV300" s="490"/>
      <c r="BW300" s="490"/>
      <c r="BX300" s="490"/>
      <c r="BY300" s="490"/>
      <c r="BZ300" s="490"/>
      <c r="CA300" s="490"/>
      <c r="CB300" s="490"/>
      <c r="CC300" s="490"/>
      <c r="CD300" s="490"/>
      <c r="CE300" s="490"/>
      <c r="CF300" s="490"/>
      <c r="CG300" s="490"/>
      <c r="CH300" s="490"/>
      <c r="CI300" s="490"/>
      <c r="CJ300" s="490"/>
      <c r="CK300" s="490"/>
      <c r="CL300" s="490"/>
      <c r="CM300" s="490"/>
      <c r="CN300" s="490"/>
      <c r="CO300" s="490"/>
      <c r="CP300" s="490"/>
      <c r="CQ300" s="490"/>
      <c r="CR300" s="490"/>
      <c r="CS300" s="490"/>
      <c r="CT300" s="490"/>
      <c r="CU300" s="490"/>
      <c r="CV300" s="490"/>
      <c r="CW300" s="490"/>
      <c r="CX300" s="490"/>
      <c r="CY300" s="490"/>
      <c r="CZ300" s="490"/>
      <c r="DA300" s="490"/>
      <c r="DB300" s="490"/>
      <c r="DC300" s="490"/>
      <c r="DD300" s="490"/>
      <c r="DE300" s="490"/>
      <c r="DF300" s="490"/>
      <c r="DG300" s="490"/>
      <c r="DH300" s="490"/>
      <c r="DI300" s="490"/>
      <c r="DJ300" s="490"/>
      <c r="DK300" s="490"/>
      <c r="DL300" s="490"/>
      <c r="DM300" s="490"/>
      <c r="DN300" s="490"/>
      <c r="DO300" s="490"/>
      <c r="DP300" s="490"/>
      <c r="DQ300" s="490"/>
      <c r="DR300" s="490"/>
      <c r="DS300" s="490"/>
      <c r="DT300" s="490"/>
      <c r="DU300" s="490"/>
      <c r="DV300" s="490"/>
      <c r="DW300" s="490"/>
      <c r="DX300" s="490"/>
      <c r="DY300" s="490"/>
      <c r="DZ300" s="490"/>
      <c r="EA300" s="490"/>
      <c r="EB300" s="490"/>
      <c r="EC300" s="490"/>
      <c r="ED300" s="490"/>
      <c r="EE300" s="490"/>
      <c r="EF300" s="490"/>
      <c r="EG300" s="490"/>
      <c r="EH300" s="490"/>
      <c r="EI300" s="490"/>
      <c r="EJ300" s="490"/>
      <c r="EK300" s="490"/>
      <c r="EL300" s="490"/>
      <c r="EM300" s="490"/>
      <c r="EN300" s="490"/>
      <c r="EO300" s="490"/>
      <c r="EP300" s="490"/>
      <c r="EQ300" s="490"/>
      <c r="ER300" s="490"/>
      <c r="ES300" s="490"/>
      <c r="ET300" s="490"/>
      <c r="EU300" s="490"/>
      <c r="EV300" s="490"/>
      <c r="EW300" s="490"/>
      <c r="EX300" s="490"/>
      <c r="EY300" s="490"/>
      <c r="EZ300" s="490"/>
      <c r="FA300" s="490"/>
      <c r="FB300" s="490"/>
      <c r="FC300" s="490"/>
      <c r="FD300" s="490"/>
      <c r="FE300" s="490"/>
      <c r="FF300" s="490"/>
      <c r="FG300" s="490"/>
      <c r="FH300" s="490"/>
      <c r="FI300" s="490"/>
      <c r="FJ300" s="490"/>
      <c r="FK300" s="490"/>
      <c r="FL300" s="490"/>
      <c r="FM300" s="490"/>
      <c r="FN300" s="490"/>
    </row>
    <row r="301" s="492" customFormat="1" spans="1:170">
      <c r="A301" s="519"/>
      <c r="B301" s="509"/>
      <c r="C301" s="520"/>
      <c r="D301" s="509"/>
      <c r="E301" s="509"/>
      <c r="F301" s="545" t="s">
        <v>159</v>
      </c>
      <c r="G301" s="542">
        <v>0.99</v>
      </c>
      <c r="H301" s="542">
        <v>0.3</v>
      </c>
      <c r="I301" s="542" t="s">
        <v>22</v>
      </c>
      <c r="J301" s="542">
        <v>1.7</v>
      </c>
      <c r="K301" s="513"/>
      <c r="L301" s="509"/>
      <c r="M301" s="490"/>
      <c r="N301" s="490"/>
      <c r="O301" s="490"/>
      <c r="P301" s="490"/>
      <c r="Q301" s="490"/>
      <c r="R301" s="490"/>
      <c r="S301" s="490"/>
      <c r="T301" s="490"/>
      <c r="U301" s="490"/>
      <c r="V301" s="490"/>
      <c r="W301" s="490"/>
      <c r="X301" s="490"/>
      <c r="Y301" s="490"/>
      <c r="Z301" s="490"/>
      <c r="AA301" s="490"/>
      <c r="AB301" s="490"/>
      <c r="AC301" s="490"/>
      <c r="AD301" s="490"/>
      <c r="AE301" s="490"/>
      <c r="AF301" s="490"/>
      <c r="AG301" s="490"/>
      <c r="AH301" s="490"/>
      <c r="AI301" s="490"/>
      <c r="AJ301" s="490"/>
      <c r="AK301" s="490"/>
      <c r="AL301" s="490"/>
      <c r="AM301" s="490"/>
      <c r="AN301" s="490"/>
      <c r="AO301" s="490"/>
      <c r="AP301" s="490"/>
      <c r="AQ301" s="490"/>
      <c r="AR301" s="490"/>
      <c r="AS301" s="490"/>
      <c r="AT301" s="490"/>
      <c r="AU301" s="490"/>
      <c r="AV301" s="490"/>
      <c r="AW301" s="490"/>
      <c r="AX301" s="490"/>
      <c r="AY301" s="490"/>
      <c r="AZ301" s="490"/>
      <c r="BA301" s="490"/>
      <c r="BB301" s="490"/>
      <c r="BC301" s="490"/>
      <c r="BD301" s="490"/>
      <c r="BE301" s="490"/>
      <c r="BF301" s="490"/>
      <c r="BG301" s="490"/>
      <c r="BH301" s="490"/>
      <c r="BI301" s="490"/>
      <c r="BJ301" s="490"/>
      <c r="BK301" s="490"/>
      <c r="BL301" s="490"/>
      <c r="BM301" s="490"/>
      <c r="BN301" s="490"/>
      <c r="BO301" s="490"/>
      <c r="BP301" s="490"/>
      <c r="BQ301" s="490"/>
      <c r="BR301" s="490"/>
      <c r="BS301" s="490"/>
      <c r="BT301" s="490"/>
      <c r="BU301" s="490"/>
      <c r="BV301" s="490"/>
      <c r="BW301" s="490"/>
      <c r="BX301" s="490"/>
      <c r="BY301" s="490"/>
      <c r="BZ301" s="490"/>
      <c r="CA301" s="490"/>
      <c r="CB301" s="490"/>
      <c r="CC301" s="490"/>
      <c r="CD301" s="490"/>
      <c r="CE301" s="490"/>
      <c r="CF301" s="490"/>
      <c r="CG301" s="490"/>
      <c r="CH301" s="490"/>
      <c r="CI301" s="490"/>
      <c r="CJ301" s="490"/>
      <c r="CK301" s="490"/>
      <c r="CL301" s="490"/>
      <c r="CM301" s="490"/>
      <c r="CN301" s="490"/>
      <c r="CO301" s="490"/>
      <c r="CP301" s="490"/>
      <c r="CQ301" s="490"/>
      <c r="CR301" s="490"/>
      <c r="CS301" s="490"/>
      <c r="CT301" s="490"/>
      <c r="CU301" s="490"/>
      <c r="CV301" s="490"/>
      <c r="CW301" s="490"/>
      <c r="CX301" s="490"/>
      <c r="CY301" s="490"/>
      <c r="CZ301" s="490"/>
      <c r="DA301" s="490"/>
      <c r="DB301" s="490"/>
      <c r="DC301" s="490"/>
      <c r="DD301" s="490"/>
      <c r="DE301" s="490"/>
      <c r="DF301" s="490"/>
      <c r="DG301" s="490"/>
      <c r="DH301" s="490"/>
      <c r="DI301" s="490"/>
      <c r="DJ301" s="490"/>
      <c r="DK301" s="490"/>
      <c r="DL301" s="490"/>
      <c r="DM301" s="490"/>
      <c r="DN301" s="490"/>
      <c r="DO301" s="490"/>
      <c r="DP301" s="490"/>
      <c r="DQ301" s="490"/>
      <c r="DR301" s="490"/>
      <c r="DS301" s="490"/>
      <c r="DT301" s="490"/>
      <c r="DU301" s="490"/>
      <c r="DV301" s="490"/>
      <c r="DW301" s="490"/>
      <c r="DX301" s="490"/>
      <c r="DY301" s="490"/>
      <c r="DZ301" s="490"/>
      <c r="EA301" s="490"/>
      <c r="EB301" s="490"/>
      <c r="EC301" s="490"/>
      <c r="ED301" s="490"/>
      <c r="EE301" s="490"/>
      <c r="EF301" s="490"/>
      <c r="EG301" s="490"/>
      <c r="EH301" s="490"/>
      <c r="EI301" s="490"/>
      <c r="EJ301" s="490"/>
      <c r="EK301" s="490"/>
      <c r="EL301" s="490"/>
      <c r="EM301" s="490"/>
      <c r="EN301" s="490"/>
      <c r="EO301" s="490"/>
      <c r="EP301" s="490"/>
      <c r="EQ301" s="490"/>
      <c r="ER301" s="490"/>
      <c r="ES301" s="490"/>
      <c r="ET301" s="490"/>
      <c r="EU301" s="490"/>
      <c r="EV301" s="490"/>
      <c r="EW301" s="490"/>
      <c r="EX301" s="490"/>
      <c r="EY301" s="490"/>
      <c r="EZ301" s="490"/>
      <c r="FA301" s="490"/>
      <c r="FB301" s="490"/>
      <c r="FC301" s="490"/>
      <c r="FD301" s="490"/>
      <c r="FE301" s="490"/>
      <c r="FF301" s="490"/>
      <c r="FG301" s="490"/>
      <c r="FH301" s="490"/>
      <c r="FI301" s="490"/>
      <c r="FJ301" s="490"/>
      <c r="FK301" s="490"/>
      <c r="FL301" s="490"/>
      <c r="FM301" s="490"/>
      <c r="FN301" s="490"/>
    </row>
    <row r="302" s="492" customFormat="1" spans="1:170">
      <c r="A302" s="519"/>
      <c r="B302" s="509"/>
      <c r="C302" s="520"/>
      <c r="D302" s="509"/>
      <c r="E302" s="509"/>
      <c r="F302" s="545" t="s">
        <v>175</v>
      </c>
      <c r="G302" s="542">
        <v>0.99</v>
      </c>
      <c r="H302" s="542">
        <v>0.2</v>
      </c>
      <c r="I302" s="542" t="s">
        <v>44</v>
      </c>
      <c r="J302" s="542">
        <v>3.1</v>
      </c>
      <c r="K302" s="513"/>
      <c r="L302" s="509"/>
      <c r="M302" s="490"/>
      <c r="N302" s="490"/>
      <c r="O302" s="490"/>
      <c r="P302" s="490"/>
      <c r="Q302" s="490"/>
      <c r="R302" s="490"/>
      <c r="S302" s="490"/>
      <c r="T302" s="490"/>
      <c r="U302" s="490"/>
      <c r="V302" s="490"/>
      <c r="W302" s="490"/>
      <c r="X302" s="490"/>
      <c r="Y302" s="490"/>
      <c r="Z302" s="490"/>
      <c r="AA302" s="490"/>
      <c r="AB302" s="490"/>
      <c r="AC302" s="490"/>
      <c r="AD302" s="490"/>
      <c r="AE302" s="490"/>
      <c r="AF302" s="490"/>
      <c r="AG302" s="490"/>
      <c r="AH302" s="490"/>
      <c r="AI302" s="490"/>
      <c r="AJ302" s="490"/>
      <c r="AK302" s="490"/>
      <c r="AL302" s="490"/>
      <c r="AM302" s="490"/>
      <c r="AN302" s="490"/>
      <c r="AO302" s="490"/>
      <c r="AP302" s="490"/>
      <c r="AQ302" s="490"/>
      <c r="AR302" s="490"/>
      <c r="AS302" s="490"/>
      <c r="AT302" s="490"/>
      <c r="AU302" s="490"/>
      <c r="AV302" s="490"/>
      <c r="AW302" s="490"/>
      <c r="AX302" s="490"/>
      <c r="AY302" s="490"/>
      <c r="AZ302" s="490"/>
      <c r="BA302" s="490"/>
      <c r="BB302" s="490"/>
      <c r="BC302" s="490"/>
      <c r="BD302" s="490"/>
      <c r="BE302" s="490"/>
      <c r="BF302" s="490"/>
      <c r="BG302" s="490"/>
      <c r="BH302" s="490"/>
      <c r="BI302" s="490"/>
      <c r="BJ302" s="490"/>
      <c r="BK302" s="490"/>
      <c r="BL302" s="490"/>
      <c r="BM302" s="490"/>
      <c r="BN302" s="490"/>
      <c r="BO302" s="490"/>
      <c r="BP302" s="490"/>
      <c r="BQ302" s="490"/>
      <c r="BR302" s="490"/>
      <c r="BS302" s="490"/>
      <c r="BT302" s="490"/>
      <c r="BU302" s="490"/>
      <c r="BV302" s="490"/>
      <c r="BW302" s="490"/>
      <c r="BX302" s="490"/>
      <c r="BY302" s="490"/>
      <c r="BZ302" s="490"/>
      <c r="CA302" s="490"/>
      <c r="CB302" s="490"/>
      <c r="CC302" s="490"/>
      <c r="CD302" s="490"/>
      <c r="CE302" s="490"/>
      <c r="CF302" s="490"/>
      <c r="CG302" s="490"/>
      <c r="CH302" s="490"/>
      <c r="CI302" s="490"/>
      <c r="CJ302" s="490"/>
      <c r="CK302" s="490"/>
      <c r="CL302" s="490"/>
      <c r="CM302" s="490"/>
      <c r="CN302" s="490"/>
      <c r="CO302" s="490"/>
      <c r="CP302" s="490"/>
      <c r="CQ302" s="490"/>
      <c r="CR302" s="490"/>
      <c r="CS302" s="490"/>
      <c r="CT302" s="490"/>
      <c r="CU302" s="490"/>
      <c r="CV302" s="490"/>
      <c r="CW302" s="490"/>
      <c r="CX302" s="490"/>
      <c r="CY302" s="490"/>
      <c r="CZ302" s="490"/>
      <c r="DA302" s="490"/>
      <c r="DB302" s="490"/>
      <c r="DC302" s="490"/>
      <c r="DD302" s="490"/>
      <c r="DE302" s="490"/>
      <c r="DF302" s="490"/>
      <c r="DG302" s="490"/>
      <c r="DH302" s="490"/>
      <c r="DI302" s="490"/>
      <c r="DJ302" s="490"/>
      <c r="DK302" s="490"/>
      <c r="DL302" s="490"/>
      <c r="DM302" s="490"/>
      <c r="DN302" s="490"/>
      <c r="DO302" s="490"/>
      <c r="DP302" s="490"/>
      <c r="DQ302" s="490"/>
      <c r="DR302" s="490"/>
      <c r="DS302" s="490"/>
      <c r="DT302" s="490"/>
      <c r="DU302" s="490"/>
      <c r="DV302" s="490"/>
      <c r="DW302" s="490"/>
      <c r="DX302" s="490"/>
      <c r="DY302" s="490"/>
      <c r="DZ302" s="490"/>
      <c r="EA302" s="490"/>
      <c r="EB302" s="490"/>
      <c r="EC302" s="490"/>
      <c r="ED302" s="490"/>
      <c r="EE302" s="490"/>
      <c r="EF302" s="490"/>
      <c r="EG302" s="490"/>
      <c r="EH302" s="490"/>
      <c r="EI302" s="490"/>
      <c r="EJ302" s="490"/>
      <c r="EK302" s="490"/>
      <c r="EL302" s="490"/>
      <c r="EM302" s="490"/>
      <c r="EN302" s="490"/>
      <c r="EO302" s="490"/>
      <c r="EP302" s="490"/>
      <c r="EQ302" s="490"/>
      <c r="ER302" s="490"/>
      <c r="ES302" s="490"/>
      <c r="ET302" s="490"/>
      <c r="EU302" s="490"/>
      <c r="EV302" s="490"/>
      <c r="EW302" s="490"/>
      <c r="EX302" s="490"/>
      <c r="EY302" s="490"/>
      <c r="EZ302" s="490"/>
      <c r="FA302" s="490"/>
      <c r="FB302" s="490"/>
      <c r="FC302" s="490"/>
      <c r="FD302" s="490"/>
      <c r="FE302" s="490"/>
      <c r="FF302" s="490"/>
      <c r="FG302" s="490"/>
      <c r="FH302" s="490"/>
      <c r="FI302" s="490"/>
      <c r="FJ302" s="490"/>
      <c r="FK302" s="490"/>
      <c r="FL302" s="490"/>
      <c r="FM302" s="490"/>
      <c r="FN302" s="490"/>
    </row>
    <row r="303" s="492" customFormat="1" spans="1:170">
      <c r="A303" s="519"/>
      <c r="B303" s="509"/>
      <c r="C303" s="520"/>
      <c r="D303" s="509"/>
      <c r="E303" s="509"/>
      <c r="F303" s="545" t="s">
        <v>148</v>
      </c>
      <c r="G303" s="542">
        <v>2.99</v>
      </c>
      <c r="H303" s="542">
        <v>0.5</v>
      </c>
      <c r="I303" s="542" t="s">
        <v>24</v>
      </c>
      <c r="J303" s="542" t="s">
        <v>24</v>
      </c>
      <c r="K303" s="517"/>
      <c r="L303" s="509"/>
      <c r="M303" s="490"/>
      <c r="N303" s="490"/>
      <c r="O303" s="490"/>
      <c r="P303" s="490"/>
      <c r="Q303" s="490"/>
      <c r="R303" s="490"/>
      <c r="S303" s="490"/>
      <c r="T303" s="490"/>
      <c r="U303" s="490"/>
      <c r="V303" s="490"/>
      <c r="W303" s="490"/>
      <c r="X303" s="490"/>
      <c r="Y303" s="490"/>
      <c r="Z303" s="490"/>
      <c r="AA303" s="490"/>
      <c r="AB303" s="490"/>
      <c r="AC303" s="490"/>
      <c r="AD303" s="490"/>
      <c r="AE303" s="490"/>
      <c r="AF303" s="490"/>
      <c r="AG303" s="490"/>
      <c r="AH303" s="490"/>
      <c r="AI303" s="490"/>
      <c r="AJ303" s="490"/>
      <c r="AK303" s="490"/>
      <c r="AL303" s="490"/>
      <c r="AM303" s="490"/>
      <c r="AN303" s="490"/>
      <c r="AO303" s="490"/>
      <c r="AP303" s="490"/>
      <c r="AQ303" s="490"/>
      <c r="AR303" s="490"/>
      <c r="AS303" s="490"/>
      <c r="AT303" s="490"/>
      <c r="AU303" s="490"/>
      <c r="AV303" s="490"/>
      <c r="AW303" s="490"/>
      <c r="AX303" s="490"/>
      <c r="AY303" s="490"/>
      <c r="AZ303" s="490"/>
      <c r="BA303" s="490"/>
      <c r="BB303" s="490"/>
      <c r="BC303" s="490"/>
      <c r="BD303" s="490"/>
      <c r="BE303" s="490"/>
      <c r="BF303" s="490"/>
      <c r="BG303" s="490"/>
      <c r="BH303" s="490"/>
      <c r="BI303" s="490"/>
      <c r="BJ303" s="490"/>
      <c r="BK303" s="490"/>
      <c r="BL303" s="490"/>
      <c r="BM303" s="490"/>
      <c r="BN303" s="490"/>
      <c r="BO303" s="490"/>
      <c r="BP303" s="490"/>
      <c r="BQ303" s="490"/>
      <c r="BR303" s="490"/>
      <c r="BS303" s="490"/>
      <c r="BT303" s="490"/>
      <c r="BU303" s="490"/>
      <c r="BV303" s="490"/>
      <c r="BW303" s="490"/>
      <c r="BX303" s="490"/>
      <c r="BY303" s="490"/>
      <c r="BZ303" s="490"/>
      <c r="CA303" s="490"/>
      <c r="CB303" s="490"/>
      <c r="CC303" s="490"/>
      <c r="CD303" s="490"/>
      <c r="CE303" s="490"/>
      <c r="CF303" s="490"/>
      <c r="CG303" s="490"/>
      <c r="CH303" s="490"/>
      <c r="CI303" s="490"/>
      <c r="CJ303" s="490"/>
      <c r="CK303" s="490"/>
      <c r="CL303" s="490"/>
      <c r="CM303" s="490"/>
      <c r="CN303" s="490"/>
      <c r="CO303" s="490"/>
      <c r="CP303" s="490"/>
      <c r="CQ303" s="490"/>
      <c r="CR303" s="490"/>
      <c r="CS303" s="490"/>
      <c r="CT303" s="490"/>
      <c r="CU303" s="490"/>
      <c r="CV303" s="490"/>
      <c r="CW303" s="490"/>
      <c r="CX303" s="490"/>
      <c r="CY303" s="490"/>
      <c r="CZ303" s="490"/>
      <c r="DA303" s="490"/>
      <c r="DB303" s="490"/>
      <c r="DC303" s="490"/>
      <c r="DD303" s="490"/>
      <c r="DE303" s="490"/>
      <c r="DF303" s="490"/>
      <c r="DG303" s="490"/>
      <c r="DH303" s="490"/>
      <c r="DI303" s="490"/>
      <c r="DJ303" s="490"/>
      <c r="DK303" s="490"/>
      <c r="DL303" s="490"/>
      <c r="DM303" s="490"/>
      <c r="DN303" s="490"/>
      <c r="DO303" s="490"/>
      <c r="DP303" s="490"/>
      <c r="DQ303" s="490"/>
      <c r="DR303" s="490"/>
      <c r="DS303" s="490"/>
      <c r="DT303" s="490"/>
      <c r="DU303" s="490"/>
      <c r="DV303" s="490"/>
      <c r="DW303" s="490"/>
      <c r="DX303" s="490"/>
      <c r="DY303" s="490"/>
      <c r="DZ303" s="490"/>
      <c r="EA303" s="490"/>
      <c r="EB303" s="490"/>
      <c r="EC303" s="490"/>
      <c r="ED303" s="490"/>
      <c r="EE303" s="490"/>
      <c r="EF303" s="490"/>
      <c r="EG303" s="490"/>
      <c r="EH303" s="490"/>
      <c r="EI303" s="490"/>
      <c r="EJ303" s="490"/>
      <c r="EK303" s="490"/>
      <c r="EL303" s="490"/>
      <c r="EM303" s="490"/>
      <c r="EN303" s="490"/>
      <c r="EO303" s="490"/>
      <c r="EP303" s="490"/>
      <c r="EQ303" s="490"/>
      <c r="ER303" s="490"/>
      <c r="ES303" s="490"/>
      <c r="ET303" s="490"/>
      <c r="EU303" s="490"/>
      <c r="EV303" s="490"/>
      <c r="EW303" s="490"/>
      <c r="EX303" s="490"/>
      <c r="EY303" s="490"/>
      <c r="EZ303" s="490"/>
      <c r="FA303" s="490"/>
      <c r="FB303" s="490"/>
      <c r="FC303" s="490"/>
      <c r="FD303" s="490"/>
      <c r="FE303" s="490"/>
      <c r="FF303" s="490"/>
      <c r="FG303" s="490"/>
      <c r="FH303" s="490"/>
      <c r="FI303" s="490"/>
      <c r="FJ303" s="490"/>
      <c r="FK303" s="490"/>
      <c r="FL303" s="490"/>
      <c r="FM303" s="490"/>
      <c r="FN303" s="490"/>
    </row>
    <row r="304" s="492" customFormat="1" spans="1:170">
      <c r="A304" s="519">
        <v>46175</v>
      </c>
      <c r="B304" s="509" t="s">
        <v>813</v>
      </c>
      <c r="C304" s="520">
        <v>10</v>
      </c>
      <c r="D304" s="509" t="s">
        <v>72</v>
      </c>
      <c r="E304" s="509" t="s">
        <v>66</v>
      </c>
      <c r="F304" s="545" t="s">
        <v>144</v>
      </c>
      <c r="G304" s="542">
        <v>1</v>
      </c>
      <c r="H304" s="542">
        <v>8.9</v>
      </c>
      <c r="I304" s="546" t="s">
        <v>17</v>
      </c>
      <c r="J304" s="542">
        <v>1.54</v>
      </c>
      <c r="K304" s="507" t="s">
        <v>603</v>
      </c>
      <c r="L304" s="509" t="s">
        <v>130</v>
      </c>
      <c r="M304" s="490"/>
      <c r="N304" s="490"/>
      <c r="O304" s="490"/>
      <c r="P304" s="490"/>
      <c r="Q304" s="490"/>
      <c r="R304" s="490"/>
      <c r="S304" s="490"/>
      <c r="T304" s="490"/>
      <c r="U304" s="490"/>
      <c r="V304" s="490"/>
      <c r="W304" s="490"/>
      <c r="X304" s="490"/>
      <c r="Y304" s="490"/>
      <c r="Z304" s="490"/>
      <c r="AA304" s="490"/>
      <c r="AB304" s="490"/>
      <c r="AC304" s="490"/>
      <c r="AD304" s="490"/>
      <c r="AE304" s="490"/>
      <c r="AF304" s="490"/>
      <c r="AG304" s="490"/>
      <c r="AH304" s="490"/>
      <c r="AI304" s="490"/>
      <c r="AJ304" s="490"/>
      <c r="AK304" s="490"/>
      <c r="AL304" s="490"/>
      <c r="AM304" s="490"/>
      <c r="AN304" s="490"/>
      <c r="AO304" s="490"/>
      <c r="AP304" s="490"/>
      <c r="AQ304" s="490"/>
      <c r="AR304" s="490"/>
      <c r="AS304" s="490"/>
      <c r="AT304" s="490"/>
      <c r="AU304" s="490"/>
      <c r="AV304" s="490"/>
      <c r="AW304" s="490"/>
      <c r="AX304" s="490"/>
      <c r="AY304" s="490"/>
      <c r="AZ304" s="490"/>
      <c r="BA304" s="490"/>
      <c r="BB304" s="490"/>
      <c r="BC304" s="490"/>
      <c r="BD304" s="490"/>
      <c r="BE304" s="490"/>
      <c r="BF304" s="490"/>
      <c r="BG304" s="490"/>
      <c r="BH304" s="490"/>
      <c r="BI304" s="490"/>
      <c r="BJ304" s="490"/>
      <c r="BK304" s="490"/>
      <c r="BL304" s="490"/>
      <c r="BM304" s="490"/>
      <c r="BN304" s="490"/>
      <c r="BO304" s="490"/>
      <c r="BP304" s="490"/>
      <c r="BQ304" s="490"/>
      <c r="BR304" s="490"/>
      <c r="BS304" s="490"/>
      <c r="BT304" s="490"/>
      <c r="BU304" s="490"/>
      <c r="BV304" s="490"/>
      <c r="BW304" s="490"/>
      <c r="BX304" s="490"/>
      <c r="BY304" s="490"/>
      <c r="BZ304" s="490"/>
      <c r="CA304" s="490"/>
      <c r="CB304" s="490"/>
      <c r="CC304" s="490"/>
      <c r="CD304" s="490"/>
      <c r="CE304" s="490"/>
      <c r="CF304" s="490"/>
      <c r="CG304" s="490"/>
      <c r="CH304" s="490"/>
      <c r="CI304" s="490"/>
      <c r="CJ304" s="490"/>
      <c r="CK304" s="490"/>
      <c r="CL304" s="490"/>
      <c r="CM304" s="490"/>
      <c r="CN304" s="490"/>
      <c r="CO304" s="490"/>
      <c r="CP304" s="490"/>
      <c r="CQ304" s="490"/>
      <c r="CR304" s="490"/>
      <c r="CS304" s="490"/>
      <c r="CT304" s="490"/>
      <c r="CU304" s="490"/>
      <c r="CV304" s="490"/>
      <c r="CW304" s="490"/>
      <c r="CX304" s="490"/>
      <c r="CY304" s="490"/>
      <c r="CZ304" s="490"/>
      <c r="DA304" s="490"/>
      <c r="DB304" s="490"/>
      <c r="DC304" s="490"/>
      <c r="DD304" s="490"/>
      <c r="DE304" s="490"/>
      <c r="DF304" s="490"/>
      <c r="DG304" s="490"/>
      <c r="DH304" s="490"/>
      <c r="DI304" s="490"/>
      <c r="DJ304" s="490"/>
      <c r="DK304" s="490"/>
      <c r="DL304" s="490"/>
      <c r="DM304" s="490"/>
      <c r="DN304" s="490"/>
      <c r="DO304" s="490"/>
      <c r="DP304" s="490"/>
      <c r="DQ304" s="490"/>
      <c r="DR304" s="490"/>
      <c r="DS304" s="490"/>
      <c r="DT304" s="490"/>
      <c r="DU304" s="490"/>
      <c r="DV304" s="490"/>
      <c r="DW304" s="490"/>
      <c r="DX304" s="490"/>
      <c r="DY304" s="490"/>
      <c r="DZ304" s="490"/>
      <c r="EA304" s="490"/>
      <c r="EB304" s="490"/>
      <c r="EC304" s="490"/>
      <c r="ED304" s="490"/>
      <c r="EE304" s="490"/>
      <c r="EF304" s="490"/>
      <c r="EG304" s="490"/>
      <c r="EH304" s="490"/>
      <c r="EI304" s="490"/>
      <c r="EJ304" s="490"/>
      <c r="EK304" s="490"/>
      <c r="EL304" s="490"/>
      <c r="EM304" s="490"/>
      <c r="EN304" s="490"/>
      <c r="EO304" s="490"/>
      <c r="EP304" s="490"/>
      <c r="EQ304" s="490"/>
      <c r="ER304" s="490"/>
      <c r="ES304" s="490"/>
      <c r="ET304" s="490"/>
      <c r="EU304" s="490"/>
      <c r="EV304" s="490"/>
      <c r="EW304" s="490"/>
      <c r="EX304" s="490"/>
      <c r="EY304" s="490"/>
      <c r="EZ304" s="490"/>
      <c r="FA304" s="490"/>
      <c r="FB304" s="490"/>
      <c r="FC304" s="490"/>
      <c r="FD304" s="490"/>
      <c r="FE304" s="490"/>
      <c r="FF304" s="490"/>
      <c r="FG304" s="490"/>
      <c r="FH304" s="490"/>
      <c r="FI304" s="490"/>
      <c r="FJ304" s="490"/>
      <c r="FK304" s="490"/>
      <c r="FL304" s="490"/>
      <c r="FM304" s="490"/>
      <c r="FN304" s="490"/>
    </row>
    <row r="305" s="492" customFormat="1" spans="1:170">
      <c r="A305" s="519"/>
      <c r="B305" s="509"/>
      <c r="C305" s="520"/>
      <c r="D305" s="509"/>
      <c r="E305" s="509"/>
      <c r="F305" s="545" t="s">
        <v>750</v>
      </c>
      <c r="G305" s="542">
        <v>1.17</v>
      </c>
      <c r="H305" s="542">
        <v>0.5</v>
      </c>
      <c r="I305" s="546" t="s">
        <v>22</v>
      </c>
      <c r="J305" s="542">
        <v>1.77</v>
      </c>
      <c r="K305" s="513"/>
      <c r="L305" s="509"/>
      <c r="M305" s="490"/>
      <c r="N305" s="490"/>
      <c r="O305" s="490"/>
      <c r="P305" s="490"/>
      <c r="Q305" s="490"/>
      <c r="R305" s="490"/>
      <c r="S305" s="490"/>
      <c r="T305" s="490"/>
      <c r="U305" s="490"/>
      <c r="V305" s="490"/>
      <c r="W305" s="490"/>
      <c r="X305" s="490"/>
      <c r="Y305" s="490"/>
      <c r="Z305" s="490"/>
      <c r="AA305" s="490"/>
      <c r="AB305" s="490"/>
      <c r="AC305" s="490"/>
      <c r="AD305" s="490"/>
      <c r="AE305" s="490"/>
      <c r="AF305" s="490"/>
      <c r="AG305" s="490"/>
      <c r="AH305" s="490"/>
      <c r="AI305" s="490"/>
      <c r="AJ305" s="490"/>
      <c r="AK305" s="490"/>
      <c r="AL305" s="490"/>
      <c r="AM305" s="490"/>
      <c r="AN305" s="490"/>
      <c r="AO305" s="490"/>
      <c r="AP305" s="490"/>
      <c r="AQ305" s="490"/>
      <c r="AR305" s="490"/>
      <c r="AS305" s="490"/>
      <c r="AT305" s="490"/>
      <c r="AU305" s="490"/>
      <c r="AV305" s="490"/>
      <c r="AW305" s="490"/>
      <c r="AX305" s="490"/>
      <c r="AY305" s="490"/>
      <c r="AZ305" s="490"/>
      <c r="BA305" s="490"/>
      <c r="BB305" s="490"/>
      <c r="BC305" s="490"/>
      <c r="BD305" s="490"/>
      <c r="BE305" s="490"/>
      <c r="BF305" s="490"/>
      <c r="BG305" s="490"/>
      <c r="BH305" s="490"/>
      <c r="BI305" s="490"/>
      <c r="BJ305" s="490"/>
      <c r="BK305" s="490"/>
      <c r="BL305" s="490"/>
      <c r="BM305" s="490"/>
      <c r="BN305" s="490"/>
      <c r="BO305" s="490"/>
      <c r="BP305" s="490"/>
      <c r="BQ305" s="490"/>
      <c r="BR305" s="490"/>
      <c r="BS305" s="490"/>
      <c r="BT305" s="490"/>
      <c r="BU305" s="490"/>
      <c r="BV305" s="490"/>
      <c r="BW305" s="490"/>
      <c r="BX305" s="490"/>
      <c r="BY305" s="490"/>
      <c r="BZ305" s="490"/>
      <c r="CA305" s="490"/>
      <c r="CB305" s="490"/>
      <c r="CC305" s="490"/>
      <c r="CD305" s="490"/>
      <c r="CE305" s="490"/>
      <c r="CF305" s="490"/>
      <c r="CG305" s="490"/>
      <c r="CH305" s="490"/>
      <c r="CI305" s="490"/>
      <c r="CJ305" s="490"/>
      <c r="CK305" s="490"/>
      <c r="CL305" s="490"/>
      <c r="CM305" s="490"/>
      <c r="CN305" s="490"/>
      <c r="CO305" s="490"/>
      <c r="CP305" s="490"/>
      <c r="CQ305" s="490"/>
      <c r="CR305" s="490"/>
      <c r="CS305" s="490"/>
      <c r="CT305" s="490"/>
      <c r="CU305" s="490"/>
      <c r="CV305" s="490"/>
      <c r="CW305" s="490"/>
      <c r="CX305" s="490"/>
      <c r="CY305" s="490"/>
      <c r="CZ305" s="490"/>
      <c r="DA305" s="490"/>
      <c r="DB305" s="490"/>
      <c r="DC305" s="490"/>
      <c r="DD305" s="490"/>
      <c r="DE305" s="490"/>
      <c r="DF305" s="490"/>
      <c r="DG305" s="490"/>
      <c r="DH305" s="490"/>
      <c r="DI305" s="490"/>
      <c r="DJ305" s="490"/>
      <c r="DK305" s="490"/>
      <c r="DL305" s="490"/>
      <c r="DM305" s="490"/>
      <c r="DN305" s="490"/>
      <c r="DO305" s="490"/>
      <c r="DP305" s="490"/>
      <c r="DQ305" s="490"/>
      <c r="DR305" s="490"/>
      <c r="DS305" s="490"/>
      <c r="DT305" s="490"/>
      <c r="DU305" s="490"/>
      <c r="DV305" s="490"/>
      <c r="DW305" s="490"/>
      <c r="DX305" s="490"/>
      <c r="DY305" s="490"/>
      <c r="DZ305" s="490"/>
      <c r="EA305" s="490"/>
      <c r="EB305" s="490"/>
      <c r="EC305" s="490"/>
      <c r="ED305" s="490"/>
      <c r="EE305" s="490"/>
      <c r="EF305" s="490"/>
      <c r="EG305" s="490"/>
      <c r="EH305" s="490"/>
      <c r="EI305" s="490"/>
      <c r="EJ305" s="490"/>
      <c r="EK305" s="490"/>
      <c r="EL305" s="490"/>
      <c r="EM305" s="490"/>
      <c r="EN305" s="490"/>
      <c r="EO305" s="490"/>
      <c r="EP305" s="490"/>
      <c r="EQ305" s="490"/>
      <c r="ER305" s="490"/>
      <c r="ES305" s="490"/>
      <c r="ET305" s="490"/>
      <c r="EU305" s="490"/>
      <c r="EV305" s="490"/>
      <c r="EW305" s="490"/>
      <c r="EX305" s="490"/>
      <c r="EY305" s="490"/>
      <c r="EZ305" s="490"/>
      <c r="FA305" s="490"/>
      <c r="FB305" s="490"/>
      <c r="FC305" s="490"/>
      <c r="FD305" s="490"/>
      <c r="FE305" s="490"/>
      <c r="FF305" s="490"/>
      <c r="FG305" s="490"/>
      <c r="FH305" s="490"/>
      <c r="FI305" s="490"/>
      <c r="FJ305" s="490"/>
      <c r="FK305" s="490"/>
      <c r="FL305" s="490"/>
      <c r="FM305" s="490"/>
      <c r="FN305" s="490"/>
    </row>
    <row r="306" s="492" customFormat="1" spans="1:170">
      <c r="A306" s="519"/>
      <c r="B306" s="509"/>
      <c r="C306" s="520"/>
      <c r="D306" s="509"/>
      <c r="E306" s="509"/>
      <c r="F306" s="545" t="s">
        <v>148</v>
      </c>
      <c r="G306" s="542">
        <v>1.75</v>
      </c>
      <c r="H306" s="542">
        <v>0.6</v>
      </c>
      <c r="I306" s="546" t="s">
        <v>24</v>
      </c>
      <c r="J306" s="542" t="s">
        <v>24</v>
      </c>
      <c r="K306" s="517"/>
      <c r="L306" s="509"/>
      <c r="M306" s="490"/>
      <c r="N306" s="490"/>
      <c r="O306" s="490"/>
      <c r="P306" s="490"/>
      <c r="Q306" s="490"/>
      <c r="R306" s="490"/>
      <c r="S306" s="490"/>
      <c r="T306" s="490"/>
      <c r="U306" s="490"/>
      <c r="V306" s="490"/>
      <c r="W306" s="490"/>
      <c r="X306" s="490"/>
      <c r="Y306" s="490"/>
      <c r="Z306" s="490"/>
      <c r="AA306" s="490"/>
      <c r="AB306" s="490"/>
      <c r="AC306" s="490"/>
      <c r="AD306" s="490"/>
      <c r="AE306" s="490"/>
      <c r="AF306" s="490"/>
      <c r="AG306" s="490"/>
      <c r="AH306" s="490"/>
      <c r="AI306" s="490"/>
      <c r="AJ306" s="490"/>
      <c r="AK306" s="490"/>
      <c r="AL306" s="490"/>
      <c r="AM306" s="490"/>
      <c r="AN306" s="490"/>
      <c r="AO306" s="490"/>
      <c r="AP306" s="490"/>
      <c r="AQ306" s="490"/>
      <c r="AR306" s="490"/>
      <c r="AS306" s="490"/>
      <c r="AT306" s="490"/>
      <c r="AU306" s="490"/>
      <c r="AV306" s="490"/>
      <c r="AW306" s="490"/>
      <c r="AX306" s="490"/>
      <c r="AY306" s="490"/>
      <c r="AZ306" s="490"/>
      <c r="BA306" s="490"/>
      <c r="BB306" s="490"/>
      <c r="BC306" s="490"/>
      <c r="BD306" s="490"/>
      <c r="BE306" s="490"/>
      <c r="BF306" s="490"/>
      <c r="BG306" s="490"/>
      <c r="BH306" s="490"/>
      <c r="BI306" s="490"/>
      <c r="BJ306" s="490"/>
      <c r="BK306" s="490"/>
      <c r="BL306" s="490"/>
      <c r="BM306" s="490"/>
      <c r="BN306" s="490"/>
      <c r="BO306" s="490"/>
      <c r="BP306" s="490"/>
      <c r="BQ306" s="490"/>
      <c r="BR306" s="490"/>
      <c r="BS306" s="490"/>
      <c r="BT306" s="490"/>
      <c r="BU306" s="490"/>
      <c r="BV306" s="490"/>
      <c r="BW306" s="490"/>
      <c r="BX306" s="490"/>
      <c r="BY306" s="490"/>
      <c r="BZ306" s="490"/>
      <c r="CA306" s="490"/>
      <c r="CB306" s="490"/>
      <c r="CC306" s="490"/>
      <c r="CD306" s="490"/>
      <c r="CE306" s="490"/>
      <c r="CF306" s="490"/>
      <c r="CG306" s="490"/>
      <c r="CH306" s="490"/>
      <c r="CI306" s="490"/>
      <c r="CJ306" s="490"/>
      <c r="CK306" s="490"/>
      <c r="CL306" s="490"/>
      <c r="CM306" s="490"/>
      <c r="CN306" s="490"/>
      <c r="CO306" s="490"/>
      <c r="CP306" s="490"/>
      <c r="CQ306" s="490"/>
      <c r="CR306" s="490"/>
      <c r="CS306" s="490"/>
      <c r="CT306" s="490"/>
      <c r="CU306" s="490"/>
      <c r="CV306" s="490"/>
      <c r="CW306" s="490"/>
      <c r="CX306" s="490"/>
      <c r="CY306" s="490"/>
      <c r="CZ306" s="490"/>
      <c r="DA306" s="490"/>
      <c r="DB306" s="490"/>
      <c r="DC306" s="490"/>
      <c r="DD306" s="490"/>
      <c r="DE306" s="490"/>
      <c r="DF306" s="490"/>
      <c r="DG306" s="490"/>
      <c r="DH306" s="490"/>
      <c r="DI306" s="490"/>
      <c r="DJ306" s="490"/>
      <c r="DK306" s="490"/>
      <c r="DL306" s="490"/>
      <c r="DM306" s="490"/>
      <c r="DN306" s="490"/>
      <c r="DO306" s="490"/>
      <c r="DP306" s="490"/>
      <c r="DQ306" s="490"/>
      <c r="DR306" s="490"/>
      <c r="DS306" s="490"/>
      <c r="DT306" s="490"/>
      <c r="DU306" s="490"/>
      <c r="DV306" s="490"/>
      <c r="DW306" s="490"/>
      <c r="DX306" s="490"/>
      <c r="DY306" s="490"/>
      <c r="DZ306" s="490"/>
      <c r="EA306" s="490"/>
      <c r="EB306" s="490"/>
      <c r="EC306" s="490"/>
      <c r="ED306" s="490"/>
      <c r="EE306" s="490"/>
      <c r="EF306" s="490"/>
      <c r="EG306" s="490"/>
      <c r="EH306" s="490"/>
      <c r="EI306" s="490"/>
      <c r="EJ306" s="490"/>
      <c r="EK306" s="490"/>
      <c r="EL306" s="490"/>
      <c r="EM306" s="490"/>
      <c r="EN306" s="490"/>
      <c r="EO306" s="490"/>
      <c r="EP306" s="490"/>
      <c r="EQ306" s="490"/>
      <c r="ER306" s="490"/>
      <c r="ES306" s="490"/>
      <c r="ET306" s="490"/>
      <c r="EU306" s="490"/>
      <c r="EV306" s="490"/>
      <c r="EW306" s="490"/>
      <c r="EX306" s="490"/>
      <c r="EY306" s="490"/>
      <c r="EZ306" s="490"/>
      <c r="FA306" s="490"/>
      <c r="FB306" s="490"/>
      <c r="FC306" s="490"/>
      <c r="FD306" s="490"/>
      <c r="FE306" s="490"/>
      <c r="FF306" s="490"/>
      <c r="FG306" s="490"/>
      <c r="FH306" s="490"/>
      <c r="FI306" s="490"/>
      <c r="FJ306" s="490"/>
      <c r="FK306" s="490"/>
      <c r="FL306" s="490"/>
      <c r="FM306" s="490"/>
      <c r="FN306" s="490"/>
    </row>
    <row r="307" s="492" customFormat="1" spans="1:170">
      <c r="A307" s="519">
        <v>46177</v>
      </c>
      <c r="B307" s="509" t="s">
        <v>814</v>
      </c>
      <c r="C307" s="520">
        <v>10</v>
      </c>
      <c r="D307" s="509" t="s">
        <v>72</v>
      </c>
      <c r="E307" s="509" t="s">
        <v>66</v>
      </c>
      <c r="F307" s="545" t="s">
        <v>144</v>
      </c>
      <c r="G307" s="542">
        <v>1</v>
      </c>
      <c r="H307" s="542">
        <v>8.9</v>
      </c>
      <c r="I307" s="546" t="s">
        <v>17</v>
      </c>
      <c r="J307" s="542">
        <v>1.53</v>
      </c>
      <c r="K307" s="507" t="s">
        <v>603</v>
      </c>
      <c r="L307" s="509" t="s">
        <v>130</v>
      </c>
      <c r="M307" s="490"/>
      <c r="N307" s="490"/>
      <c r="O307" s="490"/>
      <c r="P307" s="490"/>
      <c r="Q307" s="490"/>
      <c r="R307" s="490"/>
      <c r="S307" s="490"/>
      <c r="T307" s="490"/>
      <c r="U307" s="490"/>
      <c r="V307" s="490"/>
      <c r="W307" s="490"/>
      <c r="X307" s="490"/>
      <c r="Y307" s="490"/>
      <c r="Z307" s="490"/>
      <c r="AA307" s="490"/>
      <c r="AB307" s="490"/>
      <c r="AC307" s="490"/>
      <c r="AD307" s="490"/>
      <c r="AE307" s="490"/>
      <c r="AF307" s="490"/>
      <c r="AG307" s="490"/>
      <c r="AH307" s="490"/>
      <c r="AI307" s="490"/>
      <c r="AJ307" s="490"/>
      <c r="AK307" s="490"/>
      <c r="AL307" s="490"/>
      <c r="AM307" s="490"/>
      <c r="AN307" s="490"/>
      <c r="AO307" s="490"/>
      <c r="AP307" s="490"/>
      <c r="AQ307" s="490"/>
      <c r="AR307" s="490"/>
      <c r="AS307" s="490"/>
      <c r="AT307" s="490"/>
      <c r="AU307" s="490"/>
      <c r="AV307" s="490"/>
      <c r="AW307" s="490"/>
      <c r="AX307" s="490"/>
      <c r="AY307" s="490"/>
      <c r="AZ307" s="490"/>
      <c r="BA307" s="490"/>
      <c r="BB307" s="490"/>
      <c r="BC307" s="490"/>
      <c r="BD307" s="490"/>
      <c r="BE307" s="490"/>
      <c r="BF307" s="490"/>
      <c r="BG307" s="490"/>
      <c r="BH307" s="490"/>
      <c r="BI307" s="490"/>
      <c r="BJ307" s="490"/>
      <c r="BK307" s="490"/>
      <c r="BL307" s="490"/>
      <c r="BM307" s="490"/>
      <c r="BN307" s="490"/>
      <c r="BO307" s="490"/>
      <c r="BP307" s="490"/>
      <c r="BQ307" s="490"/>
      <c r="BR307" s="490"/>
      <c r="BS307" s="490"/>
      <c r="BT307" s="490"/>
      <c r="BU307" s="490"/>
      <c r="BV307" s="490"/>
      <c r="BW307" s="490"/>
      <c r="BX307" s="490"/>
      <c r="BY307" s="490"/>
      <c r="BZ307" s="490"/>
      <c r="CA307" s="490"/>
      <c r="CB307" s="490"/>
      <c r="CC307" s="490"/>
      <c r="CD307" s="490"/>
      <c r="CE307" s="490"/>
      <c r="CF307" s="490"/>
      <c r="CG307" s="490"/>
      <c r="CH307" s="490"/>
      <c r="CI307" s="490"/>
      <c r="CJ307" s="490"/>
      <c r="CK307" s="490"/>
      <c r="CL307" s="490"/>
      <c r="CM307" s="490"/>
      <c r="CN307" s="490"/>
      <c r="CO307" s="490"/>
      <c r="CP307" s="490"/>
      <c r="CQ307" s="490"/>
      <c r="CR307" s="490"/>
      <c r="CS307" s="490"/>
      <c r="CT307" s="490"/>
      <c r="CU307" s="490"/>
      <c r="CV307" s="490"/>
      <c r="CW307" s="490"/>
      <c r="CX307" s="490"/>
      <c r="CY307" s="490"/>
      <c r="CZ307" s="490"/>
      <c r="DA307" s="490"/>
      <c r="DB307" s="490"/>
      <c r="DC307" s="490"/>
      <c r="DD307" s="490"/>
      <c r="DE307" s="490"/>
      <c r="DF307" s="490"/>
      <c r="DG307" s="490"/>
      <c r="DH307" s="490"/>
      <c r="DI307" s="490"/>
      <c r="DJ307" s="490"/>
      <c r="DK307" s="490"/>
      <c r="DL307" s="490"/>
      <c r="DM307" s="490"/>
      <c r="DN307" s="490"/>
      <c r="DO307" s="490"/>
      <c r="DP307" s="490"/>
      <c r="DQ307" s="490"/>
      <c r="DR307" s="490"/>
      <c r="DS307" s="490"/>
      <c r="DT307" s="490"/>
      <c r="DU307" s="490"/>
      <c r="DV307" s="490"/>
      <c r="DW307" s="490"/>
      <c r="DX307" s="490"/>
      <c r="DY307" s="490"/>
      <c r="DZ307" s="490"/>
      <c r="EA307" s="490"/>
      <c r="EB307" s="490"/>
      <c r="EC307" s="490"/>
      <c r="ED307" s="490"/>
      <c r="EE307" s="490"/>
      <c r="EF307" s="490"/>
      <c r="EG307" s="490"/>
      <c r="EH307" s="490"/>
      <c r="EI307" s="490"/>
      <c r="EJ307" s="490"/>
      <c r="EK307" s="490"/>
      <c r="EL307" s="490"/>
      <c r="EM307" s="490"/>
      <c r="EN307" s="490"/>
      <c r="EO307" s="490"/>
      <c r="EP307" s="490"/>
      <c r="EQ307" s="490"/>
      <c r="ER307" s="490"/>
      <c r="ES307" s="490"/>
      <c r="ET307" s="490"/>
      <c r="EU307" s="490"/>
      <c r="EV307" s="490"/>
      <c r="EW307" s="490"/>
      <c r="EX307" s="490"/>
      <c r="EY307" s="490"/>
      <c r="EZ307" s="490"/>
      <c r="FA307" s="490"/>
      <c r="FB307" s="490"/>
      <c r="FC307" s="490"/>
      <c r="FD307" s="490"/>
      <c r="FE307" s="490"/>
      <c r="FF307" s="490"/>
      <c r="FG307" s="490"/>
      <c r="FH307" s="490"/>
      <c r="FI307" s="490"/>
      <c r="FJ307" s="490"/>
      <c r="FK307" s="490"/>
      <c r="FL307" s="490"/>
      <c r="FM307" s="490"/>
      <c r="FN307" s="490"/>
    </row>
    <row r="308" s="492" customFormat="1" spans="1:170">
      <c r="A308" s="519"/>
      <c r="B308" s="509"/>
      <c r="C308" s="520"/>
      <c r="D308" s="509"/>
      <c r="E308" s="509"/>
      <c r="F308" s="545" t="s">
        <v>750</v>
      </c>
      <c r="G308" s="542">
        <v>1.17</v>
      </c>
      <c r="H308" s="542">
        <v>0.5</v>
      </c>
      <c r="I308" s="546" t="s">
        <v>22</v>
      </c>
      <c r="J308" s="542">
        <v>1.77</v>
      </c>
      <c r="K308" s="513"/>
      <c r="L308" s="509"/>
      <c r="M308" s="490"/>
      <c r="N308" s="490"/>
      <c r="O308" s="490"/>
      <c r="P308" s="490"/>
      <c r="Q308" s="490"/>
      <c r="R308" s="490"/>
      <c r="S308" s="490"/>
      <c r="T308" s="490"/>
      <c r="U308" s="490"/>
      <c r="V308" s="490"/>
      <c r="W308" s="490"/>
      <c r="X308" s="490"/>
      <c r="Y308" s="490"/>
      <c r="Z308" s="490"/>
      <c r="AA308" s="490"/>
      <c r="AB308" s="490"/>
      <c r="AC308" s="490"/>
      <c r="AD308" s="490"/>
      <c r="AE308" s="490"/>
      <c r="AF308" s="490"/>
      <c r="AG308" s="490"/>
      <c r="AH308" s="490"/>
      <c r="AI308" s="490"/>
      <c r="AJ308" s="490"/>
      <c r="AK308" s="490"/>
      <c r="AL308" s="490"/>
      <c r="AM308" s="490"/>
      <c r="AN308" s="490"/>
      <c r="AO308" s="490"/>
      <c r="AP308" s="490"/>
      <c r="AQ308" s="490"/>
      <c r="AR308" s="490"/>
      <c r="AS308" s="490"/>
      <c r="AT308" s="490"/>
      <c r="AU308" s="490"/>
      <c r="AV308" s="490"/>
      <c r="AW308" s="490"/>
      <c r="AX308" s="490"/>
      <c r="AY308" s="490"/>
      <c r="AZ308" s="490"/>
      <c r="BA308" s="490"/>
      <c r="BB308" s="490"/>
      <c r="BC308" s="490"/>
      <c r="BD308" s="490"/>
      <c r="BE308" s="490"/>
      <c r="BF308" s="490"/>
      <c r="BG308" s="490"/>
      <c r="BH308" s="490"/>
      <c r="BI308" s="490"/>
      <c r="BJ308" s="490"/>
      <c r="BK308" s="490"/>
      <c r="BL308" s="490"/>
      <c r="BM308" s="490"/>
      <c r="BN308" s="490"/>
      <c r="BO308" s="490"/>
      <c r="BP308" s="490"/>
      <c r="BQ308" s="490"/>
      <c r="BR308" s="490"/>
      <c r="BS308" s="490"/>
      <c r="BT308" s="490"/>
      <c r="BU308" s="490"/>
      <c r="BV308" s="490"/>
      <c r="BW308" s="490"/>
      <c r="BX308" s="490"/>
      <c r="BY308" s="490"/>
      <c r="BZ308" s="490"/>
      <c r="CA308" s="490"/>
      <c r="CB308" s="490"/>
      <c r="CC308" s="490"/>
      <c r="CD308" s="490"/>
      <c r="CE308" s="490"/>
      <c r="CF308" s="490"/>
      <c r="CG308" s="490"/>
      <c r="CH308" s="490"/>
      <c r="CI308" s="490"/>
      <c r="CJ308" s="490"/>
      <c r="CK308" s="490"/>
      <c r="CL308" s="490"/>
      <c r="CM308" s="490"/>
      <c r="CN308" s="490"/>
      <c r="CO308" s="490"/>
      <c r="CP308" s="490"/>
      <c r="CQ308" s="490"/>
      <c r="CR308" s="490"/>
      <c r="CS308" s="490"/>
      <c r="CT308" s="490"/>
      <c r="CU308" s="490"/>
      <c r="CV308" s="490"/>
      <c r="CW308" s="490"/>
      <c r="CX308" s="490"/>
      <c r="CY308" s="490"/>
      <c r="CZ308" s="490"/>
      <c r="DA308" s="490"/>
      <c r="DB308" s="490"/>
      <c r="DC308" s="490"/>
      <c r="DD308" s="490"/>
      <c r="DE308" s="490"/>
      <c r="DF308" s="490"/>
      <c r="DG308" s="490"/>
      <c r="DH308" s="490"/>
      <c r="DI308" s="490"/>
      <c r="DJ308" s="490"/>
      <c r="DK308" s="490"/>
      <c r="DL308" s="490"/>
      <c r="DM308" s="490"/>
      <c r="DN308" s="490"/>
      <c r="DO308" s="490"/>
      <c r="DP308" s="490"/>
      <c r="DQ308" s="490"/>
      <c r="DR308" s="490"/>
      <c r="DS308" s="490"/>
      <c r="DT308" s="490"/>
      <c r="DU308" s="490"/>
      <c r="DV308" s="490"/>
      <c r="DW308" s="490"/>
      <c r="DX308" s="490"/>
      <c r="DY308" s="490"/>
      <c r="DZ308" s="490"/>
      <c r="EA308" s="490"/>
      <c r="EB308" s="490"/>
      <c r="EC308" s="490"/>
      <c r="ED308" s="490"/>
      <c r="EE308" s="490"/>
      <c r="EF308" s="490"/>
      <c r="EG308" s="490"/>
      <c r="EH308" s="490"/>
      <c r="EI308" s="490"/>
      <c r="EJ308" s="490"/>
      <c r="EK308" s="490"/>
      <c r="EL308" s="490"/>
      <c r="EM308" s="490"/>
      <c r="EN308" s="490"/>
      <c r="EO308" s="490"/>
      <c r="EP308" s="490"/>
      <c r="EQ308" s="490"/>
      <c r="ER308" s="490"/>
      <c r="ES308" s="490"/>
      <c r="ET308" s="490"/>
      <c r="EU308" s="490"/>
      <c r="EV308" s="490"/>
      <c r="EW308" s="490"/>
      <c r="EX308" s="490"/>
      <c r="EY308" s="490"/>
      <c r="EZ308" s="490"/>
      <c r="FA308" s="490"/>
      <c r="FB308" s="490"/>
      <c r="FC308" s="490"/>
      <c r="FD308" s="490"/>
      <c r="FE308" s="490"/>
      <c r="FF308" s="490"/>
      <c r="FG308" s="490"/>
      <c r="FH308" s="490"/>
      <c r="FI308" s="490"/>
      <c r="FJ308" s="490"/>
      <c r="FK308" s="490"/>
      <c r="FL308" s="490"/>
      <c r="FM308" s="490"/>
      <c r="FN308" s="490"/>
    </row>
    <row r="309" s="492" customFormat="1" spans="1:170">
      <c r="A309" s="519"/>
      <c r="B309" s="509"/>
      <c r="C309" s="520"/>
      <c r="D309" s="509"/>
      <c r="E309" s="509"/>
      <c r="F309" s="545" t="s">
        <v>148</v>
      </c>
      <c r="G309" s="542">
        <v>1.75</v>
      </c>
      <c r="H309" s="542">
        <v>0.6</v>
      </c>
      <c r="I309" s="546" t="s">
        <v>24</v>
      </c>
      <c r="J309" s="542" t="s">
        <v>24</v>
      </c>
      <c r="K309" s="517"/>
      <c r="L309" s="509"/>
      <c r="M309" s="490"/>
      <c r="N309" s="490"/>
      <c r="O309" s="490"/>
      <c r="P309" s="490"/>
      <c r="Q309" s="490"/>
      <c r="R309" s="490"/>
      <c r="S309" s="490"/>
      <c r="T309" s="490"/>
      <c r="U309" s="490"/>
      <c r="V309" s="490"/>
      <c r="W309" s="490"/>
      <c r="X309" s="490"/>
      <c r="Y309" s="490"/>
      <c r="Z309" s="490"/>
      <c r="AA309" s="490"/>
      <c r="AB309" s="490"/>
      <c r="AC309" s="490"/>
      <c r="AD309" s="490"/>
      <c r="AE309" s="490"/>
      <c r="AF309" s="490"/>
      <c r="AG309" s="490"/>
      <c r="AH309" s="490"/>
      <c r="AI309" s="490"/>
      <c r="AJ309" s="490"/>
      <c r="AK309" s="490"/>
      <c r="AL309" s="490"/>
      <c r="AM309" s="490"/>
      <c r="AN309" s="490"/>
      <c r="AO309" s="490"/>
      <c r="AP309" s="490"/>
      <c r="AQ309" s="490"/>
      <c r="AR309" s="490"/>
      <c r="AS309" s="490"/>
      <c r="AT309" s="490"/>
      <c r="AU309" s="490"/>
      <c r="AV309" s="490"/>
      <c r="AW309" s="490"/>
      <c r="AX309" s="490"/>
      <c r="AY309" s="490"/>
      <c r="AZ309" s="490"/>
      <c r="BA309" s="490"/>
      <c r="BB309" s="490"/>
      <c r="BC309" s="490"/>
      <c r="BD309" s="490"/>
      <c r="BE309" s="490"/>
      <c r="BF309" s="490"/>
      <c r="BG309" s="490"/>
      <c r="BH309" s="490"/>
      <c r="BI309" s="490"/>
      <c r="BJ309" s="490"/>
      <c r="BK309" s="490"/>
      <c r="BL309" s="490"/>
      <c r="BM309" s="490"/>
      <c r="BN309" s="490"/>
      <c r="BO309" s="490"/>
      <c r="BP309" s="490"/>
      <c r="BQ309" s="490"/>
      <c r="BR309" s="490"/>
      <c r="BS309" s="490"/>
      <c r="BT309" s="490"/>
      <c r="BU309" s="490"/>
      <c r="BV309" s="490"/>
      <c r="BW309" s="490"/>
      <c r="BX309" s="490"/>
      <c r="BY309" s="490"/>
      <c r="BZ309" s="490"/>
      <c r="CA309" s="490"/>
      <c r="CB309" s="490"/>
      <c r="CC309" s="490"/>
      <c r="CD309" s="490"/>
      <c r="CE309" s="490"/>
      <c r="CF309" s="490"/>
      <c r="CG309" s="490"/>
      <c r="CH309" s="490"/>
      <c r="CI309" s="490"/>
      <c r="CJ309" s="490"/>
      <c r="CK309" s="490"/>
      <c r="CL309" s="490"/>
      <c r="CM309" s="490"/>
      <c r="CN309" s="490"/>
      <c r="CO309" s="490"/>
      <c r="CP309" s="490"/>
      <c r="CQ309" s="490"/>
      <c r="CR309" s="490"/>
      <c r="CS309" s="490"/>
      <c r="CT309" s="490"/>
      <c r="CU309" s="490"/>
      <c r="CV309" s="490"/>
      <c r="CW309" s="490"/>
      <c r="CX309" s="490"/>
      <c r="CY309" s="490"/>
      <c r="CZ309" s="490"/>
      <c r="DA309" s="490"/>
      <c r="DB309" s="490"/>
      <c r="DC309" s="490"/>
      <c r="DD309" s="490"/>
      <c r="DE309" s="490"/>
      <c r="DF309" s="490"/>
      <c r="DG309" s="490"/>
      <c r="DH309" s="490"/>
      <c r="DI309" s="490"/>
      <c r="DJ309" s="490"/>
      <c r="DK309" s="490"/>
      <c r="DL309" s="490"/>
      <c r="DM309" s="490"/>
      <c r="DN309" s="490"/>
      <c r="DO309" s="490"/>
      <c r="DP309" s="490"/>
      <c r="DQ309" s="490"/>
      <c r="DR309" s="490"/>
      <c r="DS309" s="490"/>
      <c r="DT309" s="490"/>
      <c r="DU309" s="490"/>
      <c r="DV309" s="490"/>
      <c r="DW309" s="490"/>
      <c r="DX309" s="490"/>
      <c r="DY309" s="490"/>
      <c r="DZ309" s="490"/>
      <c r="EA309" s="490"/>
      <c r="EB309" s="490"/>
      <c r="EC309" s="490"/>
      <c r="ED309" s="490"/>
      <c r="EE309" s="490"/>
      <c r="EF309" s="490"/>
      <c r="EG309" s="490"/>
      <c r="EH309" s="490"/>
      <c r="EI309" s="490"/>
      <c r="EJ309" s="490"/>
      <c r="EK309" s="490"/>
      <c r="EL309" s="490"/>
      <c r="EM309" s="490"/>
      <c r="EN309" s="490"/>
      <c r="EO309" s="490"/>
      <c r="EP309" s="490"/>
      <c r="EQ309" s="490"/>
      <c r="ER309" s="490"/>
      <c r="ES309" s="490"/>
      <c r="ET309" s="490"/>
      <c r="EU309" s="490"/>
      <c r="EV309" s="490"/>
      <c r="EW309" s="490"/>
      <c r="EX309" s="490"/>
      <c r="EY309" s="490"/>
      <c r="EZ309" s="490"/>
      <c r="FA309" s="490"/>
      <c r="FB309" s="490"/>
      <c r="FC309" s="490"/>
      <c r="FD309" s="490"/>
      <c r="FE309" s="490"/>
      <c r="FF309" s="490"/>
      <c r="FG309" s="490"/>
      <c r="FH309" s="490"/>
      <c r="FI309" s="490"/>
      <c r="FJ309" s="490"/>
      <c r="FK309" s="490"/>
      <c r="FL309" s="490"/>
      <c r="FM309" s="490"/>
      <c r="FN309" s="490"/>
    </row>
    <row r="310" s="492" customFormat="1" spans="1:170">
      <c r="A310" s="519">
        <v>46177</v>
      </c>
      <c r="B310" s="509" t="s">
        <v>815</v>
      </c>
      <c r="C310" s="520">
        <v>10</v>
      </c>
      <c r="D310" s="509" t="s">
        <v>33</v>
      </c>
      <c r="E310" s="509" t="s">
        <v>712</v>
      </c>
      <c r="F310" s="545" t="s">
        <v>158</v>
      </c>
      <c r="G310" s="542">
        <v>0.78</v>
      </c>
      <c r="H310" s="542">
        <v>9</v>
      </c>
      <c r="I310" s="546" t="s">
        <v>17</v>
      </c>
      <c r="J310" s="542">
        <v>1.5</v>
      </c>
      <c r="K310" s="507" t="s">
        <v>713</v>
      </c>
      <c r="L310" s="509"/>
      <c r="M310" s="490"/>
      <c r="N310" s="490"/>
      <c r="O310" s="490"/>
      <c r="P310" s="490"/>
      <c r="Q310" s="490"/>
      <c r="R310" s="490"/>
      <c r="S310" s="490"/>
      <c r="T310" s="490"/>
      <c r="U310" s="490"/>
      <c r="V310" s="490"/>
      <c r="W310" s="490"/>
      <c r="X310" s="490"/>
      <c r="Y310" s="490"/>
      <c r="Z310" s="490"/>
      <c r="AA310" s="490"/>
      <c r="AB310" s="490"/>
      <c r="AC310" s="490"/>
      <c r="AD310" s="490"/>
      <c r="AE310" s="490"/>
      <c r="AF310" s="490"/>
      <c r="AG310" s="490"/>
      <c r="AH310" s="490"/>
      <c r="AI310" s="490"/>
      <c r="AJ310" s="490"/>
      <c r="AK310" s="490"/>
      <c r="AL310" s="490"/>
      <c r="AM310" s="490"/>
      <c r="AN310" s="490"/>
      <c r="AO310" s="490"/>
      <c r="AP310" s="490"/>
      <c r="AQ310" s="490"/>
      <c r="AR310" s="490"/>
      <c r="AS310" s="490"/>
      <c r="AT310" s="490"/>
      <c r="AU310" s="490"/>
      <c r="AV310" s="490"/>
      <c r="AW310" s="490"/>
      <c r="AX310" s="490"/>
      <c r="AY310" s="490"/>
      <c r="AZ310" s="490"/>
      <c r="BA310" s="490"/>
      <c r="BB310" s="490"/>
      <c r="BC310" s="490"/>
      <c r="BD310" s="490"/>
      <c r="BE310" s="490"/>
      <c r="BF310" s="490"/>
      <c r="BG310" s="490"/>
      <c r="BH310" s="490"/>
      <c r="BI310" s="490"/>
      <c r="BJ310" s="490"/>
      <c r="BK310" s="490"/>
      <c r="BL310" s="490"/>
      <c r="BM310" s="490"/>
      <c r="BN310" s="490"/>
      <c r="BO310" s="490"/>
      <c r="BP310" s="490"/>
      <c r="BQ310" s="490"/>
      <c r="BR310" s="490"/>
      <c r="BS310" s="490"/>
      <c r="BT310" s="490"/>
      <c r="BU310" s="490"/>
      <c r="BV310" s="490"/>
      <c r="BW310" s="490"/>
      <c r="BX310" s="490"/>
      <c r="BY310" s="490"/>
      <c r="BZ310" s="490"/>
      <c r="CA310" s="490"/>
      <c r="CB310" s="490"/>
      <c r="CC310" s="490"/>
      <c r="CD310" s="490"/>
      <c r="CE310" s="490"/>
      <c r="CF310" s="490"/>
      <c r="CG310" s="490"/>
      <c r="CH310" s="490"/>
      <c r="CI310" s="490"/>
      <c r="CJ310" s="490"/>
      <c r="CK310" s="490"/>
      <c r="CL310" s="490"/>
      <c r="CM310" s="490"/>
      <c r="CN310" s="490"/>
      <c r="CO310" s="490"/>
      <c r="CP310" s="490"/>
      <c r="CQ310" s="490"/>
      <c r="CR310" s="490"/>
      <c r="CS310" s="490"/>
      <c r="CT310" s="490"/>
      <c r="CU310" s="490"/>
      <c r="CV310" s="490"/>
      <c r="CW310" s="490"/>
      <c r="CX310" s="490"/>
      <c r="CY310" s="490"/>
      <c r="CZ310" s="490"/>
      <c r="DA310" s="490"/>
      <c r="DB310" s="490"/>
      <c r="DC310" s="490"/>
      <c r="DD310" s="490"/>
      <c r="DE310" s="490"/>
      <c r="DF310" s="490"/>
      <c r="DG310" s="490"/>
      <c r="DH310" s="490"/>
      <c r="DI310" s="490"/>
      <c r="DJ310" s="490"/>
      <c r="DK310" s="490"/>
      <c r="DL310" s="490"/>
      <c r="DM310" s="490"/>
      <c r="DN310" s="490"/>
      <c r="DO310" s="490"/>
      <c r="DP310" s="490"/>
      <c r="DQ310" s="490"/>
      <c r="DR310" s="490"/>
      <c r="DS310" s="490"/>
      <c r="DT310" s="490"/>
      <c r="DU310" s="490"/>
      <c r="DV310" s="490"/>
      <c r="DW310" s="490"/>
      <c r="DX310" s="490"/>
      <c r="DY310" s="490"/>
      <c r="DZ310" s="490"/>
      <c r="EA310" s="490"/>
      <c r="EB310" s="490"/>
      <c r="EC310" s="490"/>
      <c r="ED310" s="490"/>
      <c r="EE310" s="490"/>
      <c r="EF310" s="490"/>
      <c r="EG310" s="490"/>
      <c r="EH310" s="490"/>
      <c r="EI310" s="490"/>
      <c r="EJ310" s="490"/>
      <c r="EK310" s="490"/>
      <c r="EL310" s="490"/>
      <c r="EM310" s="490"/>
      <c r="EN310" s="490"/>
      <c r="EO310" s="490"/>
      <c r="EP310" s="490"/>
      <c r="EQ310" s="490"/>
      <c r="ER310" s="490"/>
      <c r="ES310" s="490"/>
      <c r="ET310" s="490"/>
      <c r="EU310" s="490"/>
      <c r="EV310" s="490"/>
      <c r="EW310" s="490"/>
      <c r="EX310" s="490"/>
      <c r="EY310" s="490"/>
      <c r="EZ310" s="490"/>
      <c r="FA310" s="490"/>
      <c r="FB310" s="490"/>
      <c r="FC310" s="490"/>
      <c r="FD310" s="490"/>
      <c r="FE310" s="490"/>
      <c r="FF310" s="490"/>
      <c r="FG310" s="490"/>
      <c r="FH310" s="490"/>
      <c r="FI310" s="490"/>
      <c r="FJ310" s="490"/>
      <c r="FK310" s="490"/>
      <c r="FL310" s="490"/>
      <c r="FM310" s="490"/>
      <c r="FN310" s="490"/>
    </row>
    <row r="311" s="492" customFormat="1" spans="1:170">
      <c r="A311" s="519"/>
      <c r="B311" s="509"/>
      <c r="C311" s="520"/>
      <c r="D311" s="509"/>
      <c r="E311" s="509"/>
      <c r="F311" s="545" t="s">
        <v>159</v>
      </c>
      <c r="G311" s="542">
        <v>1.04</v>
      </c>
      <c r="H311" s="542">
        <v>0.3</v>
      </c>
      <c r="I311" s="546" t="s">
        <v>22</v>
      </c>
      <c r="J311" s="542">
        <v>1.77</v>
      </c>
      <c r="K311" s="513"/>
      <c r="L311" s="509"/>
      <c r="M311" s="490"/>
      <c r="N311" s="490"/>
      <c r="O311" s="490"/>
      <c r="P311" s="490"/>
      <c r="Q311" s="490"/>
      <c r="R311" s="490"/>
      <c r="S311" s="490"/>
      <c r="T311" s="490"/>
      <c r="U311" s="490"/>
      <c r="V311" s="490"/>
      <c r="W311" s="490"/>
      <c r="X311" s="490"/>
      <c r="Y311" s="490"/>
      <c r="Z311" s="490"/>
      <c r="AA311" s="490"/>
      <c r="AB311" s="490"/>
      <c r="AC311" s="490"/>
      <c r="AD311" s="490"/>
      <c r="AE311" s="490"/>
      <c r="AF311" s="490"/>
      <c r="AG311" s="490"/>
      <c r="AH311" s="490"/>
      <c r="AI311" s="490"/>
      <c r="AJ311" s="490"/>
      <c r="AK311" s="490"/>
      <c r="AL311" s="490"/>
      <c r="AM311" s="490"/>
      <c r="AN311" s="490"/>
      <c r="AO311" s="490"/>
      <c r="AP311" s="490"/>
      <c r="AQ311" s="490"/>
      <c r="AR311" s="490"/>
      <c r="AS311" s="490"/>
      <c r="AT311" s="490"/>
      <c r="AU311" s="490"/>
      <c r="AV311" s="490"/>
      <c r="AW311" s="490"/>
      <c r="AX311" s="490"/>
      <c r="AY311" s="490"/>
      <c r="AZ311" s="490"/>
      <c r="BA311" s="490"/>
      <c r="BB311" s="490"/>
      <c r="BC311" s="490"/>
      <c r="BD311" s="490"/>
      <c r="BE311" s="490"/>
      <c r="BF311" s="490"/>
      <c r="BG311" s="490"/>
      <c r="BH311" s="490"/>
      <c r="BI311" s="490"/>
      <c r="BJ311" s="490"/>
      <c r="BK311" s="490"/>
      <c r="BL311" s="490"/>
      <c r="BM311" s="490"/>
      <c r="BN311" s="490"/>
      <c r="BO311" s="490"/>
      <c r="BP311" s="490"/>
      <c r="BQ311" s="490"/>
      <c r="BR311" s="490"/>
      <c r="BS311" s="490"/>
      <c r="BT311" s="490"/>
      <c r="BU311" s="490"/>
      <c r="BV311" s="490"/>
      <c r="BW311" s="490"/>
      <c r="BX311" s="490"/>
      <c r="BY311" s="490"/>
      <c r="BZ311" s="490"/>
      <c r="CA311" s="490"/>
      <c r="CB311" s="490"/>
      <c r="CC311" s="490"/>
      <c r="CD311" s="490"/>
      <c r="CE311" s="490"/>
      <c r="CF311" s="490"/>
      <c r="CG311" s="490"/>
      <c r="CH311" s="490"/>
      <c r="CI311" s="490"/>
      <c r="CJ311" s="490"/>
      <c r="CK311" s="490"/>
      <c r="CL311" s="490"/>
      <c r="CM311" s="490"/>
      <c r="CN311" s="490"/>
      <c r="CO311" s="490"/>
      <c r="CP311" s="490"/>
      <c r="CQ311" s="490"/>
      <c r="CR311" s="490"/>
      <c r="CS311" s="490"/>
      <c r="CT311" s="490"/>
      <c r="CU311" s="490"/>
      <c r="CV311" s="490"/>
      <c r="CW311" s="490"/>
      <c r="CX311" s="490"/>
      <c r="CY311" s="490"/>
      <c r="CZ311" s="490"/>
      <c r="DA311" s="490"/>
      <c r="DB311" s="490"/>
      <c r="DC311" s="490"/>
      <c r="DD311" s="490"/>
      <c r="DE311" s="490"/>
      <c r="DF311" s="490"/>
      <c r="DG311" s="490"/>
      <c r="DH311" s="490"/>
      <c r="DI311" s="490"/>
      <c r="DJ311" s="490"/>
      <c r="DK311" s="490"/>
      <c r="DL311" s="490"/>
      <c r="DM311" s="490"/>
      <c r="DN311" s="490"/>
      <c r="DO311" s="490"/>
      <c r="DP311" s="490"/>
      <c r="DQ311" s="490"/>
      <c r="DR311" s="490"/>
      <c r="DS311" s="490"/>
      <c r="DT311" s="490"/>
      <c r="DU311" s="490"/>
      <c r="DV311" s="490"/>
      <c r="DW311" s="490"/>
      <c r="DX311" s="490"/>
      <c r="DY311" s="490"/>
      <c r="DZ311" s="490"/>
      <c r="EA311" s="490"/>
      <c r="EB311" s="490"/>
      <c r="EC311" s="490"/>
      <c r="ED311" s="490"/>
      <c r="EE311" s="490"/>
      <c r="EF311" s="490"/>
      <c r="EG311" s="490"/>
      <c r="EH311" s="490"/>
      <c r="EI311" s="490"/>
      <c r="EJ311" s="490"/>
      <c r="EK311" s="490"/>
      <c r="EL311" s="490"/>
      <c r="EM311" s="490"/>
      <c r="EN311" s="490"/>
      <c r="EO311" s="490"/>
      <c r="EP311" s="490"/>
      <c r="EQ311" s="490"/>
      <c r="ER311" s="490"/>
      <c r="ES311" s="490"/>
      <c r="ET311" s="490"/>
      <c r="EU311" s="490"/>
      <c r="EV311" s="490"/>
      <c r="EW311" s="490"/>
      <c r="EX311" s="490"/>
      <c r="EY311" s="490"/>
      <c r="EZ311" s="490"/>
      <c r="FA311" s="490"/>
      <c r="FB311" s="490"/>
      <c r="FC311" s="490"/>
      <c r="FD311" s="490"/>
      <c r="FE311" s="490"/>
      <c r="FF311" s="490"/>
      <c r="FG311" s="490"/>
      <c r="FH311" s="490"/>
      <c r="FI311" s="490"/>
      <c r="FJ311" s="490"/>
      <c r="FK311" s="490"/>
      <c r="FL311" s="490"/>
      <c r="FM311" s="490"/>
      <c r="FN311" s="490"/>
    </row>
    <row r="312" s="492" customFormat="1" spans="1:170">
      <c r="A312" s="519"/>
      <c r="B312" s="509"/>
      <c r="C312" s="520"/>
      <c r="D312" s="509"/>
      <c r="E312" s="509"/>
      <c r="F312" s="545" t="s">
        <v>148</v>
      </c>
      <c r="G312" s="542">
        <v>1.53</v>
      </c>
      <c r="H312" s="542">
        <v>0.7</v>
      </c>
      <c r="I312" s="546" t="s">
        <v>24</v>
      </c>
      <c r="J312" s="542" t="s">
        <v>24</v>
      </c>
      <c r="K312" s="517"/>
      <c r="L312" s="509"/>
      <c r="M312" s="490"/>
      <c r="N312" s="490"/>
      <c r="O312" s="490"/>
      <c r="P312" s="490"/>
      <c r="Q312" s="490"/>
      <c r="R312" s="490"/>
      <c r="S312" s="490"/>
      <c r="T312" s="490"/>
      <c r="U312" s="490"/>
      <c r="V312" s="490"/>
      <c r="W312" s="490"/>
      <c r="X312" s="490"/>
      <c r="Y312" s="490"/>
      <c r="Z312" s="490"/>
      <c r="AA312" s="490"/>
      <c r="AB312" s="490"/>
      <c r="AC312" s="490"/>
      <c r="AD312" s="490"/>
      <c r="AE312" s="490"/>
      <c r="AF312" s="490"/>
      <c r="AG312" s="490"/>
      <c r="AH312" s="490"/>
      <c r="AI312" s="490"/>
      <c r="AJ312" s="490"/>
      <c r="AK312" s="490"/>
      <c r="AL312" s="490"/>
      <c r="AM312" s="490"/>
      <c r="AN312" s="490"/>
      <c r="AO312" s="490"/>
      <c r="AP312" s="490"/>
      <c r="AQ312" s="490"/>
      <c r="AR312" s="490"/>
      <c r="AS312" s="490"/>
      <c r="AT312" s="490"/>
      <c r="AU312" s="490"/>
      <c r="AV312" s="490"/>
      <c r="AW312" s="490"/>
      <c r="AX312" s="490"/>
      <c r="AY312" s="490"/>
      <c r="AZ312" s="490"/>
      <c r="BA312" s="490"/>
      <c r="BB312" s="490"/>
      <c r="BC312" s="490"/>
      <c r="BD312" s="490"/>
      <c r="BE312" s="490"/>
      <c r="BF312" s="490"/>
      <c r="BG312" s="490"/>
      <c r="BH312" s="490"/>
      <c r="BI312" s="490"/>
      <c r="BJ312" s="490"/>
      <c r="BK312" s="490"/>
      <c r="BL312" s="490"/>
      <c r="BM312" s="490"/>
      <c r="BN312" s="490"/>
      <c r="BO312" s="490"/>
      <c r="BP312" s="490"/>
      <c r="BQ312" s="490"/>
      <c r="BR312" s="490"/>
      <c r="BS312" s="490"/>
      <c r="BT312" s="490"/>
      <c r="BU312" s="490"/>
      <c r="BV312" s="490"/>
      <c r="BW312" s="490"/>
      <c r="BX312" s="490"/>
      <c r="BY312" s="490"/>
      <c r="BZ312" s="490"/>
      <c r="CA312" s="490"/>
      <c r="CB312" s="490"/>
      <c r="CC312" s="490"/>
      <c r="CD312" s="490"/>
      <c r="CE312" s="490"/>
      <c r="CF312" s="490"/>
      <c r="CG312" s="490"/>
      <c r="CH312" s="490"/>
      <c r="CI312" s="490"/>
      <c r="CJ312" s="490"/>
      <c r="CK312" s="490"/>
      <c r="CL312" s="490"/>
      <c r="CM312" s="490"/>
      <c r="CN312" s="490"/>
      <c r="CO312" s="490"/>
      <c r="CP312" s="490"/>
      <c r="CQ312" s="490"/>
      <c r="CR312" s="490"/>
      <c r="CS312" s="490"/>
      <c r="CT312" s="490"/>
      <c r="CU312" s="490"/>
      <c r="CV312" s="490"/>
      <c r="CW312" s="490"/>
      <c r="CX312" s="490"/>
      <c r="CY312" s="490"/>
      <c r="CZ312" s="490"/>
      <c r="DA312" s="490"/>
      <c r="DB312" s="490"/>
      <c r="DC312" s="490"/>
      <c r="DD312" s="490"/>
      <c r="DE312" s="490"/>
      <c r="DF312" s="490"/>
      <c r="DG312" s="490"/>
      <c r="DH312" s="490"/>
      <c r="DI312" s="490"/>
      <c r="DJ312" s="490"/>
      <c r="DK312" s="490"/>
      <c r="DL312" s="490"/>
      <c r="DM312" s="490"/>
      <c r="DN312" s="490"/>
      <c r="DO312" s="490"/>
      <c r="DP312" s="490"/>
      <c r="DQ312" s="490"/>
      <c r="DR312" s="490"/>
      <c r="DS312" s="490"/>
      <c r="DT312" s="490"/>
      <c r="DU312" s="490"/>
      <c r="DV312" s="490"/>
      <c r="DW312" s="490"/>
      <c r="DX312" s="490"/>
      <c r="DY312" s="490"/>
      <c r="DZ312" s="490"/>
      <c r="EA312" s="490"/>
      <c r="EB312" s="490"/>
      <c r="EC312" s="490"/>
      <c r="ED312" s="490"/>
      <c r="EE312" s="490"/>
      <c r="EF312" s="490"/>
      <c r="EG312" s="490"/>
      <c r="EH312" s="490"/>
      <c r="EI312" s="490"/>
      <c r="EJ312" s="490"/>
      <c r="EK312" s="490"/>
      <c r="EL312" s="490"/>
      <c r="EM312" s="490"/>
      <c r="EN312" s="490"/>
      <c r="EO312" s="490"/>
      <c r="EP312" s="490"/>
      <c r="EQ312" s="490"/>
      <c r="ER312" s="490"/>
      <c r="ES312" s="490"/>
      <c r="ET312" s="490"/>
      <c r="EU312" s="490"/>
      <c r="EV312" s="490"/>
      <c r="EW312" s="490"/>
      <c r="EX312" s="490"/>
      <c r="EY312" s="490"/>
      <c r="EZ312" s="490"/>
      <c r="FA312" s="490"/>
      <c r="FB312" s="490"/>
      <c r="FC312" s="490"/>
      <c r="FD312" s="490"/>
      <c r="FE312" s="490"/>
      <c r="FF312" s="490"/>
      <c r="FG312" s="490"/>
      <c r="FH312" s="490"/>
      <c r="FI312" s="490"/>
      <c r="FJ312" s="490"/>
      <c r="FK312" s="490"/>
      <c r="FL312" s="490"/>
      <c r="FM312" s="490"/>
      <c r="FN312" s="490"/>
    </row>
    <row r="313" s="492" customFormat="1" spans="1:170">
      <c r="A313" s="519">
        <v>46177</v>
      </c>
      <c r="B313" s="509" t="s">
        <v>816</v>
      </c>
      <c r="C313" s="520">
        <v>10</v>
      </c>
      <c r="D313" s="509" t="s">
        <v>14</v>
      </c>
      <c r="E313" s="509" t="s">
        <v>14</v>
      </c>
      <c r="F313" s="515" t="s">
        <v>73</v>
      </c>
      <c r="G313" s="542">
        <v>1.87</v>
      </c>
      <c r="H313" s="542">
        <v>8.4</v>
      </c>
      <c r="I313" s="546" t="s">
        <v>17</v>
      </c>
      <c r="J313" s="542">
        <v>1.6</v>
      </c>
      <c r="K313" s="507" t="s">
        <v>595</v>
      </c>
      <c r="L313" s="545" t="s">
        <v>773</v>
      </c>
      <c r="M313" s="490"/>
      <c r="N313" s="490"/>
      <c r="O313" s="490"/>
      <c r="P313" s="490"/>
      <c r="Q313" s="490"/>
      <c r="R313" s="490"/>
      <c r="S313" s="490"/>
      <c r="T313" s="490"/>
      <c r="U313" s="490"/>
      <c r="V313" s="490"/>
      <c r="W313" s="490"/>
      <c r="X313" s="490"/>
      <c r="Y313" s="490"/>
      <c r="Z313" s="490"/>
      <c r="AA313" s="490"/>
      <c r="AB313" s="490"/>
      <c r="AC313" s="490"/>
      <c r="AD313" s="490"/>
      <c r="AE313" s="490"/>
      <c r="AF313" s="490"/>
      <c r="AG313" s="490"/>
      <c r="AH313" s="490"/>
      <c r="AI313" s="490"/>
      <c r="AJ313" s="490"/>
      <c r="AK313" s="490"/>
      <c r="AL313" s="490"/>
      <c r="AM313" s="490"/>
      <c r="AN313" s="490"/>
      <c r="AO313" s="490"/>
      <c r="AP313" s="490"/>
      <c r="AQ313" s="490"/>
      <c r="AR313" s="490"/>
      <c r="AS313" s="490"/>
      <c r="AT313" s="490"/>
      <c r="AU313" s="490"/>
      <c r="AV313" s="490"/>
      <c r="AW313" s="490"/>
      <c r="AX313" s="490"/>
      <c r="AY313" s="490"/>
      <c r="AZ313" s="490"/>
      <c r="BA313" s="490"/>
      <c r="BB313" s="490"/>
      <c r="BC313" s="490"/>
      <c r="BD313" s="490"/>
      <c r="BE313" s="490"/>
      <c r="BF313" s="490"/>
      <c r="BG313" s="490"/>
      <c r="BH313" s="490"/>
      <c r="BI313" s="490"/>
      <c r="BJ313" s="490"/>
      <c r="BK313" s="490"/>
      <c r="BL313" s="490"/>
      <c r="BM313" s="490"/>
      <c r="BN313" s="490"/>
      <c r="BO313" s="490"/>
      <c r="BP313" s="490"/>
      <c r="BQ313" s="490"/>
      <c r="BR313" s="490"/>
      <c r="BS313" s="490"/>
      <c r="BT313" s="490"/>
      <c r="BU313" s="490"/>
      <c r="BV313" s="490"/>
      <c r="BW313" s="490"/>
      <c r="BX313" s="490"/>
      <c r="BY313" s="490"/>
      <c r="BZ313" s="490"/>
      <c r="CA313" s="490"/>
      <c r="CB313" s="490"/>
      <c r="CC313" s="490"/>
      <c r="CD313" s="490"/>
      <c r="CE313" s="490"/>
      <c r="CF313" s="490"/>
      <c r="CG313" s="490"/>
      <c r="CH313" s="490"/>
      <c r="CI313" s="490"/>
      <c r="CJ313" s="490"/>
      <c r="CK313" s="490"/>
      <c r="CL313" s="490"/>
      <c r="CM313" s="490"/>
      <c r="CN313" s="490"/>
      <c r="CO313" s="490"/>
      <c r="CP313" s="490"/>
      <c r="CQ313" s="490"/>
      <c r="CR313" s="490"/>
      <c r="CS313" s="490"/>
      <c r="CT313" s="490"/>
      <c r="CU313" s="490"/>
      <c r="CV313" s="490"/>
      <c r="CW313" s="490"/>
      <c r="CX313" s="490"/>
      <c r="CY313" s="490"/>
      <c r="CZ313" s="490"/>
      <c r="DA313" s="490"/>
      <c r="DB313" s="490"/>
      <c r="DC313" s="490"/>
      <c r="DD313" s="490"/>
      <c r="DE313" s="490"/>
      <c r="DF313" s="490"/>
      <c r="DG313" s="490"/>
      <c r="DH313" s="490"/>
      <c r="DI313" s="490"/>
      <c r="DJ313" s="490"/>
      <c r="DK313" s="490"/>
      <c r="DL313" s="490"/>
      <c r="DM313" s="490"/>
      <c r="DN313" s="490"/>
      <c r="DO313" s="490"/>
      <c r="DP313" s="490"/>
      <c r="DQ313" s="490"/>
      <c r="DR313" s="490"/>
      <c r="DS313" s="490"/>
      <c r="DT313" s="490"/>
      <c r="DU313" s="490"/>
      <c r="DV313" s="490"/>
      <c r="DW313" s="490"/>
      <c r="DX313" s="490"/>
      <c r="DY313" s="490"/>
      <c r="DZ313" s="490"/>
      <c r="EA313" s="490"/>
      <c r="EB313" s="490"/>
      <c r="EC313" s="490"/>
      <c r="ED313" s="490"/>
      <c r="EE313" s="490"/>
      <c r="EF313" s="490"/>
      <c r="EG313" s="490"/>
      <c r="EH313" s="490"/>
      <c r="EI313" s="490"/>
      <c r="EJ313" s="490"/>
      <c r="EK313" s="490"/>
      <c r="EL313" s="490"/>
      <c r="EM313" s="490"/>
      <c r="EN313" s="490"/>
      <c r="EO313" s="490"/>
      <c r="EP313" s="490"/>
      <c r="EQ313" s="490"/>
      <c r="ER313" s="490"/>
      <c r="ES313" s="490"/>
      <c r="ET313" s="490"/>
      <c r="EU313" s="490"/>
      <c r="EV313" s="490"/>
      <c r="EW313" s="490"/>
      <c r="EX313" s="490"/>
      <c r="EY313" s="490"/>
      <c r="EZ313" s="490"/>
      <c r="FA313" s="490"/>
      <c r="FB313" s="490"/>
      <c r="FC313" s="490"/>
      <c r="FD313" s="490"/>
      <c r="FE313" s="490"/>
      <c r="FF313" s="490"/>
      <c r="FG313" s="490"/>
      <c r="FH313" s="490"/>
      <c r="FI313" s="490"/>
      <c r="FJ313" s="490"/>
      <c r="FK313" s="490"/>
      <c r="FL313" s="490"/>
      <c r="FM313" s="490"/>
      <c r="FN313" s="490"/>
    </row>
    <row r="314" s="492" customFormat="1" spans="1:170">
      <c r="A314" s="519"/>
      <c r="B314" s="509"/>
      <c r="C314" s="520"/>
      <c r="D314" s="509"/>
      <c r="E314" s="509"/>
      <c r="F314" s="515" t="s">
        <v>75</v>
      </c>
      <c r="G314" s="542">
        <v>1.95</v>
      </c>
      <c r="H314" s="542">
        <v>0.5</v>
      </c>
      <c r="I314" s="546" t="s">
        <v>22</v>
      </c>
      <c r="J314" s="542">
        <v>1.7</v>
      </c>
      <c r="K314" s="513"/>
      <c r="L314" s="545"/>
      <c r="M314" s="490"/>
      <c r="N314" s="490"/>
      <c r="O314" s="490"/>
      <c r="P314" s="490"/>
      <c r="Q314" s="490"/>
      <c r="R314" s="490"/>
      <c r="S314" s="490"/>
      <c r="T314" s="490"/>
      <c r="U314" s="490"/>
      <c r="V314" s="490"/>
      <c r="W314" s="490"/>
      <c r="X314" s="490"/>
      <c r="Y314" s="490"/>
      <c r="Z314" s="490"/>
      <c r="AA314" s="490"/>
      <c r="AB314" s="490"/>
      <c r="AC314" s="490"/>
      <c r="AD314" s="490"/>
      <c r="AE314" s="490"/>
      <c r="AF314" s="490"/>
      <c r="AG314" s="490"/>
      <c r="AH314" s="490"/>
      <c r="AI314" s="490"/>
      <c r="AJ314" s="490"/>
      <c r="AK314" s="490"/>
      <c r="AL314" s="490"/>
      <c r="AM314" s="490"/>
      <c r="AN314" s="490"/>
      <c r="AO314" s="490"/>
      <c r="AP314" s="490"/>
      <c r="AQ314" s="490"/>
      <c r="AR314" s="490"/>
      <c r="AS314" s="490"/>
      <c r="AT314" s="490"/>
      <c r="AU314" s="490"/>
      <c r="AV314" s="490"/>
      <c r="AW314" s="490"/>
      <c r="AX314" s="490"/>
      <c r="AY314" s="490"/>
      <c r="AZ314" s="490"/>
      <c r="BA314" s="490"/>
      <c r="BB314" s="490"/>
      <c r="BC314" s="490"/>
      <c r="BD314" s="490"/>
      <c r="BE314" s="490"/>
      <c r="BF314" s="490"/>
      <c r="BG314" s="490"/>
      <c r="BH314" s="490"/>
      <c r="BI314" s="490"/>
      <c r="BJ314" s="490"/>
      <c r="BK314" s="490"/>
      <c r="BL314" s="490"/>
      <c r="BM314" s="490"/>
      <c r="BN314" s="490"/>
      <c r="BO314" s="490"/>
      <c r="BP314" s="490"/>
      <c r="BQ314" s="490"/>
      <c r="BR314" s="490"/>
      <c r="BS314" s="490"/>
      <c r="BT314" s="490"/>
      <c r="BU314" s="490"/>
      <c r="BV314" s="490"/>
      <c r="BW314" s="490"/>
      <c r="BX314" s="490"/>
      <c r="BY314" s="490"/>
      <c r="BZ314" s="490"/>
      <c r="CA314" s="490"/>
      <c r="CB314" s="490"/>
      <c r="CC314" s="490"/>
      <c r="CD314" s="490"/>
      <c r="CE314" s="490"/>
      <c r="CF314" s="490"/>
      <c r="CG314" s="490"/>
      <c r="CH314" s="490"/>
      <c r="CI314" s="490"/>
      <c r="CJ314" s="490"/>
      <c r="CK314" s="490"/>
      <c r="CL314" s="490"/>
      <c r="CM314" s="490"/>
      <c r="CN314" s="490"/>
      <c r="CO314" s="490"/>
      <c r="CP314" s="490"/>
      <c r="CQ314" s="490"/>
      <c r="CR314" s="490"/>
      <c r="CS314" s="490"/>
      <c r="CT314" s="490"/>
      <c r="CU314" s="490"/>
      <c r="CV314" s="490"/>
      <c r="CW314" s="490"/>
      <c r="CX314" s="490"/>
      <c r="CY314" s="490"/>
      <c r="CZ314" s="490"/>
      <c r="DA314" s="490"/>
      <c r="DB314" s="490"/>
      <c r="DC314" s="490"/>
      <c r="DD314" s="490"/>
      <c r="DE314" s="490"/>
      <c r="DF314" s="490"/>
      <c r="DG314" s="490"/>
      <c r="DH314" s="490"/>
      <c r="DI314" s="490"/>
      <c r="DJ314" s="490"/>
      <c r="DK314" s="490"/>
      <c r="DL314" s="490"/>
      <c r="DM314" s="490"/>
      <c r="DN314" s="490"/>
      <c r="DO314" s="490"/>
      <c r="DP314" s="490"/>
      <c r="DQ314" s="490"/>
      <c r="DR314" s="490"/>
      <c r="DS314" s="490"/>
      <c r="DT314" s="490"/>
      <c r="DU314" s="490"/>
      <c r="DV314" s="490"/>
      <c r="DW314" s="490"/>
      <c r="DX314" s="490"/>
      <c r="DY314" s="490"/>
      <c r="DZ314" s="490"/>
      <c r="EA314" s="490"/>
      <c r="EB314" s="490"/>
      <c r="EC314" s="490"/>
      <c r="ED314" s="490"/>
      <c r="EE314" s="490"/>
      <c r="EF314" s="490"/>
      <c r="EG314" s="490"/>
      <c r="EH314" s="490"/>
      <c r="EI314" s="490"/>
      <c r="EJ314" s="490"/>
      <c r="EK314" s="490"/>
      <c r="EL314" s="490"/>
      <c r="EM314" s="490"/>
      <c r="EN314" s="490"/>
      <c r="EO314" s="490"/>
      <c r="EP314" s="490"/>
      <c r="EQ314" s="490"/>
      <c r="ER314" s="490"/>
      <c r="ES314" s="490"/>
      <c r="ET314" s="490"/>
      <c r="EU314" s="490"/>
      <c r="EV314" s="490"/>
      <c r="EW314" s="490"/>
      <c r="EX314" s="490"/>
      <c r="EY314" s="490"/>
      <c r="EZ314" s="490"/>
      <c r="FA314" s="490"/>
      <c r="FB314" s="490"/>
      <c r="FC314" s="490"/>
      <c r="FD314" s="490"/>
      <c r="FE314" s="490"/>
      <c r="FF314" s="490"/>
      <c r="FG314" s="490"/>
      <c r="FH314" s="490"/>
      <c r="FI314" s="490"/>
      <c r="FJ314" s="490"/>
      <c r="FK314" s="490"/>
      <c r="FL314" s="490"/>
      <c r="FM314" s="490"/>
      <c r="FN314" s="490"/>
    </row>
    <row r="315" s="492" customFormat="1" spans="1:170">
      <c r="A315" s="519"/>
      <c r="B315" s="509"/>
      <c r="C315" s="520"/>
      <c r="D315" s="509"/>
      <c r="E315" s="509"/>
      <c r="F315" s="515" t="s">
        <v>90</v>
      </c>
      <c r="G315" s="542">
        <v>2.04</v>
      </c>
      <c r="H315" s="542">
        <v>0.3</v>
      </c>
      <c r="I315" s="546" t="s">
        <v>44</v>
      </c>
      <c r="J315" s="542">
        <v>1.9</v>
      </c>
      <c r="K315" s="513"/>
      <c r="L315" s="545"/>
      <c r="M315" s="490"/>
      <c r="N315" s="490"/>
      <c r="O315" s="490"/>
      <c r="P315" s="490"/>
      <c r="Q315" s="490"/>
      <c r="R315" s="490"/>
      <c r="S315" s="490"/>
      <c r="T315" s="490"/>
      <c r="U315" s="490"/>
      <c r="V315" s="490"/>
      <c r="W315" s="490"/>
      <c r="X315" s="490"/>
      <c r="Y315" s="490"/>
      <c r="Z315" s="490"/>
      <c r="AA315" s="490"/>
      <c r="AB315" s="490"/>
      <c r="AC315" s="490"/>
      <c r="AD315" s="490"/>
      <c r="AE315" s="490"/>
      <c r="AF315" s="490"/>
      <c r="AG315" s="490"/>
      <c r="AH315" s="490"/>
      <c r="AI315" s="490"/>
      <c r="AJ315" s="490"/>
      <c r="AK315" s="490"/>
      <c r="AL315" s="490"/>
      <c r="AM315" s="490"/>
      <c r="AN315" s="490"/>
      <c r="AO315" s="490"/>
      <c r="AP315" s="490"/>
      <c r="AQ315" s="490"/>
      <c r="AR315" s="490"/>
      <c r="AS315" s="490"/>
      <c r="AT315" s="490"/>
      <c r="AU315" s="490"/>
      <c r="AV315" s="490"/>
      <c r="AW315" s="490"/>
      <c r="AX315" s="490"/>
      <c r="AY315" s="490"/>
      <c r="AZ315" s="490"/>
      <c r="BA315" s="490"/>
      <c r="BB315" s="490"/>
      <c r="BC315" s="490"/>
      <c r="BD315" s="490"/>
      <c r="BE315" s="490"/>
      <c r="BF315" s="490"/>
      <c r="BG315" s="490"/>
      <c r="BH315" s="490"/>
      <c r="BI315" s="490"/>
      <c r="BJ315" s="490"/>
      <c r="BK315" s="490"/>
      <c r="BL315" s="490"/>
      <c r="BM315" s="490"/>
      <c r="BN315" s="490"/>
      <c r="BO315" s="490"/>
      <c r="BP315" s="490"/>
      <c r="BQ315" s="490"/>
      <c r="BR315" s="490"/>
      <c r="BS315" s="490"/>
      <c r="BT315" s="490"/>
      <c r="BU315" s="490"/>
      <c r="BV315" s="490"/>
      <c r="BW315" s="490"/>
      <c r="BX315" s="490"/>
      <c r="BY315" s="490"/>
      <c r="BZ315" s="490"/>
      <c r="CA315" s="490"/>
      <c r="CB315" s="490"/>
      <c r="CC315" s="490"/>
      <c r="CD315" s="490"/>
      <c r="CE315" s="490"/>
      <c r="CF315" s="490"/>
      <c r="CG315" s="490"/>
      <c r="CH315" s="490"/>
      <c r="CI315" s="490"/>
      <c r="CJ315" s="490"/>
      <c r="CK315" s="490"/>
      <c r="CL315" s="490"/>
      <c r="CM315" s="490"/>
      <c r="CN315" s="490"/>
      <c r="CO315" s="490"/>
      <c r="CP315" s="490"/>
      <c r="CQ315" s="490"/>
      <c r="CR315" s="490"/>
      <c r="CS315" s="490"/>
      <c r="CT315" s="490"/>
      <c r="CU315" s="490"/>
      <c r="CV315" s="490"/>
      <c r="CW315" s="490"/>
      <c r="CX315" s="490"/>
      <c r="CY315" s="490"/>
      <c r="CZ315" s="490"/>
      <c r="DA315" s="490"/>
      <c r="DB315" s="490"/>
      <c r="DC315" s="490"/>
      <c r="DD315" s="490"/>
      <c r="DE315" s="490"/>
      <c r="DF315" s="490"/>
      <c r="DG315" s="490"/>
      <c r="DH315" s="490"/>
      <c r="DI315" s="490"/>
      <c r="DJ315" s="490"/>
      <c r="DK315" s="490"/>
      <c r="DL315" s="490"/>
      <c r="DM315" s="490"/>
      <c r="DN315" s="490"/>
      <c r="DO315" s="490"/>
      <c r="DP315" s="490"/>
      <c r="DQ315" s="490"/>
      <c r="DR315" s="490"/>
      <c r="DS315" s="490"/>
      <c r="DT315" s="490"/>
      <c r="DU315" s="490"/>
      <c r="DV315" s="490"/>
      <c r="DW315" s="490"/>
      <c r="DX315" s="490"/>
      <c r="DY315" s="490"/>
      <c r="DZ315" s="490"/>
      <c r="EA315" s="490"/>
      <c r="EB315" s="490"/>
      <c r="EC315" s="490"/>
      <c r="ED315" s="490"/>
      <c r="EE315" s="490"/>
      <c r="EF315" s="490"/>
      <c r="EG315" s="490"/>
      <c r="EH315" s="490"/>
      <c r="EI315" s="490"/>
      <c r="EJ315" s="490"/>
      <c r="EK315" s="490"/>
      <c r="EL315" s="490"/>
      <c r="EM315" s="490"/>
      <c r="EN315" s="490"/>
      <c r="EO315" s="490"/>
      <c r="EP315" s="490"/>
      <c r="EQ315" s="490"/>
      <c r="ER315" s="490"/>
      <c r="ES315" s="490"/>
      <c r="ET315" s="490"/>
      <c r="EU315" s="490"/>
      <c r="EV315" s="490"/>
      <c r="EW315" s="490"/>
      <c r="EX315" s="490"/>
      <c r="EY315" s="490"/>
      <c r="EZ315" s="490"/>
      <c r="FA315" s="490"/>
      <c r="FB315" s="490"/>
      <c r="FC315" s="490"/>
      <c r="FD315" s="490"/>
      <c r="FE315" s="490"/>
      <c r="FF315" s="490"/>
      <c r="FG315" s="490"/>
      <c r="FH315" s="490"/>
      <c r="FI315" s="490"/>
      <c r="FJ315" s="490"/>
      <c r="FK315" s="490"/>
      <c r="FL315" s="490"/>
      <c r="FM315" s="490"/>
      <c r="FN315" s="490"/>
    </row>
    <row r="316" s="492" customFormat="1" spans="1:170">
      <c r="A316" s="519"/>
      <c r="B316" s="509"/>
      <c r="C316" s="520"/>
      <c r="D316" s="509"/>
      <c r="E316" s="509"/>
      <c r="F316" s="515" t="s">
        <v>91</v>
      </c>
      <c r="G316" s="542">
        <v>2.71</v>
      </c>
      <c r="H316" s="542">
        <v>0.8</v>
      </c>
      <c r="I316" s="542" t="s">
        <v>24</v>
      </c>
      <c r="J316" s="542" t="s">
        <v>24</v>
      </c>
      <c r="K316" s="517"/>
      <c r="L316" s="545"/>
      <c r="M316" s="490"/>
      <c r="N316" s="490"/>
      <c r="O316" s="490"/>
      <c r="P316" s="490"/>
      <c r="Q316" s="490"/>
      <c r="R316" s="490"/>
      <c r="S316" s="490"/>
      <c r="T316" s="490"/>
      <c r="U316" s="490"/>
      <c r="V316" s="490"/>
      <c r="W316" s="490"/>
      <c r="X316" s="490"/>
      <c r="Y316" s="490"/>
      <c r="Z316" s="490"/>
      <c r="AA316" s="490"/>
      <c r="AB316" s="490"/>
      <c r="AC316" s="490"/>
      <c r="AD316" s="490"/>
      <c r="AE316" s="490"/>
      <c r="AF316" s="490"/>
      <c r="AG316" s="490"/>
      <c r="AH316" s="490"/>
      <c r="AI316" s="490"/>
      <c r="AJ316" s="490"/>
      <c r="AK316" s="490"/>
      <c r="AL316" s="490"/>
      <c r="AM316" s="490"/>
      <c r="AN316" s="490"/>
      <c r="AO316" s="490"/>
      <c r="AP316" s="490"/>
      <c r="AQ316" s="490"/>
      <c r="AR316" s="490"/>
      <c r="AS316" s="490"/>
      <c r="AT316" s="490"/>
      <c r="AU316" s="490"/>
      <c r="AV316" s="490"/>
      <c r="AW316" s="490"/>
      <c r="AX316" s="490"/>
      <c r="AY316" s="490"/>
      <c r="AZ316" s="490"/>
      <c r="BA316" s="490"/>
      <c r="BB316" s="490"/>
      <c r="BC316" s="490"/>
      <c r="BD316" s="490"/>
      <c r="BE316" s="490"/>
      <c r="BF316" s="490"/>
      <c r="BG316" s="490"/>
      <c r="BH316" s="490"/>
      <c r="BI316" s="490"/>
      <c r="BJ316" s="490"/>
      <c r="BK316" s="490"/>
      <c r="BL316" s="490"/>
      <c r="BM316" s="490"/>
      <c r="BN316" s="490"/>
      <c r="BO316" s="490"/>
      <c r="BP316" s="490"/>
      <c r="BQ316" s="490"/>
      <c r="BR316" s="490"/>
      <c r="BS316" s="490"/>
      <c r="BT316" s="490"/>
      <c r="BU316" s="490"/>
      <c r="BV316" s="490"/>
      <c r="BW316" s="490"/>
      <c r="BX316" s="490"/>
      <c r="BY316" s="490"/>
      <c r="BZ316" s="490"/>
      <c r="CA316" s="490"/>
      <c r="CB316" s="490"/>
      <c r="CC316" s="490"/>
      <c r="CD316" s="490"/>
      <c r="CE316" s="490"/>
      <c r="CF316" s="490"/>
      <c r="CG316" s="490"/>
      <c r="CH316" s="490"/>
      <c r="CI316" s="490"/>
      <c r="CJ316" s="490"/>
      <c r="CK316" s="490"/>
      <c r="CL316" s="490"/>
      <c r="CM316" s="490"/>
      <c r="CN316" s="490"/>
      <c r="CO316" s="490"/>
      <c r="CP316" s="490"/>
      <c r="CQ316" s="490"/>
      <c r="CR316" s="490"/>
      <c r="CS316" s="490"/>
      <c r="CT316" s="490"/>
      <c r="CU316" s="490"/>
      <c r="CV316" s="490"/>
      <c r="CW316" s="490"/>
      <c r="CX316" s="490"/>
      <c r="CY316" s="490"/>
      <c r="CZ316" s="490"/>
      <c r="DA316" s="490"/>
      <c r="DB316" s="490"/>
      <c r="DC316" s="490"/>
      <c r="DD316" s="490"/>
      <c r="DE316" s="490"/>
      <c r="DF316" s="490"/>
      <c r="DG316" s="490"/>
      <c r="DH316" s="490"/>
      <c r="DI316" s="490"/>
      <c r="DJ316" s="490"/>
      <c r="DK316" s="490"/>
      <c r="DL316" s="490"/>
      <c r="DM316" s="490"/>
      <c r="DN316" s="490"/>
      <c r="DO316" s="490"/>
      <c r="DP316" s="490"/>
      <c r="DQ316" s="490"/>
      <c r="DR316" s="490"/>
      <c r="DS316" s="490"/>
      <c r="DT316" s="490"/>
      <c r="DU316" s="490"/>
      <c r="DV316" s="490"/>
      <c r="DW316" s="490"/>
      <c r="DX316" s="490"/>
      <c r="DY316" s="490"/>
      <c r="DZ316" s="490"/>
      <c r="EA316" s="490"/>
      <c r="EB316" s="490"/>
      <c r="EC316" s="490"/>
      <c r="ED316" s="490"/>
      <c r="EE316" s="490"/>
      <c r="EF316" s="490"/>
      <c r="EG316" s="490"/>
      <c r="EH316" s="490"/>
      <c r="EI316" s="490"/>
      <c r="EJ316" s="490"/>
      <c r="EK316" s="490"/>
      <c r="EL316" s="490"/>
      <c r="EM316" s="490"/>
      <c r="EN316" s="490"/>
      <c r="EO316" s="490"/>
      <c r="EP316" s="490"/>
      <c r="EQ316" s="490"/>
      <c r="ER316" s="490"/>
      <c r="ES316" s="490"/>
      <c r="ET316" s="490"/>
      <c r="EU316" s="490"/>
      <c r="EV316" s="490"/>
      <c r="EW316" s="490"/>
      <c r="EX316" s="490"/>
      <c r="EY316" s="490"/>
      <c r="EZ316" s="490"/>
      <c r="FA316" s="490"/>
      <c r="FB316" s="490"/>
      <c r="FC316" s="490"/>
      <c r="FD316" s="490"/>
      <c r="FE316" s="490"/>
      <c r="FF316" s="490"/>
      <c r="FG316" s="490"/>
      <c r="FH316" s="490"/>
      <c r="FI316" s="490"/>
      <c r="FJ316" s="490"/>
      <c r="FK316" s="490"/>
      <c r="FL316" s="490"/>
      <c r="FM316" s="490"/>
      <c r="FN316" s="490"/>
    </row>
    <row r="317" s="492" customFormat="1" spans="1:170">
      <c r="A317" s="519">
        <v>46178</v>
      </c>
      <c r="B317" s="509" t="s">
        <v>817</v>
      </c>
      <c r="C317" s="520">
        <v>10</v>
      </c>
      <c r="D317" s="509" t="s">
        <v>51</v>
      </c>
      <c r="E317" s="509" t="s">
        <v>208</v>
      </c>
      <c r="F317" s="545" t="s">
        <v>158</v>
      </c>
      <c r="G317" s="542">
        <v>1</v>
      </c>
      <c r="H317" s="542">
        <v>9</v>
      </c>
      <c r="I317" s="546" t="s">
        <v>17</v>
      </c>
      <c r="J317" s="542">
        <v>1.54</v>
      </c>
      <c r="K317" s="507" t="s">
        <v>607</v>
      </c>
      <c r="L317" s="509" t="s">
        <v>53</v>
      </c>
      <c r="M317" s="490"/>
      <c r="N317" s="490"/>
      <c r="O317" s="490"/>
      <c r="P317" s="490"/>
      <c r="Q317" s="490"/>
      <c r="R317" s="490"/>
      <c r="S317" s="490"/>
      <c r="T317" s="490"/>
      <c r="U317" s="490"/>
      <c r="V317" s="490"/>
      <c r="W317" s="490"/>
      <c r="X317" s="490"/>
      <c r="Y317" s="490"/>
      <c r="Z317" s="490"/>
      <c r="AA317" s="490"/>
      <c r="AB317" s="490"/>
      <c r="AC317" s="490"/>
      <c r="AD317" s="490"/>
      <c r="AE317" s="490"/>
      <c r="AF317" s="490"/>
      <c r="AG317" s="490"/>
      <c r="AH317" s="490"/>
      <c r="AI317" s="490"/>
      <c r="AJ317" s="490"/>
      <c r="AK317" s="490"/>
      <c r="AL317" s="490"/>
      <c r="AM317" s="490"/>
      <c r="AN317" s="490"/>
      <c r="AO317" s="490"/>
      <c r="AP317" s="490"/>
      <c r="AQ317" s="490"/>
      <c r="AR317" s="490"/>
      <c r="AS317" s="490"/>
      <c r="AT317" s="490"/>
      <c r="AU317" s="490"/>
      <c r="AV317" s="490"/>
      <c r="AW317" s="490"/>
      <c r="AX317" s="490"/>
      <c r="AY317" s="490"/>
      <c r="AZ317" s="490"/>
      <c r="BA317" s="490"/>
      <c r="BB317" s="490"/>
      <c r="BC317" s="490"/>
      <c r="BD317" s="490"/>
      <c r="BE317" s="490"/>
      <c r="BF317" s="490"/>
      <c r="BG317" s="490"/>
      <c r="BH317" s="490"/>
      <c r="BI317" s="490"/>
      <c r="BJ317" s="490"/>
      <c r="BK317" s="490"/>
      <c r="BL317" s="490"/>
      <c r="BM317" s="490"/>
      <c r="BN317" s="490"/>
      <c r="BO317" s="490"/>
      <c r="BP317" s="490"/>
      <c r="BQ317" s="490"/>
      <c r="BR317" s="490"/>
      <c r="BS317" s="490"/>
      <c r="BT317" s="490"/>
      <c r="BU317" s="490"/>
      <c r="BV317" s="490"/>
      <c r="BW317" s="490"/>
      <c r="BX317" s="490"/>
      <c r="BY317" s="490"/>
      <c r="BZ317" s="490"/>
      <c r="CA317" s="490"/>
      <c r="CB317" s="490"/>
      <c r="CC317" s="490"/>
      <c r="CD317" s="490"/>
      <c r="CE317" s="490"/>
      <c r="CF317" s="490"/>
      <c r="CG317" s="490"/>
      <c r="CH317" s="490"/>
      <c r="CI317" s="490"/>
      <c r="CJ317" s="490"/>
      <c r="CK317" s="490"/>
      <c r="CL317" s="490"/>
      <c r="CM317" s="490"/>
      <c r="CN317" s="490"/>
      <c r="CO317" s="490"/>
      <c r="CP317" s="490"/>
      <c r="CQ317" s="490"/>
      <c r="CR317" s="490"/>
      <c r="CS317" s="490"/>
      <c r="CT317" s="490"/>
      <c r="CU317" s="490"/>
      <c r="CV317" s="490"/>
      <c r="CW317" s="490"/>
      <c r="CX317" s="490"/>
      <c r="CY317" s="490"/>
      <c r="CZ317" s="490"/>
      <c r="DA317" s="490"/>
      <c r="DB317" s="490"/>
      <c r="DC317" s="490"/>
      <c r="DD317" s="490"/>
      <c r="DE317" s="490"/>
      <c r="DF317" s="490"/>
      <c r="DG317" s="490"/>
      <c r="DH317" s="490"/>
      <c r="DI317" s="490"/>
      <c r="DJ317" s="490"/>
      <c r="DK317" s="490"/>
      <c r="DL317" s="490"/>
      <c r="DM317" s="490"/>
      <c r="DN317" s="490"/>
      <c r="DO317" s="490"/>
      <c r="DP317" s="490"/>
      <c r="DQ317" s="490"/>
      <c r="DR317" s="490"/>
      <c r="DS317" s="490"/>
      <c r="DT317" s="490"/>
      <c r="DU317" s="490"/>
      <c r="DV317" s="490"/>
      <c r="DW317" s="490"/>
      <c r="DX317" s="490"/>
      <c r="DY317" s="490"/>
      <c r="DZ317" s="490"/>
      <c r="EA317" s="490"/>
      <c r="EB317" s="490"/>
      <c r="EC317" s="490"/>
      <c r="ED317" s="490"/>
      <c r="EE317" s="490"/>
      <c r="EF317" s="490"/>
      <c r="EG317" s="490"/>
      <c r="EH317" s="490"/>
      <c r="EI317" s="490"/>
      <c r="EJ317" s="490"/>
      <c r="EK317" s="490"/>
      <c r="EL317" s="490"/>
      <c r="EM317" s="490"/>
      <c r="EN317" s="490"/>
      <c r="EO317" s="490"/>
      <c r="EP317" s="490"/>
      <c r="EQ317" s="490"/>
      <c r="ER317" s="490"/>
      <c r="ES317" s="490"/>
      <c r="ET317" s="490"/>
      <c r="EU317" s="490"/>
      <c r="EV317" s="490"/>
      <c r="EW317" s="490"/>
      <c r="EX317" s="490"/>
      <c r="EY317" s="490"/>
      <c r="EZ317" s="490"/>
      <c r="FA317" s="490"/>
      <c r="FB317" s="490"/>
      <c r="FC317" s="490"/>
      <c r="FD317" s="490"/>
      <c r="FE317" s="490"/>
      <c r="FF317" s="490"/>
      <c r="FG317" s="490"/>
      <c r="FH317" s="490"/>
      <c r="FI317" s="490"/>
      <c r="FJ317" s="490"/>
      <c r="FK317" s="490"/>
      <c r="FL317" s="490"/>
      <c r="FM317" s="490"/>
      <c r="FN317" s="490"/>
    </row>
    <row r="318" s="492" customFormat="1" spans="1:170">
      <c r="A318" s="519"/>
      <c r="B318" s="509"/>
      <c r="C318" s="520"/>
      <c r="D318" s="509"/>
      <c r="E318" s="509"/>
      <c r="F318" s="545" t="s">
        <v>159</v>
      </c>
      <c r="G318" s="542">
        <v>1</v>
      </c>
      <c r="H318" s="542">
        <v>0.3</v>
      </c>
      <c r="I318" s="546" t="s">
        <v>22</v>
      </c>
      <c r="J318" s="542">
        <v>1.7</v>
      </c>
      <c r="K318" s="513"/>
      <c r="L318" s="509"/>
      <c r="M318" s="490"/>
      <c r="N318" s="490"/>
      <c r="O318" s="490"/>
      <c r="P318" s="490"/>
      <c r="Q318" s="490"/>
      <c r="R318" s="490"/>
      <c r="S318" s="490"/>
      <c r="T318" s="490"/>
      <c r="U318" s="490"/>
      <c r="V318" s="490"/>
      <c r="W318" s="490"/>
      <c r="X318" s="490"/>
      <c r="Y318" s="490"/>
      <c r="Z318" s="490"/>
      <c r="AA318" s="490"/>
      <c r="AB318" s="490"/>
      <c r="AC318" s="490"/>
      <c r="AD318" s="490"/>
      <c r="AE318" s="490"/>
      <c r="AF318" s="490"/>
      <c r="AG318" s="490"/>
      <c r="AH318" s="490"/>
      <c r="AI318" s="490"/>
      <c r="AJ318" s="490"/>
      <c r="AK318" s="490"/>
      <c r="AL318" s="490"/>
      <c r="AM318" s="490"/>
      <c r="AN318" s="490"/>
      <c r="AO318" s="490"/>
      <c r="AP318" s="490"/>
      <c r="AQ318" s="490"/>
      <c r="AR318" s="490"/>
      <c r="AS318" s="490"/>
      <c r="AT318" s="490"/>
      <c r="AU318" s="490"/>
      <c r="AV318" s="490"/>
      <c r="AW318" s="490"/>
      <c r="AX318" s="490"/>
      <c r="AY318" s="490"/>
      <c r="AZ318" s="490"/>
      <c r="BA318" s="490"/>
      <c r="BB318" s="490"/>
      <c r="BC318" s="490"/>
      <c r="BD318" s="490"/>
      <c r="BE318" s="490"/>
      <c r="BF318" s="490"/>
      <c r="BG318" s="490"/>
      <c r="BH318" s="490"/>
      <c r="BI318" s="490"/>
      <c r="BJ318" s="490"/>
      <c r="BK318" s="490"/>
      <c r="BL318" s="490"/>
      <c r="BM318" s="490"/>
      <c r="BN318" s="490"/>
      <c r="BO318" s="490"/>
      <c r="BP318" s="490"/>
      <c r="BQ318" s="490"/>
      <c r="BR318" s="490"/>
      <c r="BS318" s="490"/>
      <c r="BT318" s="490"/>
      <c r="BU318" s="490"/>
      <c r="BV318" s="490"/>
      <c r="BW318" s="490"/>
      <c r="BX318" s="490"/>
      <c r="BY318" s="490"/>
      <c r="BZ318" s="490"/>
      <c r="CA318" s="490"/>
      <c r="CB318" s="490"/>
      <c r="CC318" s="490"/>
      <c r="CD318" s="490"/>
      <c r="CE318" s="490"/>
      <c r="CF318" s="490"/>
      <c r="CG318" s="490"/>
      <c r="CH318" s="490"/>
      <c r="CI318" s="490"/>
      <c r="CJ318" s="490"/>
      <c r="CK318" s="490"/>
      <c r="CL318" s="490"/>
      <c r="CM318" s="490"/>
      <c r="CN318" s="490"/>
      <c r="CO318" s="490"/>
      <c r="CP318" s="490"/>
      <c r="CQ318" s="490"/>
      <c r="CR318" s="490"/>
      <c r="CS318" s="490"/>
      <c r="CT318" s="490"/>
      <c r="CU318" s="490"/>
      <c r="CV318" s="490"/>
      <c r="CW318" s="490"/>
      <c r="CX318" s="490"/>
      <c r="CY318" s="490"/>
      <c r="CZ318" s="490"/>
      <c r="DA318" s="490"/>
      <c r="DB318" s="490"/>
      <c r="DC318" s="490"/>
      <c r="DD318" s="490"/>
      <c r="DE318" s="490"/>
      <c r="DF318" s="490"/>
      <c r="DG318" s="490"/>
      <c r="DH318" s="490"/>
      <c r="DI318" s="490"/>
      <c r="DJ318" s="490"/>
      <c r="DK318" s="490"/>
      <c r="DL318" s="490"/>
      <c r="DM318" s="490"/>
      <c r="DN318" s="490"/>
      <c r="DO318" s="490"/>
      <c r="DP318" s="490"/>
      <c r="DQ318" s="490"/>
      <c r="DR318" s="490"/>
      <c r="DS318" s="490"/>
      <c r="DT318" s="490"/>
      <c r="DU318" s="490"/>
      <c r="DV318" s="490"/>
      <c r="DW318" s="490"/>
      <c r="DX318" s="490"/>
      <c r="DY318" s="490"/>
      <c r="DZ318" s="490"/>
      <c r="EA318" s="490"/>
      <c r="EB318" s="490"/>
      <c r="EC318" s="490"/>
      <c r="ED318" s="490"/>
      <c r="EE318" s="490"/>
      <c r="EF318" s="490"/>
      <c r="EG318" s="490"/>
      <c r="EH318" s="490"/>
      <c r="EI318" s="490"/>
      <c r="EJ318" s="490"/>
      <c r="EK318" s="490"/>
      <c r="EL318" s="490"/>
      <c r="EM318" s="490"/>
      <c r="EN318" s="490"/>
      <c r="EO318" s="490"/>
      <c r="EP318" s="490"/>
      <c r="EQ318" s="490"/>
      <c r="ER318" s="490"/>
      <c r="ES318" s="490"/>
      <c r="ET318" s="490"/>
      <c r="EU318" s="490"/>
      <c r="EV318" s="490"/>
      <c r="EW318" s="490"/>
      <c r="EX318" s="490"/>
      <c r="EY318" s="490"/>
      <c r="EZ318" s="490"/>
      <c r="FA318" s="490"/>
      <c r="FB318" s="490"/>
      <c r="FC318" s="490"/>
      <c r="FD318" s="490"/>
      <c r="FE318" s="490"/>
      <c r="FF318" s="490"/>
      <c r="FG318" s="490"/>
      <c r="FH318" s="490"/>
      <c r="FI318" s="490"/>
      <c r="FJ318" s="490"/>
      <c r="FK318" s="490"/>
      <c r="FL318" s="490"/>
      <c r="FM318" s="490"/>
      <c r="FN318" s="490"/>
    </row>
    <row r="319" s="492" customFormat="1" spans="1:170">
      <c r="A319" s="519"/>
      <c r="B319" s="509"/>
      <c r="C319" s="520"/>
      <c r="D319" s="509"/>
      <c r="E319" s="509"/>
      <c r="F319" s="545" t="s">
        <v>175</v>
      </c>
      <c r="G319" s="542">
        <v>1</v>
      </c>
      <c r="H319" s="542">
        <v>0.2</v>
      </c>
      <c r="I319" s="546" t="s">
        <v>44</v>
      </c>
      <c r="J319" s="542">
        <v>3.1</v>
      </c>
      <c r="K319" s="513"/>
      <c r="L319" s="509"/>
      <c r="M319" s="490"/>
      <c r="N319" s="490"/>
      <c r="O319" s="490"/>
      <c r="P319" s="490"/>
      <c r="Q319" s="490"/>
      <c r="R319" s="490"/>
      <c r="S319" s="490"/>
      <c r="T319" s="490"/>
      <c r="U319" s="490"/>
      <c r="V319" s="490"/>
      <c r="W319" s="490"/>
      <c r="X319" s="490"/>
      <c r="Y319" s="490"/>
      <c r="Z319" s="490"/>
      <c r="AA319" s="490"/>
      <c r="AB319" s="490"/>
      <c r="AC319" s="490"/>
      <c r="AD319" s="490"/>
      <c r="AE319" s="490"/>
      <c r="AF319" s="490"/>
      <c r="AG319" s="490"/>
      <c r="AH319" s="490"/>
      <c r="AI319" s="490"/>
      <c r="AJ319" s="490"/>
      <c r="AK319" s="490"/>
      <c r="AL319" s="490"/>
      <c r="AM319" s="490"/>
      <c r="AN319" s="490"/>
      <c r="AO319" s="490"/>
      <c r="AP319" s="490"/>
      <c r="AQ319" s="490"/>
      <c r="AR319" s="490"/>
      <c r="AS319" s="490"/>
      <c r="AT319" s="490"/>
      <c r="AU319" s="490"/>
      <c r="AV319" s="490"/>
      <c r="AW319" s="490"/>
      <c r="AX319" s="490"/>
      <c r="AY319" s="490"/>
      <c r="AZ319" s="490"/>
      <c r="BA319" s="490"/>
      <c r="BB319" s="490"/>
      <c r="BC319" s="490"/>
      <c r="BD319" s="490"/>
      <c r="BE319" s="490"/>
      <c r="BF319" s="490"/>
      <c r="BG319" s="490"/>
      <c r="BH319" s="490"/>
      <c r="BI319" s="490"/>
      <c r="BJ319" s="490"/>
      <c r="BK319" s="490"/>
      <c r="BL319" s="490"/>
      <c r="BM319" s="490"/>
      <c r="BN319" s="490"/>
      <c r="BO319" s="490"/>
      <c r="BP319" s="490"/>
      <c r="BQ319" s="490"/>
      <c r="BR319" s="490"/>
      <c r="BS319" s="490"/>
      <c r="BT319" s="490"/>
      <c r="BU319" s="490"/>
      <c r="BV319" s="490"/>
      <c r="BW319" s="490"/>
      <c r="BX319" s="490"/>
      <c r="BY319" s="490"/>
      <c r="BZ319" s="490"/>
      <c r="CA319" s="490"/>
      <c r="CB319" s="490"/>
      <c r="CC319" s="490"/>
      <c r="CD319" s="490"/>
      <c r="CE319" s="490"/>
      <c r="CF319" s="490"/>
      <c r="CG319" s="490"/>
      <c r="CH319" s="490"/>
      <c r="CI319" s="490"/>
      <c r="CJ319" s="490"/>
      <c r="CK319" s="490"/>
      <c r="CL319" s="490"/>
      <c r="CM319" s="490"/>
      <c r="CN319" s="490"/>
      <c r="CO319" s="490"/>
      <c r="CP319" s="490"/>
      <c r="CQ319" s="490"/>
      <c r="CR319" s="490"/>
      <c r="CS319" s="490"/>
      <c r="CT319" s="490"/>
      <c r="CU319" s="490"/>
      <c r="CV319" s="490"/>
      <c r="CW319" s="490"/>
      <c r="CX319" s="490"/>
      <c r="CY319" s="490"/>
      <c r="CZ319" s="490"/>
      <c r="DA319" s="490"/>
      <c r="DB319" s="490"/>
      <c r="DC319" s="490"/>
      <c r="DD319" s="490"/>
      <c r="DE319" s="490"/>
      <c r="DF319" s="490"/>
      <c r="DG319" s="490"/>
      <c r="DH319" s="490"/>
      <c r="DI319" s="490"/>
      <c r="DJ319" s="490"/>
      <c r="DK319" s="490"/>
      <c r="DL319" s="490"/>
      <c r="DM319" s="490"/>
      <c r="DN319" s="490"/>
      <c r="DO319" s="490"/>
      <c r="DP319" s="490"/>
      <c r="DQ319" s="490"/>
      <c r="DR319" s="490"/>
      <c r="DS319" s="490"/>
      <c r="DT319" s="490"/>
      <c r="DU319" s="490"/>
      <c r="DV319" s="490"/>
      <c r="DW319" s="490"/>
      <c r="DX319" s="490"/>
      <c r="DY319" s="490"/>
      <c r="DZ319" s="490"/>
      <c r="EA319" s="490"/>
      <c r="EB319" s="490"/>
      <c r="EC319" s="490"/>
      <c r="ED319" s="490"/>
      <c r="EE319" s="490"/>
      <c r="EF319" s="490"/>
      <c r="EG319" s="490"/>
      <c r="EH319" s="490"/>
      <c r="EI319" s="490"/>
      <c r="EJ319" s="490"/>
      <c r="EK319" s="490"/>
      <c r="EL319" s="490"/>
      <c r="EM319" s="490"/>
      <c r="EN319" s="490"/>
      <c r="EO319" s="490"/>
      <c r="EP319" s="490"/>
      <c r="EQ319" s="490"/>
      <c r="ER319" s="490"/>
      <c r="ES319" s="490"/>
      <c r="ET319" s="490"/>
      <c r="EU319" s="490"/>
      <c r="EV319" s="490"/>
      <c r="EW319" s="490"/>
      <c r="EX319" s="490"/>
      <c r="EY319" s="490"/>
      <c r="EZ319" s="490"/>
      <c r="FA319" s="490"/>
      <c r="FB319" s="490"/>
      <c r="FC319" s="490"/>
      <c r="FD319" s="490"/>
      <c r="FE319" s="490"/>
      <c r="FF319" s="490"/>
      <c r="FG319" s="490"/>
      <c r="FH319" s="490"/>
      <c r="FI319" s="490"/>
      <c r="FJ319" s="490"/>
      <c r="FK319" s="490"/>
      <c r="FL319" s="490"/>
      <c r="FM319" s="490"/>
      <c r="FN319" s="490"/>
    </row>
    <row r="320" s="492" customFormat="1" spans="1:170">
      <c r="A320" s="519"/>
      <c r="B320" s="509"/>
      <c r="C320" s="520"/>
      <c r="D320" s="509"/>
      <c r="E320" s="509"/>
      <c r="F320" s="545" t="s">
        <v>148</v>
      </c>
      <c r="G320" s="542">
        <v>3</v>
      </c>
      <c r="H320" s="542">
        <v>0.5</v>
      </c>
      <c r="I320" s="542" t="s">
        <v>24</v>
      </c>
      <c r="J320" s="542" t="s">
        <v>24</v>
      </c>
      <c r="K320" s="517"/>
      <c r="L320" s="509"/>
      <c r="M320" s="490"/>
      <c r="N320" s="490"/>
      <c r="O320" s="490"/>
      <c r="P320" s="490"/>
      <c r="Q320" s="490"/>
      <c r="R320" s="490"/>
      <c r="S320" s="490"/>
      <c r="T320" s="490"/>
      <c r="U320" s="490"/>
      <c r="V320" s="490"/>
      <c r="W320" s="490"/>
      <c r="X320" s="490"/>
      <c r="Y320" s="490"/>
      <c r="Z320" s="490"/>
      <c r="AA320" s="490"/>
      <c r="AB320" s="490"/>
      <c r="AC320" s="490"/>
      <c r="AD320" s="490"/>
      <c r="AE320" s="490"/>
      <c r="AF320" s="490"/>
      <c r="AG320" s="490"/>
      <c r="AH320" s="490"/>
      <c r="AI320" s="490"/>
      <c r="AJ320" s="490"/>
      <c r="AK320" s="490"/>
      <c r="AL320" s="490"/>
      <c r="AM320" s="490"/>
      <c r="AN320" s="490"/>
      <c r="AO320" s="490"/>
      <c r="AP320" s="490"/>
      <c r="AQ320" s="490"/>
      <c r="AR320" s="490"/>
      <c r="AS320" s="490"/>
      <c r="AT320" s="490"/>
      <c r="AU320" s="490"/>
      <c r="AV320" s="490"/>
      <c r="AW320" s="490"/>
      <c r="AX320" s="490"/>
      <c r="AY320" s="490"/>
      <c r="AZ320" s="490"/>
      <c r="BA320" s="490"/>
      <c r="BB320" s="490"/>
      <c r="BC320" s="490"/>
      <c r="BD320" s="490"/>
      <c r="BE320" s="490"/>
      <c r="BF320" s="490"/>
      <c r="BG320" s="490"/>
      <c r="BH320" s="490"/>
      <c r="BI320" s="490"/>
      <c r="BJ320" s="490"/>
      <c r="BK320" s="490"/>
      <c r="BL320" s="490"/>
      <c r="BM320" s="490"/>
      <c r="BN320" s="490"/>
      <c r="BO320" s="490"/>
      <c r="BP320" s="490"/>
      <c r="BQ320" s="490"/>
      <c r="BR320" s="490"/>
      <c r="BS320" s="490"/>
      <c r="BT320" s="490"/>
      <c r="BU320" s="490"/>
      <c r="BV320" s="490"/>
      <c r="BW320" s="490"/>
      <c r="BX320" s="490"/>
      <c r="BY320" s="490"/>
      <c r="BZ320" s="490"/>
      <c r="CA320" s="490"/>
      <c r="CB320" s="490"/>
      <c r="CC320" s="490"/>
      <c r="CD320" s="490"/>
      <c r="CE320" s="490"/>
      <c r="CF320" s="490"/>
      <c r="CG320" s="490"/>
      <c r="CH320" s="490"/>
      <c r="CI320" s="490"/>
      <c r="CJ320" s="490"/>
      <c r="CK320" s="490"/>
      <c r="CL320" s="490"/>
      <c r="CM320" s="490"/>
      <c r="CN320" s="490"/>
      <c r="CO320" s="490"/>
      <c r="CP320" s="490"/>
      <c r="CQ320" s="490"/>
      <c r="CR320" s="490"/>
      <c r="CS320" s="490"/>
      <c r="CT320" s="490"/>
      <c r="CU320" s="490"/>
      <c r="CV320" s="490"/>
      <c r="CW320" s="490"/>
      <c r="CX320" s="490"/>
      <c r="CY320" s="490"/>
      <c r="CZ320" s="490"/>
      <c r="DA320" s="490"/>
      <c r="DB320" s="490"/>
      <c r="DC320" s="490"/>
      <c r="DD320" s="490"/>
      <c r="DE320" s="490"/>
      <c r="DF320" s="490"/>
      <c r="DG320" s="490"/>
      <c r="DH320" s="490"/>
      <c r="DI320" s="490"/>
      <c r="DJ320" s="490"/>
      <c r="DK320" s="490"/>
      <c r="DL320" s="490"/>
      <c r="DM320" s="490"/>
      <c r="DN320" s="490"/>
      <c r="DO320" s="490"/>
      <c r="DP320" s="490"/>
      <c r="DQ320" s="490"/>
      <c r="DR320" s="490"/>
      <c r="DS320" s="490"/>
      <c r="DT320" s="490"/>
      <c r="DU320" s="490"/>
      <c r="DV320" s="490"/>
      <c r="DW320" s="490"/>
      <c r="DX320" s="490"/>
      <c r="DY320" s="490"/>
      <c r="DZ320" s="490"/>
      <c r="EA320" s="490"/>
      <c r="EB320" s="490"/>
      <c r="EC320" s="490"/>
      <c r="ED320" s="490"/>
      <c r="EE320" s="490"/>
      <c r="EF320" s="490"/>
      <c r="EG320" s="490"/>
      <c r="EH320" s="490"/>
      <c r="EI320" s="490"/>
      <c r="EJ320" s="490"/>
      <c r="EK320" s="490"/>
      <c r="EL320" s="490"/>
      <c r="EM320" s="490"/>
      <c r="EN320" s="490"/>
      <c r="EO320" s="490"/>
      <c r="EP320" s="490"/>
      <c r="EQ320" s="490"/>
      <c r="ER320" s="490"/>
      <c r="ES320" s="490"/>
      <c r="ET320" s="490"/>
      <c r="EU320" s="490"/>
      <c r="EV320" s="490"/>
      <c r="EW320" s="490"/>
      <c r="EX320" s="490"/>
      <c r="EY320" s="490"/>
      <c r="EZ320" s="490"/>
      <c r="FA320" s="490"/>
      <c r="FB320" s="490"/>
      <c r="FC320" s="490"/>
      <c r="FD320" s="490"/>
      <c r="FE320" s="490"/>
      <c r="FF320" s="490"/>
      <c r="FG320" s="490"/>
      <c r="FH320" s="490"/>
      <c r="FI320" s="490"/>
      <c r="FJ320" s="490"/>
      <c r="FK320" s="490"/>
      <c r="FL320" s="490"/>
      <c r="FM320" s="490"/>
      <c r="FN320" s="490"/>
    </row>
    <row r="321" s="492" customFormat="1" spans="1:170">
      <c r="A321" s="519">
        <v>46178</v>
      </c>
      <c r="B321" s="509" t="s">
        <v>818</v>
      </c>
      <c r="C321" s="520">
        <v>10</v>
      </c>
      <c r="D321" s="509" t="s">
        <v>649</v>
      </c>
      <c r="E321" s="509" t="s">
        <v>649</v>
      </c>
      <c r="F321" s="545" t="s">
        <v>144</v>
      </c>
      <c r="G321" s="542">
        <v>1.01</v>
      </c>
      <c r="H321" s="542">
        <v>8.9</v>
      </c>
      <c r="I321" s="542" t="s">
        <v>17</v>
      </c>
      <c r="J321" s="542">
        <v>1.52</v>
      </c>
      <c r="K321" s="526" t="s">
        <v>603</v>
      </c>
      <c r="L321" s="509" t="s">
        <v>130</v>
      </c>
      <c r="M321" s="490"/>
      <c r="N321" s="490"/>
      <c r="O321" s="490"/>
      <c r="P321" s="490"/>
      <c r="Q321" s="490"/>
      <c r="R321" s="490"/>
      <c r="S321" s="490"/>
      <c r="T321" s="490"/>
      <c r="U321" s="490"/>
      <c r="V321" s="490"/>
      <c r="W321" s="490"/>
      <c r="X321" s="490"/>
      <c r="Y321" s="490"/>
      <c r="Z321" s="490"/>
      <c r="AA321" s="490"/>
      <c r="AB321" s="490"/>
      <c r="AC321" s="490"/>
      <c r="AD321" s="490"/>
      <c r="AE321" s="490"/>
      <c r="AF321" s="490"/>
      <c r="AG321" s="490"/>
      <c r="AH321" s="490"/>
      <c r="AI321" s="490"/>
      <c r="AJ321" s="490"/>
      <c r="AK321" s="490"/>
      <c r="AL321" s="490"/>
      <c r="AM321" s="490"/>
      <c r="AN321" s="490"/>
      <c r="AO321" s="490"/>
      <c r="AP321" s="490"/>
      <c r="AQ321" s="490"/>
      <c r="AR321" s="490"/>
      <c r="AS321" s="490"/>
      <c r="AT321" s="490"/>
      <c r="AU321" s="490"/>
      <c r="AV321" s="490"/>
      <c r="AW321" s="490"/>
      <c r="AX321" s="490"/>
      <c r="AY321" s="490"/>
      <c r="AZ321" s="490"/>
      <c r="BA321" s="490"/>
      <c r="BB321" s="490"/>
      <c r="BC321" s="490"/>
      <c r="BD321" s="490"/>
      <c r="BE321" s="490"/>
      <c r="BF321" s="490"/>
      <c r="BG321" s="490"/>
      <c r="BH321" s="490"/>
      <c r="BI321" s="490"/>
      <c r="BJ321" s="490"/>
      <c r="BK321" s="490"/>
      <c r="BL321" s="490"/>
      <c r="BM321" s="490"/>
      <c r="BN321" s="490"/>
      <c r="BO321" s="490"/>
      <c r="BP321" s="490"/>
      <c r="BQ321" s="490"/>
      <c r="BR321" s="490"/>
      <c r="BS321" s="490"/>
      <c r="BT321" s="490"/>
      <c r="BU321" s="490"/>
      <c r="BV321" s="490"/>
      <c r="BW321" s="490"/>
      <c r="BX321" s="490"/>
      <c r="BY321" s="490"/>
      <c r="BZ321" s="490"/>
      <c r="CA321" s="490"/>
      <c r="CB321" s="490"/>
      <c r="CC321" s="490"/>
      <c r="CD321" s="490"/>
      <c r="CE321" s="490"/>
      <c r="CF321" s="490"/>
      <c r="CG321" s="490"/>
      <c r="CH321" s="490"/>
      <c r="CI321" s="490"/>
      <c r="CJ321" s="490"/>
      <c r="CK321" s="490"/>
      <c r="CL321" s="490"/>
      <c r="CM321" s="490"/>
      <c r="CN321" s="490"/>
      <c r="CO321" s="490"/>
      <c r="CP321" s="490"/>
      <c r="CQ321" s="490"/>
      <c r="CR321" s="490"/>
      <c r="CS321" s="490"/>
      <c r="CT321" s="490"/>
      <c r="CU321" s="490"/>
      <c r="CV321" s="490"/>
      <c r="CW321" s="490"/>
      <c r="CX321" s="490"/>
      <c r="CY321" s="490"/>
      <c r="CZ321" s="490"/>
      <c r="DA321" s="490"/>
      <c r="DB321" s="490"/>
      <c r="DC321" s="490"/>
      <c r="DD321" s="490"/>
      <c r="DE321" s="490"/>
      <c r="DF321" s="490"/>
      <c r="DG321" s="490"/>
      <c r="DH321" s="490"/>
      <c r="DI321" s="490"/>
      <c r="DJ321" s="490"/>
      <c r="DK321" s="490"/>
      <c r="DL321" s="490"/>
      <c r="DM321" s="490"/>
      <c r="DN321" s="490"/>
      <c r="DO321" s="490"/>
      <c r="DP321" s="490"/>
      <c r="DQ321" s="490"/>
      <c r="DR321" s="490"/>
      <c r="DS321" s="490"/>
      <c r="DT321" s="490"/>
      <c r="DU321" s="490"/>
      <c r="DV321" s="490"/>
      <c r="DW321" s="490"/>
      <c r="DX321" s="490"/>
      <c r="DY321" s="490"/>
      <c r="DZ321" s="490"/>
      <c r="EA321" s="490"/>
      <c r="EB321" s="490"/>
      <c r="EC321" s="490"/>
      <c r="ED321" s="490"/>
      <c r="EE321" s="490"/>
      <c r="EF321" s="490"/>
      <c r="EG321" s="490"/>
      <c r="EH321" s="490"/>
      <c r="EI321" s="490"/>
      <c r="EJ321" s="490"/>
      <c r="EK321" s="490"/>
      <c r="EL321" s="490"/>
      <c r="EM321" s="490"/>
      <c r="EN321" s="490"/>
      <c r="EO321" s="490"/>
      <c r="EP321" s="490"/>
      <c r="EQ321" s="490"/>
      <c r="ER321" s="490"/>
      <c r="ES321" s="490"/>
      <c r="ET321" s="490"/>
      <c r="EU321" s="490"/>
      <c r="EV321" s="490"/>
      <c r="EW321" s="490"/>
      <c r="EX321" s="490"/>
      <c r="EY321" s="490"/>
      <c r="EZ321" s="490"/>
      <c r="FA321" s="490"/>
      <c r="FB321" s="490"/>
      <c r="FC321" s="490"/>
      <c r="FD321" s="490"/>
      <c r="FE321" s="490"/>
      <c r="FF321" s="490"/>
      <c r="FG321" s="490"/>
      <c r="FH321" s="490"/>
      <c r="FI321" s="490"/>
      <c r="FJ321" s="490"/>
      <c r="FK321" s="490"/>
      <c r="FL321" s="490"/>
      <c r="FM321" s="490"/>
      <c r="FN321" s="490"/>
    </row>
    <row r="322" s="492" customFormat="1" spans="1:170">
      <c r="A322" s="519"/>
      <c r="B322" s="509"/>
      <c r="C322" s="520"/>
      <c r="D322" s="509"/>
      <c r="E322" s="509"/>
      <c r="F322" s="545" t="s">
        <v>750</v>
      </c>
      <c r="G322" s="542">
        <v>1.17</v>
      </c>
      <c r="H322" s="542">
        <v>0.5</v>
      </c>
      <c r="I322" s="542" t="s">
        <v>22</v>
      </c>
      <c r="J322" s="542">
        <v>1.77</v>
      </c>
      <c r="K322" s="531"/>
      <c r="L322" s="509"/>
      <c r="M322" s="490"/>
      <c r="N322" s="490"/>
      <c r="O322" s="490"/>
      <c r="P322" s="490"/>
      <c r="Q322" s="490"/>
      <c r="R322" s="490"/>
      <c r="S322" s="490"/>
      <c r="T322" s="490"/>
      <c r="U322" s="490"/>
      <c r="V322" s="490"/>
      <c r="W322" s="490"/>
      <c r="X322" s="490"/>
      <c r="Y322" s="490"/>
      <c r="Z322" s="490"/>
      <c r="AA322" s="490"/>
      <c r="AB322" s="490"/>
      <c r="AC322" s="490"/>
      <c r="AD322" s="490"/>
      <c r="AE322" s="490"/>
      <c r="AF322" s="490"/>
      <c r="AG322" s="490"/>
      <c r="AH322" s="490"/>
      <c r="AI322" s="490"/>
      <c r="AJ322" s="490"/>
      <c r="AK322" s="490"/>
      <c r="AL322" s="490"/>
      <c r="AM322" s="490"/>
      <c r="AN322" s="490"/>
      <c r="AO322" s="490"/>
      <c r="AP322" s="490"/>
      <c r="AQ322" s="490"/>
      <c r="AR322" s="490"/>
      <c r="AS322" s="490"/>
      <c r="AT322" s="490"/>
      <c r="AU322" s="490"/>
      <c r="AV322" s="490"/>
      <c r="AW322" s="490"/>
      <c r="AX322" s="490"/>
      <c r="AY322" s="490"/>
      <c r="AZ322" s="490"/>
      <c r="BA322" s="490"/>
      <c r="BB322" s="490"/>
      <c r="BC322" s="490"/>
      <c r="BD322" s="490"/>
      <c r="BE322" s="490"/>
      <c r="BF322" s="490"/>
      <c r="BG322" s="490"/>
      <c r="BH322" s="490"/>
      <c r="BI322" s="490"/>
      <c r="BJ322" s="490"/>
      <c r="BK322" s="490"/>
      <c r="BL322" s="490"/>
      <c r="BM322" s="490"/>
      <c r="BN322" s="490"/>
      <c r="BO322" s="490"/>
      <c r="BP322" s="490"/>
      <c r="BQ322" s="490"/>
      <c r="BR322" s="490"/>
      <c r="BS322" s="490"/>
      <c r="BT322" s="490"/>
      <c r="BU322" s="490"/>
      <c r="BV322" s="490"/>
      <c r="BW322" s="490"/>
      <c r="BX322" s="490"/>
      <c r="BY322" s="490"/>
      <c r="BZ322" s="490"/>
      <c r="CA322" s="490"/>
      <c r="CB322" s="490"/>
      <c r="CC322" s="490"/>
      <c r="CD322" s="490"/>
      <c r="CE322" s="490"/>
      <c r="CF322" s="490"/>
      <c r="CG322" s="490"/>
      <c r="CH322" s="490"/>
      <c r="CI322" s="490"/>
      <c r="CJ322" s="490"/>
      <c r="CK322" s="490"/>
      <c r="CL322" s="490"/>
      <c r="CM322" s="490"/>
      <c r="CN322" s="490"/>
      <c r="CO322" s="490"/>
      <c r="CP322" s="490"/>
      <c r="CQ322" s="490"/>
      <c r="CR322" s="490"/>
      <c r="CS322" s="490"/>
      <c r="CT322" s="490"/>
      <c r="CU322" s="490"/>
      <c r="CV322" s="490"/>
      <c r="CW322" s="490"/>
      <c r="CX322" s="490"/>
      <c r="CY322" s="490"/>
      <c r="CZ322" s="490"/>
      <c r="DA322" s="490"/>
      <c r="DB322" s="490"/>
      <c r="DC322" s="490"/>
      <c r="DD322" s="490"/>
      <c r="DE322" s="490"/>
      <c r="DF322" s="490"/>
      <c r="DG322" s="490"/>
      <c r="DH322" s="490"/>
      <c r="DI322" s="490"/>
      <c r="DJ322" s="490"/>
      <c r="DK322" s="490"/>
      <c r="DL322" s="490"/>
      <c r="DM322" s="490"/>
      <c r="DN322" s="490"/>
      <c r="DO322" s="490"/>
      <c r="DP322" s="490"/>
      <c r="DQ322" s="490"/>
      <c r="DR322" s="490"/>
      <c r="DS322" s="490"/>
      <c r="DT322" s="490"/>
      <c r="DU322" s="490"/>
      <c r="DV322" s="490"/>
      <c r="DW322" s="490"/>
      <c r="DX322" s="490"/>
      <c r="DY322" s="490"/>
      <c r="DZ322" s="490"/>
      <c r="EA322" s="490"/>
      <c r="EB322" s="490"/>
      <c r="EC322" s="490"/>
      <c r="ED322" s="490"/>
      <c r="EE322" s="490"/>
      <c r="EF322" s="490"/>
      <c r="EG322" s="490"/>
      <c r="EH322" s="490"/>
      <c r="EI322" s="490"/>
      <c r="EJ322" s="490"/>
      <c r="EK322" s="490"/>
      <c r="EL322" s="490"/>
      <c r="EM322" s="490"/>
      <c r="EN322" s="490"/>
      <c r="EO322" s="490"/>
      <c r="EP322" s="490"/>
      <c r="EQ322" s="490"/>
      <c r="ER322" s="490"/>
      <c r="ES322" s="490"/>
      <c r="ET322" s="490"/>
      <c r="EU322" s="490"/>
      <c r="EV322" s="490"/>
      <c r="EW322" s="490"/>
      <c r="EX322" s="490"/>
      <c r="EY322" s="490"/>
      <c r="EZ322" s="490"/>
      <c r="FA322" s="490"/>
      <c r="FB322" s="490"/>
      <c r="FC322" s="490"/>
      <c r="FD322" s="490"/>
      <c r="FE322" s="490"/>
      <c r="FF322" s="490"/>
      <c r="FG322" s="490"/>
      <c r="FH322" s="490"/>
      <c r="FI322" s="490"/>
      <c r="FJ322" s="490"/>
      <c r="FK322" s="490"/>
      <c r="FL322" s="490"/>
      <c r="FM322" s="490"/>
      <c r="FN322" s="490"/>
    </row>
    <row r="323" s="492" customFormat="1" spans="1:170">
      <c r="A323" s="519"/>
      <c r="B323" s="509"/>
      <c r="C323" s="520"/>
      <c r="D323" s="509"/>
      <c r="E323" s="509"/>
      <c r="F323" s="545" t="s">
        <v>148</v>
      </c>
      <c r="G323" s="542">
        <v>1.75</v>
      </c>
      <c r="H323" s="542">
        <v>0.6</v>
      </c>
      <c r="I323" s="546" t="s">
        <v>24</v>
      </c>
      <c r="J323" s="542" t="s">
        <v>24</v>
      </c>
      <c r="K323" s="534"/>
      <c r="L323" s="509"/>
      <c r="M323" s="490"/>
      <c r="N323" s="490"/>
      <c r="O323" s="490"/>
      <c r="P323" s="490"/>
      <c r="Q323" s="490"/>
      <c r="R323" s="490"/>
      <c r="S323" s="490"/>
      <c r="T323" s="490"/>
      <c r="U323" s="490"/>
      <c r="V323" s="490"/>
      <c r="W323" s="490"/>
      <c r="X323" s="490"/>
      <c r="Y323" s="490"/>
      <c r="Z323" s="490"/>
      <c r="AA323" s="490"/>
      <c r="AB323" s="490"/>
      <c r="AC323" s="490"/>
      <c r="AD323" s="490"/>
      <c r="AE323" s="490"/>
      <c r="AF323" s="490"/>
      <c r="AG323" s="490"/>
      <c r="AH323" s="490"/>
      <c r="AI323" s="490"/>
      <c r="AJ323" s="490"/>
      <c r="AK323" s="490"/>
      <c r="AL323" s="490"/>
      <c r="AM323" s="490"/>
      <c r="AN323" s="490"/>
      <c r="AO323" s="490"/>
      <c r="AP323" s="490"/>
      <c r="AQ323" s="490"/>
      <c r="AR323" s="490"/>
      <c r="AS323" s="490"/>
      <c r="AT323" s="490"/>
      <c r="AU323" s="490"/>
      <c r="AV323" s="490"/>
      <c r="AW323" s="490"/>
      <c r="AX323" s="490"/>
      <c r="AY323" s="490"/>
      <c r="AZ323" s="490"/>
      <c r="BA323" s="490"/>
      <c r="BB323" s="490"/>
      <c r="BC323" s="490"/>
      <c r="BD323" s="490"/>
      <c r="BE323" s="490"/>
      <c r="BF323" s="490"/>
      <c r="BG323" s="490"/>
      <c r="BH323" s="490"/>
      <c r="BI323" s="490"/>
      <c r="BJ323" s="490"/>
      <c r="BK323" s="490"/>
      <c r="BL323" s="490"/>
      <c r="BM323" s="490"/>
      <c r="BN323" s="490"/>
      <c r="BO323" s="490"/>
      <c r="BP323" s="490"/>
      <c r="BQ323" s="490"/>
      <c r="BR323" s="490"/>
      <c r="BS323" s="490"/>
      <c r="BT323" s="490"/>
      <c r="BU323" s="490"/>
      <c r="BV323" s="490"/>
      <c r="BW323" s="490"/>
      <c r="BX323" s="490"/>
      <c r="BY323" s="490"/>
      <c r="BZ323" s="490"/>
      <c r="CA323" s="490"/>
      <c r="CB323" s="490"/>
      <c r="CC323" s="490"/>
      <c r="CD323" s="490"/>
      <c r="CE323" s="490"/>
      <c r="CF323" s="490"/>
      <c r="CG323" s="490"/>
      <c r="CH323" s="490"/>
      <c r="CI323" s="490"/>
      <c r="CJ323" s="490"/>
      <c r="CK323" s="490"/>
      <c r="CL323" s="490"/>
      <c r="CM323" s="490"/>
      <c r="CN323" s="490"/>
      <c r="CO323" s="490"/>
      <c r="CP323" s="490"/>
      <c r="CQ323" s="490"/>
      <c r="CR323" s="490"/>
      <c r="CS323" s="490"/>
      <c r="CT323" s="490"/>
      <c r="CU323" s="490"/>
      <c r="CV323" s="490"/>
      <c r="CW323" s="490"/>
      <c r="CX323" s="490"/>
      <c r="CY323" s="490"/>
      <c r="CZ323" s="490"/>
      <c r="DA323" s="490"/>
      <c r="DB323" s="490"/>
      <c r="DC323" s="490"/>
      <c r="DD323" s="490"/>
      <c r="DE323" s="490"/>
      <c r="DF323" s="490"/>
      <c r="DG323" s="490"/>
      <c r="DH323" s="490"/>
      <c r="DI323" s="490"/>
      <c r="DJ323" s="490"/>
      <c r="DK323" s="490"/>
      <c r="DL323" s="490"/>
      <c r="DM323" s="490"/>
      <c r="DN323" s="490"/>
      <c r="DO323" s="490"/>
      <c r="DP323" s="490"/>
      <c r="DQ323" s="490"/>
      <c r="DR323" s="490"/>
      <c r="DS323" s="490"/>
      <c r="DT323" s="490"/>
      <c r="DU323" s="490"/>
      <c r="DV323" s="490"/>
      <c r="DW323" s="490"/>
      <c r="DX323" s="490"/>
      <c r="DY323" s="490"/>
      <c r="DZ323" s="490"/>
      <c r="EA323" s="490"/>
      <c r="EB323" s="490"/>
      <c r="EC323" s="490"/>
      <c r="ED323" s="490"/>
      <c r="EE323" s="490"/>
      <c r="EF323" s="490"/>
      <c r="EG323" s="490"/>
      <c r="EH323" s="490"/>
      <c r="EI323" s="490"/>
      <c r="EJ323" s="490"/>
      <c r="EK323" s="490"/>
      <c r="EL323" s="490"/>
      <c r="EM323" s="490"/>
      <c r="EN323" s="490"/>
      <c r="EO323" s="490"/>
      <c r="EP323" s="490"/>
      <c r="EQ323" s="490"/>
      <c r="ER323" s="490"/>
      <c r="ES323" s="490"/>
      <c r="ET323" s="490"/>
      <c r="EU323" s="490"/>
      <c r="EV323" s="490"/>
      <c r="EW323" s="490"/>
      <c r="EX323" s="490"/>
      <c r="EY323" s="490"/>
      <c r="EZ323" s="490"/>
      <c r="FA323" s="490"/>
      <c r="FB323" s="490"/>
      <c r="FC323" s="490"/>
      <c r="FD323" s="490"/>
      <c r="FE323" s="490"/>
      <c r="FF323" s="490"/>
      <c r="FG323" s="490"/>
      <c r="FH323" s="490"/>
      <c r="FI323" s="490"/>
      <c r="FJ323" s="490"/>
      <c r="FK323" s="490"/>
      <c r="FL323" s="490"/>
      <c r="FM323" s="490"/>
      <c r="FN323" s="490"/>
    </row>
    <row r="324" s="492" customFormat="1" spans="1:170">
      <c r="A324" s="519">
        <v>46178</v>
      </c>
      <c r="B324" s="509" t="s">
        <v>819</v>
      </c>
      <c r="C324" s="520">
        <v>10</v>
      </c>
      <c r="D324" s="509" t="s">
        <v>66</v>
      </c>
      <c r="E324" s="509" t="s">
        <v>208</v>
      </c>
      <c r="F324" s="545" t="s">
        <v>144</v>
      </c>
      <c r="G324" s="542">
        <v>1</v>
      </c>
      <c r="H324" s="542">
        <v>8.8</v>
      </c>
      <c r="I324" s="546" t="s">
        <v>17</v>
      </c>
      <c r="J324" s="542">
        <v>1.55</v>
      </c>
      <c r="K324" s="526" t="s">
        <v>603</v>
      </c>
      <c r="L324" s="573" t="s">
        <v>538</v>
      </c>
      <c r="M324" s="490"/>
      <c r="N324" s="490"/>
      <c r="O324" s="490"/>
      <c r="P324" s="490"/>
      <c r="Q324" s="490"/>
      <c r="R324" s="490"/>
      <c r="S324" s="490"/>
      <c r="T324" s="490"/>
      <c r="U324" s="490"/>
      <c r="V324" s="490"/>
      <c r="W324" s="490"/>
      <c r="X324" s="490"/>
      <c r="Y324" s="490"/>
      <c r="Z324" s="490"/>
      <c r="AA324" s="490"/>
      <c r="AB324" s="490"/>
      <c r="AC324" s="490"/>
      <c r="AD324" s="490"/>
      <c r="AE324" s="490"/>
      <c r="AF324" s="490"/>
      <c r="AG324" s="490"/>
      <c r="AH324" s="490"/>
      <c r="AI324" s="490"/>
      <c r="AJ324" s="490"/>
      <c r="AK324" s="490"/>
      <c r="AL324" s="490"/>
      <c r="AM324" s="490"/>
      <c r="AN324" s="490"/>
      <c r="AO324" s="490"/>
      <c r="AP324" s="490"/>
      <c r="AQ324" s="490"/>
      <c r="AR324" s="490"/>
      <c r="AS324" s="490"/>
      <c r="AT324" s="490"/>
      <c r="AU324" s="490"/>
      <c r="AV324" s="490"/>
      <c r="AW324" s="490"/>
      <c r="AX324" s="490"/>
      <c r="AY324" s="490"/>
      <c r="AZ324" s="490"/>
      <c r="BA324" s="490"/>
      <c r="BB324" s="490"/>
      <c r="BC324" s="490"/>
      <c r="BD324" s="490"/>
      <c r="BE324" s="490"/>
      <c r="BF324" s="490"/>
      <c r="BG324" s="490"/>
      <c r="BH324" s="490"/>
      <c r="BI324" s="490"/>
      <c r="BJ324" s="490"/>
      <c r="BK324" s="490"/>
      <c r="BL324" s="490"/>
      <c r="BM324" s="490"/>
      <c r="BN324" s="490"/>
      <c r="BO324" s="490"/>
      <c r="BP324" s="490"/>
      <c r="BQ324" s="490"/>
      <c r="BR324" s="490"/>
      <c r="BS324" s="490"/>
      <c r="BT324" s="490"/>
      <c r="BU324" s="490"/>
      <c r="BV324" s="490"/>
      <c r="BW324" s="490"/>
      <c r="BX324" s="490"/>
      <c r="BY324" s="490"/>
      <c r="BZ324" s="490"/>
      <c r="CA324" s="490"/>
      <c r="CB324" s="490"/>
      <c r="CC324" s="490"/>
      <c r="CD324" s="490"/>
      <c r="CE324" s="490"/>
      <c r="CF324" s="490"/>
      <c r="CG324" s="490"/>
      <c r="CH324" s="490"/>
      <c r="CI324" s="490"/>
      <c r="CJ324" s="490"/>
      <c r="CK324" s="490"/>
      <c r="CL324" s="490"/>
      <c r="CM324" s="490"/>
      <c r="CN324" s="490"/>
      <c r="CO324" s="490"/>
      <c r="CP324" s="490"/>
      <c r="CQ324" s="490"/>
      <c r="CR324" s="490"/>
      <c r="CS324" s="490"/>
      <c r="CT324" s="490"/>
      <c r="CU324" s="490"/>
      <c r="CV324" s="490"/>
      <c r="CW324" s="490"/>
      <c r="CX324" s="490"/>
      <c r="CY324" s="490"/>
      <c r="CZ324" s="490"/>
      <c r="DA324" s="490"/>
      <c r="DB324" s="490"/>
      <c r="DC324" s="490"/>
      <c r="DD324" s="490"/>
      <c r="DE324" s="490"/>
      <c r="DF324" s="490"/>
      <c r="DG324" s="490"/>
      <c r="DH324" s="490"/>
      <c r="DI324" s="490"/>
      <c r="DJ324" s="490"/>
      <c r="DK324" s="490"/>
      <c r="DL324" s="490"/>
      <c r="DM324" s="490"/>
      <c r="DN324" s="490"/>
      <c r="DO324" s="490"/>
      <c r="DP324" s="490"/>
      <c r="DQ324" s="490"/>
      <c r="DR324" s="490"/>
      <c r="DS324" s="490"/>
      <c r="DT324" s="490"/>
      <c r="DU324" s="490"/>
      <c r="DV324" s="490"/>
      <c r="DW324" s="490"/>
      <c r="DX324" s="490"/>
      <c r="DY324" s="490"/>
      <c r="DZ324" s="490"/>
      <c r="EA324" s="490"/>
      <c r="EB324" s="490"/>
      <c r="EC324" s="490"/>
      <c r="ED324" s="490"/>
      <c r="EE324" s="490"/>
      <c r="EF324" s="490"/>
      <c r="EG324" s="490"/>
      <c r="EH324" s="490"/>
      <c r="EI324" s="490"/>
      <c r="EJ324" s="490"/>
      <c r="EK324" s="490"/>
      <c r="EL324" s="490"/>
      <c r="EM324" s="490"/>
      <c r="EN324" s="490"/>
      <c r="EO324" s="490"/>
      <c r="EP324" s="490"/>
      <c r="EQ324" s="490"/>
      <c r="ER324" s="490"/>
      <c r="ES324" s="490"/>
      <c r="ET324" s="490"/>
      <c r="EU324" s="490"/>
      <c r="EV324" s="490"/>
      <c r="EW324" s="490"/>
      <c r="EX324" s="490"/>
      <c r="EY324" s="490"/>
      <c r="EZ324" s="490"/>
      <c r="FA324" s="490"/>
      <c r="FB324" s="490"/>
      <c r="FC324" s="490"/>
      <c r="FD324" s="490"/>
      <c r="FE324" s="490"/>
      <c r="FF324" s="490"/>
      <c r="FG324" s="490"/>
      <c r="FH324" s="490"/>
      <c r="FI324" s="490"/>
      <c r="FJ324" s="490"/>
      <c r="FK324" s="490"/>
      <c r="FL324" s="490"/>
      <c r="FM324" s="490"/>
      <c r="FN324" s="490"/>
    </row>
    <row r="325" s="492" customFormat="1" spans="1:170">
      <c r="A325" s="519"/>
      <c r="B325" s="509"/>
      <c r="C325" s="520"/>
      <c r="D325" s="509"/>
      <c r="E325" s="509"/>
      <c r="F325" s="545" t="s">
        <v>750</v>
      </c>
      <c r="G325" s="542">
        <v>1.08</v>
      </c>
      <c r="H325" s="542">
        <v>0.6</v>
      </c>
      <c r="I325" s="546" t="s">
        <v>22</v>
      </c>
      <c r="J325" s="542">
        <v>1.77</v>
      </c>
      <c r="K325" s="531"/>
      <c r="L325" s="545"/>
      <c r="M325" s="490"/>
      <c r="N325" s="490"/>
      <c r="O325" s="490"/>
      <c r="P325" s="490"/>
      <c r="Q325" s="490"/>
      <c r="R325" s="490"/>
      <c r="S325" s="490"/>
      <c r="T325" s="490"/>
      <c r="U325" s="490"/>
      <c r="V325" s="490"/>
      <c r="W325" s="490"/>
      <c r="X325" s="490"/>
      <c r="Y325" s="490"/>
      <c r="Z325" s="490"/>
      <c r="AA325" s="490"/>
      <c r="AB325" s="490"/>
      <c r="AC325" s="490"/>
      <c r="AD325" s="490"/>
      <c r="AE325" s="490"/>
      <c r="AF325" s="490"/>
      <c r="AG325" s="490"/>
      <c r="AH325" s="490"/>
      <c r="AI325" s="490"/>
      <c r="AJ325" s="490"/>
      <c r="AK325" s="490"/>
      <c r="AL325" s="490"/>
      <c r="AM325" s="490"/>
      <c r="AN325" s="490"/>
      <c r="AO325" s="490"/>
      <c r="AP325" s="490"/>
      <c r="AQ325" s="490"/>
      <c r="AR325" s="490"/>
      <c r="AS325" s="490"/>
      <c r="AT325" s="490"/>
      <c r="AU325" s="490"/>
      <c r="AV325" s="490"/>
      <c r="AW325" s="490"/>
      <c r="AX325" s="490"/>
      <c r="AY325" s="490"/>
      <c r="AZ325" s="490"/>
      <c r="BA325" s="490"/>
      <c r="BB325" s="490"/>
      <c r="BC325" s="490"/>
      <c r="BD325" s="490"/>
      <c r="BE325" s="490"/>
      <c r="BF325" s="490"/>
      <c r="BG325" s="490"/>
      <c r="BH325" s="490"/>
      <c r="BI325" s="490"/>
      <c r="BJ325" s="490"/>
      <c r="BK325" s="490"/>
      <c r="BL325" s="490"/>
      <c r="BM325" s="490"/>
      <c r="BN325" s="490"/>
      <c r="BO325" s="490"/>
      <c r="BP325" s="490"/>
      <c r="BQ325" s="490"/>
      <c r="BR325" s="490"/>
      <c r="BS325" s="490"/>
      <c r="BT325" s="490"/>
      <c r="BU325" s="490"/>
      <c r="BV325" s="490"/>
      <c r="BW325" s="490"/>
      <c r="BX325" s="490"/>
      <c r="BY325" s="490"/>
      <c r="BZ325" s="490"/>
      <c r="CA325" s="490"/>
      <c r="CB325" s="490"/>
      <c r="CC325" s="490"/>
      <c r="CD325" s="490"/>
      <c r="CE325" s="490"/>
      <c r="CF325" s="490"/>
      <c r="CG325" s="490"/>
      <c r="CH325" s="490"/>
      <c r="CI325" s="490"/>
      <c r="CJ325" s="490"/>
      <c r="CK325" s="490"/>
      <c r="CL325" s="490"/>
      <c r="CM325" s="490"/>
      <c r="CN325" s="490"/>
      <c r="CO325" s="490"/>
      <c r="CP325" s="490"/>
      <c r="CQ325" s="490"/>
      <c r="CR325" s="490"/>
      <c r="CS325" s="490"/>
      <c r="CT325" s="490"/>
      <c r="CU325" s="490"/>
      <c r="CV325" s="490"/>
      <c r="CW325" s="490"/>
      <c r="CX325" s="490"/>
      <c r="CY325" s="490"/>
      <c r="CZ325" s="490"/>
      <c r="DA325" s="490"/>
      <c r="DB325" s="490"/>
      <c r="DC325" s="490"/>
      <c r="DD325" s="490"/>
      <c r="DE325" s="490"/>
      <c r="DF325" s="490"/>
      <c r="DG325" s="490"/>
      <c r="DH325" s="490"/>
      <c r="DI325" s="490"/>
      <c r="DJ325" s="490"/>
      <c r="DK325" s="490"/>
      <c r="DL325" s="490"/>
      <c r="DM325" s="490"/>
      <c r="DN325" s="490"/>
      <c r="DO325" s="490"/>
      <c r="DP325" s="490"/>
      <c r="DQ325" s="490"/>
      <c r="DR325" s="490"/>
      <c r="DS325" s="490"/>
      <c r="DT325" s="490"/>
      <c r="DU325" s="490"/>
      <c r="DV325" s="490"/>
      <c r="DW325" s="490"/>
      <c r="DX325" s="490"/>
      <c r="DY325" s="490"/>
      <c r="DZ325" s="490"/>
      <c r="EA325" s="490"/>
      <c r="EB325" s="490"/>
      <c r="EC325" s="490"/>
      <c r="ED325" s="490"/>
      <c r="EE325" s="490"/>
      <c r="EF325" s="490"/>
      <c r="EG325" s="490"/>
      <c r="EH325" s="490"/>
      <c r="EI325" s="490"/>
      <c r="EJ325" s="490"/>
      <c r="EK325" s="490"/>
      <c r="EL325" s="490"/>
      <c r="EM325" s="490"/>
      <c r="EN325" s="490"/>
      <c r="EO325" s="490"/>
      <c r="EP325" s="490"/>
      <c r="EQ325" s="490"/>
      <c r="ER325" s="490"/>
      <c r="ES325" s="490"/>
      <c r="ET325" s="490"/>
      <c r="EU325" s="490"/>
      <c r="EV325" s="490"/>
      <c r="EW325" s="490"/>
      <c r="EX325" s="490"/>
      <c r="EY325" s="490"/>
      <c r="EZ325" s="490"/>
      <c r="FA325" s="490"/>
      <c r="FB325" s="490"/>
      <c r="FC325" s="490"/>
      <c r="FD325" s="490"/>
      <c r="FE325" s="490"/>
      <c r="FF325" s="490"/>
      <c r="FG325" s="490"/>
      <c r="FH325" s="490"/>
      <c r="FI325" s="490"/>
      <c r="FJ325" s="490"/>
      <c r="FK325" s="490"/>
      <c r="FL325" s="490"/>
      <c r="FM325" s="490"/>
      <c r="FN325" s="490"/>
    </row>
    <row r="326" s="492" customFormat="1" spans="1:170">
      <c r="A326" s="519"/>
      <c r="B326" s="509"/>
      <c r="C326" s="520"/>
      <c r="D326" s="509"/>
      <c r="E326" s="509"/>
      <c r="F326" s="545" t="s">
        <v>148</v>
      </c>
      <c r="G326" s="542">
        <v>1.67</v>
      </c>
      <c r="H326" s="542">
        <v>0.6</v>
      </c>
      <c r="I326" s="542" t="s">
        <v>24</v>
      </c>
      <c r="J326" s="542" t="s">
        <v>24</v>
      </c>
      <c r="K326" s="534"/>
      <c r="L326" s="545"/>
      <c r="M326" s="490"/>
      <c r="N326" s="490"/>
      <c r="O326" s="490"/>
      <c r="P326" s="490"/>
      <c r="Q326" s="490"/>
      <c r="R326" s="490"/>
      <c r="S326" s="490"/>
      <c r="T326" s="490"/>
      <c r="U326" s="490"/>
      <c r="V326" s="490"/>
      <c r="W326" s="490"/>
      <c r="X326" s="490"/>
      <c r="Y326" s="490"/>
      <c r="Z326" s="490"/>
      <c r="AA326" s="490"/>
      <c r="AB326" s="490"/>
      <c r="AC326" s="490"/>
      <c r="AD326" s="490"/>
      <c r="AE326" s="490"/>
      <c r="AF326" s="490"/>
      <c r="AG326" s="490"/>
      <c r="AH326" s="490"/>
      <c r="AI326" s="490"/>
      <c r="AJ326" s="490"/>
      <c r="AK326" s="490"/>
      <c r="AL326" s="490"/>
      <c r="AM326" s="490"/>
      <c r="AN326" s="490"/>
      <c r="AO326" s="490"/>
      <c r="AP326" s="490"/>
      <c r="AQ326" s="490"/>
      <c r="AR326" s="490"/>
      <c r="AS326" s="490"/>
      <c r="AT326" s="490"/>
      <c r="AU326" s="490"/>
      <c r="AV326" s="490"/>
      <c r="AW326" s="490"/>
      <c r="AX326" s="490"/>
      <c r="AY326" s="490"/>
      <c r="AZ326" s="490"/>
      <c r="BA326" s="490"/>
      <c r="BB326" s="490"/>
      <c r="BC326" s="490"/>
      <c r="BD326" s="490"/>
      <c r="BE326" s="490"/>
      <c r="BF326" s="490"/>
      <c r="BG326" s="490"/>
      <c r="BH326" s="490"/>
      <c r="BI326" s="490"/>
      <c r="BJ326" s="490"/>
      <c r="BK326" s="490"/>
      <c r="BL326" s="490"/>
      <c r="BM326" s="490"/>
      <c r="BN326" s="490"/>
      <c r="BO326" s="490"/>
      <c r="BP326" s="490"/>
      <c r="BQ326" s="490"/>
      <c r="BR326" s="490"/>
      <c r="BS326" s="490"/>
      <c r="BT326" s="490"/>
      <c r="BU326" s="490"/>
      <c r="BV326" s="490"/>
      <c r="BW326" s="490"/>
      <c r="BX326" s="490"/>
      <c r="BY326" s="490"/>
      <c r="BZ326" s="490"/>
      <c r="CA326" s="490"/>
      <c r="CB326" s="490"/>
      <c r="CC326" s="490"/>
      <c r="CD326" s="490"/>
      <c r="CE326" s="490"/>
      <c r="CF326" s="490"/>
      <c r="CG326" s="490"/>
      <c r="CH326" s="490"/>
      <c r="CI326" s="490"/>
      <c r="CJ326" s="490"/>
      <c r="CK326" s="490"/>
      <c r="CL326" s="490"/>
      <c r="CM326" s="490"/>
      <c r="CN326" s="490"/>
      <c r="CO326" s="490"/>
      <c r="CP326" s="490"/>
      <c r="CQ326" s="490"/>
      <c r="CR326" s="490"/>
      <c r="CS326" s="490"/>
      <c r="CT326" s="490"/>
      <c r="CU326" s="490"/>
      <c r="CV326" s="490"/>
      <c r="CW326" s="490"/>
      <c r="CX326" s="490"/>
      <c r="CY326" s="490"/>
      <c r="CZ326" s="490"/>
      <c r="DA326" s="490"/>
      <c r="DB326" s="490"/>
      <c r="DC326" s="490"/>
      <c r="DD326" s="490"/>
      <c r="DE326" s="490"/>
      <c r="DF326" s="490"/>
      <c r="DG326" s="490"/>
      <c r="DH326" s="490"/>
      <c r="DI326" s="490"/>
      <c r="DJ326" s="490"/>
      <c r="DK326" s="490"/>
      <c r="DL326" s="490"/>
      <c r="DM326" s="490"/>
      <c r="DN326" s="490"/>
      <c r="DO326" s="490"/>
      <c r="DP326" s="490"/>
      <c r="DQ326" s="490"/>
      <c r="DR326" s="490"/>
      <c r="DS326" s="490"/>
      <c r="DT326" s="490"/>
      <c r="DU326" s="490"/>
      <c r="DV326" s="490"/>
      <c r="DW326" s="490"/>
      <c r="DX326" s="490"/>
      <c r="DY326" s="490"/>
      <c r="DZ326" s="490"/>
      <c r="EA326" s="490"/>
      <c r="EB326" s="490"/>
      <c r="EC326" s="490"/>
      <c r="ED326" s="490"/>
      <c r="EE326" s="490"/>
      <c r="EF326" s="490"/>
      <c r="EG326" s="490"/>
      <c r="EH326" s="490"/>
      <c r="EI326" s="490"/>
      <c r="EJ326" s="490"/>
      <c r="EK326" s="490"/>
      <c r="EL326" s="490"/>
      <c r="EM326" s="490"/>
      <c r="EN326" s="490"/>
      <c r="EO326" s="490"/>
      <c r="EP326" s="490"/>
      <c r="EQ326" s="490"/>
      <c r="ER326" s="490"/>
      <c r="ES326" s="490"/>
      <c r="ET326" s="490"/>
      <c r="EU326" s="490"/>
      <c r="EV326" s="490"/>
      <c r="EW326" s="490"/>
      <c r="EX326" s="490"/>
      <c r="EY326" s="490"/>
      <c r="EZ326" s="490"/>
      <c r="FA326" s="490"/>
      <c r="FB326" s="490"/>
      <c r="FC326" s="490"/>
      <c r="FD326" s="490"/>
      <c r="FE326" s="490"/>
      <c r="FF326" s="490"/>
      <c r="FG326" s="490"/>
      <c r="FH326" s="490"/>
      <c r="FI326" s="490"/>
      <c r="FJ326" s="490"/>
      <c r="FK326" s="490"/>
      <c r="FL326" s="490"/>
      <c r="FM326" s="490"/>
      <c r="FN326" s="490"/>
    </row>
    <row r="327" s="492" customFormat="1" spans="1:170">
      <c r="A327" s="519">
        <v>46178</v>
      </c>
      <c r="B327" s="509" t="s">
        <v>820</v>
      </c>
      <c r="C327" s="520">
        <v>10</v>
      </c>
      <c r="D327" s="509" t="s">
        <v>33</v>
      </c>
      <c r="E327" s="509" t="s">
        <v>72</v>
      </c>
      <c r="F327" s="545" t="s">
        <v>756</v>
      </c>
      <c r="G327" s="542">
        <v>0.95</v>
      </c>
      <c r="H327" s="542">
        <v>9</v>
      </c>
      <c r="I327" s="542" t="s">
        <v>17</v>
      </c>
      <c r="J327" s="542">
        <v>1.5</v>
      </c>
      <c r="K327" s="526" t="s">
        <v>713</v>
      </c>
      <c r="L327" s="545"/>
      <c r="M327" s="490"/>
      <c r="N327" s="490"/>
      <c r="O327" s="490"/>
      <c r="P327" s="490"/>
      <c r="Q327" s="490"/>
      <c r="R327" s="490"/>
      <c r="S327" s="490"/>
      <c r="T327" s="490"/>
      <c r="U327" s="490"/>
      <c r="V327" s="490"/>
      <c r="W327" s="490"/>
      <c r="X327" s="490"/>
      <c r="Y327" s="490"/>
      <c r="Z327" s="490"/>
      <c r="AA327" s="490"/>
      <c r="AB327" s="490"/>
      <c r="AC327" s="490"/>
      <c r="AD327" s="490"/>
      <c r="AE327" s="490"/>
      <c r="AF327" s="490"/>
      <c r="AG327" s="490"/>
      <c r="AH327" s="490"/>
      <c r="AI327" s="490"/>
      <c r="AJ327" s="490"/>
      <c r="AK327" s="490"/>
      <c r="AL327" s="490"/>
      <c r="AM327" s="490"/>
      <c r="AN327" s="490"/>
      <c r="AO327" s="490"/>
      <c r="AP327" s="490"/>
      <c r="AQ327" s="490"/>
      <c r="AR327" s="490"/>
      <c r="AS327" s="490"/>
      <c r="AT327" s="490"/>
      <c r="AU327" s="490"/>
      <c r="AV327" s="490"/>
      <c r="AW327" s="490"/>
      <c r="AX327" s="490"/>
      <c r="AY327" s="490"/>
      <c r="AZ327" s="490"/>
      <c r="BA327" s="490"/>
      <c r="BB327" s="490"/>
      <c r="BC327" s="490"/>
      <c r="BD327" s="490"/>
      <c r="BE327" s="490"/>
      <c r="BF327" s="490"/>
      <c r="BG327" s="490"/>
      <c r="BH327" s="490"/>
      <c r="BI327" s="490"/>
      <c r="BJ327" s="490"/>
      <c r="BK327" s="490"/>
      <c r="BL327" s="490"/>
      <c r="BM327" s="490"/>
      <c r="BN327" s="490"/>
      <c r="BO327" s="490"/>
      <c r="BP327" s="490"/>
      <c r="BQ327" s="490"/>
      <c r="BR327" s="490"/>
      <c r="BS327" s="490"/>
      <c r="BT327" s="490"/>
      <c r="BU327" s="490"/>
      <c r="BV327" s="490"/>
      <c r="BW327" s="490"/>
      <c r="BX327" s="490"/>
      <c r="BY327" s="490"/>
      <c r="BZ327" s="490"/>
      <c r="CA327" s="490"/>
      <c r="CB327" s="490"/>
      <c r="CC327" s="490"/>
      <c r="CD327" s="490"/>
      <c r="CE327" s="490"/>
      <c r="CF327" s="490"/>
      <c r="CG327" s="490"/>
      <c r="CH327" s="490"/>
      <c r="CI327" s="490"/>
      <c r="CJ327" s="490"/>
      <c r="CK327" s="490"/>
      <c r="CL327" s="490"/>
      <c r="CM327" s="490"/>
      <c r="CN327" s="490"/>
      <c r="CO327" s="490"/>
      <c r="CP327" s="490"/>
      <c r="CQ327" s="490"/>
      <c r="CR327" s="490"/>
      <c r="CS327" s="490"/>
      <c r="CT327" s="490"/>
      <c r="CU327" s="490"/>
      <c r="CV327" s="490"/>
      <c r="CW327" s="490"/>
      <c r="CX327" s="490"/>
      <c r="CY327" s="490"/>
      <c r="CZ327" s="490"/>
      <c r="DA327" s="490"/>
      <c r="DB327" s="490"/>
      <c r="DC327" s="490"/>
      <c r="DD327" s="490"/>
      <c r="DE327" s="490"/>
      <c r="DF327" s="490"/>
      <c r="DG327" s="490"/>
      <c r="DH327" s="490"/>
      <c r="DI327" s="490"/>
      <c r="DJ327" s="490"/>
      <c r="DK327" s="490"/>
      <c r="DL327" s="490"/>
      <c r="DM327" s="490"/>
      <c r="DN327" s="490"/>
      <c r="DO327" s="490"/>
      <c r="DP327" s="490"/>
      <c r="DQ327" s="490"/>
      <c r="DR327" s="490"/>
      <c r="DS327" s="490"/>
      <c r="DT327" s="490"/>
      <c r="DU327" s="490"/>
      <c r="DV327" s="490"/>
      <c r="DW327" s="490"/>
      <c r="DX327" s="490"/>
      <c r="DY327" s="490"/>
      <c r="DZ327" s="490"/>
      <c r="EA327" s="490"/>
      <c r="EB327" s="490"/>
      <c r="EC327" s="490"/>
      <c r="ED327" s="490"/>
      <c r="EE327" s="490"/>
      <c r="EF327" s="490"/>
      <c r="EG327" s="490"/>
      <c r="EH327" s="490"/>
      <c r="EI327" s="490"/>
      <c r="EJ327" s="490"/>
      <c r="EK327" s="490"/>
      <c r="EL327" s="490"/>
      <c r="EM327" s="490"/>
      <c r="EN327" s="490"/>
      <c r="EO327" s="490"/>
      <c r="EP327" s="490"/>
      <c r="EQ327" s="490"/>
      <c r="ER327" s="490"/>
      <c r="ES327" s="490"/>
      <c r="ET327" s="490"/>
      <c r="EU327" s="490"/>
      <c r="EV327" s="490"/>
      <c r="EW327" s="490"/>
      <c r="EX327" s="490"/>
      <c r="EY327" s="490"/>
      <c r="EZ327" s="490"/>
      <c r="FA327" s="490"/>
      <c r="FB327" s="490"/>
      <c r="FC327" s="490"/>
      <c r="FD327" s="490"/>
      <c r="FE327" s="490"/>
      <c r="FF327" s="490"/>
      <c r="FG327" s="490"/>
      <c r="FH327" s="490"/>
      <c r="FI327" s="490"/>
      <c r="FJ327" s="490"/>
      <c r="FK327" s="490"/>
      <c r="FL327" s="490"/>
      <c r="FM327" s="490"/>
      <c r="FN327" s="490"/>
    </row>
    <row r="328" s="492" customFormat="1" spans="1:170">
      <c r="A328" s="519"/>
      <c r="B328" s="509"/>
      <c r="C328" s="520"/>
      <c r="D328" s="509"/>
      <c r="E328" s="509"/>
      <c r="F328" s="545" t="s">
        <v>757</v>
      </c>
      <c r="G328" s="542">
        <v>1.2</v>
      </c>
      <c r="H328" s="542">
        <v>0.3</v>
      </c>
      <c r="I328" s="542" t="s">
        <v>22</v>
      </c>
      <c r="J328" s="542">
        <v>1.77</v>
      </c>
      <c r="K328" s="531"/>
      <c r="L328" s="545"/>
      <c r="M328" s="490"/>
      <c r="N328" s="490"/>
      <c r="O328" s="490"/>
      <c r="P328" s="490"/>
      <c r="Q328" s="490"/>
      <c r="R328" s="490"/>
      <c r="S328" s="490"/>
      <c r="T328" s="490"/>
      <c r="U328" s="490"/>
      <c r="V328" s="490"/>
      <c r="W328" s="490"/>
      <c r="X328" s="490"/>
      <c r="Y328" s="490"/>
      <c r="Z328" s="490"/>
      <c r="AA328" s="490"/>
      <c r="AB328" s="490"/>
      <c r="AC328" s="490"/>
      <c r="AD328" s="490"/>
      <c r="AE328" s="490"/>
      <c r="AF328" s="490"/>
      <c r="AG328" s="490"/>
      <c r="AH328" s="490"/>
      <c r="AI328" s="490"/>
      <c r="AJ328" s="490"/>
      <c r="AK328" s="490"/>
      <c r="AL328" s="490"/>
      <c r="AM328" s="490"/>
      <c r="AN328" s="490"/>
      <c r="AO328" s="490"/>
      <c r="AP328" s="490"/>
      <c r="AQ328" s="490"/>
      <c r="AR328" s="490"/>
      <c r="AS328" s="490"/>
      <c r="AT328" s="490"/>
      <c r="AU328" s="490"/>
      <c r="AV328" s="490"/>
      <c r="AW328" s="490"/>
      <c r="AX328" s="490"/>
      <c r="AY328" s="490"/>
      <c r="AZ328" s="490"/>
      <c r="BA328" s="490"/>
      <c r="BB328" s="490"/>
      <c r="BC328" s="490"/>
      <c r="BD328" s="490"/>
      <c r="BE328" s="490"/>
      <c r="BF328" s="490"/>
      <c r="BG328" s="490"/>
      <c r="BH328" s="490"/>
      <c r="BI328" s="490"/>
      <c r="BJ328" s="490"/>
      <c r="BK328" s="490"/>
      <c r="BL328" s="490"/>
      <c r="BM328" s="490"/>
      <c r="BN328" s="490"/>
      <c r="BO328" s="490"/>
      <c r="BP328" s="490"/>
      <c r="BQ328" s="490"/>
      <c r="BR328" s="490"/>
      <c r="BS328" s="490"/>
      <c r="BT328" s="490"/>
      <c r="BU328" s="490"/>
      <c r="BV328" s="490"/>
      <c r="BW328" s="490"/>
      <c r="BX328" s="490"/>
      <c r="BY328" s="490"/>
      <c r="BZ328" s="490"/>
      <c r="CA328" s="490"/>
      <c r="CB328" s="490"/>
      <c r="CC328" s="490"/>
      <c r="CD328" s="490"/>
      <c r="CE328" s="490"/>
      <c r="CF328" s="490"/>
      <c r="CG328" s="490"/>
      <c r="CH328" s="490"/>
      <c r="CI328" s="490"/>
      <c r="CJ328" s="490"/>
      <c r="CK328" s="490"/>
      <c r="CL328" s="490"/>
      <c r="CM328" s="490"/>
      <c r="CN328" s="490"/>
      <c r="CO328" s="490"/>
      <c r="CP328" s="490"/>
      <c r="CQ328" s="490"/>
      <c r="CR328" s="490"/>
      <c r="CS328" s="490"/>
      <c r="CT328" s="490"/>
      <c r="CU328" s="490"/>
      <c r="CV328" s="490"/>
      <c r="CW328" s="490"/>
      <c r="CX328" s="490"/>
      <c r="CY328" s="490"/>
      <c r="CZ328" s="490"/>
      <c r="DA328" s="490"/>
      <c r="DB328" s="490"/>
      <c r="DC328" s="490"/>
      <c r="DD328" s="490"/>
      <c r="DE328" s="490"/>
      <c r="DF328" s="490"/>
      <c r="DG328" s="490"/>
      <c r="DH328" s="490"/>
      <c r="DI328" s="490"/>
      <c r="DJ328" s="490"/>
      <c r="DK328" s="490"/>
      <c r="DL328" s="490"/>
      <c r="DM328" s="490"/>
      <c r="DN328" s="490"/>
      <c r="DO328" s="490"/>
      <c r="DP328" s="490"/>
      <c r="DQ328" s="490"/>
      <c r="DR328" s="490"/>
      <c r="DS328" s="490"/>
      <c r="DT328" s="490"/>
      <c r="DU328" s="490"/>
      <c r="DV328" s="490"/>
      <c r="DW328" s="490"/>
      <c r="DX328" s="490"/>
      <c r="DY328" s="490"/>
      <c r="DZ328" s="490"/>
      <c r="EA328" s="490"/>
      <c r="EB328" s="490"/>
      <c r="EC328" s="490"/>
      <c r="ED328" s="490"/>
      <c r="EE328" s="490"/>
      <c r="EF328" s="490"/>
      <c r="EG328" s="490"/>
      <c r="EH328" s="490"/>
      <c r="EI328" s="490"/>
      <c r="EJ328" s="490"/>
      <c r="EK328" s="490"/>
      <c r="EL328" s="490"/>
      <c r="EM328" s="490"/>
      <c r="EN328" s="490"/>
      <c r="EO328" s="490"/>
      <c r="EP328" s="490"/>
      <c r="EQ328" s="490"/>
      <c r="ER328" s="490"/>
      <c r="ES328" s="490"/>
      <c r="ET328" s="490"/>
      <c r="EU328" s="490"/>
      <c r="EV328" s="490"/>
      <c r="EW328" s="490"/>
      <c r="EX328" s="490"/>
      <c r="EY328" s="490"/>
      <c r="EZ328" s="490"/>
      <c r="FA328" s="490"/>
      <c r="FB328" s="490"/>
      <c r="FC328" s="490"/>
      <c r="FD328" s="490"/>
      <c r="FE328" s="490"/>
      <c r="FF328" s="490"/>
      <c r="FG328" s="490"/>
      <c r="FH328" s="490"/>
      <c r="FI328" s="490"/>
      <c r="FJ328" s="490"/>
      <c r="FK328" s="490"/>
      <c r="FL328" s="490"/>
      <c r="FM328" s="490"/>
      <c r="FN328" s="490"/>
    </row>
    <row r="329" s="492" customFormat="1" spans="1:170">
      <c r="A329" s="506"/>
      <c r="B329" s="507"/>
      <c r="C329" s="508"/>
      <c r="D329" s="507"/>
      <c r="E329" s="507"/>
      <c r="F329" s="559" t="s">
        <v>148</v>
      </c>
      <c r="G329" s="574">
        <v>1.7</v>
      </c>
      <c r="H329" s="574">
        <v>0.7</v>
      </c>
      <c r="I329" s="574" t="s">
        <v>24</v>
      </c>
      <c r="J329" s="574" t="s">
        <v>24</v>
      </c>
      <c r="K329" s="531"/>
      <c r="L329" s="545"/>
      <c r="M329" s="490"/>
      <c r="N329" s="490"/>
      <c r="O329" s="490"/>
      <c r="P329" s="490"/>
      <c r="Q329" s="490"/>
      <c r="R329" s="490"/>
      <c r="S329" s="490"/>
      <c r="T329" s="490"/>
      <c r="U329" s="490"/>
      <c r="V329" s="490"/>
      <c r="W329" s="490"/>
      <c r="X329" s="490"/>
      <c r="Y329" s="490"/>
      <c r="Z329" s="490"/>
      <c r="AA329" s="490"/>
      <c r="AB329" s="490"/>
      <c r="AC329" s="490"/>
      <c r="AD329" s="490"/>
      <c r="AE329" s="490"/>
      <c r="AF329" s="490"/>
      <c r="AG329" s="490"/>
      <c r="AH329" s="490"/>
      <c r="AI329" s="490"/>
      <c r="AJ329" s="490"/>
      <c r="AK329" s="490"/>
      <c r="AL329" s="490"/>
      <c r="AM329" s="490"/>
      <c r="AN329" s="490"/>
      <c r="AO329" s="490"/>
      <c r="AP329" s="490"/>
      <c r="AQ329" s="490"/>
      <c r="AR329" s="490"/>
      <c r="AS329" s="490"/>
      <c r="AT329" s="490"/>
      <c r="AU329" s="490"/>
      <c r="AV329" s="490"/>
      <c r="AW329" s="490"/>
      <c r="AX329" s="490"/>
      <c r="AY329" s="490"/>
      <c r="AZ329" s="490"/>
      <c r="BA329" s="490"/>
      <c r="BB329" s="490"/>
      <c r="BC329" s="490"/>
      <c r="BD329" s="490"/>
      <c r="BE329" s="490"/>
      <c r="BF329" s="490"/>
      <c r="BG329" s="490"/>
      <c r="BH329" s="490"/>
      <c r="BI329" s="490"/>
      <c r="BJ329" s="490"/>
      <c r="BK329" s="490"/>
      <c r="BL329" s="490"/>
      <c r="BM329" s="490"/>
      <c r="BN329" s="490"/>
      <c r="BO329" s="490"/>
      <c r="BP329" s="490"/>
      <c r="BQ329" s="490"/>
      <c r="BR329" s="490"/>
      <c r="BS329" s="490"/>
      <c r="BT329" s="490"/>
      <c r="BU329" s="490"/>
      <c r="BV329" s="490"/>
      <c r="BW329" s="490"/>
      <c r="BX329" s="490"/>
      <c r="BY329" s="490"/>
      <c r="BZ329" s="490"/>
      <c r="CA329" s="490"/>
      <c r="CB329" s="490"/>
      <c r="CC329" s="490"/>
      <c r="CD329" s="490"/>
      <c r="CE329" s="490"/>
      <c r="CF329" s="490"/>
      <c r="CG329" s="490"/>
      <c r="CH329" s="490"/>
      <c r="CI329" s="490"/>
      <c r="CJ329" s="490"/>
      <c r="CK329" s="490"/>
      <c r="CL329" s="490"/>
      <c r="CM329" s="490"/>
      <c r="CN329" s="490"/>
      <c r="CO329" s="490"/>
      <c r="CP329" s="490"/>
      <c r="CQ329" s="490"/>
      <c r="CR329" s="490"/>
      <c r="CS329" s="490"/>
      <c r="CT329" s="490"/>
      <c r="CU329" s="490"/>
      <c r="CV329" s="490"/>
      <c r="CW329" s="490"/>
      <c r="CX329" s="490"/>
      <c r="CY329" s="490"/>
      <c r="CZ329" s="490"/>
      <c r="DA329" s="490"/>
      <c r="DB329" s="490"/>
      <c r="DC329" s="490"/>
      <c r="DD329" s="490"/>
      <c r="DE329" s="490"/>
      <c r="DF329" s="490"/>
      <c r="DG329" s="490"/>
      <c r="DH329" s="490"/>
      <c r="DI329" s="490"/>
      <c r="DJ329" s="490"/>
      <c r="DK329" s="490"/>
      <c r="DL329" s="490"/>
      <c r="DM329" s="490"/>
      <c r="DN329" s="490"/>
      <c r="DO329" s="490"/>
      <c r="DP329" s="490"/>
      <c r="DQ329" s="490"/>
      <c r="DR329" s="490"/>
      <c r="DS329" s="490"/>
      <c r="DT329" s="490"/>
      <c r="DU329" s="490"/>
      <c r="DV329" s="490"/>
      <c r="DW329" s="490"/>
      <c r="DX329" s="490"/>
      <c r="DY329" s="490"/>
      <c r="DZ329" s="490"/>
      <c r="EA329" s="490"/>
      <c r="EB329" s="490"/>
      <c r="EC329" s="490"/>
      <c r="ED329" s="490"/>
      <c r="EE329" s="490"/>
      <c r="EF329" s="490"/>
      <c r="EG329" s="490"/>
      <c r="EH329" s="490"/>
      <c r="EI329" s="490"/>
      <c r="EJ329" s="490"/>
      <c r="EK329" s="490"/>
      <c r="EL329" s="490"/>
      <c r="EM329" s="490"/>
      <c r="EN329" s="490"/>
      <c r="EO329" s="490"/>
      <c r="EP329" s="490"/>
      <c r="EQ329" s="490"/>
      <c r="ER329" s="490"/>
      <c r="ES329" s="490"/>
      <c r="ET329" s="490"/>
      <c r="EU329" s="490"/>
      <c r="EV329" s="490"/>
      <c r="EW329" s="490"/>
      <c r="EX329" s="490"/>
      <c r="EY329" s="490"/>
      <c r="EZ329" s="490"/>
      <c r="FA329" s="490"/>
      <c r="FB329" s="490"/>
      <c r="FC329" s="490"/>
      <c r="FD329" s="490"/>
      <c r="FE329" s="490"/>
      <c r="FF329" s="490"/>
      <c r="FG329" s="490"/>
      <c r="FH329" s="490"/>
      <c r="FI329" s="490"/>
      <c r="FJ329" s="490"/>
      <c r="FK329" s="490"/>
      <c r="FL329" s="490"/>
      <c r="FM329" s="490"/>
      <c r="FN329" s="490"/>
    </row>
    <row r="330" s="492" customFormat="1" spans="1:170">
      <c r="A330" s="519">
        <v>46183</v>
      </c>
      <c r="B330" s="509" t="s">
        <v>821</v>
      </c>
      <c r="C330" s="520">
        <v>10</v>
      </c>
      <c r="D330" s="509" t="s">
        <v>66</v>
      </c>
      <c r="E330" s="509" t="s">
        <v>72</v>
      </c>
      <c r="F330" s="545" t="s">
        <v>144</v>
      </c>
      <c r="G330" s="542">
        <v>1</v>
      </c>
      <c r="H330" s="542">
        <v>8.8</v>
      </c>
      <c r="I330" s="542" t="s">
        <v>17</v>
      </c>
      <c r="J330" s="542">
        <v>1.53</v>
      </c>
      <c r="K330" s="526" t="s">
        <v>603</v>
      </c>
      <c r="L330" s="575" t="s">
        <v>538</v>
      </c>
      <c r="M330" s="490"/>
      <c r="N330" s="490"/>
      <c r="O330" s="490"/>
      <c r="P330" s="490"/>
      <c r="Q330" s="490"/>
      <c r="R330" s="490"/>
      <c r="S330" s="490"/>
      <c r="T330" s="490"/>
      <c r="U330" s="490"/>
      <c r="V330" s="490"/>
      <c r="W330" s="490"/>
      <c r="X330" s="490"/>
      <c r="Y330" s="490"/>
      <c r="Z330" s="490"/>
      <c r="AA330" s="490"/>
      <c r="AB330" s="490"/>
      <c r="AC330" s="490"/>
      <c r="AD330" s="490"/>
      <c r="AE330" s="490"/>
      <c r="AF330" s="490"/>
      <c r="AG330" s="490"/>
      <c r="AH330" s="490"/>
      <c r="AI330" s="490"/>
      <c r="AJ330" s="490"/>
      <c r="AK330" s="490"/>
      <c r="AL330" s="490"/>
      <c r="AM330" s="490"/>
      <c r="AN330" s="490"/>
      <c r="AO330" s="490"/>
      <c r="AP330" s="490"/>
      <c r="AQ330" s="490"/>
      <c r="AR330" s="490"/>
      <c r="AS330" s="490"/>
      <c r="AT330" s="490"/>
      <c r="AU330" s="490"/>
      <c r="AV330" s="490"/>
      <c r="AW330" s="490"/>
      <c r="AX330" s="490"/>
      <c r="AY330" s="490"/>
      <c r="AZ330" s="490"/>
      <c r="BA330" s="490"/>
      <c r="BB330" s="490"/>
      <c r="BC330" s="490"/>
      <c r="BD330" s="490"/>
      <c r="BE330" s="490"/>
      <c r="BF330" s="490"/>
      <c r="BG330" s="490"/>
      <c r="BH330" s="490"/>
      <c r="BI330" s="490"/>
      <c r="BJ330" s="490"/>
      <c r="BK330" s="490"/>
      <c r="BL330" s="490"/>
      <c r="BM330" s="490"/>
      <c r="BN330" s="490"/>
      <c r="BO330" s="490"/>
      <c r="BP330" s="490"/>
      <c r="BQ330" s="490"/>
      <c r="BR330" s="490"/>
      <c r="BS330" s="490"/>
      <c r="BT330" s="490"/>
      <c r="BU330" s="490"/>
      <c r="BV330" s="490"/>
      <c r="BW330" s="490"/>
      <c r="BX330" s="490"/>
      <c r="BY330" s="490"/>
      <c r="BZ330" s="490"/>
      <c r="CA330" s="490"/>
      <c r="CB330" s="490"/>
      <c r="CC330" s="490"/>
      <c r="CD330" s="490"/>
      <c r="CE330" s="490"/>
      <c r="CF330" s="490"/>
      <c r="CG330" s="490"/>
      <c r="CH330" s="490"/>
      <c r="CI330" s="490"/>
      <c r="CJ330" s="490"/>
      <c r="CK330" s="490"/>
      <c r="CL330" s="490"/>
      <c r="CM330" s="490"/>
      <c r="CN330" s="490"/>
      <c r="CO330" s="490"/>
      <c r="CP330" s="490"/>
      <c r="CQ330" s="490"/>
      <c r="CR330" s="490"/>
      <c r="CS330" s="490"/>
      <c r="CT330" s="490"/>
      <c r="CU330" s="490"/>
      <c r="CV330" s="490"/>
      <c r="CW330" s="490"/>
      <c r="CX330" s="490"/>
      <c r="CY330" s="490"/>
      <c r="CZ330" s="490"/>
      <c r="DA330" s="490"/>
      <c r="DB330" s="490"/>
      <c r="DC330" s="490"/>
      <c r="DD330" s="490"/>
      <c r="DE330" s="490"/>
      <c r="DF330" s="490"/>
      <c r="DG330" s="490"/>
      <c r="DH330" s="490"/>
      <c r="DI330" s="490"/>
      <c r="DJ330" s="490"/>
      <c r="DK330" s="490"/>
      <c r="DL330" s="490"/>
      <c r="DM330" s="490"/>
      <c r="DN330" s="490"/>
      <c r="DO330" s="490"/>
      <c r="DP330" s="490"/>
      <c r="DQ330" s="490"/>
      <c r="DR330" s="490"/>
      <c r="DS330" s="490"/>
      <c r="DT330" s="490"/>
      <c r="DU330" s="490"/>
      <c r="DV330" s="490"/>
      <c r="DW330" s="490"/>
      <c r="DX330" s="490"/>
      <c r="DY330" s="490"/>
      <c r="DZ330" s="490"/>
      <c r="EA330" s="490"/>
      <c r="EB330" s="490"/>
      <c r="EC330" s="490"/>
      <c r="ED330" s="490"/>
      <c r="EE330" s="490"/>
      <c r="EF330" s="490"/>
      <c r="EG330" s="490"/>
      <c r="EH330" s="490"/>
      <c r="EI330" s="490"/>
      <c r="EJ330" s="490"/>
      <c r="EK330" s="490"/>
      <c r="EL330" s="490"/>
      <c r="EM330" s="490"/>
      <c r="EN330" s="490"/>
      <c r="EO330" s="490"/>
      <c r="EP330" s="490"/>
      <c r="EQ330" s="490"/>
      <c r="ER330" s="490"/>
      <c r="ES330" s="490"/>
      <c r="ET330" s="490"/>
      <c r="EU330" s="490"/>
      <c r="EV330" s="490"/>
      <c r="EW330" s="490"/>
      <c r="EX330" s="490"/>
      <c r="EY330" s="490"/>
      <c r="EZ330" s="490"/>
      <c r="FA330" s="490"/>
      <c r="FB330" s="490"/>
      <c r="FC330" s="490"/>
      <c r="FD330" s="490"/>
      <c r="FE330" s="490"/>
      <c r="FF330" s="490"/>
      <c r="FG330" s="490"/>
      <c r="FH330" s="490"/>
      <c r="FI330" s="490"/>
      <c r="FJ330" s="490"/>
      <c r="FK330" s="490"/>
      <c r="FL330" s="490"/>
      <c r="FM330" s="490"/>
      <c r="FN330" s="490"/>
    </row>
    <row r="331" s="492" customFormat="1" spans="1:170">
      <c r="A331" s="519"/>
      <c r="B331" s="509"/>
      <c r="C331" s="520"/>
      <c r="D331" s="509"/>
      <c r="E331" s="509"/>
      <c r="F331" s="545" t="s">
        <v>750</v>
      </c>
      <c r="G331" s="542">
        <v>1.09</v>
      </c>
      <c r="H331" s="542">
        <v>0.6</v>
      </c>
      <c r="I331" s="546" t="s">
        <v>22</v>
      </c>
      <c r="J331" s="542">
        <v>1.77</v>
      </c>
      <c r="K331" s="531"/>
      <c r="L331" s="509"/>
      <c r="M331" s="490"/>
      <c r="N331" s="490"/>
      <c r="O331" s="490"/>
      <c r="P331" s="490"/>
      <c r="Q331" s="490"/>
      <c r="R331" s="490"/>
      <c r="S331" s="490"/>
      <c r="T331" s="490"/>
      <c r="U331" s="490"/>
      <c r="V331" s="490"/>
      <c r="W331" s="490"/>
      <c r="X331" s="490"/>
      <c r="Y331" s="490"/>
      <c r="Z331" s="490"/>
      <c r="AA331" s="490"/>
      <c r="AB331" s="490"/>
      <c r="AC331" s="490"/>
      <c r="AD331" s="490"/>
      <c r="AE331" s="490"/>
      <c r="AF331" s="490"/>
      <c r="AG331" s="490"/>
      <c r="AH331" s="490"/>
      <c r="AI331" s="490"/>
      <c r="AJ331" s="490"/>
      <c r="AK331" s="490"/>
      <c r="AL331" s="490"/>
      <c r="AM331" s="490"/>
      <c r="AN331" s="490"/>
      <c r="AO331" s="490"/>
      <c r="AP331" s="490"/>
      <c r="AQ331" s="490"/>
      <c r="AR331" s="490"/>
      <c r="AS331" s="490"/>
      <c r="AT331" s="490"/>
      <c r="AU331" s="490"/>
      <c r="AV331" s="490"/>
      <c r="AW331" s="490"/>
      <c r="AX331" s="490"/>
      <c r="AY331" s="490"/>
      <c r="AZ331" s="490"/>
      <c r="BA331" s="490"/>
      <c r="BB331" s="490"/>
      <c r="BC331" s="490"/>
      <c r="BD331" s="490"/>
      <c r="BE331" s="490"/>
      <c r="BF331" s="490"/>
      <c r="BG331" s="490"/>
      <c r="BH331" s="490"/>
      <c r="BI331" s="490"/>
      <c r="BJ331" s="490"/>
      <c r="BK331" s="490"/>
      <c r="BL331" s="490"/>
      <c r="BM331" s="490"/>
      <c r="BN331" s="490"/>
      <c r="BO331" s="490"/>
      <c r="BP331" s="490"/>
      <c r="BQ331" s="490"/>
      <c r="BR331" s="490"/>
      <c r="BS331" s="490"/>
      <c r="BT331" s="490"/>
      <c r="BU331" s="490"/>
      <c r="BV331" s="490"/>
      <c r="BW331" s="490"/>
      <c r="BX331" s="490"/>
      <c r="BY331" s="490"/>
      <c r="BZ331" s="490"/>
      <c r="CA331" s="490"/>
      <c r="CB331" s="490"/>
      <c r="CC331" s="490"/>
      <c r="CD331" s="490"/>
      <c r="CE331" s="490"/>
      <c r="CF331" s="490"/>
      <c r="CG331" s="490"/>
      <c r="CH331" s="490"/>
      <c r="CI331" s="490"/>
      <c r="CJ331" s="490"/>
      <c r="CK331" s="490"/>
      <c r="CL331" s="490"/>
      <c r="CM331" s="490"/>
      <c r="CN331" s="490"/>
      <c r="CO331" s="490"/>
      <c r="CP331" s="490"/>
      <c r="CQ331" s="490"/>
      <c r="CR331" s="490"/>
      <c r="CS331" s="490"/>
      <c r="CT331" s="490"/>
      <c r="CU331" s="490"/>
      <c r="CV331" s="490"/>
      <c r="CW331" s="490"/>
      <c r="CX331" s="490"/>
      <c r="CY331" s="490"/>
      <c r="CZ331" s="490"/>
      <c r="DA331" s="490"/>
      <c r="DB331" s="490"/>
      <c r="DC331" s="490"/>
      <c r="DD331" s="490"/>
      <c r="DE331" s="490"/>
      <c r="DF331" s="490"/>
      <c r="DG331" s="490"/>
      <c r="DH331" s="490"/>
      <c r="DI331" s="490"/>
      <c r="DJ331" s="490"/>
      <c r="DK331" s="490"/>
      <c r="DL331" s="490"/>
      <c r="DM331" s="490"/>
      <c r="DN331" s="490"/>
      <c r="DO331" s="490"/>
      <c r="DP331" s="490"/>
      <c r="DQ331" s="490"/>
      <c r="DR331" s="490"/>
      <c r="DS331" s="490"/>
      <c r="DT331" s="490"/>
      <c r="DU331" s="490"/>
      <c r="DV331" s="490"/>
      <c r="DW331" s="490"/>
      <c r="DX331" s="490"/>
      <c r="DY331" s="490"/>
      <c r="DZ331" s="490"/>
      <c r="EA331" s="490"/>
      <c r="EB331" s="490"/>
      <c r="EC331" s="490"/>
      <c r="ED331" s="490"/>
      <c r="EE331" s="490"/>
      <c r="EF331" s="490"/>
      <c r="EG331" s="490"/>
      <c r="EH331" s="490"/>
      <c r="EI331" s="490"/>
      <c r="EJ331" s="490"/>
      <c r="EK331" s="490"/>
      <c r="EL331" s="490"/>
      <c r="EM331" s="490"/>
      <c r="EN331" s="490"/>
      <c r="EO331" s="490"/>
      <c r="EP331" s="490"/>
      <c r="EQ331" s="490"/>
      <c r="ER331" s="490"/>
      <c r="ES331" s="490"/>
      <c r="ET331" s="490"/>
      <c r="EU331" s="490"/>
      <c r="EV331" s="490"/>
      <c r="EW331" s="490"/>
      <c r="EX331" s="490"/>
      <c r="EY331" s="490"/>
      <c r="EZ331" s="490"/>
      <c r="FA331" s="490"/>
      <c r="FB331" s="490"/>
      <c r="FC331" s="490"/>
      <c r="FD331" s="490"/>
      <c r="FE331" s="490"/>
      <c r="FF331" s="490"/>
      <c r="FG331" s="490"/>
      <c r="FH331" s="490"/>
      <c r="FI331" s="490"/>
      <c r="FJ331" s="490"/>
      <c r="FK331" s="490"/>
      <c r="FL331" s="490"/>
      <c r="FM331" s="490"/>
      <c r="FN331" s="490"/>
    </row>
    <row r="332" s="492" customFormat="1" spans="1:170">
      <c r="A332" s="519"/>
      <c r="B332" s="509"/>
      <c r="C332" s="520"/>
      <c r="D332" s="509"/>
      <c r="E332" s="509"/>
      <c r="F332" s="545" t="s">
        <v>148</v>
      </c>
      <c r="G332" s="542">
        <v>1.67</v>
      </c>
      <c r="H332" s="542">
        <v>0.6</v>
      </c>
      <c r="I332" s="546" t="s">
        <v>24</v>
      </c>
      <c r="J332" s="542" t="s">
        <v>24</v>
      </c>
      <c r="K332" s="534"/>
      <c r="L332" s="509"/>
      <c r="M332" s="490"/>
      <c r="N332" s="490"/>
      <c r="O332" s="490"/>
      <c r="P332" s="490"/>
      <c r="Q332" s="490"/>
      <c r="R332" s="490"/>
      <c r="S332" s="490"/>
      <c r="T332" s="490"/>
      <c r="U332" s="490"/>
      <c r="V332" s="490"/>
      <c r="W332" s="490"/>
      <c r="X332" s="490"/>
      <c r="Y332" s="490"/>
      <c r="Z332" s="490"/>
      <c r="AA332" s="490"/>
      <c r="AB332" s="490"/>
      <c r="AC332" s="490"/>
      <c r="AD332" s="490"/>
      <c r="AE332" s="490"/>
      <c r="AF332" s="490"/>
      <c r="AG332" s="490"/>
      <c r="AH332" s="490"/>
      <c r="AI332" s="490"/>
      <c r="AJ332" s="490"/>
      <c r="AK332" s="490"/>
      <c r="AL332" s="490"/>
      <c r="AM332" s="490"/>
      <c r="AN332" s="490"/>
      <c r="AO332" s="490"/>
      <c r="AP332" s="490"/>
      <c r="AQ332" s="490"/>
      <c r="AR332" s="490"/>
      <c r="AS332" s="490"/>
      <c r="AT332" s="490"/>
      <c r="AU332" s="490"/>
      <c r="AV332" s="490"/>
      <c r="AW332" s="490"/>
      <c r="AX332" s="490"/>
      <c r="AY332" s="490"/>
      <c r="AZ332" s="490"/>
      <c r="BA332" s="490"/>
      <c r="BB332" s="490"/>
      <c r="BC332" s="490"/>
      <c r="BD332" s="490"/>
      <c r="BE332" s="490"/>
      <c r="BF332" s="490"/>
      <c r="BG332" s="490"/>
      <c r="BH332" s="490"/>
      <c r="BI332" s="490"/>
      <c r="BJ332" s="490"/>
      <c r="BK332" s="490"/>
      <c r="BL332" s="490"/>
      <c r="BM332" s="490"/>
      <c r="BN332" s="490"/>
      <c r="BO332" s="490"/>
      <c r="BP332" s="490"/>
      <c r="BQ332" s="490"/>
      <c r="BR332" s="490"/>
      <c r="BS332" s="490"/>
      <c r="BT332" s="490"/>
      <c r="BU332" s="490"/>
      <c r="BV332" s="490"/>
      <c r="BW332" s="490"/>
      <c r="BX332" s="490"/>
      <c r="BY332" s="490"/>
      <c r="BZ332" s="490"/>
      <c r="CA332" s="490"/>
      <c r="CB332" s="490"/>
      <c r="CC332" s="490"/>
      <c r="CD332" s="490"/>
      <c r="CE332" s="490"/>
      <c r="CF332" s="490"/>
      <c r="CG332" s="490"/>
      <c r="CH332" s="490"/>
      <c r="CI332" s="490"/>
      <c r="CJ332" s="490"/>
      <c r="CK332" s="490"/>
      <c r="CL332" s="490"/>
      <c r="CM332" s="490"/>
      <c r="CN332" s="490"/>
      <c r="CO332" s="490"/>
      <c r="CP332" s="490"/>
      <c r="CQ332" s="490"/>
      <c r="CR332" s="490"/>
      <c r="CS332" s="490"/>
      <c r="CT332" s="490"/>
      <c r="CU332" s="490"/>
      <c r="CV332" s="490"/>
      <c r="CW332" s="490"/>
      <c r="CX332" s="490"/>
      <c r="CY332" s="490"/>
      <c r="CZ332" s="490"/>
      <c r="DA332" s="490"/>
      <c r="DB332" s="490"/>
      <c r="DC332" s="490"/>
      <c r="DD332" s="490"/>
      <c r="DE332" s="490"/>
      <c r="DF332" s="490"/>
      <c r="DG332" s="490"/>
      <c r="DH332" s="490"/>
      <c r="DI332" s="490"/>
      <c r="DJ332" s="490"/>
      <c r="DK332" s="490"/>
      <c r="DL332" s="490"/>
      <c r="DM332" s="490"/>
      <c r="DN332" s="490"/>
      <c r="DO332" s="490"/>
      <c r="DP332" s="490"/>
      <c r="DQ332" s="490"/>
      <c r="DR332" s="490"/>
      <c r="DS332" s="490"/>
      <c r="DT332" s="490"/>
      <c r="DU332" s="490"/>
      <c r="DV332" s="490"/>
      <c r="DW332" s="490"/>
      <c r="DX332" s="490"/>
      <c r="DY332" s="490"/>
      <c r="DZ332" s="490"/>
      <c r="EA332" s="490"/>
      <c r="EB332" s="490"/>
      <c r="EC332" s="490"/>
      <c r="ED332" s="490"/>
      <c r="EE332" s="490"/>
      <c r="EF332" s="490"/>
      <c r="EG332" s="490"/>
      <c r="EH332" s="490"/>
      <c r="EI332" s="490"/>
      <c r="EJ332" s="490"/>
      <c r="EK332" s="490"/>
      <c r="EL332" s="490"/>
      <c r="EM332" s="490"/>
      <c r="EN332" s="490"/>
      <c r="EO332" s="490"/>
      <c r="EP332" s="490"/>
      <c r="EQ332" s="490"/>
      <c r="ER332" s="490"/>
      <c r="ES332" s="490"/>
      <c r="ET332" s="490"/>
      <c r="EU332" s="490"/>
      <c r="EV332" s="490"/>
      <c r="EW332" s="490"/>
      <c r="EX332" s="490"/>
      <c r="EY332" s="490"/>
      <c r="EZ332" s="490"/>
      <c r="FA332" s="490"/>
      <c r="FB332" s="490"/>
      <c r="FC332" s="490"/>
      <c r="FD332" s="490"/>
      <c r="FE332" s="490"/>
      <c r="FF332" s="490"/>
      <c r="FG332" s="490"/>
      <c r="FH332" s="490"/>
      <c r="FI332" s="490"/>
      <c r="FJ332" s="490"/>
      <c r="FK332" s="490"/>
      <c r="FL332" s="490"/>
      <c r="FM332" s="490"/>
      <c r="FN332" s="490"/>
    </row>
    <row r="333" s="492" customFormat="1" spans="1:170">
      <c r="A333" s="519">
        <v>46183</v>
      </c>
      <c r="B333" s="509" t="s">
        <v>822</v>
      </c>
      <c r="C333" s="520">
        <v>3</v>
      </c>
      <c r="D333" s="509" t="s">
        <v>72</v>
      </c>
      <c r="E333" s="509" t="s">
        <v>72</v>
      </c>
      <c r="F333" s="545" t="s">
        <v>158</v>
      </c>
      <c r="G333" s="542">
        <v>1.04</v>
      </c>
      <c r="H333" s="542">
        <v>2.64</v>
      </c>
      <c r="I333" s="542" t="s">
        <v>17</v>
      </c>
      <c r="J333" s="542" t="s">
        <v>24</v>
      </c>
      <c r="K333" s="526" t="s">
        <v>601</v>
      </c>
      <c r="L333" s="545" t="s">
        <v>316</v>
      </c>
      <c r="M333" s="490"/>
      <c r="N333" s="490"/>
      <c r="O333" s="490"/>
      <c r="P333" s="490"/>
      <c r="Q333" s="490"/>
      <c r="R333" s="490"/>
      <c r="S333" s="490"/>
      <c r="T333" s="490"/>
      <c r="U333" s="490"/>
      <c r="V333" s="490"/>
      <c r="W333" s="490"/>
      <c r="X333" s="490"/>
      <c r="Y333" s="490"/>
      <c r="Z333" s="490"/>
      <c r="AA333" s="490"/>
      <c r="AB333" s="490"/>
      <c r="AC333" s="490"/>
      <c r="AD333" s="490"/>
      <c r="AE333" s="490"/>
      <c r="AF333" s="490"/>
      <c r="AG333" s="490"/>
      <c r="AH333" s="490"/>
      <c r="AI333" s="490"/>
      <c r="AJ333" s="490"/>
      <c r="AK333" s="490"/>
      <c r="AL333" s="490"/>
      <c r="AM333" s="490"/>
      <c r="AN333" s="490"/>
      <c r="AO333" s="490"/>
      <c r="AP333" s="490"/>
      <c r="AQ333" s="490"/>
      <c r="AR333" s="490"/>
      <c r="AS333" s="490"/>
      <c r="AT333" s="490"/>
      <c r="AU333" s="490"/>
      <c r="AV333" s="490"/>
      <c r="AW333" s="490"/>
      <c r="AX333" s="490"/>
      <c r="AY333" s="490"/>
      <c r="AZ333" s="490"/>
      <c r="BA333" s="490"/>
      <c r="BB333" s="490"/>
      <c r="BC333" s="490"/>
      <c r="BD333" s="490"/>
      <c r="BE333" s="490"/>
      <c r="BF333" s="490"/>
      <c r="BG333" s="490"/>
      <c r="BH333" s="490"/>
      <c r="BI333" s="490"/>
      <c r="BJ333" s="490"/>
      <c r="BK333" s="490"/>
      <c r="BL333" s="490"/>
      <c r="BM333" s="490"/>
      <c r="BN333" s="490"/>
      <c r="BO333" s="490"/>
      <c r="BP333" s="490"/>
      <c r="BQ333" s="490"/>
      <c r="BR333" s="490"/>
      <c r="BS333" s="490"/>
      <c r="BT333" s="490"/>
      <c r="BU333" s="490"/>
      <c r="BV333" s="490"/>
      <c r="BW333" s="490"/>
      <c r="BX333" s="490"/>
      <c r="BY333" s="490"/>
      <c r="BZ333" s="490"/>
      <c r="CA333" s="490"/>
      <c r="CB333" s="490"/>
      <c r="CC333" s="490"/>
      <c r="CD333" s="490"/>
      <c r="CE333" s="490"/>
      <c r="CF333" s="490"/>
      <c r="CG333" s="490"/>
      <c r="CH333" s="490"/>
      <c r="CI333" s="490"/>
      <c r="CJ333" s="490"/>
      <c r="CK333" s="490"/>
      <c r="CL333" s="490"/>
      <c r="CM333" s="490"/>
      <c r="CN333" s="490"/>
      <c r="CO333" s="490"/>
      <c r="CP333" s="490"/>
      <c r="CQ333" s="490"/>
      <c r="CR333" s="490"/>
      <c r="CS333" s="490"/>
      <c r="CT333" s="490"/>
      <c r="CU333" s="490"/>
      <c r="CV333" s="490"/>
      <c r="CW333" s="490"/>
      <c r="CX333" s="490"/>
      <c r="CY333" s="490"/>
      <c r="CZ333" s="490"/>
      <c r="DA333" s="490"/>
      <c r="DB333" s="490"/>
      <c r="DC333" s="490"/>
      <c r="DD333" s="490"/>
      <c r="DE333" s="490"/>
      <c r="DF333" s="490"/>
      <c r="DG333" s="490"/>
      <c r="DH333" s="490"/>
      <c r="DI333" s="490"/>
      <c r="DJ333" s="490"/>
      <c r="DK333" s="490"/>
      <c r="DL333" s="490"/>
      <c r="DM333" s="490"/>
      <c r="DN333" s="490"/>
      <c r="DO333" s="490"/>
      <c r="DP333" s="490"/>
      <c r="DQ333" s="490"/>
      <c r="DR333" s="490"/>
      <c r="DS333" s="490"/>
      <c r="DT333" s="490"/>
      <c r="DU333" s="490"/>
      <c r="DV333" s="490"/>
      <c r="DW333" s="490"/>
      <c r="DX333" s="490"/>
      <c r="DY333" s="490"/>
      <c r="DZ333" s="490"/>
      <c r="EA333" s="490"/>
      <c r="EB333" s="490"/>
      <c r="EC333" s="490"/>
      <c r="ED333" s="490"/>
      <c r="EE333" s="490"/>
      <c r="EF333" s="490"/>
      <c r="EG333" s="490"/>
      <c r="EH333" s="490"/>
      <c r="EI333" s="490"/>
      <c r="EJ333" s="490"/>
      <c r="EK333" s="490"/>
      <c r="EL333" s="490"/>
      <c r="EM333" s="490"/>
      <c r="EN333" s="490"/>
      <c r="EO333" s="490"/>
      <c r="EP333" s="490"/>
      <c r="EQ333" s="490"/>
      <c r="ER333" s="490"/>
      <c r="ES333" s="490"/>
      <c r="ET333" s="490"/>
      <c r="EU333" s="490"/>
      <c r="EV333" s="490"/>
      <c r="EW333" s="490"/>
      <c r="EX333" s="490"/>
      <c r="EY333" s="490"/>
      <c r="EZ333" s="490"/>
      <c r="FA333" s="490"/>
      <c r="FB333" s="490"/>
      <c r="FC333" s="490"/>
      <c r="FD333" s="490"/>
      <c r="FE333" s="490"/>
      <c r="FF333" s="490"/>
      <c r="FG333" s="490"/>
      <c r="FH333" s="490"/>
      <c r="FI333" s="490"/>
      <c r="FJ333" s="490"/>
      <c r="FK333" s="490"/>
      <c r="FL333" s="490"/>
      <c r="FM333" s="490"/>
      <c r="FN333" s="490"/>
    </row>
    <row r="334" s="492" customFormat="1" spans="1:170">
      <c r="A334" s="519"/>
      <c r="B334" s="509"/>
      <c r="C334" s="520"/>
      <c r="D334" s="509"/>
      <c r="E334" s="509"/>
      <c r="F334" s="545" t="s">
        <v>159</v>
      </c>
      <c r="G334" s="542">
        <v>1.04</v>
      </c>
      <c r="H334" s="542">
        <v>0.06</v>
      </c>
      <c r="I334" s="542" t="s">
        <v>17</v>
      </c>
      <c r="J334" s="542" t="s">
        <v>24</v>
      </c>
      <c r="K334" s="531"/>
      <c r="L334" s="545"/>
      <c r="M334" s="490"/>
      <c r="N334" s="490"/>
      <c r="O334" s="490"/>
      <c r="P334" s="490"/>
      <c r="Q334" s="490"/>
      <c r="R334" s="490"/>
      <c r="S334" s="490"/>
      <c r="T334" s="490"/>
      <c r="U334" s="490"/>
      <c r="V334" s="490"/>
      <c r="W334" s="490"/>
      <c r="X334" s="490"/>
      <c r="Y334" s="490"/>
      <c r="Z334" s="490"/>
      <c r="AA334" s="490"/>
      <c r="AB334" s="490"/>
      <c r="AC334" s="490"/>
      <c r="AD334" s="490"/>
      <c r="AE334" s="490"/>
      <c r="AF334" s="490"/>
      <c r="AG334" s="490"/>
      <c r="AH334" s="490"/>
      <c r="AI334" s="490"/>
      <c r="AJ334" s="490"/>
      <c r="AK334" s="490"/>
      <c r="AL334" s="490"/>
      <c r="AM334" s="490"/>
      <c r="AN334" s="490"/>
      <c r="AO334" s="490"/>
      <c r="AP334" s="490"/>
      <c r="AQ334" s="490"/>
      <c r="AR334" s="490"/>
      <c r="AS334" s="490"/>
      <c r="AT334" s="490"/>
      <c r="AU334" s="490"/>
      <c r="AV334" s="490"/>
      <c r="AW334" s="490"/>
      <c r="AX334" s="490"/>
      <c r="AY334" s="490"/>
      <c r="AZ334" s="490"/>
      <c r="BA334" s="490"/>
      <c r="BB334" s="490"/>
      <c r="BC334" s="490"/>
      <c r="BD334" s="490"/>
      <c r="BE334" s="490"/>
      <c r="BF334" s="490"/>
      <c r="BG334" s="490"/>
      <c r="BH334" s="490"/>
      <c r="BI334" s="490"/>
      <c r="BJ334" s="490"/>
      <c r="BK334" s="490"/>
      <c r="BL334" s="490"/>
      <c r="BM334" s="490"/>
      <c r="BN334" s="490"/>
      <c r="BO334" s="490"/>
      <c r="BP334" s="490"/>
      <c r="BQ334" s="490"/>
      <c r="BR334" s="490"/>
      <c r="BS334" s="490"/>
      <c r="BT334" s="490"/>
      <c r="BU334" s="490"/>
      <c r="BV334" s="490"/>
      <c r="BW334" s="490"/>
      <c r="BX334" s="490"/>
      <c r="BY334" s="490"/>
      <c r="BZ334" s="490"/>
      <c r="CA334" s="490"/>
      <c r="CB334" s="490"/>
      <c r="CC334" s="490"/>
      <c r="CD334" s="490"/>
      <c r="CE334" s="490"/>
      <c r="CF334" s="490"/>
      <c r="CG334" s="490"/>
      <c r="CH334" s="490"/>
      <c r="CI334" s="490"/>
      <c r="CJ334" s="490"/>
      <c r="CK334" s="490"/>
      <c r="CL334" s="490"/>
      <c r="CM334" s="490"/>
      <c r="CN334" s="490"/>
      <c r="CO334" s="490"/>
      <c r="CP334" s="490"/>
      <c r="CQ334" s="490"/>
      <c r="CR334" s="490"/>
      <c r="CS334" s="490"/>
      <c r="CT334" s="490"/>
      <c r="CU334" s="490"/>
      <c r="CV334" s="490"/>
      <c r="CW334" s="490"/>
      <c r="CX334" s="490"/>
      <c r="CY334" s="490"/>
      <c r="CZ334" s="490"/>
      <c r="DA334" s="490"/>
      <c r="DB334" s="490"/>
      <c r="DC334" s="490"/>
      <c r="DD334" s="490"/>
      <c r="DE334" s="490"/>
      <c r="DF334" s="490"/>
      <c r="DG334" s="490"/>
      <c r="DH334" s="490"/>
      <c r="DI334" s="490"/>
      <c r="DJ334" s="490"/>
      <c r="DK334" s="490"/>
      <c r="DL334" s="490"/>
      <c r="DM334" s="490"/>
      <c r="DN334" s="490"/>
      <c r="DO334" s="490"/>
      <c r="DP334" s="490"/>
      <c r="DQ334" s="490"/>
      <c r="DR334" s="490"/>
      <c r="DS334" s="490"/>
      <c r="DT334" s="490"/>
      <c r="DU334" s="490"/>
      <c r="DV334" s="490"/>
      <c r="DW334" s="490"/>
      <c r="DX334" s="490"/>
      <c r="DY334" s="490"/>
      <c r="DZ334" s="490"/>
      <c r="EA334" s="490"/>
      <c r="EB334" s="490"/>
      <c r="EC334" s="490"/>
      <c r="ED334" s="490"/>
      <c r="EE334" s="490"/>
      <c r="EF334" s="490"/>
      <c r="EG334" s="490"/>
      <c r="EH334" s="490"/>
      <c r="EI334" s="490"/>
      <c r="EJ334" s="490"/>
      <c r="EK334" s="490"/>
      <c r="EL334" s="490"/>
      <c r="EM334" s="490"/>
      <c r="EN334" s="490"/>
      <c r="EO334" s="490"/>
      <c r="EP334" s="490"/>
      <c r="EQ334" s="490"/>
      <c r="ER334" s="490"/>
      <c r="ES334" s="490"/>
      <c r="ET334" s="490"/>
      <c r="EU334" s="490"/>
      <c r="EV334" s="490"/>
      <c r="EW334" s="490"/>
      <c r="EX334" s="490"/>
      <c r="EY334" s="490"/>
      <c r="EZ334" s="490"/>
      <c r="FA334" s="490"/>
      <c r="FB334" s="490"/>
      <c r="FC334" s="490"/>
      <c r="FD334" s="490"/>
      <c r="FE334" s="490"/>
      <c r="FF334" s="490"/>
      <c r="FG334" s="490"/>
      <c r="FH334" s="490"/>
      <c r="FI334" s="490"/>
      <c r="FJ334" s="490"/>
      <c r="FK334" s="490"/>
      <c r="FL334" s="490"/>
      <c r="FM334" s="490"/>
      <c r="FN334" s="490"/>
    </row>
    <row r="335" s="492" customFormat="1" spans="1:170">
      <c r="A335" s="519"/>
      <c r="B335" s="509"/>
      <c r="C335" s="520"/>
      <c r="D335" s="509"/>
      <c r="E335" s="509"/>
      <c r="F335" s="545" t="s">
        <v>148</v>
      </c>
      <c r="G335" s="542">
        <v>1.38</v>
      </c>
      <c r="H335" s="542">
        <v>0.3</v>
      </c>
      <c r="I335" s="542" t="s">
        <v>24</v>
      </c>
      <c r="J335" s="542" t="s">
        <v>24</v>
      </c>
      <c r="K335" s="534"/>
      <c r="L335" s="545"/>
      <c r="M335" s="490"/>
      <c r="N335" s="490"/>
      <c r="O335" s="490"/>
      <c r="P335" s="490"/>
      <c r="Q335" s="490"/>
      <c r="R335" s="490"/>
      <c r="S335" s="490"/>
      <c r="T335" s="490"/>
      <c r="U335" s="490"/>
      <c r="V335" s="490"/>
      <c r="W335" s="490"/>
      <c r="X335" s="490"/>
      <c r="Y335" s="490"/>
      <c r="Z335" s="490"/>
      <c r="AA335" s="490"/>
      <c r="AB335" s="490"/>
      <c r="AC335" s="490"/>
      <c r="AD335" s="490"/>
      <c r="AE335" s="490"/>
      <c r="AF335" s="490"/>
      <c r="AG335" s="490"/>
      <c r="AH335" s="490"/>
      <c r="AI335" s="490"/>
      <c r="AJ335" s="490"/>
      <c r="AK335" s="490"/>
      <c r="AL335" s="490"/>
      <c r="AM335" s="490"/>
      <c r="AN335" s="490"/>
      <c r="AO335" s="490"/>
      <c r="AP335" s="490"/>
      <c r="AQ335" s="490"/>
      <c r="AR335" s="490"/>
      <c r="AS335" s="490"/>
      <c r="AT335" s="490"/>
      <c r="AU335" s="490"/>
      <c r="AV335" s="490"/>
      <c r="AW335" s="490"/>
      <c r="AX335" s="490"/>
      <c r="AY335" s="490"/>
      <c r="AZ335" s="490"/>
      <c r="BA335" s="490"/>
      <c r="BB335" s="490"/>
      <c r="BC335" s="490"/>
      <c r="BD335" s="490"/>
      <c r="BE335" s="490"/>
      <c r="BF335" s="490"/>
      <c r="BG335" s="490"/>
      <c r="BH335" s="490"/>
      <c r="BI335" s="490"/>
      <c r="BJ335" s="490"/>
      <c r="BK335" s="490"/>
      <c r="BL335" s="490"/>
      <c r="BM335" s="490"/>
      <c r="BN335" s="490"/>
      <c r="BO335" s="490"/>
      <c r="BP335" s="490"/>
      <c r="BQ335" s="490"/>
      <c r="BR335" s="490"/>
      <c r="BS335" s="490"/>
      <c r="BT335" s="490"/>
      <c r="BU335" s="490"/>
      <c r="BV335" s="490"/>
      <c r="BW335" s="490"/>
      <c r="BX335" s="490"/>
      <c r="BY335" s="490"/>
      <c r="BZ335" s="490"/>
      <c r="CA335" s="490"/>
      <c r="CB335" s="490"/>
      <c r="CC335" s="490"/>
      <c r="CD335" s="490"/>
      <c r="CE335" s="490"/>
      <c r="CF335" s="490"/>
      <c r="CG335" s="490"/>
      <c r="CH335" s="490"/>
      <c r="CI335" s="490"/>
      <c r="CJ335" s="490"/>
      <c r="CK335" s="490"/>
      <c r="CL335" s="490"/>
      <c r="CM335" s="490"/>
      <c r="CN335" s="490"/>
      <c r="CO335" s="490"/>
      <c r="CP335" s="490"/>
      <c r="CQ335" s="490"/>
      <c r="CR335" s="490"/>
      <c r="CS335" s="490"/>
      <c r="CT335" s="490"/>
      <c r="CU335" s="490"/>
      <c r="CV335" s="490"/>
      <c r="CW335" s="490"/>
      <c r="CX335" s="490"/>
      <c r="CY335" s="490"/>
      <c r="CZ335" s="490"/>
      <c r="DA335" s="490"/>
      <c r="DB335" s="490"/>
      <c r="DC335" s="490"/>
      <c r="DD335" s="490"/>
      <c r="DE335" s="490"/>
      <c r="DF335" s="490"/>
      <c r="DG335" s="490"/>
      <c r="DH335" s="490"/>
      <c r="DI335" s="490"/>
      <c r="DJ335" s="490"/>
      <c r="DK335" s="490"/>
      <c r="DL335" s="490"/>
      <c r="DM335" s="490"/>
      <c r="DN335" s="490"/>
      <c r="DO335" s="490"/>
      <c r="DP335" s="490"/>
      <c r="DQ335" s="490"/>
      <c r="DR335" s="490"/>
      <c r="DS335" s="490"/>
      <c r="DT335" s="490"/>
      <c r="DU335" s="490"/>
      <c r="DV335" s="490"/>
      <c r="DW335" s="490"/>
      <c r="DX335" s="490"/>
      <c r="DY335" s="490"/>
      <c r="DZ335" s="490"/>
      <c r="EA335" s="490"/>
      <c r="EB335" s="490"/>
      <c r="EC335" s="490"/>
      <c r="ED335" s="490"/>
      <c r="EE335" s="490"/>
      <c r="EF335" s="490"/>
      <c r="EG335" s="490"/>
      <c r="EH335" s="490"/>
      <c r="EI335" s="490"/>
      <c r="EJ335" s="490"/>
      <c r="EK335" s="490"/>
      <c r="EL335" s="490"/>
      <c r="EM335" s="490"/>
      <c r="EN335" s="490"/>
      <c r="EO335" s="490"/>
      <c r="EP335" s="490"/>
      <c r="EQ335" s="490"/>
      <c r="ER335" s="490"/>
      <c r="ES335" s="490"/>
      <c r="ET335" s="490"/>
      <c r="EU335" s="490"/>
      <c r="EV335" s="490"/>
      <c r="EW335" s="490"/>
      <c r="EX335" s="490"/>
      <c r="EY335" s="490"/>
      <c r="EZ335" s="490"/>
      <c r="FA335" s="490"/>
      <c r="FB335" s="490"/>
      <c r="FC335" s="490"/>
      <c r="FD335" s="490"/>
      <c r="FE335" s="490"/>
      <c r="FF335" s="490"/>
      <c r="FG335" s="490"/>
      <c r="FH335" s="490"/>
      <c r="FI335" s="490"/>
      <c r="FJ335" s="490"/>
      <c r="FK335" s="490"/>
      <c r="FL335" s="490"/>
      <c r="FM335" s="490"/>
      <c r="FN335" s="490"/>
    </row>
    <row r="336" s="492" customFormat="1" spans="1:170">
      <c r="A336" s="519">
        <v>46183</v>
      </c>
      <c r="B336" s="509" t="s">
        <v>823</v>
      </c>
      <c r="C336" s="520">
        <v>5</v>
      </c>
      <c r="D336" s="509" t="s">
        <v>14</v>
      </c>
      <c r="E336" s="509" t="s">
        <v>14</v>
      </c>
      <c r="F336" s="545" t="s">
        <v>158</v>
      </c>
      <c r="G336" s="542">
        <v>1.87</v>
      </c>
      <c r="H336" s="542">
        <v>4.09</v>
      </c>
      <c r="I336" s="542" t="s">
        <v>17</v>
      </c>
      <c r="J336" s="542" t="s">
        <v>24</v>
      </c>
      <c r="K336" s="526" t="s">
        <v>609</v>
      </c>
      <c r="L336" s="545"/>
      <c r="M336" s="490"/>
      <c r="N336" s="490"/>
      <c r="O336" s="490"/>
      <c r="P336" s="490"/>
      <c r="Q336" s="490"/>
      <c r="R336" s="490"/>
      <c r="S336" s="490"/>
      <c r="T336" s="490"/>
      <c r="U336" s="490"/>
      <c r="V336" s="490"/>
      <c r="W336" s="490"/>
      <c r="X336" s="490"/>
      <c r="Y336" s="490"/>
      <c r="Z336" s="490"/>
      <c r="AA336" s="490"/>
      <c r="AB336" s="490"/>
      <c r="AC336" s="490"/>
      <c r="AD336" s="490"/>
      <c r="AE336" s="490"/>
      <c r="AF336" s="490"/>
      <c r="AG336" s="490"/>
      <c r="AH336" s="490"/>
      <c r="AI336" s="490"/>
      <c r="AJ336" s="490"/>
      <c r="AK336" s="490"/>
      <c r="AL336" s="490"/>
      <c r="AM336" s="490"/>
      <c r="AN336" s="490"/>
      <c r="AO336" s="490"/>
      <c r="AP336" s="490"/>
      <c r="AQ336" s="490"/>
      <c r="AR336" s="490"/>
      <c r="AS336" s="490"/>
      <c r="AT336" s="490"/>
      <c r="AU336" s="490"/>
      <c r="AV336" s="490"/>
      <c r="AW336" s="490"/>
      <c r="AX336" s="490"/>
      <c r="AY336" s="490"/>
      <c r="AZ336" s="490"/>
      <c r="BA336" s="490"/>
      <c r="BB336" s="490"/>
      <c r="BC336" s="490"/>
      <c r="BD336" s="490"/>
      <c r="BE336" s="490"/>
      <c r="BF336" s="490"/>
      <c r="BG336" s="490"/>
      <c r="BH336" s="490"/>
      <c r="BI336" s="490"/>
      <c r="BJ336" s="490"/>
      <c r="BK336" s="490"/>
      <c r="BL336" s="490"/>
      <c r="BM336" s="490"/>
      <c r="BN336" s="490"/>
      <c r="BO336" s="490"/>
      <c r="BP336" s="490"/>
      <c r="BQ336" s="490"/>
      <c r="BR336" s="490"/>
      <c r="BS336" s="490"/>
      <c r="BT336" s="490"/>
      <c r="BU336" s="490"/>
      <c r="BV336" s="490"/>
      <c r="BW336" s="490"/>
      <c r="BX336" s="490"/>
      <c r="BY336" s="490"/>
      <c r="BZ336" s="490"/>
      <c r="CA336" s="490"/>
      <c r="CB336" s="490"/>
      <c r="CC336" s="490"/>
      <c r="CD336" s="490"/>
      <c r="CE336" s="490"/>
      <c r="CF336" s="490"/>
      <c r="CG336" s="490"/>
      <c r="CH336" s="490"/>
      <c r="CI336" s="490"/>
      <c r="CJ336" s="490"/>
      <c r="CK336" s="490"/>
      <c r="CL336" s="490"/>
      <c r="CM336" s="490"/>
      <c r="CN336" s="490"/>
      <c r="CO336" s="490"/>
      <c r="CP336" s="490"/>
      <c r="CQ336" s="490"/>
      <c r="CR336" s="490"/>
      <c r="CS336" s="490"/>
      <c r="CT336" s="490"/>
      <c r="CU336" s="490"/>
      <c r="CV336" s="490"/>
      <c r="CW336" s="490"/>
      <c r="CX336" s="490"/>
      <c r="CY336" s="490"/>
      <c r="CZ336" s="490"/>
      <c r="DA336" s="490"/>
      <c r="DB336" s="490"/>
      <c r="DC336" s="490"/>
      <c r="DD336" s="490"/>
      <c r="DE336" s="490"/>
      <c r="DF336" s="490"/>
      <c r="DG336" s="490"/>
      <c r="DH336" s="490"/>
      <c r="DI336" s="490"/>
      <c r="DJ336" s="490"/>
      <c r="DK336" s="490"/>
      <c r="DL336" s="490"/>
      <c r="DM336" s="490"/>
      <c r="DN336" s="490"/>
      <c r="DO336" s="490"/>
      <c r="DP336" s="490"/>
      <c r="DQ336" s="490"/>
      <c r="DR336" s="490"/>
      <c r="DS336" s="490"/>
      <c r="DT336" s="490"/>
      <c r="DU336" s="490"/>
      <c r="DV336" s="490"/>
      <c r="DW336" s="490"/>
      <c r="DX336" s="490"/>
      <c r="DY336" s="490"/>
      <c r="DZ336" s="490"/>
      <c r="EA336" s="490"/>
      <c r="EB336" s="490"/>
      <c r="EC336" s="490"/>
      <c r="ED336" s="490"/>
      <c r="EE336" s="490"/>
      <c r="EF336" s="490"/>
      <c r="EG336" s="490"/>
      <c r="EH336" s="490"/>
      <c r="EI336" s="490"/>
      <c r="EJ336" s="490"/>
      <c r="EK336" s="490"/>
      <c r="EL336" s="490"/>
      <c r="EM336" s="490"/>
      <c r="EN336" s="490"/>
      <c r="EO336" s="490"/>
      <c r="EP336" s="490"/>
      <c r="EQ336" s="490"/>
      <c r="ER336" s="490"/>
      <c r="ES336" s="490"/>
      <c r="ET336" s="490"/>
      <c r="EU336" s="490"/>
      <c r="EV336" s="490"/>
      <c r="EW336" s="490"/>
      <c r="EX336" s="490"/>
      <c r="EY336" s="490"/>
      <c r="EZ336" s="490"/>
      <c r="FA336" s="490"/>
      <c r="FB336" s="490"/>
      <c r="FC336" s="490"/>
      <c r="FD336" s="490"/>
      <c r="FE336" s="490"/>
      <c r="FF336" s="490"/>
      <c r="FG336" s="490"/>
      <c r="FH336" s="490"/>
      <c r="FI336" s="490"/>
      <c r="FJ336" s="490"/>
      <c r="FK336" s="490"/>
      <c r="FL336" s="490"/>
      <c r="FM336" s="490"/>
      <c r="FN336" s="490"/>
    </row>
    <row r="337" s="492" customFormat="1" spans="1:170">
      <c r="A337" s="519"/>
      <c r="B337" s="509"/>
      <c r="C337" s="520"/>
      <c r="D337" s="509"/>
      <c r="E337" s="509"/>
      <c r="F337" s="545" t="s">
        <v>159</v>
      </c>
      <c r="G337" s="542">
        <v>1.95</v>
      </c>
      <c r="H337" s="542">
        <v>0.41</v>
      </c>
      <c r="I337" s="546" t="s">
        <v>22</v>
      </c>
      <c r="J337" s="542" t="s">
        <v>24</v>
      </c>
      <c r="K337" s="531"/>
      <c r="L337" s="545"/>
      <c r="M337" s="490"/>
      <c r="N337" s="490"/>
      <c r="O337" s="490"/>
      <c r="P337" s="490"/>
      <c r="Q337" s="490"/>
      <c r="R337" s="490"/>
      <c r="S337" s="490"/>
      <c r="T337" s="490"/>
      <c r="U337" s="490"/>
      <c r="V337" s="490"/>
      <c r="W337" s="490"/>
      <c r="X337" s="490"/>
      <c r="Y337" s="490"/>
      <c r="Z337" s="490"/>
      <c r="AA337" s="490"/>
      <c r="AB337" s="490"/>
      <c r="AC337" s="490"/>
      <c r="AD337" s="490"/>
      <c r="AE337" s="490"/>
      <c r="AF337" s="490"/>
      <c r="AG337" s="490"/>
      <c r="AH337" s="490"/>
      <c r="AI337" s="490"/>
      <c r="AJ337" s="490"/>
      <c r="AK337" s="490"/>
      <c r="AL337" s="490"/>
      <c r="AM337" s="490"/>
      <c r="AN337" s="490"/>
      <c r="AO337" s="490"/>
      <c r="AP337" s="490"/>
      <c r="AQ337" s="490"/>
      <c r="AR337" s="490"/>
      <c r="AS337" s="490"/>
      <c r="AT337" s="490"/>
      <c r="AU337" s="490"/>
      <c r="AV337" s="490"/>
      <c r="AW337" s="490"/>
      <c r="AX337" s="490"/>
      <c r="AY337" s="490"/>
      <c r="AZ337" s="490"/>
      <c r="BA337" s="490"/>
      <c r="BB337" s="490"/>
      <c r="BC337" s="490"/>
      <c r="BD337" s="490"/>
      <c r="BE337" s="490"/>
      <c r="BF337" s="490"/>
      <c r="BG337" s="490"/>
      <c r="BH337" s="490"/>
      <c r="BI337" s="490"/>
      <c r="BJ337" s="490"/>
      <c r="BK337" s="490"/>
      <c r="BL337" s="490"/>
      <c r="BM337" s="490"/>
      <c r="BN337" s="490"/>
      <c r="BO337" s="490"/>
      <c r="BP337" s="490"/>
      <c r="BQ337" s="490"/>
      <c r="BR337" s="490"/>
      <c r="BS337" s="490"/>
      <c r="BT337" s="490"/>
      <c r="BU337" s="490"/>
      <c r="BV337" s="490"/>
      <c r="BW337" s="490"/>
      <c r="BX337" s="490"/>
      <c r="BY337" s="490"/>
      <c r="BZ337" s="490"/>
      <c r="CA337" s="490"/>
      <c r="CB337" s="490"/>
      <c r="CC337" s="490"/>
      <c r="CD337" s="490"/>
      <c r="CE337" s="490"/>
      <c r="CF337" s="490"/>
      <c r="CG337" s="490"/>
      <c r="CH337" s="490"/>
      <c r="CI337" s="490"/>
      <c r="CJ337" s="490"/>
      <c r="CK337" s="490"/>
      <c r="CL337" s="490"/>
      <c r="CM337" s="490"/>
      <c r="CN337" s="490"/>
      <c r="CO337" s="490"/>
      <c r="CP337" s="490"/>
      <c r="CQ337" s="490"/>
      <c r="CR337" s="490"/>
      <c r="CS337" s="490"/>
      <c r="CT337" s="490"/>
      <c r="CU337" s="490"/>
      <c r="CV337" s="490"/>
      <c r="CW337" s="490"/>
      <c r="CX337" s="490"/>
      <c r="CY337" s="490"/>
      <c r="CZ337" s="490"/>
      <c r="DA337" s="490"/>
      <c r="DB337" s="490"/>
      <c r="DC337" s="490"/>
      <c r="DD337" s="490"/>
      <c r="DE337" s="490"/>
      <c r="DF337" s="490"/>
      <c r="DG337" s="490"/>
      <c r="DH337" s="490"/>
      <c r="DI337" s="490"/>
      <c r="DJ337" s="490"/>
      <c r="DK337" s="490"/>
      <c r="DL337" s="490"/>
      <c r="DM337" s="490"/>
      <c r="DN337" s="490"/>
      <c r="DO337" s="490"/>
      <c r="DP337" s="490"/>
      <c r="DQ337" s="490"/>
      <c r="DR337" s="490"/>
      <c r="DS337" s="490"/>
      <c r="DT337" s="490"/>
      <c r="DU337" s="490"/>
      <c r="DV337" s="490"/>
      <c r="DW337" s="490"/>
      <c r="DX337" s="490"/>
      <c r="DY337" s="490"/>
      <c r="DZ337" s="490"/>
      <c r="EA337" s="490"/>
      <c r="EB337" s="490"/>
      <c r="EC337" s="490"/>
      <c r="ED337" s="490"/>
      <c r="EE337" s="490"/>
      <c r="EF337" s="490"/>
      <c r="EG337" s="490"/>
      <c r="EH337" s="490"/>
      <c r="EI337" s="490"/>
      <c r="EJ337" s="490"/>
      <c r="EK337" s="490"/>
      <c r="EL337" s="490"/>
      <c r="EM337" s="490"/>
      <c r="EN337" s="490"/>
      <c r="EO337" s="490"/>
      <c r="EP337" s="490"/>
      <c r="EQ337" s="490"/>
      <c r="ER337" s="490"/>
      <c r="ES337" s="490"/>
      <c r="ET337" s="490"/>
      <c r="EU337" s="490"/>
      <c r="EV337" s="490"/>
      <c r="EW337" s="490"/>
      <c r="EX337" s="490"/>
      <c r="EY337" s="490"/>
      <c r="EZ337" s="490"/>
      <c r="FA337" s="490"/>
      <c r="FB337" s="490"/>
      <c r="FC337" s="490"/>
      <c r="FD337" s="490"/>
      <c r="FE337" s="490"/>
      <c r="FF337" s="490"/>
      <c r="FG337" s="490"/>
      <c r="FH337" s="490"/>
      <c r="FI337" s="490"/>
      <c r="FJ337" s="490"/>
      <c r="FK337" s="490"/>
      <c r="FL337" s="490"/>
      <c r="FM337" s="490"/>
      <c r="FN337" s="490"/>
    </row>
    <row r="338" s="492" customFormat="1" spans="1:170">
      <c r="A338" s="519"/>
      <c r="B338" s="509"/>
      <c r="C338" s="520"/>
      <c r="D338" s="509"/>
      <c r="E338" s="509"/>
      <c r="F338" s="545" t="s">
        <v>148</v>
      </c>
      <c r="G338" s="542">
        <v>2.7</v>
      </c>
      <c r="H338" s="542">
        <v>0.5</v>
      </c>
      <c r="I338" s="546" t="s">
        <v>24</v>
      </c>
      <c r="J338" s="542" t="s">
        <v>24</v>
      </c>
      <c r="K338" s="534"/>
      <c r="L338" s="545"/>
      <c r="M338" s="490"/>
      <c r="N338" s="490"/>
      <c r="O338" s="490"/>
      <c r="P338" s="490"/>
      <c r="Q338" s="490"/>
      <c r="R338" s="490"/>
      <c r="S338" s="490"/>
      <c r="T338" s="490"/>
      <c r="U338" s="490"/>
      <c r="V338" s="490"/>
      <c r="W338" s="490"/>
      <c r="X338" s="490"/>
      <c r="Y338" s="490"/>
      <c r="Z338" s="490"/>
      <c r="AA338" s="490"/>
      <c r="AB338" s="490"/>
      <c r="AC338" s="490"/>
      <c r="AD338" s="490"/>
      <c r="AE338" s="490"/>
      <c r="AF338" s="490"/>
      <c r="AG338" s="490"/>
      <c r="AH338" s="490"/>
      <c r="AI338" s="490"/>
      <c r="AJ338" s="490"/>
      <c r="AK338" s="490"/>
      <c r="AL338" s="490"/>
      <c r="AM338" s="490"/>
      <c r="AN338" s="490"/>
      <c r="AO338" s="490"/>
      <c r="AP338" s="490"/>
      <c r="AQ338" s="490"/>
      <c r="AR338" s="490"/>
      <c r="AS338" s="490"/>
      <c r="AT338" s="490"/>
      <c r="AU338" s="490"/>
      <c r="AV338" s="490"/>
      <c r="AW338" s="490"/>
      <c r="AX338" s="490"/>
      <c r="AY338" s="490"/>
      <c r="AZ338" s="490"/>
      <c r="BA338" s="490"/>
      <c r="BB338" s="490"/>
      <c r="BC338" s="490"/>
      <c r="BD338" s="490"/>
      <c r="BE338" s="490"/>
      <c r="BF338" s="490"/>
      <c r="BG338" s="490"/>
      <c r="BH338" s="490"/>
      <c r="BI338" s="490"/>
      <c r="BJ338" s="490"/>
      <c r="BK338" s="490"/>
      <c r="BL338" s="490"/>
      <c r="BM338" s="490"/>
      <c r="BN338" s="490"/>
      <c r="BO338" s="490"/>
      <c r="BP338" s="490"/>
      <c r="BQ338" s="490"/>
      <c r="BR338" s="490"/>
      <c r="BS338" s="490"/>
      <c r="BT338" s="490"/>
      <c r="BU338" s="490"/>
      <c r="BV338" s="490"/>
      <c r="BW338" s="490"/>
      <c r="BX338" s="490"/>
      <c r="BY338" s="490"/>
      <c r="BZ338" s="490"/>
      <c r="CA338" s="490"/>
      <c r="CB338" s="490"/>
      <c r="CC338" s="490"/>
      <c r="CD338" s="490"/>
      <c r="CE338" s="490"/>
      <c r="CF338" s="490"/>
      <c r="CG338" s="490"/>
      <c r="CH338" s="490"/>
      <c r="CI338" s="490"/>
      <c r="CJ338" s="490"/>
      <c r="CK338" s="490"/>
      <c r="CL338" s="490"/>
      <c r="CM338" s="490"/>
      <c r="CN338" s="490"/>
      <c r="CO338" s="490"/>
      <c r="CP338" s="490"/>
      <c r="CQ338" s="490"/>
      <c r="CR338" s="490"/>
      <c r="CS338" s="490"/>
      <c r="CT338" s="490"/>
      <c r="CU338" s="490"/>
      <c r="CV338" s="490"/>
      <c r="CW338" s="490"/>
      <c r="CX338" s="490"/>
      <c r="CY338" s="490"/>
      <c r="CZ338" s="490"/>
      <c r="DA338" s="490"/>
      <c r="DB338" s="490"/>
      <c r="DC338" s="490"/>
      <c r="DD338" s="490"/>
      <c r="DE338" s="490"/>
      <c r="DF338" s="490"/>
      <c r="DG338" s="490"/>
      <c r="DH338" s="490"/>
      <c r="DI338" s="490"/>
      <c r="DJ338" s="490"/>
      <c r="DK338" s="490"/>
      <c r="DL338" s="490"/>
      <c r="DM338" s="490"/>
      <c r="DN338" s="490"/>
      <c r="DO338" s="490"/>
      <c r="DP338" s="490"/>
      <c r="DQ338" s="490"/>
      <c r="DR338" s="490"/>
      <c r="DS338" s="490"/>
      <c r="DT338" s="490"/>
      <c r="DU338" s="490"/>
      <c r="DV338" s="490"/>
      <c r="DW338" s="490"/>
      <c r="DX338" s="490"/>
      <c r="DY338" s="490"/>
      <c r="DZ338" s="490"/>
      <c r="EA338" s="490"/>
      <c r="EB338" s="490"/>
      <c r="EC338" s="490"/>
      <c r="ED338" s="490"/>
      <c r="EE338" s="490"/>
      <c r="EF338" s="490"/>
      <c r="EG338" s="490"/>
      <c r="EH338" s="490"/>
      <c r="EI338" s="490"/>
      <c r="EJ338" s="490"/>
      <c r="EK338" s="490"/>
      <c r="EL338" s="490"/>
      <c r="EM338" s="490"/>
      <c r="EN338" s="490"/>
      <c r="EO338" s="490"/>
      <c r="EP338" s="490"/>
      <c r="EQ338" s="490"/>
      <c r="ER338" s="490"/>
      <c r="ES338" s="490"/>
      <c r="ET338" s="490"/>
      <c r="EU338" s="490"/>
      <c r="EV338" s="490"/>
      <c r="EW338" s="490"/>
      <c r="EX338" s="490"/>
      <c r="EY338" s="490"/>
      <c r="EZ338" s="490"/>
      <c r="FA338" s="490"/>
      <c r="FB338" s="490"/>
      <c r="FC338" s="490"/>
      <c r="FD338" s="490"/>
      <c r="FE338" s="490"/>
      <c r="FF338" s="490"/>
      <c r="FG338" s="490"/>
      <c r="FH338" s="490"/>
      <c r="FI338" s="490"/>
      <c r="FJ338" s="490"/>
      <c r="FK338" s="490"/>
      <c r="FL338" s="490"/>
      <c r="FM338" s="490"/>
      <c r="FN338" s="490"/>
    </row>
    <row r="339" s="492" customFormat="1" spans="1:170">
      <c r="A339" s="506">
        <v>46183</v>
      </c>
      <c r="B339" s="507" t="s">
        <v>824</v>
      </c>
      <c r="C339" s="508">
        <v>10</v>
      </c>
      <c r="D339" s="507" t="s">
        <v>85</v>
      </c>
      <c r="E339" s="507" t="s">
        <v>66</v>
      </c>
      <c r="F339" s="545" t="s">
        <v>237</v>
      </c>
      <c r="G339" s="542">
        <v>1</v>
      </c>
      <c r="H339" s="542">
        <v>3</v>
      </c>
      <c r="I339" s="546" t="s">
        <v>17</v>
      </c>
      <c r="J339" s="542" t="s">
        <v>24</v>
      </c>
      <c r="K339" s="526" t="s">
        <v>630</v>
      </c>
      <c r="L339" s="545" t="s">
        <v>256</v>
      </c>
      <c r="M339" s="490"/>
      <c r="N339" s="490"/>
      <c r="O339" s="490"/>
      <c r="P339" s="490"/>
      <c r="Q339" s="490"/>
      <c r="R339" s="490"/>
      <c r="S339" s="490"/>
      <c r="T339" s="490"/>
      <c r="U339" s="490"/>
      <c r="V339" s="490"/>
      <c r="W339" s="490"/>
      <c r="X339" s="490"/>
      <c r="Y339" s="490"/>
      <c r="Z339" s="490"/>
      <c r="AA339" s="490"/>
      <c r="AB339" s="490"/>
      <c r="AC339" s="490"/>
      <c r="AD339" s="490"/>
      <c r="AE339" s="490"/>
      <c r="AF339" s="490"/>
      <c r="AG339" s="490"/>
      <c r="AH339" s="490"/>
      <c r="AI339" s="490"/>
      <c r="AJ339" s="490"/>
      <c r="AK339" s="490"/>
      <c r="AL339" s="490"/>
      <c r="AM339" s="490"/>
      <c r="AN339" s="490"/>
      <c r="AO339" s="490"/>
      <c r="AP339" s="490"/>
      <c r="AQ339" s="490"/>
      <c r="AR339" s="490"/>
      <c r="AS339" s="490"/>
      <c r="AT339" s="490"/>
      <c r="AU339" s="490"/>
      <c r="AV339" s="490"/>
      <c r="AW339" s="490"/>
      <c r="AX339" s="490"/>
      <c r="AY339" s="490"/>
      <c r="AZ339" s="490"/>
      <c r="BA339" s="490"/>
      <c r="BB339" s="490"/>
      <c r="BC339" s="490"/>
      <c r="BD339" s="490"/>
      <c r="BE339" s="490"/>
      <c r="BF339" s="490"/>
      <c r="BG339" s="490"/>
      <c r="BH339" s="490"/>
      <c r="BI339" s="490"/>
      <c r="BJ339" s="490"/>
      <c r="BK339" s="490"/>
      <c r="BL339" s="490"/>
      <c r="BM339" s="490"/>
      <c r="BN339" s="490"/>
      <c r="BO339" s="490"/>
      <c r="BP339" s="490"/>
      <c r="BQ339" s="490"/>
      <c r="BR339" s="490"/>
      <c r="BS339" s="490"/>
      <c r="BT339" s="490"/>
      <c r="BU339" s="490"/>
      <c r="BV339" s="490"/>
      <c r="BW339" s="490"/>
      <c r="BX339" s="490"/>
      <c r="BY339" s="490"/>
      <c r="BZ339" s="490"/>
      <c r="CA339" s="490"/>
      <c r="CB339" s="490"/>
      <c r="CC339" s="490"/>
      <c r="CD339" s="490"/>
      <c r="CE339" s="490"/>
      <c r="CF339" s="490"/>
      <c r="CG339" s="490"/>
      <c r="CH339" s="490"/>
      <c r="CI339" s="490"/>
      <c r="CJ339" s="490"/>
      <c r="CK339" s="490"/>
      <c r="CL339" s="490"/>
      <c r="CM339" s="490"/>
      <c r="CN339" s="490"/>
      <c r="CO339" s="490"/>
      <c r="CP339" s="490"/>
      <c r="CQ339" s="490"/>
      <c r="CR339" s="490"/>
      <c r="CS339" s="490"/>
      <c r="CT339" s="490"/>
      <c r="CU339" s="490"/>
      <c r="CV339" s="490"/>
      <c r="CW339" s="490"/>
      <c r="CX339" s="490"/>
      <c r="CY339" s="490"/>
      <c r="CZ339" s="490"/>
      <c r="DA339" s="490"/>
      <c r="DB339" s="490"/>
      <c r="DC339" s="490"/>
      <c r="DD339" s="490"/>
      <c r="DE339" s="490"/>
      <c r="DF339" s="490"/>
      <c r="DG339" s="490"/>
      <c r="DH339" s="490"/>
      <c r="DI339" s="490"/>
      <c r="DJ339" s="490"/>
      <c r="DK339" s="490"/>
      <c r="DL339" s="490"/>
      <c r="DM339" s="490"/>
      <c r="DN339" s="490"/>
      <c r="DO339" s="490"/>
      <c r="DP339" s="490"/>
      <c r="DQ339" s="490"/>
      <c r="DR339" s="490"/>
      <c r="DS339" s="490"/>
      <c r="DT339" s="490"/>
      <c r="DU339" s="490"/>
      <c r="DV339" s="490"/>
      <c r="DW339" s="490"/>
      <c r="DX339" s="490"/>
      <c r="DY339" s="490"/>
      <c r="DZ339" s="490"/>
      <c r="EA339" s="490"/>
      <c r="EB339" s="490"/>
      <c r="EC339" s="490"/>
      <c r="ED339" s="490"/>
      <c r="EE339" s="490"/>
      <c r="EF339" s="490"/>
      <c r="EG339" s="490"/>
      <c r="EH339" s="490"/>
      <c r="EI339" s="490"/>
      <c r="EJ339" s="490"/>
      <c r="EK339" s="490"/>
      <c r="EL339" s="490"/>
      <c r="EM339" s="490"/>
      <c r="EN339" s="490"/>
      <c r="EO339" s="490"/>
      <c r="EP339" s="490"/>
      <c r="EQ339" s="490"/>
      <c r="ER339" s="490"/>
      <c r="ES339" s="490"/>
      <c r="ET339" s="490"/>
      <c r="EU339" s="490"/>
      <c r="EV339" s="490"/>
      <c r="EW339" s="490"/>
      <c r="EX339" s="490"/>
      <c r="EY339" s="490"/>
      <c r="EZ339" s="490"/>
      <c r="FA339" s="490"/>
      <c r="FB339" s="490"/>
      <c r="FC339" s="490"/>
      <c r="FD339" s="490"/>
      <c r="FE339" s="490"/>
      <c r="FF339" s="490"/>
      <c r="FG339" s="490"/>
      <c r="FH339" s="490"/>
      <c r="FI339" s="490"/>
      <c r="FJ339" s="490"/>
      <c r="FK339" s="490"/>
      <c r="FL339" s="490"/>
      <c r="FM339" s="490"/>
      <c r="FN339" s="490"/>
    </row>
    <row r="340" s="492" customFormat="1" spans="1:170">
      <c r="A340" s="512"/>
      <c r="B340" s="513"/>
      <c r="C340" s="514"/>
      <c r="D340" s="513"/>
      <c r="E340" s="513"/>
      <c r="F340" s="545" t="s">
        <v>228</v>
      </c>
      <c r="G340" s="542">
        <v>1</v>
      </c>
      <c r="H340" s="542">
        <v>5.8</v>
      </c>
      <c r="I340" s="542" t="s">
        <v>17</v>
      </c>
      <c r="J340" s="542" t="s">
        <v>24</v>
      </c>
      <c r="K340" s="531"/>
      <c r="L340" s="545"/>
      <c r="M340" s="490"/>
      <c r="N340" s="490"/>
      <c r="O340" s="490"/>
      <c r="P340" s="490"/>
      <c r="Q340" s="490"/>
      <c r="R340" s="490"/>
      <c r="S340" s="490"/>
      <c r="T340" s="490"/>
      <c r="U340" s="490"/>
      <c r="V340" s="490"/>
      <c r="W340" s="490"/>
      <c r="X340" s="490"/>
      <c r="Y340" s="490"/>
      <c r="Z340" s="490"/>
      <c r="AA340" s="490"/>
      <c r="AB340" s="490"/>
      <c r="AC340" s="490"/>
      <c r="AD340" s="490"/>
      <c r="AE340" s="490"/>
      <c r="AF340" s="490"/>
      <c r="AG340" s="490"/>
      <c r="AH340" s="490"/>
      <c r="AI340" s="490"/>
      <c r="AJ340" s="490"/>
      <c r="AK340" s="490"/>
      <c r="AL340" s="490"/>
      <c r="AM340" s="490"/>
      <c r="AN340" s="490"/>
      <c r="AO340" s="490"/>
      <c r="AP340" s="490"/>
      <c r="AQ340" s="490"/>
      <c r="AR340" s="490"/>
      <c r="AS340" s="490"/>
      <c r="AT340" s="490"/>
      <c r="AU340" s="490"/>
      <c r="AV340" s="490"/>
      <c r="AW340" s="490"/>
      <c r="AX340" s="490"/>
      <c r="AY340" s="490"/>
      <c r="AZ340" s="490"/>
      <c r="BA340" s="490"/>
      <c r="BB340" s="490"/>
      <c r="BC340" s="490"/>
      <c r="BD340" s="490"/>
      <c r="BE340" s="490"/>
      <c r="BF340" s="490"/>
      <c r="BG340" s="490"/>
      <c r="BH340" s="490"/>
      <c r="BI340" s="490"/>
      <c r="BJ340" s="490"/>
      <c r="BK340" s="490"/>
      <c r="BL340" s="490"/>
      <c r="BM340" s="490"/>
      <c r="BN340" s="490"/>
      <c r="BO340" s="490"/>
      <c r="BP340" s="490"/>
      <c r="BQ340" s="490"/>
      <c r="BR340" s="490"/>
      <c r="BS340" s="490"/>
      <c r="BT340" s="490"/>
      <c r="BU340" s="490"/>
      <c r="BV340" s="490"/>
      <c r="BW340" s="490"/>
      <c r="BX340" s="490"/>
      <c r="BY340" s="490"/>
      <c r="BZ340" s="490"/>
      <c r="CA340" s="490"/>
      <c r="CB340" s="490"/>
      <c r="CC340" s="490"/>
      <c r="CD340" s="490"/>
      <c r="CE340" s="490"/>
      <c r="CF340" s="490"/>
      <c r="CG340" s="490"/>
      <c r="CH340" s="490"/>
      <c r="CI340" s="490"/>
      <c r="CJ340" s="490"/>
      <c r="CK340" s="490"/>
      <c r="CL340" s="490"/>
      <c r="CM340" s="490"/>
      <c r="CN340" s="490"/>
      <c r="CO340" s="490"/>
      <c r="CP340" s="490"/>
      <c r="CQ340" s="490"/>
      <c r="CR340" s="490"/>
      <c r="CS340" s="490"/>
      <c r="CT340" s="490"/>
      <c r="CU340" s="490"/>
      <c r="CV340" s="490"/>
      <c r="CW340" s="490"/>
      <c r="CX340" s="490"/>
      <c r="CY340" s="490"/>
      <c r="CZ340" s="490"/>
      <c r="DA340" s="490"/>
      <c r="DB340" s="490"/>
      <c r="DC340" s="490"/>
      <c r="DD340" s="490"/>
      <c r="DE340" s="490"/>
      <c r="DF340" s="490"/>
      <c r="DG340" s="490"/>
      <c r="DH340" s="490"/>
      <c r="DI340" s="490"/>
      <c r="DJ340" s="490"/>
      <c r="DK340" s="490"/>
      <c r="DL340" s="490"/>
      <c r="DM340" s="490"/>
      <c r="DN340" s="490"/>
      <c r="DO340" s="490"/>
      <c r="DP340" s="490"/>
      <c r="DQ340" s="490"/>
      <c r="DR340" s="490"/>
      <c r="DS340" s="490"/>
      <c r="DT340" s="490"/>
      <c r="DU340" s="490"/>
      <c r="DV340" s="490"/>
      <c r="DW340" s="490"/>
      <c r="DX340" s="490"/>
      <c r="DY340" s="490"/>
      <c r="DZ340" s="490"/>
      <c r="EA340" s="490"/>
      <c r="EB340" s="490"/>
      <c r="EC340" s="490"/>
      <c r="ED340" s="490"/>
      <c r="EE340" s="490"/>
      <c r="EF340" s="490"/>
      <c r="EG340" s="490"/>
      <c r="EH340" s="490"/>
      <c r="EI340" s="490"/>
      <c r="EJ340" s="490"/>
      <c r="EK340" s="490"/>
      <c r="EL340" s="490"/>
      <c r="EM340" s="490"/>
      <c r="EN340" s="490"/>
      <c r="EO340" s="490"/>
      <c r="EP340" s="490"/>
      <c r="EQ340" s="490"/>
      <c r="ER340" s="490"/>
      <c r="ES340" s="490"/>
      <c r="ET340" s="490"/>
      <c r="EU340" s="490"/>
      <c r="EV340" s="490"/>
      <c r="EW340" s="490"/>
      <c r="EX340" s="490"/>
      <c r="EY340" s="490"/>
      <c r="EZ340" s="490"/>
      <c r="FA340" s="490"/>
      <c r="FB340" s="490"/>
      <c r="FC340" s="490"/>
      <c r="FD340" s="490"/>
      <c r="FE340" s="490"/>
      <c r="FF340" s="490"/>
      <c r="FG340" s="490"/>
      <c r="FH340" s="490"/>
      <c r="FI340" s="490"/>
      <c r="FJ340" s="490"/>
      <c r="FK340" s="490"/>
      <c r="FL340" s="490"/>
      <c r="FM340" s="490"/>
      <c r="FN340" s="490"/>
    </row>
    <row r="341" s="492" customFormat="1" spans="1:170">
      <c r="A341" s="512"/>
      <c r="B341" s="513"/>
      <c r="C341" s="514"/>
      <c r="D341" s="513"/>
      <c r="E341" s="513"/>
      <c r="F341" s="545" t="s">
        <v>159</v>
      </c>
      <c r="G341" s="542">
        <v>1</v>
      </c>
      <c r="H341" s="542">
        <v>0.6</v>
      </c>
      <c r="I341" s="542" t="s">
        <v>22</v>
      </c>
      <c r="J341" s="542" t="s">
        <v>24</v>
      </c>
      <c r="K341" s="531"/>
      <c r="L341" s="545"/>
      <c r="M341" s="490"/>
      <c r="N341" s="490"/>
      <c r="O341" s="490"/>
      <c r="P341" s="490"/>
      <c r="Q341" s="490"/>
      <c r="R341" s="490"/>
      <c r="S341" s="490"/>
      <c r="T341" s="490"/>
      <c r="U341" s="490"/>
      <c r="V341" s="490"/>
      <c r="W341" s="490"/>
      <c r="X341" s="490"/>
      <c r="Y341" s="490"/>
      <c r="Z341" s="490"/>
      <c r="AA341" s="490"/>
      <c r="AB341" s="490"/>
      <c r="AC341" s="490"/>
      <c r="AD341" s="490"/>
      <c r="AE341" s="490"/>
      <c r="AF341" s="490"/>
      <c r="AG341" s="490"/>
      <c r="AH341" s="490"/>
      <c r="AI341" s="490"/>
      <c r="AJ341" s="490"/>
      <c r="AK341" s="490"/>
      <c r="AL341" s="490"/>
      <c r="AM341" s="490"/>
      <c r="AN341" s="490"/>
      <c r="AO341" s="490"/>
      <c r="AP341" s="490"/>
      <c r="AQ341" s="490"/>
      <c r="AR341" s="490"/>
      <c r="AS341" s="490"/>
      <c r="AT341" s="490"/>
      <c r="AU341" s="490"/>
      <c r="AV341" s="490"/>
      <c r="AW341" s="490"/>
      <c r="AX341" s="490"/>
      <c r="AY341" s="490"/>
      <c r="AZ341" s="490"/>
      <c r="BA341" s="490"/>
      <c r="BB341" s="490"/>
      <c r="BC341" s="490"/>
      <c r="BD341" s="490"/>
      <c r="BE341" s="490"/>
      <c r="BF341" s="490"/>
      <c r="BG341" s="490"/>
      <c r="BH341" s="490"/>
      <c r="BI341" s="490"/>
      <c r="BJ341" s="490"/>
      <c r="BK341" s="490"/>
      <c r="BL341" s="490"/>
      <c r="BM341" s="490"/>
      <c r="BN341" s="490"/>
      <c r="BO341" s="490"/>
      <c r="BP341" s="490"/>
      <c r="BQ341" s="490"/>
      <c r="BR341" s="490"/>
      <c r="BS341" s="490"/>
      <c r="BT341" s="490"/>
      <c r="BU341" s="490"/>
      <c r="BV341" s="490"/>
      <c r="BW341" s="490"/>
      <c r="BX341" s="490"/>
      <c r="BY341" s="490"/>
      <c r="BZ341" s="490"/>
      <c r="CA341" s="490"/>
      <c r="CB341" s="490"/>
      <c r="CC341" s="490"/>
      <c r="CD341" s="490"/>
      <c r="CE341" s="490"/>
      <c r="CF341" s="490"/>
      <c r="CG341" s="490"/>
      <c r="CH341" s="490"/>
      <c r="CI341" s="490"/>
      <c r="CJ341" s="490"/>
      <c r="CK341" s="490"/>
      <c r="CL341" s="490"/>
      <c r="CM341" s="490"/>
      <c r="CN341" s="490"/>
      <c r="CO341" s="490"/>
      <c r="CP341" s="490"/>
      <c r="CQ341" s="490"/>
      <c r="CR341" s="490"/>
      <c r="CS341" s="490"/>
      <c r="CT341" s="490"/>
      <c r="CU341" s="490"/>
      <c r="CV341" s="490"/>
      <c r="CW341" s="490"/>
      <c r="CX341" s="490"/>
      <c r="CY341" s="490"/>
      <c r="CZ341" s="490"/>
      <c r="DA341" s="490"/>
      <c r="DB341" s="490"/>
      <c r="DC341" s="490"/>
      <c r="DD341" s="490"/>
      <c r="DE341" s="490"/>
      <c r="DF341" s="490"/>
      <c r="DG341" s="490"/>
      <c r="DH341" s="490"/>
      <c r="DI341" s="490"/>
      <c r="DJ341" s="490"/>
      <c r="DK341" s="490"/>
      <c r="DL341" s="490"/>
      <c r="DM341" s="490"/>
      <c r="DN341" s="490"/>
      <c r="DO341" s="490"/>
      <c r="DP341" s="490"/>
      <c r="DQ341" s="490"/>
      <c r="DR341" s="490"/>
      <c r="DS341" s="490"/>
      <c r="DT341" s="490"/>
      <c r="DU341" s="490"/>
      <c r="DV341" s="490"/>
      <c r="DW341" s="490"/>
      <c r="DX341" s="490"/>
      <c r="DY341" s="490"/>
      <c r="DZ341" s="490"/>
      <c r="EA341" s="490"/>
      <c r="EB341" s="490"/>
      <c r="EC341" s="490"/>
      <c r="ED341" s="490"/>
      <c r="EE341" s="490"/>
      <c r="EF341" s="490"/>
      <c r="EG341" s="490"/>
      <c r="EH341" s="490"/>
      <c r="EI341" s="490"/>
      <c r="EJ341" s="490"/>
      <c r="EK341" s="490"/>
      <c r="EL341" s="490"/>
      <c r="EM341" s="490"/>
      <c r="EN341" s="490"/>
      <c r="EO341" s="490"/>
      <c r="EP341" s="490"/>
      <c r="EQ341" s="490"/>
      <c r="ER341" s="490"/>
      <c r="ES341" s="490"/>
      <c r="ET341" s="490"/>
      <c r="EU341" s="490"/>
      <c r="EV341" s="490"/>
      <c r="EW341" s="490"/>
      <c r="EX341" s="490"/>
      <c r="EY341" s="490"/>
      <c r="EZ341" s="490"/>
      <c r="FA341" s="490"/>
      <c r="FB341" s="490"/>
      <c r="FC341" s="490"/>
      <c r="FD341" s="490"/>
      <c r="FE341" s="490"/>
      <c r="FF341" s="490"/>
      <c r="FG341" s="490"/>
      <c r="FH341" s="490"/>
      <c r="FI341" s="490"/>
      <c r="FJ341" s="490"/>
      <c r="FK341" s="490"/>
      <c r="FL341" s="490"/>
      <c r="FM341" s="490"/>
      <c r="FN341" s="490"/>
    </row>
    <row r="342" s="492" customFormat="1" spans="1:170">
      <c r="A342" s="516"/>
      <c r="B342" s="517"/>
      <c r="C342" s="518"/>
      <c r="D342" s="517"/>
      <c r="E342" s="517"/>
      <c r="F342" s="545" t="s">
        <v>148</v>
      </c>
      <c r="G342" s="542">
        <v>3</v>
      </c>
      <c r="H342" s="542">
        <v>0.6</v>
      </c>
      <c r="I342" s="542" t="s">
        <v>24</v>
      </c>
      <c r="J342" s="542" t="s">
        <v>24</v>
      </c>
      <c r="K342" s="531"/>
      <c r="L342" s="545"/>
      <c r="M342" s="490"/>
      <c r="N342" s="490"/>
      <c r="O342" s="490"/>
      <c r="P342" s="490"/>
      <c r="Q342" s="490"/>
      <c r="R342" s="490"/>
      <c r="S342" s="490"/>
      <c r="T342" s="490"/>
      <c r="U342" s="490"/>
      <c r="V342" s="490"/>
      <c r="W342" s="490"/>
      <c r="X342" s="490"/>
      <c r="Y342" s="490"/>
      <c r="Z342" s="490"/>
      <c r="AA342" s="490"/>
      <c r="AB342" s="490"/>
      <c r="AC342" s="490"/>
      <c r="AD342" s="490"/>
      <c r="AE342" s="490"/>
      <c r="AF342" s="490"/>
      <c r="AG342" s="490"/>
      <c r="AH342" s="490"/>
      <c r="AI342" s="490"/>
      <c r="AJ342" s="490"/>
      <c r="AK342" s="490"/>
      <c r="AL342" s="490"/>
      <c r="AM342" s="490"/>
      <c r="AN342" s="490"/>
      <c r="AO342" s="490"/>
      <c r="AP342" s="490"/>
      <c r="AQ342" s="490"/>
      <c r="AR342" s="490"/>
      <c r="AS342" s="490"/>
      <c r="AT342" s="490"/>
      <c r="AU342" s="490"/>
      <c r="AV342" s="490"/>
      <c r="AW342" s="490"/>
      <c r="AX342" s="490"/>
      <c r="AY342" s="490"/>
      <c r="AZ342" s="490"/>
      <c r="BA342" s="490"/>
      <c r="BB342" s="490"/>
      <c r="BC342" s="490"/>
      <c r="BD342" s="490"/>
      <c r="BE342" s="490"/>
      <c r="BF342" s="490"/>
      <c r="BG342" s="490"/>
      <c r="BH342" s="490"/>
      <c r="BI342" s="490"/>
      <c r="BJ342" s="490"/>
      <c r="BK342" s="490"/>
      <c r="BL342" s="490"/>
      <c r="BM342" s="490"/>
      <c r="BN342" s="490"/>
      <c r="BO342" s="490"/>
      <c r="BP342" s="490"/>
      <c r="BQ342" s="490"/>
      <c r="BR342" s="490"/>
      <c r="BS342" s="490"/>
      <c r="BT342" s="490"/>
      <c r="BU342" s="490"/>
      <c r="BV342" s="490"/>
      <c r="BW342" s="490"/>
      <c r="BX342" s="490"/>
      <c r="BY342" s="490"/>
      <c r="BZ342" s="490"/>
      <c r="CA342" s="490"/>
      <c r="CB342" s="490"/>
      <c r="CC342" s="490"/>
      <c r="CD342" s="490"/>
      <c r="CE342" s="490"/>
      <c r="CF342" s="490"/>
      <c r="CG342" s="490"/>
      <c r="CH342" s="490"/>
      <c r="CI342" s="490"/>
      <c r="CJ342" s="490"/>
      <c r="CK342" s="490"/>
      <c r="CL342" s="490"/>
      <c r="CM342" s="490"/>
      <c r="CN342" s="490"/>
      <c r="CO342" s="490"/>
      <c r="CP342" s="490"/>
      <c r="CQ342" s="490"/>
      <c r="CR342" s="490"/>
      <c r="CS342" s="490"/>
      <c r="CT342" s="490"/>
      <c r="CU342" s="490"/>
      <c r="CV342" s="490"/>
      <c r="CW342" s="490"/>
      <c r="CX342" s="490"/>
      <c r="CY342" s="490"/>
      <c r="CZ342" s="490"/>
      <c r="DA342" s="490"/>
      <c r="DB342" s="490"/>
      <c r="DC342" s="490"/>
      <c r="DD342" s="490"/>
      <c r="DE342" s="490"/>
      <c r="DF342" s="490"/>
      <c r="DG342" s="490"/>
      <c r="DH342" s="490"/>
      <c r="DI342" s="490"/>
      <c r="DJ342" s="490"/>
      <c r="DK342" s="490"/>
      <c r="DL342" s="490"/>
      <c r="DM342" s="490"/>
      <c r="DN342" s="490"/>
      <c r="DO342" s="490"/>
      <c r="DP342" s="490"/>
      <c r="DQ342" s="490"/>
      <c r="DR342" s="490"/>
      <c r="DS342" s="490"/>
      <c r="DT342" s="490"/>
      <c r="DU342" s="490"/>
      <c r="DV342" s="490"/>
      <c r="DW342" s="490"/>
      <c r="DX342" s="490"/>
      <c r="DY342" s="490"/>
      <c r="DZ342" s="490"/>
      <c r="EA342" s="490"/>
      <c r="EB342" s="490"/>
      <c r="EC342" s="490"/>
      <c r="ED342" s="490"/>
      <c r="EE342" s="490"/>
      <c r="EF342" s="490"/>
      <c r="EG342" s="490"/>
      <c r="EH342" s="490"/>
      <c r="EI342" s="490"/>
      <c r="EJ342" s="490"/>
      <c r="EK342" s="490"/>
      <c r="EL342" s="490"/>
      <c r="EM342" s="490"/>
      <c r="EN342" s="490"/>
      <c r="EO342" s="490"/>
      <c r="EP342" s="490"/>
      <c r="EQ342" s="490"/>
      <c r="ER342" s="490"/>
      <c r="ES342" s="490"/>
      <c r="ET342" s="490"/>
      <c r="EU342" s="490"/>
      <c r="EV342" s="490"/>
      <c r="EW342" s="490"/>
      <c r="EX342" s="490"/>
      <c r="EY342" s="490"/>
      <c r="EZ342" s="490"/>
      <c r="FA342" s="490"/>
      <c r="FB342" s="490"/>
      <c r="FC342" s="490"/>
      <c r="FD342" s="490"/>
      <c r="FE342" s="490"/>
      <c r="FF342" s="490"/>
      <c r="FG342" s="490"/>
      <c r="FH342" s="490"/>
      <c r="FI342" s="490"/>
      <c r="FJ342" s="490"/>
      <c r="FK342" s="490"/>
      <c r="FL342" s="490"/>
      <c r="FM342" s="490"/>
      <c r="FN342" s="490"/>
    </row>
    <row r="343" s="492" customFormat="1" spans="1:170">
      <c r="A343" s="576">
        <v>46185</v>
      </c>
      <c r="B343" s="566" t="s">
        <v>825</v>
      </c>
      <c r="C343" s="560">
        <v>10</v>
      </c>
      <c r="D343" s="566" t="s">
        <v>447</v>
      </c>
      <c r="E343" s="566" t="s">
        <v>826</v>
      </c>
      <c r="F343" s="545" t="s">
        <v>756</v>
      </c>
      <c r="G343" s="546">
        <v>1.95</v>
      </c>
      <c r="H343" s="574">
        <v>9</v>
      </c>
      <c r="I343" s="542" t="s">
        <v>17</v>
      </c>
      <c r="J343" s="542">
        <v>1.52</v>
      </c>
      <c r="K343" s="559" t="s">
        <v>827</v>
      </c>
      <c r="L343" s="545"/>
      <c r="M343" s="490"/>
      <c r="N343" s="490"/>
      <c r="O343" s="490"/>
      <c r="P343" s="490"/>
      <c r="Q343" s="490"/>
      <c r="R343" s="490"/>
      <c r="S343" s="490"/>
      <c r="T343" s="490"/>
      <c r="U343" s="490"/>
      <c r="V343" s="490"/>
      <c r="W343" s="490"/>
      <c r="X343" s="490"/>
      <c r="Y343" s="490"/>
      <c r="Z343" s="490"/>
      <c r="AA343" s="490"/>
      <c r="AB343" s="490"/>
      <c r="AC343" s="490"/>
      <c r="AD343" s="490"/>
      <c r="AE343" s="490"/>
      <c r="AF343" s="490"/>
      <c r="AG343" s="490"/>
      <c r="AH343" s="490"/>
      <c r="AI343" s="490"/>
      <c r="AJ343" s="490"/>
      <c r="AK343" s="490"/>
      <c r="AL343" s="490"/>
      <c r="AM343" s="490"/>
      <c r="AN343" s="490"/>
      <c r="AO343" s="490"/>
      <c r="AP343" s="490"/>
      <c r="AQ343" s="490"/>
      <c r="AR343" s="490"/>
      <c r="AS343" s="490"/>
      <c r="AT343" s="490"/>
      <c r="AU343" s="490"/>
      <c r="AV343" s="490"/>
      <c r="AW343" s="490"/>
      <c r="AX343" s="490"/>
      <c r="AY343" s="490"/>
      <c r="AZ343" s="490"/>
      <c r="BA343" s="490"/>
      <c r="BB343" s="490"/>
      <c r="BC343" s="490"/>
      <c r="BD343" s="490"/>
      <c r="BE343" s="490"/>
      <c r="BF343" s="490"/>
      <c r="BG343" s="490"/>
      <c r="BH343" s="490"/>
      <c r="BI343" s="490"/>
      <c r="BJ343" s="490"/>
      <c r="BK343" s="490"/>
      <c r="BL343" s="490"/>
      <c r="BM343" s="490"/>
      <c r="BN343" s="490"/>
      <c r="BO343" s="490"/>
      <c r="BP343" s="490"/>
      <c r="BQ343" s="490"/>
      <c r="BR343" s="490"/>
      <c r="BS343" s="490"/>
      <c r="BT343" s="490"/>
      <c r="BU343" s="490"/>
      <c r="BV343" s="490"/>
      <c r="BW343" s="490"/>
      <c r="BX343" s="490"/>
      <c r="BY343" s="490"/>
      <c r="BZ343" s="490"/>
      <c r="CA343" s="490"/>
      <c r="CB343" s="490"/>
      <c r="CC343" s="490"/>
      <c r="CD343" s="490"/>
      <c r="CE343" s="490"/>
      <c r="CF343" s="490"/>
      <c r="CG343" s="490"/>
      <c r="CH343" s="490"/>
      <c r="CI343" s="490"/>
      <c r="CJ343" s="490"/>
      <c r="CK343" s="490"/>
      <c r="CL343" s="490"/>
      <c r="CM343" s="490"/>
      <c r="CN343" s="490"/>
      <c r="CO343" s="490"/>
      <c r="CP343" s="490"/>
      <c r="CQ343" s="490"/>
      <c r="CR343" s="490"/>
      <c r="CS343" s="490"/>
      <c r="CT343" s="490"/>
      <c r="CU343" s="490"/>
      <c r="CV343" s="490"/>
      <c r="CW343" s="490"/>
      <c r="CX343" s="490"/>
      <c r="CY343" s="490"/>
      <c r="CZ343" s="490"/>
      <c r="DA343" s="490"/>
      <c r="DB343" s="490"/>
      <c r="DC343" s="490"/>
      <c r="DD343" s="490"/>
      <c r="DE343" s="490"/>
      <c r="DF343" s="490"/>
      <c r="DG343" s="490"/>
      <c r="DH343" s="490"/>
      <c r="DI343" s="490"/>
      <c r="DJ343" s="490"/>
      <c r="DK343" s="490"/>
      <c r="DL343" s="490"/>
      <c r="DM343" s="490"/>
      <c r="DN343" s="490"/>
      <c r="DO343" s="490"/>
      <c r="DP343" s="490"/>
      <c r="DQ343" s="490"/>
      <c r="DR343" s="490"/>
      <c r="DS343" s="490"/>
      <c r="DT343" s="490"/>
      <c r="DU343" s="490"/>
      <c r="DV343" s="490"/>
      <c r="DW343" s="490"/>
      <c r="DX343" s="490"/>
      <c r="DY343" s="490"/>
      <c r="DZ343" s="490"/>
      <c r="EA343" s="490"/>
      <c r="EB343" s="490"/>
      <c r="EC343" s="490"/>
      <c r="ED343" s="490"/>
      <c r="EE343" s="490"/>
      <c r="EF343" s="490"/>
      <c r="EG343" s="490"/>
      <c r="EH343" s="490"/>
      <c r="EI343" s="490"/>
      <c r="EJ343" s="490"/>
      <c r="EK343" s="490"/>
      <c r="EL343" s="490"/>
      <c r="EM343" s="490"/>
      <c r="EN343" s="490"/>
      <c r="EO343" s="490"/>
      <c r="EP343" s="490"/>
      <c r="EQ343" s="490"/>
      <c r="ER343" s="490"/>
      <c r="ES343" s="490"/>
      <c r="ET343" s="490"/>
      <c r="EU343" s="490"/>
      <c r="EV343" s="490"/>
      <c r="EW343" s="490"/>
      <c r="EX343" s="490"/>
      <c r="EY343" s="490"/>
      <c r="EZ343" s="490"/>
      <c r="FA343" s="490"/>
      <c r="FB343" s="490"/>
      <c r="FC343" s="490"/>
      <c r="FD343" s="490"/>
      <c r="FE343" s="490"/>
      <c r="FF343" s="490"/>
      <c r="FG343" s="490"/>
      <c r="FH343" s="490"/>
      <c r="FI343" s="490"/>
      <c r="FJ343" s="490"/>
      <c r="FK343" s="490"/>
      <c r="FL343" s="490"/>
      <c r="FM343" s="490"/>
      <c r="FN343" s="490"/>
    </row>
    <row r="344" s="492" customFormat="1" spans="1:170">
      <c r="A344" s="577"/>
      <c r="B344" s="568"/>
      <c r="C344" s="567"/>
      <c r="D344" s="568"/>
      <c r="E344" s="568"/>
      <c r="F344" s="545" t="s">
        <v>757</v>
      </c>
      <c r="G344" s="546">
        <v>1.2</v>
      </c>
      <c r="H344" s="574">
        <v>0.3</v>
      </c>
      <c r="I344" s="542" t="s">
        <v>22</v>
      </c>
      <c r="J344" s="542">
        <v>1.77</v>
      </c>
      <c r="K344" s="569"/>
      <c r="L344" s="545"/>
      <c r="M344" s="490"/>
      <c r="N344" s="490"/>
      <c r="O344" s="490"/>
      <c r="P344" s="490"/>
      <c r="Q344" s="490"/>
      <c r="R344" s="490"/>
      <c r="S344" s="490"/>
      <c r="T344" s="490"/>
      <c r="U344" s="490"/>
      <c r="V344" s="490"/>
      <c r="W344" s="490"/>
      <c r="X344" s="490"/>
      <c r="Y344" s="490"/>
      <c r="Z344" s="490"/>
      <c r="AA344" s="490"/>
      <c r="AB344" s="490"/>
      <c r="AC344" s="490"/>
      <c r="AD344" s="490"/>
      <c r="AE344" s="490"/>
      <c r="AF344" s="490"/>
      <c r="AG344" s="490"/>
      <c r="AH344" s="490"/>
      <c r="AI344" s="490"/>
      <c r="AJ344" s="490"/>
      <c r="AK344" s="490"/>
      <c r="AL344" s="490"/>
      <c r="AM344" s="490"/>
      <c r="AN344" s="490"/>
      <c r="AO344" s="490"/>
      <c r="AP344" s="490"/>
      <c r="AQ344" s="490"/>
      <c r="AR344" s="490"/>
      <c r="AS344" s="490"/>
      <c r="AT344" s="490"/>
      <c r="AU344" s="490"/>
      <c r="AV344" s="490"/>
      <c r="AW344" s="490"/>
      <c r="AX344" s="490"/>
      <c r="AY344" s="490"/>
      <c r="AZ344" s="490"/>
      <c r="BA344" s="490"/>
      <c r="BB344" s="490"/>
      <c r="BC344" s="490"/>
      <c r="BD344" s="490"/>
      <c r="BE344" s="490"/>
      <c r="BF344" s="490"/>
      <c r="BG344" s="490"/>
      <c r="BH344" s="490"/>
      <c r="BI344" s="490"/>
      <c r="BJ344" s="490"/>
      <c r="BK344" s="490"/>
      <c r="BL344" s="490"/>
      <c r="BM344" s="490"/>
      <c r="BN344" s="490"/>
      <c r="BO344" s="490"/>
      <c r="BP344" s="490"/>
      <c r="BQ344" s="490"/>
      <c r="BR344" s="490"/>
      <c r="BS344" s="490"/>
      <c r="BT344" s="490"/>
      <c r="BU344" s="490"/>
      <c r="BV344" s="490"/>
      <c r="BW344" s="490"/>
      <c r="BX344" s="490"/>
      <c r="BY344" s="490"/>
      <c r="BZ344" s="490"/>
      <c r="CA344" s="490"/>
      <c r="CB344" s="490"/>
      <c r="CC344" s="490"/>
      <c r="CD344" s="490"/>
      <c r="CE344" s="490"/>
      <c r="CF344" s="490"/>
      <c r="CG344" s="490"/>
      <c r="CH344" s="490"/>
      <c r="CI344" s="490"/>
      <c r="CJ344" s="490"/>
      <c r="CK344" s="490"/>
      <c r="CL344" s="490"/>
      <c r="CM344" s="490"/>
      <c r="CN344" s="490"/>
      <c r="CO344" s="490"/>
      <c r="CP344" s="490"/>
      <c r="CQ344" s="490"/>
      <c r="CR344" s="490"/>
      <c r="CS344" s="490"/>
      <c r="CT344" s="490"/>
      <c r="CU344" s="490"/>
      <c r="CV344" s="490"/>
      <c r="CW344" s="490"/>
      <c r="CX344" s="490"/>
      <c r="CY344" s="490"/>
      <c r="CZ344" s="490"/>
      <c r="DA344" s="490"/>
      <c r="DB344" s="490"/>
      <c r="DC344" s="490"/>
      <c r="DD344" s="490"/>
      <c r="DE344" s="490"/>
      <c r="DF344" s="490"/>
      <c r="DG344" s="490"/>
      <c r="DH344" s="490"/>
      <c r="DI344" s="490"/>
      <c r="DJ344" s="490"/>
      <c r="DK344" s="490"/>
      <c r="DL344" s="490"/>
      <c r="DM344" s="490"/>
      <c r="DN344" s="490"/>
      <c r="DO344" s="490"/>
      <c r="DP344" s="490"/>
      <c r="DQ344" s="490"/>
      <c r="DR344" s="490"/>
      <c r="DS344" s="490"/>
      <c r="DT344" s="490"/>
      <c r="DU344" s="490"/>
      <c r="DV344" s="490"/>
      <c r="DW344" s="490"/>
      <c r="DX344" s="490"/>
      <c r="DY344" s="490"/>
      <c r="DZ344" s="490"/>
      <c r="EA344" s="490"/>
      <c r="EB344" s="490"/>
      <c r="EC344" s="490"/>
      <c r="ED344" s="490"/>
      <c r="EE344" s="490"/>
      <c r="EF344" s="490"/>
      <c r="EG344" s="490"/>
      <c r="EH344" s="490"/>
      <c r="EI344" s="490"/>
      <c r="EJ344" s="490"/>
      <c r="EK344" s="490"/>
      <c r="EL344" s="490"/>
      <c r="EM344" s="490"/>
      <c r="EN344" s="490"/>
      <c r="EO344" s="490"/>
      <c r="EP344" s="490"/>
      <c r="EQ344" s="490"/>
      <c r="ER344" s="490"/>
      <c r="ES344" s="490"/>
      <c r="ET344" s="490"/>
      <c r="EU344" s="490"/>
      <c r="EV344" s="490"/>
      <c r="EW344" s="490"/>
      <c r="EX344" s="490"/>
      <c r="EY344" s="490"/>
      <c r="EZ344" s="490"/>
      <c r="FA344" s="490"/>
      <c r="FB344" s="490"/>
      <c r="FC344" s="490"/>
      <c r="FD344" s="490"/>
      <c r="FE344" s="490"/>
      <c r="FF344" s="490"/>
      <c r="FG344" s="490"/>
      <c r="FH344" s="490"/>
      <c r="FI344" s="490"/>
      <c r="FJ344" s="490"/>
      <c r="FK344" s="490"/>
      <c r="FL344" s="490"/>
      <c r="FM344" s="490"/>
      <c r="FN344" s="490"/>
    </row>
    <row r="345" s="492" customFormat="1" spans="1:170">
      <c r="A345" s="578"/>
      <c r="B345" s="579"/>
      <c r="C345" s="580"/>
      <c r="D345" s="579"/>
      <c r="E345" s="579"/>
      <c r="F345" s="559" t="s">
        <v>148</v>
      </c>
      <c r="G345" s="546">
        <v>1.7</v>
      </c>
      <c r="H345" s="574">
        <v>0.7</v>
      </c>
      <c r="I345" s="574" t="s">
        <v>24</v>
      </c>
      <c r="J345" s="574" t="s">
        <v>24</v>
      </c>
      <c r="K345" s="570"/>
      <c r="L345" s="545"/>
      <c r="M345" s="490"/>
      <c r="N345" s="490"/>
      <c r="O345" s="490"/>
      <c r="P345" s="490"/>
      <c r="Q345" s="490"/>
      <c r="R345" s="490"/>
      <c r="S345" s="490"/>
      <c r="T345" s="490"/>
      <c r="U345" s="490"/>
      <c r="V345" s="490"/>
      <c r="W345" s="490"/>
      <c r="X345" s="490"/>
      <c r="Y345" s="490"/>
      <c r="Z345" s="490"/>
      <c r="AA345" s="490"/>
      <c r="AB345" s="490"/>
      <c r="AC345" s="490"/>
      <c r="AD345" s="490"/>
      <c r="AE345" s="490"/>
      <c r="AF345" s="490"/>
      <c r="AG345" s="490"/>
      <c r="AH345" s="490"/>
      <c r="AI345" s="490"/>
      <c r="AJ345" s="490"/>
      <c r="AK345" s="490"/>
      <c r="AL345" s="490"/>
      <c r="AM345" s="490"/>
      <c r="AN345" s="490"/>
      <c r="AO345" s="490"/>
      <c r="AP345" s="490"/>
      <c r="AQ345" s="490"/>
      <c r="AR345" s="490"/>
      <c r="AS345" s="490"/>
      <c r="AT345" s="490"/>
      <c r="AU345" s="490"/>
      <c r="AV345" s="490"/>
      <c r="AW345" s="490"/>
      <c r="AX345" s="490"/>
      <c r="AY345" s="490"/>
      <c r="AZ345" s="490"/>
      <c r="BA345" s="490"/>
      <c r="BB345" s="490"/>
      <c r="BC345" s="490"/>
      <c r="BD345" s="490"/>
      <c r="BE345" s="490"/>
      <c r="BF345" s="490"/>
      <c r="BG345" s="490"/>
      <c r="BH345" s="490"/>
      <c r="BI345" s="490"/>
      <c r="BJ345" s="490"/>
      <c r="BK345" s="490"/>
      <c r="BL345" s="490"/>
      <c r="BM345" s="490"/>
      <c r="BN345" s="490"/>
      <c r="BO345" s="490"/>
      <c r="BP345" s="490"/>
      <c r="BQ345" s="490"/>
      <c r="BR345" s="490"/>
      <c r="BS345" s="490"/>
      <c r="BT345" s="490"/>
      <c r="BU345" s="490"/>
      <c r="BV345" s="490"/>
      <c r="BW345" s="490"/>
      <c r="BX345" s="490"/>
      <c r="BY345" s="490"/>
      <c r="BZ345" s="490"/>
      <c r="CA345" s="490"/>
      <c r="CB345" s="490"/>
      <c r="CC345" s="490"/>
      <c r="CD345" s="490"/>
      <c r="CE345" s="490"/>
      <c r="CF345" s="490"/>
      <c r="CG345" s="490"/>
      <c r="CH345" s="490"/>
      <c r="CI345" s="490"/>
      <c r="CJ345" s="490"/>
      <c r="CK345" s="490"/>
      <c r="CL345" s="490"/>
      <c r="CM345" s="490"/>
      <c r="CN345" s="490"/>
      <c r="CO345" s="490"/>
      <c r="CP345" s="490"/>
      <c r="CQ345" s="490"/>
      <c r="CR345" s="490"/>
      <c r="CS345" s="490"/>
      <c r="CT345" s="490"/>
      <c r="CU345" s="490"/>
      <c r="CV345" s="490"/>
      <c r="CW345" s="490"/>
      <c r="CX345" s="490"/>
      <c r="CY345" s="490"/>
      <c r="CZ345" s="490"/>
      <c r="DA345" s="490"/>
      <c r="DB345" s="490"/>
      <c r="DC345" s="490"/>
      <c r="DD345" s="490"/>
      <c r="DE345" s="490"/>
      <c r="DF345" s="490"/>
      <c r="DG345" s="490"/>
      <c r="DH345" s="490"/>
      <c r="DI345" s="490"/>
      <c r="DJ345" s="490"/>
      <c r="DK345" s="490"/>
      <c r="DL345" s="490"/>
      <c r="DM345" s="490"/>
      <c r="DN345" s="490"/>
      <c r="DO345" s="490"/>
      <c r="DP345" s="490"/>
      <c r="DQ345" s="490"/>
      <c r="DR345" s="490"/>
      <c r="DS345" s="490"/>
      <c r="DT345" s="490"/>
      <c r="DU345" s="490"/>
      <c r="DV345" s="490"/>
      <c r="DW345" s="490"/>
      <c r="DX345" s="490"/>
      <c r="DY345" s="490"/>
      <c r="DZ345" s="490"/>
      <c r="EA345" s="490"/>
      <c r="EB345" s="490"/>
      <c r="EC345" s="490"/>
      <c r="ED345" s="490"/>
      <c r="EE345" s="490"/>
      <c r="EF345" s="490"/>
      <c r="EG345" s="490"/>
      <c r="EH345" s="490"/>
      <c r="EI345" s="490"/>
      <c r="EJ345" s="490"/>
      <c r="EK345" s="490"/>
      <c r="EL345" s="490"/>
      <c r="EM345" s="490"/>
      <c r="EN345" s="490"/>
      <c r="EO345" s="490"/>
      <c r="EP345" s="490"/>
      <c r="EQ345" s="490"/>
      <c r="ER345" s="490"/>
      <c r="ES345" s="490"/>
      <c r="ET345" s="490"/>
      <c r="EU345" s="490"/>
      <c r="EV345" s="490"/>
      <c r="EW345" s="490"/>
      <c r="EX345" s="490"/>
      <c r="EY345" s="490"/>
      <c r="EZ345" s="490"/>
      <c r="FA345" s="490"/>
      <c r="FB345" s="490"/>
      <c r="FC345" s="490"/>
      <c r="FD345" s="490"/>
      <c r="FE345" s="490"/>
      <c r="FF345" s="490"/>
      <c r="FG345" s="490"/>
      <c r="FH345" s="490"/>
      <c r="FI345" s="490"/>
      <c r="FJ345" s="490"/>
      <c r="FK345" s="490"/>
      <c r="FL345" s="490"/>
      <c r="FM345" s="490"/>
      <c r="FN345" s="490"/>
    </row>
    <row r="346" s="492" customFormat="1" spans="1:170">
      <c r="A346" s="576">
        <v>46185</v>
      </c>
      <c r="B346" s="566" t="s">
        <v>828</v>
      </c>
      <c r="C346" s="560">
        <v>10</v>
      </c>
      <c r="D346" s="566" t="s">
        <v>447</v>
      </c>
      <c r="E346" s="566" t="s">
        <v>282</v>
      </c>
      <c r="F346" s="545" t="s">
        <v>144</v>
      </c>
      <c r="G346" s="546">
        <v>1</v>
      </c>
      <c r="H346" s="546">
        <v>8.9</v>
      </c>
      <c r="I346" s="542" t="s">
        <v>17</v>
      </c>
      <c r="J346" s="546">
        <v>1.52</v>
      </c>
      <c r="K346" s="559" t="s">
        <v>829</v>
      </c>
      <c r="L346" s="545" t="s">
        <v>261</v>
      </c>
      <c r="M346" s="490"/>
      <c r="N346" s="490"/>
      <c r="O346" s="490"/>
      <c r="P346" s="490"/>
      <c r="Q346" s="490"/>
      <c r="R346" s="490"/>
      <c r="S346" s="490"/>
      <c r="T346" s="490"/>
      <c r="U346" s="490"/>
      <c r="V346" s="490"/>
      <c r="W346" s="490"/>
      <c r="X346" s="490"/>
      <c r="Y346" s="490"/>
      <c r="Z346" s="490"/>
      <c r="AA346" s="490"/>
      <c r="AB346" s="490"/>
      <c r="AC346" s="490"/>
      <c r="AD346" s="490"/>
      <c r="AE346" s="490"/>
      <c r="AF346" s="490"/>
      <c r="AG346" s="490"/>
      <c r="AH346" s="490"/>
      <c r="AI346" s="490"/>
      <c r="AJ346" s="490"/>
      <c r="AK346" s="490"/>
      <c r="AL346" s="490"/>
      <c r="AM346" s="490"/>
      <c r="AN346" s="490"/>
      <c r="AO346" s="490"/>
      <c r="AP346" s="490"/>
      <c r="AQ346" s="490"/>
      <c r="AR346" s="490"/>
      <c r="AS346" s="490"/>
      <c r="AT346" s="490"/>
      <c r="AU346" s="490"/>
      <c r="AV346" s="490"/>
      <c r="AW346" s="490"/>
      <c r="AX346" s="490"/>
      <c r="AY346" s="490"/>
      <c r="AZ346" s="490"/>
      <c r="BA346" s="490"/>
      <c r="BB346" s="490"/>
      <c r="BC346" s="490"/>
      <c r="BD346" s="490"/>
      <c r="BE346" s="490"/>
      <c r="BF346" s="490"/>
      <c r="BG346" s="490"/>
      <c r="BH346" s="490"/>
      <c r="BI346" s="490"/>
      <c r="BJ346" s="490"/>
      <c r="BK346" s="490"/>
      <c r="BL346" s="490"/>
      <c r="BM346" s="490"/>
      <c r="BN346" s="490"/>
      <c r="BO346" s="490"/>
      <c r="BP346" s="490"/>
      <c r="BQ346" s="490"/>
      <c r="BR346" s="490"/>
      <c r="BS346" s="490"/>
      <c r="BT346" s="490"/>
      <c r="BU346" s="490"/>
      <c r="BV346" s="490"/>
      <c r="BW346" s="490"/>
      <c r="BX346" s="490"/>
      <c r="BY346" s="490"/>
      <c r="BZ346" s="490"/>
      <c r="CA346" s="490"/>
      <c r="CB346" s="490"/>
      <c r="CC346" s="490"/>
      <c r="CD346" s="490"/>
      <c r="CE346" s="490"/>
      <c r="CF346" s="490"/>
      <c r="CG346" s="490"/>
      <c r="CH346" s="490"/>
      <c r="CI346" s="490"/>
      <c r="CJ346" s="490"/>
      <c r="CK346" s="490"/>
      <c r="CL346" s="490"/>
      <c r="CM346" s="490"/>
      <c r="CN346" s="490"/>
      <c r="CO346" s="490"/>
      <c r="CP346" s="490"/>
      <c r="CQ346" s="490"/>
      <c r="CR346" s="490"/>
      <c r="CS346" s="490"/>
      <c r="CT346" s="490"/>
      <c r="CU346" s="490"/>
      <c r="CV346" s="490"/>
      <c r="CW346" s="490"/>
      <c r="CX346" s="490"/>
      <c r="CY346" s="490"/>
      <c r="CZ346" s="490"/>
      <c r="DA346" s="490"/>
      <c r="DB346" s="490"/>
      <c r="DC346" s="490"/>
      <c r="DD346" s="490"/>
      <c r="DE346" s="490"/>
      <c r="DF346" s="490"/>
      <c r="DG346" s="490"/>
      <c r="DH346" s="490"/>
      <c r="DI346" s="490"/>
      <c r="DJ346" s="490"/>
      <c r="DK346" s="490"/>
      <c r="DL346" s="490"/>
      <c r="DM346" s="490"/>
      <c r="DN346" s="490"/>
      <c r="DO346" s="490"/>
      <c r="DP346" s="490"/>
      <c r="DQ346" s="490"/>
      <c r="DR346" s="490"/>
      <c r="DS346" s="490"/>
      <c r="DT346" s="490"/>
      <c r="DU346" s="490"/>
      <c r="DV346" s="490"/>
      <c r="DW346" s="490"/>
      <c r="DX346" s="490"/>
      <c r="DY346" s="490"/>
      <c r="DZ346" s="490"/>
      <c r="EA346" s="490"/>
      <c r="EB346" s="490"/>
      <c r="EC346" s="490"/>
      <c r="ED346" s="490"/>
      <c r="EE346" s="490"/>
      <c r="EF346" s="490"/>
      <c r="EG346" s="490"/>
      <c r="EH346" s="490"/>
      <c r="EI346" s="490"/>
      <c r="EJ346" s="490"/>
      <c r="EK346" s="490"/>
      <c r="EL346" s="490"/>
      <c r="EM346" s="490"/>
      <c r="EN346" s="490"/>
      <c r="EO346" s="490"/>
      <c r="EP346" s="490"/>
      <c r="EQ346" s="490"/>
      <c r="ER346" s="490"/>
      <c r="ES346" s="490"/>
      <c r="ET346" s="490"/>
      <c r="EU346" s="490"/>
      <c r="EV346" s="490"/>
      <c r="EW346" s="490"/>
      <c r="EX346" s="490"/>
      <c r="EY346" s="490"/>
      <c r="EZ346" s="490"/>
      <c r="FA346" s="490"/>
      <c r="FB346" s="490"/>
      <c r="FC346" s="490"/>
      <c r="FD346" s="490"/>
      <c r="FE346" s="490"/>
      <c r="FF346" s="490"/>
      <c r="FG346" s="490"/>
      <c r="FH346" s="490"/>
      <c r="FI346" s="490"/>
      <c r="FJ346" s="490"/>
      <c r="FK346" s="490"/>
      <c r="FL346" s="490"/>
      <c r="FM346" s="490"/>
      <c r="FN346" s="490"/>
    </row>
    <row r="347" s="492" customFormat="1" spans="1:170">
      <c r="A347" s="577"/>
      <c r="B347" s="568"/>
      <c r="C347" s="567"/>
      <c r="D347" s="568"/>
      <c r="E347" s="568"/>
      <c r="F347" s="545" t="s">
        <v>750</v>
      </c>
      <c r="G347" s="546">
        <v>1.17</v>
      </c>
      <c r="H347" s="546">
        <v>0.5</v>
      </c>
      <c r="I347" s="542" t="s">
        <v>22</v>
      </c>
      <c r="J347" s="546">
        <v>1.75</v>
      </c>
      <c r="K347" s="569"/>
      <c r="L347" s="545"/>
      <c r="M347" s="490"/>
      <c r="N347" s="490"/>
      <c r="O347" s="490"/>
      <c r="P347" s="490"/>
      <c r="Q347" s="490"/>
      <c r="R347" s="490"/>
      <c r="S347" s="490"/>
      <c r="T347" s="490"/>
      <c r="U347" s="490"/>
      <c r="V347" s="490"/>
      <c r="W347" s="490"/>
      <c r="X347" s="490"/>
      <c r="Y347" s="490"/>
      <c r="Z347" s="490"/>
      <c r="AA347" s="490"/>
      <c r="AB347" s="490"/>
      <c r="AC347" s="490"/>
      <c r="AD347" s="490"/>
      <c r="AE347" s="490"/>
      <c r="AF347" s="490"/>
      <c r="AG347" s="490"/>
      <c r="AH347" s="490"/>
      <c r="AI347" s="490"/>
      <c r="AJ347" s="490"/>
      <c r="AK347" s="490"/>
      <c r="AL347" s="490"/>
      <c r="AM347" s="490"/>
      <c r="AN347" s="490"/>
      <c r="AO347" s="490"/>
      <c r="AP347" s="490"/>
      <c r="AQ347" s="490"/>
      <c r="AR347" s="490"/>
      <c r="AS347" s="490"/>
      <c r="AT347" s="490"/>
      <c r="AU347" s="490"/>
      <c r="AV347" s="490"/>
      <c r="AW347" s="490"/>
      <c r="AX347" s="490"/>
      <c r="AY347" s="490"/>
      <c r="AZ347" s="490"/>
      <c r="BA347" s="490"/>
      <c r="BB347" s="490"/>
      <c r="BC347" s="490"/>
      <c r="BD347" s="490"/>
      <c r="BE347" s="490"/>
      <c r="BF347" s="490"/>
      <c r="BG347" s="490"/>
      <c r="BH347" s="490"/>
      <c r="BI347" s="490"/>
      <c r="BJ347" s="490"/>
      <c r="BK347" s="490"/>
      <c r="BL347" s="490"/>
      <c r="BM347" s="490"/>
      <c r="BN347" s="490"/>
      <c r="BO347" s="490"/>
      <c r="BP347" s="490"/>
      <c r="BQ347" s="490"/>
      <c r="BR347" s="490"/>
      <c r="BS347" s="490"/>
      <c r="BT347" s="490"/>
      <c r="BU347" s="490"/>
      <c r="BV347" s="490"/>
      <c r="BW347" s="490"/>
      <c r="BX347" s="490"/>
      <c r="BY347" s="490"/>
      <c r="BZ347" s="490"/>
      <c r="CA347" s="490"/>
      <c r="CB347" s="490"/>
      <c r="CC347" s="490"/>
      <c r="CD347" s="490"/>
      <c r="CE347" s="490"/>
      <c r="CF347" s="490"/>
      <c r="CG347" s="490"/>
      <c r="CH347" s="490"/>
      <c r="CI347" s="490"/>
      <c r="CJ347" s="490"/>
      <c r="CK347" s="490"/>
      <c r="CL347" s="490"/>
      <c r="CM347" s="490"/>
      <c r="CN347" s="490"/>
      <c r="CO347" s="490"/>
      <c r="CP347" s="490"/>
      <c r="CQ347" s="490"/>
      <c r="CR347" s="490"/>
      <c r="CS347" s="490"/>
      <c r="CT347" s="490"/>
      <c r="CU347" s="490"/>
      <c r="CV347" s="490"/>
      <c r="CW347" s="490"/>
      <c r="CX347" s="490"/>
      <c r="CY347" s="490"/>
      <c r="CZ347" s="490"/>
      <c r="DA347" s="490"/>
      <c r="DB347" s="490"/>
      <c r="DC347" s="490"/>
      <c r="DD347" s="490"/>
      <c r="DE347" s="490"/>
      <c r="DF347" s="490"/>
      <c r="DG347" s="490"/>
      <c r="DH347" s="490"/>
      <c r="DI347" s="490"/>
      <c r="DJ347" s="490"/>
      <c r="DK347" s="490"/>
      <c r="DL347" s="490"/>
      <c r="DM347" s="490"/>
      <c r="DN347" s="490"/>
      <c r="DO347" s="490"/>
      <c r="DP347" s="490"/>
      <c r="DQ347" s="490"/>
      <c r="DR347" s="490"/>
      <c r="DS347" s="490"/>
      <c r="DT347" s="490"/>
      <c r="DU347" s="490"/>
      <c r="DV347" s="490"/>
      <c r="DW347" s="490"/>
      <c r="DX347" s="490"/>
      <c r="DY347" s="490"/>
      <c r="DZ347" s="490"/>
      <c r="EA347" s="490"/>
      <c r="EB347" s="490"/>
      <c r="EC347" s="490"/>
      <c r="ED347" s="490"/>
      <c r="EE347" s="490"/>
      <c r="EF347" s="490"/>
      <c r="EG347" s="490"/>
      <c r="EH347" s="490"/>
      <c r="EI347" s="490"/>
      <c r="EJ347" s="490"/>
      <c r="EK347" s="490"/>
      <c r="EL347" s="490"/>
      <c r="EM347" s="490"/>
      <c r="EN347" s="490"/>
      <c r="EO347" s="490"/>
      <c r="EP347" s="490"/>
      <c r="EQ347" s="490"/>
      <c r="ER347" s="490"/>
      <c r="ES347" s="490"/>
      <c r="ET347" s="490"/>
      <c r="EU347" s="490"/>
      <c r="EV347" s="490"/>
      <c r="EW347" s="490"/>
      <c r="EX347" s="490"/>
      <c r="EY347" s="490"/>
      <c r="EZ347" s="490"/>
      <c r="FA347" s="490"/>
      <c r="FB347" s="490"/>
      <c r="FC347" s="490"/>
      <c r="FD347" s="490"/>
      <c r="FE347" s="490"/>
      <c r="FF347" s="490"/>
      <c r="FG347" s="490"/>
      <c r="FH347" s="490"/>
      <c r="FI347" s="490"/>
      <c r="FJ347" s="490"/>
      <c r="FK347" s="490"/>
      <c r="FL347" s="490"/>
      <c r="FM347" s="490"/>
      <c r="FN347" s="490"/>
    </row>
    <row r="348" s="492" customFormat="1" spans="1:170">
      <c r="A348" s="578"/>
      <c r="B348" s="579"/>
      <c r="C348" s="580"/>
      <c r="D348" s="579"/>
      <c r="E348" s="579"/>
      <c r="F348" s="545" t="s">
        <v>148</v>
      </c>
      <c r="G348" s="546">
        <v>1.75</v>
      </c>
      <c r="H348" s="546">
        <v>0.6</v>
      </c>
      <c r="I348" s="546" t="s">
        <v>24</v>
      </c>
      <c r="J348" s="546" t="s">
        <v>24</v>
      </c>
      <c r="K348" s="570"/>
      <c r="L348" s="545"/>
      <c r="M348" s="490"/>
      <c r="N348" s="490"/>
      <c r="O348" s="490"/>
      <c r="P348" s="490"/>
      <c r="Q348" s="490"/>
      <c r="R348" s="490"/>
      <c r="S348" s="490"/>
      <c r="T348" s="490"/>
      <c r="U348" s="490"/>
      <c r="V348" s="490"/>
      <c r="W348" s="490"/>
      <c r="X348" s="490"/>
      <c r="Y348" s="490"/>
      <c r="Z348" s="490"/>
      <c r="AA348" s="490"/>
      <c r="AB348" s="490"/>
      <c r="AC348" s="490"/>
      <c r="AD348" s="490"/>
      <c r="AE348" s="490"/>
      <c r="AF348" s="490"/>
      <c r="AG348" s="490"/>
      <c r="AH348" s="490"/>
      <c r="AI348" s="490"/>
      <c r="AJ348" s="490"/>
      <c r="AK348" s="490"/>
      <c r="AL348" s="490"/>
      <c r="AM348" s="490"/>
      <c r="AN348" s="490"/>
      <c r="AO348" s="490"/>
      <c r="AP348" s="490"/>
      <c r="AQ348" s="490"/>
      <c r="AR348" s="490"/>
      <c r="AS348" s="490"/>
      <c r="AT348" s="490"/>
      <c r="AU348" s="490"/>
      <c r="AV348" s="490"/>
      <c r="AW348" s="490"/>
      <c r="AX348" s="490"/>
      <c r="AY348" s="490"/>
      <c r="AZ348" s="490"/>
      <c r="BA348" s="490"/>
      <c r="BB348" s="490"/>
      <c r="BC348" s="490"/>
      <c r="BD348" s="490"/>
      <c r="BE348" s="490"/>
      <c r="BF348" s="490"/>
      <c r="BG348" s="490"/>
      <c r="BH348" s="490"/>
      <c r="BI348" s="490"/>
      <c r="BJ348" s="490"/>
      <c r="BK348" s="490"/>
      <c r="BL348" s="490"/>
      <c r="BM348" s="490"/>
      <c r="BN348" s="490"/>
      <c r="BO348" s="490"/>
      <c r="BP348" s="490"/>
      <c r="BQ348" s="490"/>
      <c r="BR348" s="490"/>
      <c r="BS348" s="490"/>
      <c r="BT348" s="490"/>
      <c r="BU348" s="490"/>
      <c r="BV348" s="490"/>
      <c r="BW348" s="490"/>
      <c r="BX348" s="490"/>
      <c r="BY348" s="490"/>
      <c r="BZ348" s="490"/>
      <c r="CA348" s="490"/>
      <c r="CB348" s="490"/>
      <c r="CC348" s="490"/>
      <c r="CD348" s="490"/>
      <c r="CE348" s="490"/>
      <c r="CF348" s="490"/>
      <c r="CG348" s="490"/>
      <c r="CH348" s="490"/>
      <c r="CI348" s="490"/>
      <c r="CJ348" s="490"/>
      <c r="CK348" s="490"/>
      <c r="CL348" s="490"/>
      <c r="CM348" s="490"/>
      <c r="CN348" s="490"/>
      <c r="CO348" s="490"/>
      <c r="CP348" s="490"/>
      <c r="CQ348" s="490"/>
      <c r="CR348" s="490"/>
      <c r="CS348" s="490"/>
      <c r="CT348" s="490"/>
      <c r="CU348" s="490"/>
      <c r="CV348" s="490"/>
      <c r="CW348" s="490"/>
      <c r="CX348" s="490"/>
      <c r="CY348" s="490"/>
      <c r="CZ348" s="490"/>
      <c r="DA348" s="490"/>
      <c r="DB348" s="490"/>
      <c r="DC348" s="490"/>
      <c r="DD348" s="490"/>
      <c r="DE348" s="490"/>
      <c r="DF348" s="490"/>
      <c r="DG348" s="490"/>
      <c r="DH348" s="490"/>
      <c r="DI348" s="490"/>
      <c r="DJ348" s="490"/>
      <c r="DK348" s="490"/>
      <c r="DL348" s="490"/>
      <c r="DM348" s="490"/>
      <c r="DN348" s="490"/>
      <c r="DO348" s="490"/>
      <c r="DP348" s="490"/>
      <c r="DQ348" s="490"/>
      <c r="DR348" s="490"/>
      <c r="DS348" s="490"/>
      <c r="DT348" s="490"/>
      <c r="DU348" s="490"/>
      <c r="DV348" s="490"/>
      <c r="DW348" s="490"/>
      <c r="DX348" s="490"/>
      <c r="DY348" s="490"/>
      <c r="DZ348" s="490"/>
      <c r="EA348" s="490"/>
      <c r="EB348" s="490"/>
      <c r="EC348" s="490"/>
      <c r="ED348" s="490"/>
      <c r="EE348" s="490"/>
      <c r="EF348" s="490"/>
      <c r="EG348" s="490"/>
      <c r="EH348" s="490"/>
      <c r="EI348" s="490"/>
      <c r="EJ348" s="490"/>
      <c r="EK348" s="490"/>
      <c r="EL348" s="490"/>
      <c r="EM348" s="490"/>
      <c r="EN348" s="490"/>
      <c r="EO348" s="490"/>
      <c r="EP348" s="490"/>
      <c r="EQ348" s="490"/>
      <c r="ER348" s="490"/>
      <c r="ES348" s="490"/>
      <c r="ET348" s="490"/>
      <c r="EU348" s="490"/>
      <c r="EV348" s="490"/>
      <c r="EW348" s="490"/>
      <c r="EX348" s="490"/>
      <c r="EY348" s="490"/>
      <c r="EZ348" s="490"/>
      <c r="FA348" s="490"/>
      <c r="FB348" s="490"/>
      <c r="FC348" s="490"/>
      <c r="FD348" s="490"/>
      <c r="FE348" s="490"/>
      <c r="FF348" s="490"/>
      <c r="FG348" s="490"/>
      <c r="FH348" s="490"/>
      <c r="FI348" s="490"/>
      <c r="FJ348" s="490"/>
      <c r="FK348" s="490"/>
      <c r="FL348" s="490"/>
      <c r="FM348" s="490"/>
      <c r="FN348" s="490"/>
    </row>
    <row r="349" s="492" customFormat="1" spans="1:170">
      <c r="A349" s="576">
        <v>46185</v>
      </c>
      <c r="B349" s="566" t="s">
        <v>830</v>
      </c>
      <c r="C349" s="560">
        <v>10</v>
      </c>
      <c r="D349" s="566" t="s">
        <v>282</v>
      </c>
      <c r="E349" s="566" t="s">
        <v>831</v>
      </c>
      <c r="F349" s="545" t="s">
        <v>144</v>
      </c>
      <c r="G349" s="546">
        <v>1</v>
      </c>
      <c r="H349" s="546">
        <v>8.9</v>
      </c>
      <c r="I349" s="542" t="s">
        <v>17</v>
      </c>
      <c r="J349" s="546">
        <v>1.52</v>
      </c>
      <c r="K349" s="559" t="s">
        <v>829</v>
      </c>
      <c r="L349" s="545" t="s">
        <v>261</v>
      </c>
      <c r="M349" s="490"/>
      <c r="N349" s="490"/>
      <c r="O349" s="490"/>
      <c r="P349" s="490"/>
      <c r="Q349" s="490"/>
      <c r="R349" s="490"/>
      <c r="S349" s="490"/>
      <c r="T349" s="490"/>
      <c r="U349" s="490"/>
      <c r="V349" s="490"/>
      <c r="W349" s="490"/>
      <c r="X349" s="490"/>
      <c r="Y349" s="490"/>
      <c r="Z349" s="490"/>
      <c r="AA349" s="490"/>
      <c r="AB349" s="490"/>
      <c r="AC349" s="490"/>
      <c r="AD349" s="490"/>
      <c r="AE349" s="490"/>
      <c r="AF349" s="490"/>
      <c r="AG349" s="490"/>
      <c r="AH349" s="490"/>
      <c r="AI349" s="490"/>
      <c r="AJ349" s="490"/>
      <c r="AK349" s="490"/>
      <c r="AL349" s="490"/>
      <c r="AM349" s="490"/>
      <c r="AN349" s="490"/>
      <c r="AO349" s="490"/>
      <c r="AP349" s="490"/>
      <c r="AQ349" s="490"/>
      <c r="AR349" s="490"/>
      <c r="AS349" s="490"/>
      <c r="AT349" s="490"/>
      <c r="AU349" s="490"/>
      <c r="AV349" s="490"/>
      <c r="AW349" s="490"/>
      <c r="AX349" s="490"/>
      <c r="AY349" s="490"/>
      <c r="AZ349" s="490"/>
      <c r="BA349" s="490"/>
      <c r="BB349" s="490"/>
      <c r="BC349" s="490"/>
      <c r="BD349" s="490"/>
      <c r="BE349" s="490"/>
      <c r="BF349" s="490"/>
      <c r="BG349" s="490"/>
      <c r="BH349" s="490"/>
      <c r="BI349" s="490"/>
      <c r="BJ349" s="490"/>
      <c r="BK349" s="490"/>
      <c r="BL349" s="490"/>
      <c r="BM349" s="490"/>
      <c r="BN349" s="490"/>
      <c r="BO349" s="490"/>
      <c r="BP349" s="490"/>
      <c r="BQ349" s="490"/>
      <c r="BR349" s="490"/>
      <c r="BS349" s="490"/>
      <c r="BT349" s="490"/>
      <c r="BU349" s="490"/>
      <c r="BV349" s="490"/>
      <c r="BW349" s="490"/>
      <c r="BX349" s="490"/>
      <c r="BY349" s="490"/>
      <c r="BZ349" s="490"/>
      <c r="CA349" s="490"/>
      <c r="CB349" s="490"/>
      <c r="CC349" s="490"/>
      <c r="CD349" s="490"/>
      <c r="CE349" s="490"/>
      <c r="CF349" s="490"/>
      <c r="CG349" s="490"/>
      <c r="CH349" s="490"/>
      <c r="CI349" s="490"/>
      <c r="CJ349" s="490"/>
      <c r="CK349" s="490"/>
      <c r="CL349" s="490"/>
      <c r="CM349" s="490"/>
      <c r="CN349" s="490"/>
      <c r="CO349" s="490"/>
      <c r="CP349" s="490"/>
      <c r="CQ349" s="490"/>
      <c r="CR349" s="490"/>
      <c r="CS349" s="490"/>
      <c r="CT349" s="490"/>
      <c r="CU349" s="490"/>
      <c r="CV349" s="490"/>
      <c r="CW349" s="490"/>
      <c r="CX349" s="490"/>
      <c r="CY349" s="490"/>
      <c r="CZ349" s="490"/>
      <c r="DA349" s="490"/>
      <c r="DB349" s="490"/>
      <c r="DC349" s="490"/>
      <c r="DD349" s="490"/>
      <c r="DE349" s="490"/>
      <c r="DF349" s="490"/>
      <c r="DG349" s="490"/>
      <c r="DH349" s="490"/>
      <c r="DI349" s="490"/>
      <c r="DJ349" s="490"/>
      <c r="DK349" s="490"/>
      <c r="DL349" s="490"/>
      <c r="DM349" s="490"/>
      <c r="DN349" s="490"/>
      <c r="DO349" s="490"/>
      <c r="DP349" s="490"/>
      <c r="DQ349" s="490"/>
      <c r="DR349" s="490"/>
      <c r="DS349" s="490"/>
      <c r="DT349" s="490"/>
      <c r="DU349" s="490"/>
      <c r="DV349" s="490"/>
      <c r="DW349" s="490"/>
      <c r="DX349" s="490"/>
      <c r="DY349" s="490"/>
      <c r="DZ349" s="490"/>
      <c r="EA349" s="490"/>
      <c r="EB349" s="490"/>
      <c r="EC349" s="490"/>
      <c r="ED349" s="490"/>
      <c r="EE349" s="490"/>
      <c r="EF349" s="490"/>
      <c r="EG349" s="490"/>
      <c r="EH349" s="490"/>
      <c r="EI349" s="490"/>
      <c r="EJ349" s="490"/>
      <c r="EK349" s="490"/>
      <c r="EL349" s="490"/>
      <c r="EM349" s="490"/>
      <c r="EN349" s="490"/>
      <c r="EO349" s="490"/>
      <c r="EP349" s="490"/>
      <c r="EQ349" s="490"/>
      <c r="ER349" s="490"/>
      <c r="ES349" s="490"/>
      <c r="ET349" s="490"/>
      <c r="EU349" s="490"/>
      <c r="EV349" s="490"/>
      <c r="EW349" s="490"/>
      <c r="EX349" s="490"/>
      <c r="EY349" s="490"/>
      <c r="EZ349" s="490"/>
      <c r="FA349" s="490"/>
      <c r="FB349" s="490"/>
      <c r="FC349" s="490"/>
      <c r="FD349" s="490"/>
      <c r="FE349" s="490"/>
      <c r="FF349" s="490"/>
      <c r="FG349" s="490"/>
      <c r="FH349" s="490"/>
      <c r="FI349" s="490"/>
      <c r="FJ349" s="490"/>
      <c r="FK349" s="490"/>
      <c r="FL349" s="490"/>
      <c r="FM349" s="490"/>
      <c r="FN349" s="490"/>
    </row>
    <row r="350" s="492" customFormat="1" spans="1:170">
      <c r="A350" s="577"/>
      <c r="B350" s="568"/>
      <c r="C350" s="567"/>
      <c r="D350" s="568"/>
      <c r="E350" s="568"/>
      <c r="F350" s="545" t="s">
        <v>750</v>
      </c>
      <c r="G350" s="546">
        <v>1.17</v>
      </c>
      <c r="H350" s="546">
        <v>0.5</v>
      </c>
      <c r="I350" s="542" t="s">
        <v>22</v>
      </c>
      <c r="J350" s="546">
        <v>1.77</v>
      </c>
      <c r="K350" s="569"/>
      <c r="L350" s="545"/>
      <c r="M350" s="490"/>
      <c r="N350" s="490"/>
      <c r="O350" s="490"/>
      <c r="P350" s="490"/>
      <c r="Q350" s="490"/>
      <c r="R350" s="490"/>
      <c r="S350" s="490"/>
      <c r="T350" s="490"/>
      <c r="U350" s="490"/>
      <c r="V350" s="490"/>
      <c r="W350" s="490"/>
      <c r="X350" s="490"/>
      <c r="Y350" s="490"/>
      <c r="Z350" s="490"/>
      <c r="AA350" s="490"/>
      <c r="AB350" s="490"/>
      <c r="AC350" s="490"/>
      <c r="AD350" s="490"/>
      <c r="AE350" s="490"/>
      <c r="AF350" s="490"/>
      <c r="AG350" s="490"/>
      <c r="AH350" s="490"/>
      <c r="AI350" s="490"/>
      <c r="AJ350" s="490"/>
      <c r="AK350" s="490"/>
      <c r="AL350" s="490"/>
      <c r="AM350" s="490"/>
      <c r="AN350" s="490"/>
      <c r="AO350" s="490"/>
      <c r="AP350" s="490"/>
      <c r="AQ350" s="490"/>
      <c r="AR350" s="490"/>
      <c r="AS350" s="490"/>
      <c r="AT350" s="490"/>
      <c r="AU350" s="490"/>
      <c r="AV350" s="490"/>
      <c r="AW350" s="490"/>
      <c r="AX350" s="490"/>
      <c r="AY350" s="490"/>
      <c r="AZ350" s="490"/>
      <c r="BA350" s="490"/>
      <c r="BB350" s="490"/>
      <c r="BC350" s="490"/>
      <c r="BD350" s="490"/>
      <c r="BE350" s="490"/>
      <c r="BF350" s="490"/>
      <c r="BG350" s="490"/>
      <c r="BH350" s="490"/>
      <c r="BI350" s="490"/>
      <c r="BJ350" s="490"/>
      <c r="BK350" s="490"/>
      <c r="BL350" s="490"/>
      <c r="BM350" s="490"/>
      <c r="BN350" s="490"/>
      <c r="BO350" s="490"/>
      <c r="BP350" s="490"/>
      <c r="BQ350" s="490"/>
      <c r="BR350" s="490"/>
      <c r="BS350" s="490"/>
      <c r="BT350" s="490"/>
      <c r="BU350" s="490"/>
      <c r="BV350" s="490"/>
      <c r="BW350" s="490"/>
      <c r="BX350" s="490"/>
      <c r="BY350" s="490"/>
      <c r="BZ350" s="490"/>
      <c r="CA350" s="490"/>
      <c r="CB350" s="490"/>
      <c r="CC350" s="490"/>
      <c r="CD350" s="490"/>
      <c r="CE350" s="490"/>
      <c r="CF350" s="490"/>
      <c r="CG350" s="490"/>
      <c r="CH350" s="490"/>
      <c r="CI350" s="490"/>
      <c r="CJ350" s="490"/>
      <c r="CK350" s="490"/>
      <c r="CL350" s="490"/>
      <c r="CM350" s="490"/>
      <c r="CN350" s="490"/>
      <c r="CO350" s="490"/>
      <c r="CP350" s="490"/>
      <c r="CQ350" s="490"/>
      <c r="CR350" s="490"/>
      <c r="CS350" s="490"/>
      <c r="CT350" s="490"/>
      <c r="CU350" s="490"/>
      <c r="CV350" s="490"/>
      <c r="CW350" s="490"/>
      <c r="CX350" s="490"/>
      <c r="CY350" s="490"/>
      <c r="CZ350" s="490"/>
      <c r="DA350" s="490"/>
      <c r="DB350" s="490"/>
      <c r="DC350" s="490"/>
      <c r="DD350" s="490"/>
      <c r="DE350" s="490"/>
      <c r="DF350" s="490"/>
      <c r="DG350" s="490"/>
      <c r="DH350" s="490"/>
      <c r="DI350" s="490"/>
      <c r="DJ350" s="490"/>
      <c r="DK350" s="490"/>
      <c r="DL350" s="490"/>
      <c r="DM350" s="490"/>
      <c r="DN350" s="490"/>
      <c r="DO350" s="490"/>
      <c r="DP350" s="490"/>
      <c r="DQ350" s="490"/>
      <c r="DR350" s="490"/>
      <c r="DS350" s="490"/>
      <c r="DT350" s="490"/>
      <c r="DU350" s="490"/>
      <c r="DV350" s="490"/>
      <c r="DW350" s="490"/>
      <c r="DX350" s="490"/>
      <c r="DY350" s="490"/>
      <c r="DZ350" s="490"/>
      <c r="EA350" s="490"/>
      <c r="EB350" s="490"/>
      <c r="EC350" s="490"/>
      <c r="ED350" s="490"/>
      <c r="EE350" s="490"/>
      <c r="EF350" s="490"/>
      <c r="EG350" s="490"/>
      <c r="EH350" s="490"/>
      <c r="EI350" s="490"/>
      <c r="EJ350" s="490"/>
      <c r="EK350" s="490"/>
      <c r="EL350" s="490"/>
      <c r="EM350" s="490"/>
      <c r="EN350" s="490"/>
      <c r="EO350" s="490"/>
      <c r="EP350" s="490"/>
      <c r="EQ350" s="490"/>
      <c r="ER350" s="490"/>
      <c r="ES350" s="490"/>
      <c r="ET350" s="490"/>
      <c r="EU350" s="490"/>
      <c r="EV350" s="490"/>
      <c r="EW350" s="490"/>
      <c r="EX350" s="490"/>
      <c r="EY350" s="490"/>
      <c r="EZ350" s="490"/>
      <c r="FA350" s="490"/>
      <c r="FB350" s="490"/>
      <c r="FC350" s="490"/>
      <c r="FD350" s="490"/>
      <c r="FE350" s="490"/>
      <c r="FF350" s="490"/>
      <c r="FG350" s="490"/>
      <c r="FH350" s="490"/>
      <c r="FI350" s="490"/>
      <c r="FJ350" s="490"/>
      <c r="FK350" s="490"/>
      <c r="FL350" s="490"/>
      <c r="FM350" s="490"/>
      <c r="FN350" s="490"/>
    </row>
    <row r="351" s="492" customFormat="1" spans="1:170">
      <c r="A351" s="578"/>
      <c r="B351" s="579"/>
      <c r="C351" s="580"/>
      <c r="D351" s="579"/>
      <c r="E351" s="579"/>
      <c r="F351" s="545" t="s">
        <v>148</v>
      </c>
      <c r="G351" s="546">
        <v>1.75</v>
      </c>
      <c r="H351" s="546">
        <v>0.6</v>
      </c>
      <c r="I351" s="546" t="s">
        <v>24</v>
      </c>
      <c r="J351" s="546" t="s">
        <v>24</v>
      </c>
      <c r="K351" s="570"/>
      <c r="L351" s="545"/>
      <c r="M351" s="490"/>
      <c r="N351" s="490"/>
      <c r="O351" s="490"/>
      <c r="P351" s="490"/>
      <c r="Q351" s="490"/>
      <c r="R351" s="490"/>
      <c r="S351" s="490"/>
      <c r="T351" s="490"/>
      <c r="U351" s="490"/>
      <c r="V351" s="490"/>
      <c r="W351" s="490"/>
      <c r="X351" s="490"/>
      <c r="Y351" s="490"/>
      <c r="Z351" s="490"/>
      <c r="AA351" s="490"/>
      <c r="AB351" s="490"/>
      <c r="AC351" s="490"/>
      <c r="AD351" s="490"/>
      <c r="AE351" s="490"/>
      <c r="AF351" s="490"/>
      <c r="AG351" s="490"/>
      <c r="AH351" s="490"/>
      <c r="AI351" s="490"/>
      <c r="AJ351" s="490"/>
      <c r="AK351" s="490"/>
      <c r="AL351" s="490"/>
      <c r="AM351" s="490"/>
      <c r="AN351" s="490"/>
      <c r="AO351" s="490"/>
      <c r="AP351" s="490"/>
      <c r="AQ351" s="490"/>
      <c r="AR351" s="490"/>
      <c r="AS351" s="490"/>
      <c r="AT351" s="490"/>
      <c r="AU351" s="490"/>
      <c r="AV351" s="490"/>
      <c r="AW351" s="490"/>
      <c r="AX351" s="490"/>
      <c r="AY351" s="490"/>
      <c r="AZ351" s="490"/>
      <c r="BA351" s="490"/>
      <c r="BB351" s="490"/>
      <c r="BC351" s="490"/>
      <c r="BD351" s="490"/>
      <c r="BE351" s="490"/>
      <c r="BF351" s="490"/>
      <c r="BG351" s="490"/>
      <c r="BH351" s="490"/>
      <c r="BI351" s="490"/>
      <c r="BJ351" s="490"/>
      <c r="BK351" s="490"/>
      <c r="BL351" s="490"/>
      <c r="BM351" s="490"/>
      <c r="BN351" s="490"/>
      <c r="BO351" s="490"/>
      <c r="BP351" s="490"/>
      <c r="BQ351" s="490"/>
      <c r="BR351" s="490"/>
      <c r="BS351" s="490"/>
      <c r="BT351" s="490"/>
      <c r="BU351" s="490"/>
      <c r="BV351" s="490"/>
      <c r="BW351" s="490"/>
      <c r="BX351" s="490"/>
      <c r="BY351" s="490"/>
      <c r="BZ351" s="490"/>
      <c r="CA351" s="490"/>
      <c r="CB351" s="490"/>
      <c r="CC351" s="490"/>
      <c r="CD351" s="490"/>
      <c r="CE351" s="490"/>
      <c r="CF351" s="490"/>
      <c r="CG351" s="490"/>
      <c r="CH351" s="490"/>
      <c r="CI351" s="490"/>
      <c r="CJ351" s="490"/>
      <c r="CK351" s="490"/>
      <c r="CL351" s="490"/>
      <c r="CM351" s="490"/>
      <c r="CN351" s="490"/>
      <c r="CO351" s="490"/>
      <c r="CP351" s="490"/>
      <c r="CQ351" s="490"/>
      <c r="CR351" s="490"/>
      <c r="CS351" s="490"/>
      <c r="CT351" s="490"/>
      <c r="CU351" s="490"/>
      <c r="CV351" s="490"/>
      <c r="CW351" s="490"/>
      <c r="CX351" s="490"/>
      <c r="CY351" s="490"/>
      <c r="CZ351" s="490"/>
      <c r="DA351" s="490"/>
      <c r="DB351" s="490"/>
      <c r="DC351" s="490"/>
      <c r="DD351" s="490"/>
      <c r="DE351" s="490"/>
      <c r="DF351" s="490"/>
      <c r="DG351" s="490"/>
      <c r="DH351" s="490"/>
      <c r="DI351" s="490"/>
      <c r="DJ351" s="490"/>
      <c r="DK351" s="490"/>
      <c r="DL351" s="490"/>
      <c r="DM351" s="490"/>
      <c r="DN351" s="490"/>
      <c r="DO351" s="490"/>
      <c r="DP351" s="490"/>
      <c r="DQ351" s="490"/>
      <c r="DR351" s="490"/>
      <c r="DS351" s="490"/>
      <c r="DT351" s="490"/>
      <c r="DU351" s="490"/>
      <c r="DV351" s="490"/>
      <c r="DW351" s="490"/>
      <c r="DX351" s="490"/>
      <c r="DY351" s="490"/>
      <c r="DZ351" s="490"/>
      <c r="EA351" s="490"/>
      <c r="EB351" s="490"/>
      <c r="EC351" s="490"/>
      <c r="ED351" s="490"/>
      <c r="EE351" s="490"/>
      <c r="EF351" s="490"/>
      <c r="EG351" s="490"/>
      <c r="EH351" s="490"/>
      <c r="EI351" s="490"/>
      <c r="EJ351" s="490"/>
      <c r="EK351" s="490"/>
      <c r="EL351" s="490"/>
      <c r="EM351" s="490"/>
      <c r="EN351" s="490"/>
      <c r="EO351" s="490"/>
      <c r="EP351" s="490"/>
      <c r="EQ351" s="490"/>
      <c r="ER351" s="490"/>
      <c r="ES351" s="490"/>
      <c r="ET351" s="490"/>
      <c r="EU351" s="490"/>
      <c r="EV351" s="490"/>
      <c r="EW351" s="490"/>
      <c r="EX351" s="490"/>
      <c r="EY351" s="490"/>
      <c r="EZ351" s="490"/>
      <c r="FA351" s="490"/>
      <c r="FB351" s="490"/>
      <c r="FC351" s="490"/>
      <c r="FD351" s="490"/>
      <c r="FE351" s="490"/>
      <c r="FF351" s="490"/>
      <c r="FG351" s="490"/>
      <c r="FH351" s="490"/>
      <c r="FI351" s="490"/>
      <c r="FJ351" s="490"/>
      <c r="FK351" s="490"/>
      <c r="FL351" s="490"/>
      <c r="FM351" s="490"/>
      <c r="FN351" s="490"/>
    </row>
    <row r="352" s="492" customFormat="1" spans="1:170">
      <c r="A352" s="576">
        <v>46185</v>
      </c>
      <c r="B352" s="566" t="s">
        <v>832</v>
      </c>
      <c r="C352" s="560">
        <v>10</v>
      </c>
      <c r="D352" s="566" t="s">
        <v>447</v>
      </c>
      <c r="E352" s="566" t="s">
        <v>447</v>
      </c>
      <c r="F352" s="545" t="s">
        <v>144</v>
      </c>
      <c r="G352" s="546">
        <v>1.01</v>
      </c>
      <c r="H352" s="546">
        <v>8.9</v>
      </c>
      <c r="I352" s="542" t="s">
        <v>17</v>
      </c>
      <c r="J352" s="542">
        <v>1.52</v>
      </c>
      <c r="K352" s="559" t="s">
        <v>829</v>
      </c>
      <c r="L352" s="509" t="s">
        <v>130</v>
      </c>
      <c r="M352" s="490"/>
      <c r="N352" s="490"/>
      <c r="O352" s="490"/>
      <c r="P352" s="490"/>
      <c r="Q352" s="490"/>
      <c r="R352" s="490"/>
      <c r="S352" s="490"/>
      <c r="T352" s="490"/>
      <c r="U352" s="490"/>
      <c r="V352" s="490"/>
      <c r="W352" s="490"/>
      <c r="X352" s="490"/>
      <c r="Y352" s="490"/>
      <c r="Z352" s="490"/>
      <c r="AA352" s="490"/>
      <c r="AB352" s="490"/>
      <c r="AC352" s="490"/>
      <c r="AD352" s="490"/>
      <c r="AE352" s="490"/>
      <c r="AF352" s="490"/>
      <c r="AG352" s="490"/>
      <c r="AH352" s="490"/>
      <c r="AI352" s="490"/>
      <c r="AJ352" s="490"/>
      <c r="AK352" s="490"/>
      <c r="AL352" s="490"/>
      <c r="AM352" s="490"/>
      <c r="AN352" s="490"/>
      <c r="AO352" s="490"/>
      <c r="AP352" s="490"/>
      <c r="AQ352" s="490"/>
      <c r="AR352" s="490"/>
      <c r="AS352" s="490"/>
      <c r="AT352" s="490"/>
      <c r="AU352" s="490"/>
      <c r="AV352" s="490"/>
      <c r="AW352" s="490"/>
      <c r="AX352" s="490"/>
      <c r="AY352" s="490"/>
      <c r="AZ352" s="490"/>
      <c r="BA352" s="490"/>
      <c r="BB352" s="490"/>
      <c r="BC352" s="490"/>
      <c r="BD352" s="490"/>
      <c r="BE352" s="490"/>
      <c r="BF352" s="490"/>
      <c r="BG352" s="490"/>
      <c r="BH352" s="490"/>
      <c r="BI352" s="490"/>
      <c r="BJ352" s="490"/>
      <c r="BK352" s="490"/>
      <c r="BL352" s="490"/>
      <c r="BM352" s="490"/>
      <c r="BN352" s="490"/>
      <c r="BO352" s="490"/>
      <c r="BP352" s="490"/>
      <c r="BQ352" s="490"/>
      <c r="BR352" s="490"/>
      <c r="BS352" s="490"/>
      <c r="BT352" s="490"/>
      <c r="BU352" s="490"/>
      <c r="BV352" s="490"/>
      <c r="BW352" s="490"/>
      <c r="BX352" s="490"/>
      <c r="BY352" s="490"/>
      <c r="BZ352" s="490"/>
      <c r="CA352" s="490"/>
      <c r="CB352" s="490"/>
      <c r="CC352" s="490"/>
      <c r="CD352" s="490"/>
      <c r="CE352" s="490"/>
      <c r="CF352" s="490"/>
      <c r="CG352" s="490"/>
      <c r="CH352" s="490"/>
      <c r="CI352" s="490"/>
      <c r="CJ352" s="490"/>
      <c r="CK352" s="490"/>
      <c r="CL352" s="490"/>
      <c r="CM352" s="490"/>
      <c r="CN352" s="490"/>
      <c r="CO352" s="490"/>
      <c r="CP352" s="490"/>
      <c r="CQ352" s="490"/>
      <c r="CR352" s="490"/>
      <c r="CS352" s="490"/>
      <c r="CT352" s="490"/>
      <c r="CU352" s="490"/>
      <c r="CV352" s="490"/>
      <c r="CW352" s="490"/>
      <c r="CX352" s="490"/>
      <c r="CY352" s="490"/>
      <c r="CZ352" s="490"/>
      <c r="DA352" s="490"/>
      <c r="DB352" s="490"/>
      <c r="DC352" s="490"/>
      <c r="DD352" s="490"/>
      <c r="DE352" s="490"/>
      <c r="DF352" s="490"/>
      <c r="DG352" s="490"/>
      <c r="DH352" s="490"/>
      <c r="DI352" s="490"/>
      <c r="DJ352" s="490"/>
      <c r="DK352" s="490"/>
      <c r="DL352" s="490"/>
      <c r="DM352" s="490"/>
      <c r="DN352" s="490"/>
      <c r="DO352" s="490"/>
      <c r="DP352" s="490"/>
      <c r="DQ352" s="490"/>
      <c r="DR352" s="490"/>
      <c r="DS352" s="490"/>
      <c r="DT352" s="490"/>
      <c r="DU352" s="490"/>
      <c r="DV352" s="490"/>
      <c r="DW352" s="490"/>
      <c r="DX352" s="490"/>
      <c r="DY352" s="490"/>
      <c r="DZ352" s="490"/>
      <c r="EA352" s="490"/>
      <c r="EB352" s="490"/>
      <c r="EC352" s="490"/>
      <c r="ED352" s="490"/>
      <c r="EE352" s="490"/>
      <c r="EF352" s="490"/>
      <c r="EG352" s="490"/>
      <c r="EH352" s="490"/>
      <c r="EI352" s="490"/>
      <c r="EJ352" s="490"/>
      <c r="EK352" s="490"/>
      <c r="EL352" s="490"/>
      <c r="EM352" s="490"/>
      <c r="EN352" s="490"/>
      <c r="EO352" s="490"/>
      <c r="EP352" s="490"/>
      <c r="EQ352" s="490"/>
      <c r="ER352" s="490"/>
      <c r="ES352" s="490"/>
      <c r="ET352" s="490"/>
      <c r="EU352" s="490"/>
      <c r="EV352" s="490"/>
      <c r="EW352" s="490"/>
      <c r="EX352" s="490"/>
      <c r="EY352" s="490"/>
      <c r="EZ352" s="490"/>
      <c r="FA352" s="490"/>
      <c r="FB352" s="490"/>
      <c r="FC352" s="490"/>
      <c r="FD352" s="490"/>
      <c r="FE352" s="490"/>
      <c r="FF352" s="490"/>
      <c r="FG352" s="490"/>
      <c r="FH352" s="490"/>
      <c r="FI352" s="490"/>
      <c r="FJ352" s="490"/>
      <c r="FK352" s="490"/>
      <c r="FL352" s="490"/>
      <c r="FM352" s="490"/>
      <c r="FN352" s="490"/>
    </row>
    <row r="353" s="492" customFormat="1" spans="1:170">
      <c r="A353" s="577"/>
      <c r="B353" s="568"/>
      <c r="C353" s="567"/>
      <c r="D353" s="568"/>
      <c r="E353" s="568"/>
      <c r="F353" s="545" t="s">
        <v>750</v>
      </c>
      <c r="G353" s="546">
        <v>1.17</v>
      </c>
      <c r="H353" s="546">
        <v>0.5</v>
      </c>
      <c r="I353" s="542" t="s">
        <v>22</v>
      </c>
      <c r="J353" s="542">
        <v>1.75</v>
      </c>
      <c r="K353" s="569"/>
      <c r="L353" s="509"/>
      <c r="M353" s="490"/>
      <c r="N353" s="490"/>
      <c r="O353" s="490"/>
      <c r="P353" s="490"/>
      <c r="Q353" s="490"/>
      <c r="R353" s="490"/>
      <c r="S353" s="490"/>
      <c r="T353" s="490"/>
      <c r="U353" s="490"/>
      <c r="V353" s="490"/>
      <c r="W353" s="490"/>
      <c r="X353" s="490"/>
      <c r="Y353" s="490"/>
      <c r="Z353" s="490"/>
      <c r="AA353" s="490"/>
      <c r="AB353" s="490"/>
      <c r="AC353" s="490"/>
      <c r="AD353" s="490"/>
      <c r="AE353" s="490"/>
      <c r="AF353" s="490"/>
      <c r="AG353" s="490"/>
      <c r="AH353" s="490"/>
      <c r="AI353" s="490"/>
      <c r="AJ353" s="490"/>
      <c r="AK353" s="490"/>
      <c r="AL353" s="490"/>
      <c r="AM353" s="490"/>
      <c r="AN353" s="490"/>
      <c r="AO353" s="490"/>
      <c r="AP353" s="490"/>
      <c r="AQ353" s="490"/>
      <c r="AR353" s="490"/>
      <c r="AS353" s="490"/>
      <c r="AT353" s="490"/>
      <c r="AU353" s="490"/>
      <c r="AV353" s="490"/>
      <c r="AW353" s="490"/>
      <c r="AX353" s="490"/>
      <c r="AY353" s="490"/>
      <c r="AZ353" s="490"/>
      <c r="BA353" s="490"/>
      <c r="BB353" s="490"/>
      <c r="BC353" s="490"/>
      <c r="BD353" s="490"/>
      <c r="BE353" s="490"/>
      <c r="BF353" s="490"/>
      <c r="BG353" s="490"/>
      <c r="BH353" s="490"/>
      <c r="BI353" s="490"/>
      <c r="BJ353" s="490"/>
      <c r="BK353" s="490"/>
      <c r="BL353" s="490"/>
      <c r="BM353" s="490"/>
      <c r="BN353" s="490"/>
      <c r="BO353" s="490"/>
      <c r="BP353" s="490"/>
      <c r="BQ353" s="490"/>
      <c r="BR353" s="490"/>
      <c r="BS353" s="490"/>
      <c r="BT353" s="490"/>
      <c r="BU353" s="490"/>
      <c r="BV353" s="490"/>
      <c r="BW353" s="490"/>
      <c r="BX353" s="490"/>
      <c r="BY353" s="490"/>
      <c r="BZ353" s="490"/>
      <c r="CA353" s="490"/>
      <c r="CB353" s="490"/>
      <c r="CC353" s="490"/>
      <c r="CD353" s="490"/>
      <c r="CE353" s="490"/>
      <c r="CF353" s="490"/>
      <c r="CG353" s="490"/>
      <c r="CH353" s="490"/>
      <c r="CI353" s="490"/>
      <c r="CJ353" s="490"/>
      <c r="CK353" s="490"/>
      <c r="CL353" s="490"/>
      <c r="CM353" s="490"/>
      <c r="CN353" s="490"/>
      <c r="CO353" s="490"/>
      <c r="CP353" s="490"/>
      <c r="CQ353" s="490"/>
      <c r="CR353" s="490"/>
      <c r="CS353" s="490"/>
      <c r="CT353" s="490"/>
      <c r="CU353" s="490"/>
      <c r="CV353" s="490"/>
      <c r="CW353" s="490"/>
      <c r="CX353" s="490"/>
      <c r="CY353" s="490"/>
      <c r="CZ353" s="490"/>
      <c r="DA353" s="490"/>
      <c r="DB353" s="490"/>
      <c r="DC353" s="490"/>
      <c r="DD353" s="490"/>
      <c r="DE353" s="490"/>
      <c r="DF353" s="490"/>
      <c r="DG353" s="490"/>
      <c r="DH353" s="490"/>
      <c r="DI353" s="490"/>
      <c r="DJ353" s="490"/>
      <c r="DK353" s="490"/>
      <c r="DL353" s="490"/>
      <c r="DM353" s="490"/>
      <c r="DN353" s="490"/>
      <c r="DO353" s="490"/>
      <c r="DP353" s="490"/>
      <c r="DQ353" s="490"/>
      <c r="DR353" s="490"/>
      <c r="DS353" s="490"/>
      <c r="DT353" s="490"/>
      <c r="DU353" s="490"/>
      <c r="DV353" s="490"/>
      <c r="DW353" s="490"/>
      <c r="DX353" s="490"/>
      <c r="DY353" s="490"/>
      <c r="DZ353" s="490"/>
      <c r="EA353" s="490"/>
      <c r="EB353" s="490"/>
      <c r="EC353" s="490"/>
      <c r="ED353" s="490"/>
      <c r="EE353" s="490"/>
      <c r="EF353" s="490"/>
      <c r="EG353" s="490"/>
      <c r="EH353" s="490"/>
      <c r="EI353" s="490"/>
      <c r="EJ353" s="490"/>
      <c r="EK353" s="490"/>
      <c r="EL353" s="490"/>
      <c r="EM353" s="490"/>
      <c r="EN353" s="490"/>
      <c r="EO353" s="490"/>
      <c r="EP353" s="490"/>
      <c r="EQ353" s="490"/>
      <c r="ER353" s="490"/>
      <c r="ES353" s="490"/>
      <c r="ET353" s="490"/>
      <c r="EU353" s="490"/>
      <c r="EV353" s="490"/>
      <c r="EW353" s="490"/>
      <c r="EX353" s="490"/>
      <c r="EY353" s="490"/>
      <c r="EZ353" s="490"/>
      <c r="FA353" s="490"/>
      <c r="FB353" s="490"/>
      <c r="FC353" s="490"/>
      <c r="FD353" s="490"/>
      <c r="FE353" s="490"/>
      <c r="FF353" s="490"/>
      <c r="FG353" s="490"/>
      <c r="FH353" s="490"/>
      <c r="FI353" s="490"/>
      <c r="FJ353" s="490"/>
      <c r="FK353" s="490"/>
      <c r="FL353" s="490"/>
      <c r="FM353" s="490"/>
      <c r="FN353" s="490"/>
    </row>
    <row r="354" s="492" customFormat="1" spans="1:170">
      <c r="A354" s="578"/>
      <c r="B354" s="579"/>
      <c r="C354" s="580"/>
      <c r="D354" s="579"/>
      <c r="E354" s="579"/>
      <c r="F354" s="545" t="s">
        <v>148</v>
      </c>
      <c r="G354" s="546">
        <v>1.75</v>
      </c>
      <c r="H354" s="546">
        <v>0.6</v>
      </c>
      <c r="I354" s="546" t="s">
        <v>24</v>
      </c>
      <c r="J354" s="574" t="s">
        <v>24</v>
      </c>
      <c r="K354" s="570"/>
      <c r="L354" s="509"/>
      <c r="M354" s="490"/>
      <c r="N354" s="490"/>
      <c r="O354" s="490"/>
      <c r="P354" s="490"/>
      <c r="Q354" s="490"/>
      <c r="R354" s="490"/>
      <c r="S354" s="490"/>
      <c r="T354" s="490"/>
      <c r="U354" s="490"/>
      <c r="V354" s="490"/>
      <c r="W354" s="490"/>
      <c r="X354" s="490"/>
      <c r="Y354" s="490"/>
      <c r="Z354" s="490"/>
      <c r="AA354" s="490"/>
      <c r="AB354" s="490"/>
      <c r="AC354" s="490"/>
      <c r="AD354" s="490"/>
      <c r="AE354" s="490"/>
      <c r="AF354" s="490"/>
      <c r="AG354" s="490"/>
      <c r="AH354" s="490"/>
      <c r="AI354" s="490"/>
      <c r="AJ354" s="490"/>
      <c r="AK354" s="490"/>
      <c r="AL354" s="490"/>
      <c r="AM354" s="490"/>
      <c r="AN354" s="490"/>
      <c r="AO354" s="490"/>
      <c r="AP354" s="490"/>
      <c r="AQ354" s="490"/>
      <c r="AR354" s="490"/>
      <c r="AS354" s="490"/>
      <c r="AT354" s="490"/>
      <c r="AU354" s="490"/>
      <c r="AV354" s="490"/>
      <c r="AW354" s="490"/>
      <c r="AX354" s="490"/>
      <c r="AY354" s="490"/>
      <c r="AZ354" s="490"/>
      <c r="BA354" s="490"/>
      <c r="BB354" s="490"/>
      <c r="BC354" s="490"/>
      <c r="BD354" s="490"/>
      <c r="BE354" s="490"/>
      <c r="BF354" s="490"/>
      <c r="BG354" s="490"/>
      <c r="BH354" s="490"/>
      <c r="BI354" s="490"/>
      <c r="BJ354" s="490"/>
      <c r="BK354" s="490"/>
      <c r="BL354" s="490"/>
      <c r="BM354" s="490"/>
      <c r="BN354" s="490"/>
      <c r="BO354" s="490"/>
      <c r="BP354" s="490"/>
      <c r="BQ354" s="490"/>
      <c r="BR354" s="490"/>
      <c r="BS354" s="490"/>
      <c r="BT354" s="490"/>
      <c r="BU354" s="490"/>
      <c r="BV354" s="490"/>
      <c r="BW354" s="490"/>
      <c r="BX354" s="490"/>
      <c r="BY354" s="490"/>
      <c r="BZ354" s="490"/>
      <c r="CA354" s="490"/>
      <c r="CB354" s="490"/>
      <c r="CC354" s="490"/>
      <c r="CD354" s="490"/>
      <c r="CE354" s="490"/>
      <c r="CF354" s="490"/>
      <c r="CG354" s="490"/>
      <c r="CH354" s="490"/>
      <c r="CI354" s="490"/>
      <c r="CJ354" s="490"/>
      <c r="CK354" s="490"/>
      <c r="CL354" s="490"/>
      <c r="CM354" s="490"/>
      <c r="CN354" s="490"/>
      <c r="CO354" s="490"/>
      <c r="CP354" s="490"/>
      <c r="CQ354" s="490"/>
      <c r="CR354" s="490"/>
      <c r="CS354" s="490"/>
      <c r="CT354" s="490"/>
      <c r="CU354" s="490"/>
      <c r="CV354" s="490"/>
      <c r="CW354" s="490"/>
      <c r="CX354" s="490"/>
      <c r="CY354" s="490"/>
      <c r="CZ354" s="490"/>
      <c r="DA354" s="490"/>
      <c r="DB354" s="490"/>
      <c r="DC354" s="490"/>
      <c r="DD354" s="490"/>
      <c r="DE354" s="490"/>
      <c r="DF354" s="490"/>
      <c r="DG354" s="490"/>
      <c r="DH354" s="490"/>
      <c r="DI354" s="490"/>
      <c r="DJ354" s="490"/>
      <c r="DK354" s="490"/>
      <c r="DL354" s="490"/>
      <c r="DM354" s="490"/>
      <c r="DN354" s="490"/>
      <c r="DO354" s="490"/>
      <c r="DP354" s="490"/>
      <c r="DQ354" s="490"/>
      <c r="DR354" s="490"/>
      <c r="DS354" s="490"/>
      <c r="DT354" s="490"/>
      <c r="DU354" s="490"/>
      <c r="DV354" s="490"/>
      <c r="DW354" s="490"/>
      <c r="DX354" s="490"/>
      <c r="DY354" s="490"/>
      <c r="DZ354" s="490"/>
      <c r="EA354" s="490"/>
      <c r="EB354" s="490"/>
      <c r="EC354" s="490"/>
      <c r="ED354" s="490"/>
      <c r="EE354" s="490"/>
      <c r="EF354" s="490"/>
      <c r="EG354" s="490"/>
      <c r="EH354" s="490"/>
      <c r="EI354" s="490"/>
      <c r="EJ354" s="490"/>
      <c r="EK354" s="490"/>
      <c r="EL354" s="490"/>
      <c r="EM354" s="490"/>
      <c r="EN354" s="490"/>
      <c r="EO354" s="490"/>
      <c r="EP354" s="490"/>
      <c r="EQ354" s="490"/>
      <c r="ER354" s="490"/>
      <c r="ES354" s="490"/>
      <c r="ET354" s="490"/>
      <c r="EU354" s="490"/>
      <c r="EV354" s="490"/>
      <c r="EW354" s="490"/>
      <c r="EX354" s="490"/>
      <c r="EY354" s="490"/>
      <c r="EZ354" s="490"/>
      <c r="FA354" s="490"/>
      <c r="FB354" s="490"/>
      <c r="FC354" s="490"/>
      <c r="FD354" s="490"/>
      <c r="FE354" s="490"/>
      <c r="FF354" s="490"/>
      <c r="FG354" s="490"/>
      <c r="FH354" s="490"/>
      <c r="FI354" s="490"/>
      <c r="FJ354" s="490"/>
      <c r="FK354" s="490"/>
      <c r="FL354" s="490"/>
      <c r="FM354" s="490"/>
      <c r="FN354" s="490"/>
    </row>
    <row r="355" s="492" customFormat="1" spans="1:170">
      <c r="A355" s="576">
        <v>46188</v>
      </c>
      <c r="B355" s="566" t="s">
        <v>833</v>
      </c>
      <c r="C355" s="560">
        <v>10</v>
      </c>
      <c r="D355" s="566" t="s">
        <v>282</v>
      </c>
      <c r="E355" s="566" t="s">
        <v>282</v>
      </c>
      <c r="F355" s="545" t="s">
        <v>144</v>
      </c>
      <c r="G355" s="546">
        <v>1.92</v>
      </c>
      <c r="H355" s="546">
        <v>8.9</v>
      </c>
      <c r="I355" s="542" t="s">
        <v>17</v>
      </c>
      <c r="J355" s="546">
        <v>1.65</v>
      </c>
      <c r="K355" s="559" t="s">
        <v>829</v>
      </c>
      <c r="L355" s="509" t="s">
        <v>130</v>
      </c>
      <c r="M355" s="490"/>
      <c r="N355" s="490"/>
      <c r="O355" s="490"/>
      <c r="P355" s="490"/>
      <c r="Q355" s="490"/>
      <c r="R355" s="490"/>
      <c r="S355" s="490"/>
      <c r="T355" s="490"/>
      <c r="U355" s="490"/>
      <c r="V355" s="490"/>
      <c r="W355" s="490"/>
      <c r="X355" s="490"/>
      <c r="Y355" s="490"/>
      <c r="Z355" s="490"/>
      <c r="AA355" s="490"/>
      <c r="AB355" s="490"/>
      <c r="AC355" s="490"/>
      <c r="AD355" s="490"/>
      <c r="AE355" s="490"/>
      <c r="AF355" s="490"/>
      <c r="AG355" s="490"/>
      <c r="AH355" s="490"/>
      <c r="AI355" s="490"/>
      <c r="AJ355" s="490"/>
      <c r="AK355" s="490"/>
      <c r="AL355" s="490"/>
      <c r="AM355" s="490"/>
      <c r="AN355" s="490"/>
      <c r="AO355" s="490"/>
      <c r="AP355" s="490"/>
      <c r="AQ355" s="490"/>
      <c r="AR355" s="490"/>
      <c r="AS355" s="490"/>
      <c r="AT355" s="490"/>
      <c r="AU355" s="490"/>
      <c r="AV355" s="490"/>
      <c r="AW355" s="490"/>
      <c r="AX355" s="490"/>
      <c r="AY355" s="490"/>
      <c r="AZ355" s="490"/>
      <c r="BA355" s="490"/>
      <c r="BB355" s="490"/>
      <c r="BC355" s="490"/>
      <c r="BD355" s="490"/>
      <c r="BE355" s="490"/>
      <c r="BF355" s="490"/>
      <c r="BG355" s="490"/>
      <c r="BH355" s="490"/>
      <c r="BI355" s="490"/>
      <c r="BJ355" s="490"/>
      <c r="BK355" s="490"/>
      <c r="BL355" s="490"/>
      <c r="BM355" s="490"/>
      <c r="BN355" s="490"/>
      <c r="BO355" s="490"/>
      <c r="BP355" s="490"/>
      <c r="BQ355" s="490"/>
      <c r="BR355" s="490"/>
      <c r="BS355" s="490"/>
      <c r="BT355" s="490"/>
      <c r="BU355" s="490"/>
      <c r="BV355" s="490"/>
      <c r="BW355" s="490"/>
      <c r="BX355" s="490"/>
      <c r="BY355" s="490"/>
      <c r="BZ355" s="490"/>
      <c r="CA355" s="490"/>
      <c r="CB355" s="490"/>
      <c r="CC355" s="490"/>
      <c r="CD355" s="490"/>
      <c r="CE355" s="490"/>
      <c r="CF355" s="490"/>
      <c r="CG355" s="490"/>
      <c r="CH355" s="490"/>
      <c r="CI355" s="490"/>
      <c r="CJ355" s="490"/>
      <c r="CK355" s="490"/>
      <c r="CL355" s="490"/>
      <c r="CM355" s="490"/>
      <c r="CN355" s="490"/>
      <c r="CO355" s="490"/>
      <c r="CP355" s="490"/>
      <c r="CQ355" s="490"/>
      <c r="CR355" s="490"/>
      <c r="CS355" s="490"/>
      <c r="CT355" s="490"/>
      <c r="CU355" s="490"/>
      <c r="CV355" s="490"/>
      <c r="CW355" s="490"/>
      <c r="CX355" s="490"/>
      <c r="CY355" s="490"/>
      <c r="CZ355" s="490"/>
      <c r="DA355" s="490"/>
      <c r="DB355" s="490"/>
      <c r="DC355" s="490"/>
      <c r="DD355" s="490"/>
      <c r="DE355" s="490"/>
      <c r="DF355" s="490"/>
      <c r="DG355" s="490"/>
      <c r="DH355" s="490"/>
      <c r="DI355" s="490"/>
      <c r="DJ355" s="490"/>
      <c r="DK355" s="490"/>
      <c r="DL355" s="490"/>
      <c r="DM355" s="490"/>
      <c r="DN355" s="490"/>
      <c r="DO355" s="490"/>
      <c r="DP355" s="490"/>
      <c r="DQ355" s="490"/>
      <c r="DR355" s="490"/>
      <c r="DS355" s="490"/>
      <c r="DT355" s="490"/>
      <c r="DU355" s="490"/>
      <c r="DV355" s="490"/>
      <c r="DW355" s="490"/>
      <c r="DX355" s="490"/>
      <c r="DY355" s="490"/>
      <c r="DZ355" s="490"/>
      <c r="EA355" s="490"/>
      <c r="EB355" s="490"/>
      <c r="EC355" s="490"/>
      <c r="ED355" s="490"/>
      <c r="EE355" s="490"/>
      <c r="EF355" s="490"/>
      <c r="EG355" s="490"/>
      <c r="EH355" s="490"/>
      <c r="EI355" s="490"/>
      <c r="EJ355" s="490"/>
      <c r="EK355" s="490"/>
      <c r="EL355" s="490"/>
      <c r="EM355" s="490"/>
      <c r="EN355" s="490"/>
      <c r="EO355" s="490"/>
      <c r="EP355" s="490"/>
      <c r="EQ355" s="490"/>
      <c r="ER355" s="490"/>
      <c r="ES355" s="490"/>
      <c r="ET355" s="490"/>
      <c r="EU355" s="490"/>
      <c r="EV355" s="490"/>
      <c r="EW355" s="490"/>
      <c r="EX355" s="490"/>
      <c r="EY355" s="490"/>
      <c r="EZ355" s="490"/>
      <c r="FA355" s="490"/>
      <c r="FB355" s="490"/>
      <c r="FC355" s="490"/>
      <c r="FD355" s="490"/>
      <c r="FE355" s="490"/>
      <c r="FF355" s="490"/>
      <c r="FG355" s="490"/>
      <c r="FH355" s="490"/>
      <c r="FI355" s="490"/>
      <c r="FJ355" s="490"/>
      <c r="FK355" s="490"/>
      <c r="FL355" s="490"/>
      <c r="FM355" s="490"/>
      <c r="FN355" s="490"/>
    </row>
    <row r="356" s="492" customFormat="1" spans="1:170">
      <c r="A356" s="577"/>
      <c r="B356" s="568"/>
      <c r="C356" s="567"/>
      <c r="D356" s="568"/>
      <c r="E356" s="568"/>
      <c r="F356" s="545" t="s">
        <v>750</v>
      </c>
      <c r="G356" s="546">
        <v>2</v>
      </c>
      <c r="H356" s="546">
        <v>0.4</v>
      </c>
      <c r="I356" s="542" t="s">
        <v>22</v>
      </c>
      <c r="J356" s="546">
        <v>1.85</v>
      </c>
      <c r="K356" s="569"/>
      <c r="L356" s="509"/>
      <c r="M356" s="490"/>
      <c r="N356" s="490"/>
      <c r="O356" s="490"/>
      <c r="P356" s="490"/>
      <c r="Q356" s="490"/>
      <c r="R356" s="490"/>
      <c r="S356" s="490"/>
      <c r="T356" s="490"/>
      <c r="U356" s="490"/>
      <c r="V356" s="490"/>
      <c r="W356" s="490"/>
      <c r="X356" s="490"/>
      <c r="Y356" s="490"/>
      <c r="Z356" s="490"/>
      <c r="AA356" s="490"/>
      <c r="AB356" s="490"/>
      <c r="AC356" s="490"/>
      <c r="AD356" s="490"/>
      <c r="AE356" s="490"/>
      <c r="AF356" s="490"/>
      <c r="AG356" s="490"/>
      <c r="AH356" s="490"/>
      <c r="AI356" s="490"/>
      <c r="AJ356" s="490"/>
      <c r="AK356" s="490"/>
      <c r="AL356" s="490"/>
      <c r="AM356" s="490"/>
      <c r="AN356" s="490"/>
      <c r="AO356" s="490"/>
      <c r="AP356" s="490"/>
      <c r="AQ356" s="490"/>
      <c r="AR356" s="490"/>
      <c r="AS356" s="490"/>
      <c r="AT356" s="490"/>
      <c r="AU356" s="490"/>
      <c r="AV356" s="490"/>
      <c r="AW356" s="490"/>
      <c r="AX356" s="490"/>
      <c r="AY356" s="490"/>
      <c r="AZ356" s="490"/>
      <c r="BA356" s="490"/>
      <c r="BB356" s="490"/>
      <c r="BC356" s="490"/>
      <c r="BD356" s="490"/>
      <c r="BE356" s="490"/>
      <c r="BF356" s="490"/>
      <c r="BG356" s="490"/>
      <c r="BH356" s="490"/>
      <c r="BI356" s="490"/>
      <c r="BJ356" s="490"/>
      <c r="BK356" s="490"/>
      <c r="BL356" s="490"/>
      <c r="BM356" s="490"/>
      <c r="BN356" s="490"/>
      <c r="BO356" s="490"/>
      <c r="BP356" s="490"/>
      <c r="BQ356" s="490"/>
      <c r="BR356" s="490"/>
      <c r="BS356" s="490"/>
      <c r="BT356" s="490"/>
      <c r="BU356" s="490"/>
      <c r="BV356" s="490"/>
      <c r="BW356" s="490"/>
      <c r="BX356" s="490"/>
      <c r="BY356" s="490"/>
      <c r="BZ356" s="490"/>
      <c r="CA356" s="490"/>
      <c r="CB356" s="490"/>
      <c r="CC356" s="490"/>
      <c r="CD356" s="490"/>
      <c r="CE356" s="490"/>
      <c r="CF356" s="490"/>
      <c r="CG356" s="490"/>
      <c r="CH356" s="490"/>
      <c r="CI356" s="490"/>
      <c r="CJ356" s="490"/>
      <c r="CK356" s="490"/>
      <c r="CL356" s="490"/>
      <c r="CM356" s="490"/>
      <c r="CN356" s="490"/>
      <c r="CO356" s="490"/>
      <c r="CP356" s="490"/>
      <c r="CQ356" s="490"/>
      <c r="CR356" s="490"/>
      <c r="CS356" s="490"/>
      <c r="CT356" s="490"/>
      <c r="CU356" s="490"/>
      <c r="CV356" s="490"/>
      <c r="CW356" s="490"/>
      <c r="CX356" s="490"/>
      <c r="CY356" s="490"/>
      <c r="CZ356" s="490"/>
      <c r="DA356" s="490"/>
      <c r="DB356" s="490"/>
      <c r="DC356" s="490"/>
      <c r="DD356" s="490"/>
      <c r="DE356" s="490"/>
      <c r="DF356" s="490"/>
      <c r="DG356" s="490"/>
      <c r="DH356" s="490"/>
      <c r="DI356" s="490"/>
      <c r="DJ356" s="490"/>
      <c r="DK356" s="490"/>
      <c r="DL356" s="490"/>
      <c r="DM356" s="490"/>
      <c r="DN356" s="490"/>
      <c r="DO356" s="490"/>
      <c r="DP356" s="490"/>
      <c r="DQ356" s="490"/>
      <c r="DR356" s="490"/>
      <c r="DS356" s="490"/>
      <c r="DT356" s="490"/>
      <c r="DU356" s="490"/>
      <c r="DV356" s="490"/>
      <c r="DW356" s="490"/>
      <c r="DX356" s="490"/>
      <c r="DY356" s="490"/>
      <c r="DZ356" s="490"/>
      <c r="EA356" s="490"/>
      <c r="EB356" s="490"/>
      <c r="EC356" s="490"/>
      <c r="ED356" s="490"/>
      <c r="EE356" s="490"/>
      <c r="EF356" s="490"/>
      <c r="EG356" s="490"/>
      <c r="EH356" s="490"/>
      <c r="EI356" s="490"/>
      <c r="EJ356" s="490"/>
      <c r="EK356" s="490"/>
      <c r="EL356" s="490"/>
      <c r="EM356" s="490"/>
      <c r="EN356" s="490"/>
      <c r="EO356" s="490"/>
      <c r="EP356" s="490"/>
      <c r="EQ356" s="490"/>
      <c r="ER356" s="490"/>
      <c r="ES356" s="490"/>
      <c r="ET356" s="490"/>
      <c r="EU356" s="490"/>
      <c r="EV356" s="490"/>
      <c r="EW356" s="490"/>
      <c r="EX356" s="490"/>
      <c r="EY356" s="490"/>
      <c r="EZ356" s="490"/>
      <c r="FA356" s="490"/>
      <c r="FB356" s="490"/>
      <c r="FC356" s="490"/>
      <c r="FD356" s="490"/>
      <c r="FE356" s="490"/>
      <c r="FF356" s="490"/>
      <c r="FG356" s="490"/>
      <c r="FH356" s="490"/>
      <c r="FI356" s="490"/>
      <c r="FJ356" s="490"/>
      <c r="FK356" s="490"/>
      <c r="FL356" s="490"/>
      <c r="FM356" s="490"/>
      <c r="FN356" s="490"/>
    </row>
    <row r="357" s="492" customFormat="1" spans="1:170">
      <c r="A357" s="578"/>
      <c r="B357" s="579"/>
      <c r="C357" s="580"/>
      <c r="D357" s="579"/>
      <c r="E357" s="579"/>
      <c r="F357" s="545" t="s">
        <v>148</v>
      </c>
      <c r="G357" s="546">
        <v>2.68</v>
      </c>
      <c r="H357" s="546">
        <v>0.7</v>
      </c>
      <c r="I357" s="546" t="s">
        <v>24</v>
      </c>
      <c r="J357" s="546" t="s">
        <v>24</v>
      </c>
      <c r="K357" s="570"/>
      <c r="L357" s="509"/>
      <c r="M357" s="490"/>
      <c r="N357" s="490"/>
      <c r="O357" s="490"/>
      <c r="P357" s="490"/>
      <c r="Q357" s="490"/>
      <c r="R357" s="490"/>
      <c r="S357" s="490"/>
      <c r="T357" s="490"/>
      <c r="U357" s="490"/>
      <c r="V357" s="490"/>
      <c r="W357" s="490"/>
      <c r="X357" s="490"/>
      <c r="Y357" s="490"/>
      <c r="Z357" s="490"/>
      <c r="AA357" s="490"/>
      <c r="AB357" s="490"/>
      <c r="AC357" s="490"/>
      <c r="AD357" s="490"/>
      <c r="AE357" s="490"/>
      <c r="AF357" s="490"/>
      <c r="AG357" s="490"/>
      <c r="AH357" s="490"/>
      <c r="AI357" s="490"/>
      <c r="AJ357" s="490"/>
      <c r="AK357" s="490"/>
      <c r="AL357" s="490"/>
      <c r="AM357" s="490"/>
      <c r="AN357" s="490"/>
      <c r="AO357" s="490"/>
      <c r="AP357" s="490"/>
      <c r="AQ357" s="490"/>
      <c r="AR357" s="490"/>
      <c r="AS357" s="490"/>
      <c r="AT357" s="490"/>
      <c r="AU357" s="490"/>
      <c r="AV357" s="490"/>
      <c r="AW357" s="490"/>
      <c r="AX357" s="490"/>
      <c r="AY357" s="490"/>
      <c r="AZ357" s="490"/>
      <c r="BA357" s="490"/>
      <c r="BB357" s="490"/>
      <c r="BC357" s="490"/>
      <c r="BD357" s="490"/>
      <c r="BE357" s="490"/>
      <c r="BF357" s="490"/>
      <c r="BG357" s="490"/>
      <c r="BH357" s="490"/>
      <c r="BI357" s="490"/>
      <c r="BJ357" s="490"/>
      <c r="BK357" s="490"/>
      <c r="BL357" s="490"/>
      <c r="BM357" s="490"/>
      <c r="BN357" s="490"/>
      <c r="BO357" s="490"/>
      <c r="BP357" s="490"/>
      <c r="BQ357" s="490"/>
      <c r="BR357" s="490"/>
      <c r="BS357" s="490"/>
      <c r="BT357" s="490"/>
      <c r="BU357" s="490"/>
      <c r="BV357" s="490"/>
      <c r="BW357" s="490"/>
      <c r="BX357" s="490"/>
      <c r="BY357" s="490"/>
      <c r="BZ357" s="490"/>
      <c r="CA357" s="490"/>
      <c r="CB357" s="490"/>
      <c r="CC357" s="490"/>
      <c r="CD357" s="490"/>
      <c r="CE357" s="490"/>
      <c r="CF357" s="490"/>
      <c r="CG357" s="490"/>
      <c r="CH357" s="490"/>
      <c r="CI357" s="490"/>
      <c r="CJ357" s="490"/>
      <c r="CK357" s="490"/>
      <c r="CL357" s="490"/>
      <c r="CM357" s="490"/>
      <c r="CN357" s="490"/>
      <c r="CO357" s="490"/>
      <c r="CP357" s="490"/>
      <c r="CQ357" s="490"/>
      <c r="CR357" s="490"/>
      <c r="CS357" s="490"/>
      <c r="CT357" s="490"/>
      <c r="CU357" s="490"/>
      <c r="CV357" s="490"/>
      <c r="CW357" s="490"/>
      <c r="CX357" s="490"/>
      <c r="CY357" s="490"/>
      <c r="CZ357" s="490"/>
      <c r="DA357" s="490"/>
      <c r="DB357" s="490"/>
      <c r="DC357" s="490"/>
      <c r="DD357" s="490"/>
      <c r="DE357" s="490"/>
      <c r="DF357" s="490"/>
      <c r="DG357" s="490"/>
      <c r="DH357" s="490"/>
      <c r="DI357" s="490"/>
      <c r="DJ357" s="490"/>
      <c r="DK357" s="490"/>
      <c r="DL357" s="490"/>
      <c r="DM357" s="490"/>
      <c r="DN357" s="490"/>
      <c r="DO357" s="490"/>
      <c r="DP357" s="490"/>
      <c r="DQ357" s="490"/>
      <c r="DR357" s="490"/>
      <c r="DS357" s="490"/>
      <c r="DT357" s="490"/>
      <c r="DU357" s="490"/>
      <c r="DV357" s="490"/>
      <c r="DW357" s="490"/>
      <c r="DX357" s="490"/>
      <c r="DY357" s="490"/>
      <c r="DZ357" s="490"/>
      <c r="EA357" s="490"/>
      <c r="EB357" s="490"/>
      <c r="EC357" s="490"/>
      <c r="ED357" s="490"/>
      <c r="EE357" s="490"/>
      <c r="EF357" s="490"/>
      <c r="EG357" s="490"/>
      <c r="EH357" s="490"/>
      <c r="EI357" s="490"/>
      <c r="EJ357" s="490"/>
      <c r="EK357" s="490"/>
      <c r="EL357" s="490"/>
      <c r="EM357" s="490"/>
      <c r="EN357" s="490"/>
      <c r="EO357" s="490"/>
      <c r="EP357" s="490"/>
      <c r="EQ357" s="490"/>
      <c r="ER357" s="490"/>
      <c r="ES357" s="490"/>
      <c r="ET357" s="490"/>
      <c r="EU357" s="490"/>
      <c r="EV357" s="490"/>
      <c r="EW357" s="490"/>
      <c r="EX357" s="490"/>
      <c r="EY357" s="490"/>
      <c r="EZ357" s="490"/>
      <c r="FA357" s="490"/>
      <c r="FB357" s="490"/>
      <c r="FC357" s="490"/>
      <c r="FD357" s="490"/>
      <c r="FE357" s="490"/>
      <c r="FF357" s="490"/>
      <c r="FG357" s="490"/>
      <c r="FH357" s="490"/>
      <c r="FI357" s="490"/>
      <c r="FJ357" s="490"/>
      <c r="FK357" s="490"/>
      <c r="FL357" s="490"/>
      <c r="FM357" s="490"/>
      <c r="FN357" s="490"/>
    </row>
    <row r="358" s="492" customFormat="1" spans="1:170">
      <c r="A358" s="576">
        <v>46190</v>
      </c>
      <c r="B358" s="566" t="s">
        <v>834</v>
      </c>
      <c r="C358" s="560">
        <v>5</v>
      </c>
      <c r="D358" s="566" t="s">
        <v>295</v>
      </c>
      <c r="E358" s="566" t="s">
        <v>295</v>
      </c>
      <c r="F358" s="545" t="s">
        <v>158</v>
      </c>
      <c r="G358" s="546">
        <v>1.02</v>
      </c>
      <c r="H358" s="546">
        <v>4.35</v>
      </c>
      <c r="I358" s="546" t="s">
        <v>17</v>
      </c>
      <c r="J358" s="546">
        <v>1.65</v>
      </c>
      <c r="K358" s="559" t="s">
        <v>835</v>
      </c>
      <c r="L358" s="545" t="s">
        <v>316</v>
      </c>
      <c r="M358" s="490"/>
      <c r="N358" s="490"/>
      <c r="O358" s="490"/>
      <c r="P358" s="490"/>
      <c r="Q358" s="490"/>
      <c r="R358" s="490"/>
      <c r="S358" s="490"/>
      <c r="T358" s="490"/>
      <c r="U358" s="490"/>
      <c r="V358" s="490"/>
      <c r="W358" s="490"/>
      <c r="X358" s="490"/>
      <c r="Y358" s="490"/>
      <c r="Z358" s="490"/>
      <c r="AA358" s="490"/>
      <c r="AB358" s="490"/>
      <c r="AC358" s="490"/>
      <c r="AD358" s="490"/>
      <c r="AE358" s="490"/>
      <c r="AF358" s="490"/>
      <c r="AG358" s="490"/>
      <c r="AH358" s="490"/>
      <c r="AI358" s="490"/>
      <c r="AJ358" s="490"/>
      <c r="AK358" s="490"/>
      <c r="AL358" s="490"/>
      <c r="AM358" s="490"/>
      <c r="AN358" s="490"/>
      <c r="AO358" s="490"/>
      <c r="AP358" s="490"/>
      <c r="AQ358" s="490"/>
      <c r="AR358" s="490"/>
      <c r="AS358" s="490"/>
      <c r="AT358" s="490"/>
      <c r="AU358" s="490"/>
      <c r="AV358" s="490"/>
      <c r="AW358" s="490"/>
      <c r="AX358" s="490"/>
      <c r="AY358" s="490"/>
      <c r="AZ358" s="490"/>
      <c r="BA358" s="490"/>
      <c r="BB358" s="490"/>
      <c r="BC358" s="490"/>
      <c r="BD358" s="490"/>
      <c r="BE358" s="490"/>
      <c r="BF358" s="490"/>
      <c r="BG358" s="490"/>
      <c r="BH358" s="490"/>
      <c r="BI358" s="490"/>
      <c r="BJ358" s="490"/>
      <c r="BK358" s="490"/>
      <c r="BL358" s="490"/>
      <c r="BM358" s="490"/>
      <c r="BN358" s="490"/>
      <c r="BO358" s="490"/>
      <c r="BP358" s="490"/>
      <c r="BQ358" s="490"/>
      <c r="BR358" s="490"/>
      <c r="BS358" s="490"/>
      <c r="BT358" s="490"/>
      <c r="BU358" s="490"/>
      <c r="BV358" s="490"/>
      <c r="BW358" s="490"/>
      <c r="BX358" s="490"/>
      <c r="BY358" s="490"/>
      <c r="BZ358" s="490"/>
      <c r="CA358" s="490"/>
      <c r="CB358" s="490"/>
      <c r="CC358" s="490"/>
      <c r="CD358" s="490"/>
      <c r="CE358" s="490"/>
      <c r="CF358" s="490"/>
      <c r="CG358" s="490"/>
      <c r="CH358" s="490"/>
      <c r="CI358" s="490"/>
      <c r="CJ358" s="490"/>
      <c r="CK358" s="490"/>
      <c r="CL358" s="490"/>
      <c r="CM358" s="490"/>
      <c r="CN358" s="490"/>
      <c r="CO358" s="490"/>
      <c r="CP358" s="490"/>
      <c r="CQ358" s="490"/>
      <c r="CR358" s="490"/>
      <c r="CS358" s="490"/>
      <c r="CT358" s="490"/>
      <c r="CU358" s="490"/>
      <c r="CV358" s="490"/>
      <c r="CW358" s="490"/>
      <c r="CX358" s="490"/>
      <c r="CY358" s="490"/>
      <c r="CZ358" s="490"/>
      <c r="DA358" s="490"/>
      <c r="DB358" s="490"/>
      <c r="DC358" s="490"/>
      <c r="DD358" s="490"/>
      <c r="DE358" s="490"/>
      <c r="DF358" s="490"/>
      <c r="DG358" s="490"/>
      <c r="DH358" s="490"/>
      <c r="DI358" s="490"/>
      <c r="DJ358" s="490"/>
      <c r="DK358" s="490"/>
      <c r="DL358" s="490"/>
      <c r="DM358" s="490"/>
      <c r="DN358" s="490"/>
      <c r="DO358" s="490"/>
      <c r="DP358" s="490"/>
      <c r="DQ358" s="490"/>
      <c r="DR358" s="490"/>
      <c r="DS358" s="490"/>
      <c r="DT358" s="490"/>
      <c r="DU358" s="490"/>
      <c r="DV358" s="490"/>
      <c r="DW358" s="490"/>
      <c r="DX358" s="490"/>
      <c r="DY358" s="490"/>
      <c r="DZ358" s="490"/>
      <c r="EA358" s="490"/>
      <c r="EB358" s="490"/>
      <c r="EC358" s="490"/>
      <c r="ED358" s="490"/>
      <c r="EE358" s="490"/>
      <c r="EF358" s="490"/>
      <c r="EG358" s="490"/>
      <c r="EH358" s="490"/>
      <c r="EI358" s="490"/>
      <c r="EJ358" s="490"/>
      <c r="EK358" s="490"/>
      <c r="EL358" s="490"/>
      <c r="EM358" s="490"/>
      <c r="EN358" s="490"/>
      <c r="EO358" s="490"/>
      <c r="EP358" s="490"/>
      <c r="EQ358" s="490"/>
      <c r="ER358" s="490"/>
      <c r="ES358" s="490"/>
      <c r="ET358" s="490"/>
      <c r="EU358" s="490"/>
      <c r="EV358" s="490"/>
      <c r="EW358" s="490"/>
      <c r="EX358" s="490"/>
      <c r="EY358" s="490"/>
      <c r="EZ358" s="490"/>
      <c r="FA358" s="490"/>
      <c r="FB358" s="490"/>
      <c r="FC358" s="490"/>
      <c r="FD358" s="490"/>
      <c r="FE358" s="490"/>
      <c r="FF358" s="490"/>
      <c r="FG358" s="490"/>
      <c r="FH358" s="490"/>
      <c r="FI358" s="490"/>
      <c r="FJ358" s="490"/>
      <c r="FK358" s="490"/>
      <c r="FL358" s="490"/>
      <c r="FM358" s="490"/>
      <c r="FN358" s="490"/>
    </row>
    <row r="359" s="492" customFormat="1" spans="1:170">
      <c r="A359" s="577"/>
      <c r="B359" s="568"/>
      <c r="C359" s="567"/>
      <c r="D359" s="568"/>
      <c r="E359" s="568"/>
      <c r="F359" s="545" t="s">
        <v>159</v>
      </c>
      <c r="G359" s="546">
        <v>1.02</v>
      </c>
      <c r="H359" s="546">
        <v>0.15</v>
      </c>
      <c r="I359" s="546" t="s">
        <v>17</v>
      </c>
      <c r="J359" s="546">
        <v>1.7</v>
      </c>
      <c r="K359" s="569"/>
      <c r="L359" s="545"/>
      <c r="M359" s="490"/>
      <c r="N359" s="490"/>
      <c r="O359" s="490"/>
      <c r="P359" s="490"/>
      <c r="Q359" s="490"/>
      <c r="R359" s="490"/>
      <c r="S359" s="490"/>
      <c r="T359" s="490"/>
      <c r="U359" s="490"/>
      <c r="V359" s="490"/>
      <c r="W359" s="490"/>
      <c r="X359" s="490"/>
      <c r="Y359" s="490"/>
      <c r="Z359" s="490"/>
      <c r="AA359" s="490"/>
      <c r="AB359" s="490"/>
      <c r="AC359" s="490"/>
      <c r="AD359" s="490"/>
      <c r="AE359" s="490"/>
      <c r="AF359" s="490"/>
      <c r="AG359" s="490"/>
      <c r="AH359" s="490"/>
      <c r="AI359" s="490"/>
      <c r="AJ359" s="490"/>
      <c r="AK359" s="490"/>
      <c r="AL359" s="490"/>
      <c r="AM359" s="490"/>
      <c r="AN359" s="490"/>
      <c r="AO359" s="490"/>
      <c r="AP359" s="490"/>
      <c r="AQ359" s="490"/>
      <c r="AR359" s="490"/>
      <c r="AS359" s="490"/>
      <c r="AT359" s="490"/>
      <c r="AU359" s="490"/>
      <c r="AV359" s="490"/>
      <c r="AW359" s="490"/>
      <c r="AX359" s="490"/>
      <c r="AY359" s="490"/>
      <c r="AZ359" s="490"/>
      <c r="BA359" s="490"/>
      <c r="BB359" s="490"/>
      <c r="BC359" s="490"/>
      <c r="BD359" s="490"/>
      <c r="BE359" s="490"/>
      <c r="BF359" s="490"/>
      <c r="BG359" s="490"/>
      <c r="BH359" s="490"/>
      <c r="BI359" s="490"/>
      <c r="BJ359" s="490"/>
      <c r="BK359" s="490"/>
      <c r="BL359" s="490"/>
      <c r="BM359" s="490"/>
      <c r="BN359" s="490"/>
      <c r="BO359" s="490"/>
      <c r="BP359" s="490"/>
      <c r="BQ359" s="490"/>
      <c r="BR359" s="490"/>
      <c r="BS359" s="490"/>
      <c r="BT359" s="490"/>
      <c r="BU359" s="490"/>
      <c r="BV359" s="490"/>
      <c r="BW359" s="490"/>
      <c r="BX359" s="490"/>
      <c r="BY359" s="490"/>
      <c r="BZ359" s="490"/>
      <c r="CA359" s="490"/>
      <c r="CB359" s="490"/>
      <c r="CC359" s="490"/>
      <c r="CD359" s="490"/>
      <c r="CE359" s="490"/>
      <c r="CF359" s="490"/>
      <c r="CG359" s="490"/>
      <c r="CH359" s="490"/>
      <c r="CI359" s="490"/>
      <c r="CJ359" s="490"/>
      <c r="CK359" s="490"/>
      <c r="CL359" s="490"/>
      <c r="CM359" s="490"/>
      <c r="CN359" s="490"/>
      <c r="CO359" s="490"/>
      <c r="CP359" s="490"/>
      <c r="CQ359" s="490"/>
      <c r="CR359" s="490"/>
      <c r="CS359" s="490"/>
      <c r="CT359" s="490"/>
      <c r="CU359" s="490"/>
      <c r="CV359" s="490"/>
      <c r="CW359" s="490"/>
      <c r="CX359" s="490"/>
      <c r="CY359" s="490"/>
      <c r="CZ359" s="490"/>
      <c r="DA359" s="490"/>
      <c r="DB359" s="490"/>
      <c r="DC359" s="490"/>
      <c r="DD359" s="490"/>
      <c r="DE359" s="490"/>
      <c r="DF359" s="490"/>
      <c r="DG359" s="490"/>
      <c r="DH359" s="490"/>
      <c r="DI359" s="490"/>
      <c r="DJ359" s="490"/>
      <c r="DK359" s="490"/>
      <c r="DL359" s="490"/>
      <c r="DM359" s="490"/>
      <c r="DN359" s="490"/>
      <c r="DO359" s="490"/>
      <c r="DP359" s="490"/>
      <c r="DQ359" s="490"/>
      <c r="DR359" s="490"/>
      <c r="DS359" s="490"/>
      <c r="DT359" s="490"/>
      <c r="DU359" s="490"/>
      <c r="DV359" s="490"/>
      <c r="DW359" s="490"/>
      <c r="DX359" s="490"/>
      <c r="DY359" s="490"/>
      <c r="DZ359" s="490"/>
      <c r="EA359" s="490"/>
      <c r="EB359" s="490"/>
      <c r="EC359" s="490"/>
      <c r="ED359" s="490"/>
      <c r="EE359" s="490"/>
      <c r="EF359" s="490"/>
      <c r="EG359" s="490"/>
      <c r="EH359" s="490"/>
      <c r="EI359" s="490"/>
      <c r="EJ359" s="490"/>
      <c r="EK359" s="490"/>
      <c r="EL359" s="490"/>
      <c r="EM359" s="490"/>
      <c r="EN359" s="490"/>
      <c r="EO359" s="490"/>
      <c r="EP359" s="490"/>
      <c r="EQ359" s="490"/>
      <c r="ER359" s="490"/>
      <c r="ES359" s="490"/>
      <c r="ET359" s="490"/>
      <c r="EU359" s="490"/>
      <c r="EV359" s="490"/>
      <c r="EW359" s="490"/>
      <c r="EX359" s="490"/>
      <c r="EY359" s="490"/>
      <c r="EZ359" s="490"/>
      <c r="FA359" s="490"/>
      <c r="FB359" s="490"/>
      <c r="FC359" s="490"/>
      <c r="FD359" s="490"/>
      <c r="FE359" s="490"/>
      <c r="FF359" s="490"/>
      <c r="FG359" s="490"/>
      <c r="FH359" s="490"/>
      <c r="FI359" s="490"/>
      <c r="FJ359" s="490"/>
      <c r="FK359" s="490"/>
      <c r="FL359" s="490"/>
      <c r="FM359" s="490"/>
      <c r="FN359" s="490"/>
    </row>
    <row r="360" s="492" customFormat="1" spans="1:170">
      <c r="A360" s="577"/>
      <c r="B360" s="568"/>
      <c r="C360" s="567"/>
      <c r="D360" s="568"/>
      <c r="E360" s="568"/>
      <c r="F360" s="545" t="s">
        <v>160</v>
      </c>
      <c r="G360" s="546">
        <v>1.52</v>
      </c>
      <c r="H360" s="546">
        <v>0.25</v>
      </c>
      <c r="I360" s="546" t="s">
        <v>96</v>
      </c>
      <c r="J360" s="546">
        <v>3</v>
      </c>
      <c r="K360" s="569"/>
      <c r="L360" s="545"/>
      <c r="M360" s="490"/>
      <c r="N360" s="490"/>
      <c r="O360" s="490"/>
      <c r="P360" s="490"/>
      <c r="Q360" s="490"/>
      <c r="R360" s="490"/>
      <c r="S360" s="490"/>
      <c r="T360" s="490"/>
      <c r="U360" s="490"/>
      <c r="V360" s="490"/>
      <c r="W360" s="490"/>
      <c r="X360" s="490"/>
      <c r="Y360" s="490"/>
      <c r="Z360" s="490"/>
      <c r="AA360" s="490"/>
      <c r="AB360" s="490"/>
      <c r="AC360" s="490"/>
      <c r="AD360" s="490"/>
      <c r="AE360" s="490"/>
      <c r="AF360" s="490"/>
      <c r="AG360" s="490"/>
      <c r="AH360" s="490"/>
      <c r="AI360" s="490"/>
      <c r="AJ360" s="490"/>
      <c r="AK360" s="490"/>
      <c r="AL360" s="490"/>
      <c r="AM360" s="490"/>
      <c r="AN360" s="490"/>
      <c r="AO360" s="490"/>
      <c r="AP360" s="490"/>
      <c r="AQ360" s="490"/>
      <c r="AR360" s="490"/>
      <c r="AS360" s="490"/>
      <c r="AT360" s="490"/>
      <c r="AU360" s="490"/>
      <c r="AV360" s="490"/>
      <c r="AW360" s="490"/>
      <c r="AX360" s="490"/>
      <c r="AY360" s="490"/>
      <c r="AZ360" s="490"/>
      <c r="BA360" s="490"/>
      <c r="BB360" s="490"/>
      <c r="BC360" s="490"/>
      <c r="BD360" s="490"/>
      <c r="BE360" s="490"/>
      <c r="BF360" s="490"/>
      <c r="BG360" s="490"/>
      <c r="BH360" s="490"/>
      <c r="BI360" s="490"/>
      <c r="BJ360" s="490"/>
      <c r="BK360" s="490"/>
      <c r="BL360" s="490"/>
      <c r="BM360" s="490"/>
      <c r="BN360" s="490"/>
      <c r="BO360" s="490"/>
      <c r="BP360" s="490"/>
      <c r="BQ360" s="490"/>
      <c r="BR360" s="490"/>
      <c r="BS360" s="490"/>
      <c r="BT360" s="490"/>
      <c r="BU360" s="490"/>
      <c r="BV360" s="490"/>
      <c r="BW360" s="490"/>
      <c r="BX360" s="490"/>
      <c r="BY360" s="490"/>
      <c r="BZ360" s="490"/>
      <c r="CA360" s="490"/>
      <c r="CB360" s="490"/>
      <c r="CC360" s="490"/>
      <c r="CD360" s="490"/>
      <c r="CE360" s="490"/>
      <c r="CF360" s="490"/>
      <c r="CG360" s="490"/>
      <c r="CH360" s="490"/>
      <c r="CI360" s="490"/>
      <c r="CJ360" s="490"/>
      <c r="CK360" s="490"/>
      <c r="CL360" s="490"/>
      <c r="CM360" s="490"/>
      <c r="CN360" s="490"/>
      <c r="CO360" s="490"/>
      <c r="CP360" s="490"/>
      <c r="CQ360" s="490"/>
      <c r="CR360" s="490"/>
      <c r="CS360" s="490"/>
      <c r="CT360" s="490"/>
      <c r="CU360" s="490"/>
      <c r="CV360" s="490"/>
      <c r="CW360" s="490"/>
      <c r="CX360" s="490"/>
      <c r="CY360" s="490"/>
      <c r="CZ360" s="490"/>
      <c r="DA360" s="490"/>
      <c r="DB360" s="490"/>
      <c r="DC360" s="490"/>
      <c r="DD360" s="490"/>
      <c r="DE360" s="490"/>
      <c r="DF360" s="490"/>
      <c r="DG360" s="490"/>
      <c r="DH360" s="490"/>
      <c r="DI360" s="490"/>
      <c r="DJ360" s="490"/>
      <c r="DK360" s="490"/>
      <c r="DL360" s="490"/>
      <c r="DM360" s="490"/>
      <c r="DN360" s="490"/>
      <c r="DO360" s="490"/>
      <c r="DP360" s="490"/>
      <c r="DQ360" s="490"/>
      <c r="DR360" s="490"/>
      <c r="DS360" s="490"/>
      <c r="DT360" s="490"/>
      <c r="DU360" s="490"/>
      <c r="DV360" s="490"/>
      <c r="DW360" s="490"/>
      <c r="DX360" s="490"/>
      <c r="DY360" s="490"/>
      <c r="DZ360" s="490"/>
      <c r="EA360" s="490"/>
      <c r="EB360" s="490"/>
      <c r="EC360" s="490"/>
      <c r="ED360" s="490"/>
      <c r="EE360" s="490"/>
      <c r="EF360" s="490"/>
      <c r="EG360" s="490"/>
      <c r="EH360" s="490"/>
      <c r="EI360" s="490"/>
      <c r="EJ360" s="490"/>
      <c r="EK360" s="490"/>
      <c r="EL360" s="490"/>
      <c r="EM360" s="490"/>
      <c r="EN360" s="490"/>
      <c r="EO360" s="490"/>
      <c r="EP360" s="490"/>
      <c r="EQ360" s="490"/>
      <c r="ER360" s="490"/>
      <c r="ES360" s="490"/>
      <c r="ET360" s="490"/>
      <c r="EU360" s="490"/>
      <c r="EV360" s="490"/>
      <c r="EW360" s="490"/>
      <c r="EX360" s="490"/>
      <c r="EY360" s="490"/>
      <c r="EZ360" s="490"/>
      <c r="FA360" s="490"/>
      <c r="FB360" s="490"/>
      <c r="FC360" s="490"/>
      <c r="FD360" s="490"/>
      <c r="FE360" s="490"/>
      <c r="FF360" s="490"/>
      <c r="FG360" s="490"/>
      <c r="FH360" s="490"/>
      <c r="FI360" s="490"/>
      <c r="FJ360" s="490"/>
      <c r="FK360" s="490"/>
      <c r="FL360" s="490"/>
      <c r="FM360" s="490"/>
      <c r="FN360" s="490"/>
    </row>
    <row r="361" s="492" customFormat="1" spans="1:170">
      <c r="A361" s="578"/>
      <c r="B361" s="579"/>
      <c r="C361" s="580"/>
      <c r="D361" s="579"/>
      <c r="E361" s="579"/>
      <c r="F361" s="545" t="s">
        <v>148</v>
      </c>
      <c r="G361" s="546">
        <v>1.52</v>
      </c>
      <c r="H361" s="546">
        <v>0.25</v>
      </c>
      <c r="I361" s="546" t="s">
        <v>24</v>
      </c>
      <c r="J361" s="546" t="s">
        <v>24</v>
      </c>
      <c r="K361" s="570"/>
      <c r="L361" s="545"/>
      <c r="M361" s="490"/>
      <c r="N361" s="490"/>
      <c r="O361" s="490"/>
      <c r="P361" s="490"/>
      <c r="Q361" s="490"/>
      <c r="R361" s="490"/>
      <c r="S361" s="490"/>
      <c r="T361" s="490"/>
      <c r="U361" s="490"/>
      <c r="V361" s="490"/>
      <c r="W361" s="490"/>
      <c r="X361" s="490"/>
      <c r="Y361" s="490"/>
      <c r="Z361" s="490"/>
      <c r="AA361" s="490"/>
      <c r="AB361" s="490"/>
      <c r="AC361" s="490"/>
      <c r="AD361" s="490"/>
      <c r="AE361" s="490"/>
      <c r="AF361" s="490"/>
      <c r="AG361" s="490"/>
      <c r="AH361" s="490"/>
      <c r="AI361" s="490"/>
      <c r="AJ361" s="490"/>
      <c r="AK361" s="490"/>
      <c r="AL361" s="490"/>
      <c r="AM361" s="490"/>
      <c r="AN361" s="490"/>
      <c r="AO361" s="490"/>
      <c r="AP361" s="490"/>
      <c r="AQ361" s="490"/>
      <c r="AR361" s="490"/>
      <c r="AS361" s="490"/>
      <c r="AT361" s="490"/>
      <c r="AU361" s="490"/>
      <c r="AV361" s="490"/>
      <c r="AW361" s="490"/>
      <c r="AX361" s="490"/>
      <c r="AY361" s="490"/>
      <c r="AZ361" s="490"/>
      <c r="BA361" s="490"/>
      <c r="BB361" s="490"/>
      <c r="BC361" s="490"/>
      <c r="BD361" s="490"/>
      <c r="BE361" s="490"/>
      <c r="BF361" s="490"/>
      <c r="BG361" s="490"/>
      <c r="BH361" s="490"/>
      <c r="BI361" s="490"/>
      <c r="BJ361" s="490"/>
      <c r="BK361" s="490"/>
      <c r="BL361" s="490"/>
      <c r="BM361" s="490"/>
      <c r="BN361" s="490"/>
      <c r="BO361" s="490"/>
      <c r="BP361" s="490"/>
      <c r="BQ361" s="490"/>
      <c r="BR361" s="490"/>
      <c r="BS361" s="490"/>
      <c r="BT361" s="490"/>
      <c r="BU361" s="490"/>
      <c r="BV361" s="490"/>
      <c r="BW361" s="490"/>
      <c r="BX361" s="490"/>
      <c r="BY361" s="490"/>
      <c r="BZ361" s="490"/>
      <c r="CA361" s="490"/>
      <c r="CB361" s="490"/>
      <c r="CC361" s="490"/>
      <c r="CD361" s="490"/>
      <c r="CE361" s="490"/>
      <c r="CF361" s="490"/>
      <c r="CG361" s="490"/>
      <c r="CH361" s="490"/>
      <c r="CI361" s="490"/>
      <c r="CJ361" s="490"/>
      <c r="CK361" s="490"/>
      <c r="CL361" s="490"/>
      <c r="CM361" s="490"/>
      <c r="CN361" s="490"/>
      <c r="CO361" s="490"/>
      <c r="CP361" s="490"/>
      <c r="CQ361" s="490"/>
      <c r="CR361" s="490"/>
      <c r="CS361" s="490"/>
      <c r="CT361" s="490"/>
      <c r="CU361" s="490"/>
      <c r="CV361" s="490"/>
      <c r="CW361" s="490"/>
      <c r="CX361" s="490"/>
      <c r="CY361" s="490"/>
      <c r="CZ361" s="490"/>
      <c r="DA361" s="490"/>
      <c r="DB361" s="490"/>
      <c r="DC361" s="490"/>
      <c r="DD361" s="490"/>
      <c r="DE361" s="490"/>
      <c r="DF361" s="490"/>
      <c r="DG361" s="490"/>
      <c r="DH361" s="490"/>
      <c r="DI361" s="490"/>
      <c r="DJ361" s="490"/>
      <c r="DK361" s="490"/>
      <c r="DL361" s="490"/>
      <c r="DM361" s="490"/>
      <c r="DN361" s="490"/>
      <c r="DO361" s="490"/>
      <c r="DP361" s="490"/>
      <c r="DQ361" s="490"/>
      <c r="DR361" s="490"/>
      <c r="DS361" s="490"/>
      <c r="DT361" s="490"/>
      <c r="DU361" s="490"/>
      <c r="DV361" s="490"/>
      <c r="DW361" s="490"/>
      <c r="DX361" s="490"/>
      <c r="DY361" s="490"/>
      <c r="DZ361" s="490"/>
      <c r="EA361" s="490"/>
      <c r="EB361" s="490"/>
      <c r="EC361" s="490"/>
      <c r="ED361" s="490"/>
      <c r="EE361" s="490"/>
      <c r="EF361" s="490"/>
      <c r="EG361" s="490"/>
      <c r="EH361" s="490"/>
      <c r="EI361" s="490"/>
      <c r="EJ361" s="490"/>
      <c r="EK361" s="490"/>
      <c r="EL361" s="490"/>
      <c r="EM361" s="490"/>
      <c r="EN361" s="490"/>
      <c r="EO361" s="490"/>
      <c r="EP361" s="490"/>
      <c r="EQ361" s="490"/>
      <c r="ER361" s="490"/>
      <c r="ES361" s="490"/>
      <c r="ET361" s="490"/>
      <c r="EU361" s="490"/>
      <c r="EV361" s="490"/>
      <c r="EW361" s="490"/>
      <c r="EX361" s="490"/>
      <c r="EY361" s="490"/>
      <c r="EZ361" s="490"/>
      <c r="FA361" s="490"/>
      <c r="FB361" s="490"/>
      <c r="FC361" s="490"/>
      <c r="FD361" s="490"/>
      <c r="FE361" s="490"/>
      <c r="FF361" s="490"/>
      <c r="FG361" s="490"/>
      <c r="FH361" s="490"/>
      <c r="FI361" s="490"/>
      <c r="FJ361" s="490"/>
      <c r="FK361" s="490"/>
      <c r="FL361" s="490"/>
      <c r="FM361" s="490"/>
      <c r="FN361" s="490"/>
    </row>
    <row r="362" s="492" customFormat="1" spans="1:170">
      <c r="A362" s="519">
        <v>46191</v>
      </c>
      <c r="B362" s="509" t="s">
        <v>836</v>
      </c>
      <c r="C362" s="520">
        <v>10</v>
      </c>
      <c r="D362" s="509" t="s">
        <v>51</v>
      </c>
      <c r="E362" s="509" t="s">
        <v>208</v>
      </c>
      <c r="F362" s="545" t="s">
        <v>158</v>
      </c>
      <c r="G362" s="542">
        <v>0.79</v>
      </c>
      <c r="H362" s="542">
        <v>9</v>
      </c>
      <c r="I362" s="546" t="s">
        <v>17</v>
      </c>
      <c r="J362" s="542">
        <v>1.6</v>
      </c>
      <c r="K362" s="507" t="s">
        <v>607</v>
      </c>
      <c r="L362" s="509" t="s">
        <v>53</v>
      </c>
      <c r="M362" s="490"/>
      <c r="N362" s="490"/>
      <c r="O362" s="490"/>
      <c r="P362" s="490"/>
      <c r="Q362" s="490"/>
      <c r="R362" s="490"/>
      <c r="S362" s="490"/>
      <c r="T362" s="490"/>
      <c r="U362" s="490"/>
      <c r="V362" s="490"/>
      <c r="W362" s="490"/>
      <c r="X362" s="490"/>
      <c r="Y362" s="490"/>
      <c r="Z362" s="490"/>
      <c r="AA362" s="490"/>
      <c r="AB362" s="490"/>
      <c r="AC362" s="490"/>
      <c r="AD362" s="490"/>
      <c r="AE362" s="490"/>
      <c r="AF362" s="490"/>
      <c r="AG362" s="490"/>
      <c r="AH362" s="490"/>
      <c r="AI362" s="490"/>
      <c r="AJ362" s="490"/>
      <c r="AK362" s="490"/>
      <c r="AL362" s="490"/>
      <c r="AM362" s="490"/>
      <c r="AN362" s="490"/>
      <c r="AO362" s="490"/>
      <c r="AP362" s="490"/>
      <c r="AQ362" s="490"/>
      <c r="AR362" s="490"/>
      <c r="AS362" s="490"/>
      <c r="AT362" s="490"/>
      <c r="AU362" s="490"/>
      <c r="AV362" s="490"/>
      <c r="AW362" s="490"/>
      <c r="AX362" s="490"/>
      <c r="AY362" s="490"/>
      <c r="AZ362" s="490"/>
      <c r="BA362" s="490"/>
      <c r="BB362" s="490"/>
      <c r="BC362" s="490"/>
      <c r="BD362" s="490"/>
      <c r="BE362" s="490"/>
      <c r="BF362" s="490"/>
      <c r="BG362" s="490"/>
      <c r="BH362" s="490"/>
      <c r="BI362" s="490"/>
      <c r="BJ362" s="490"/>
      <c r="BK362" s="490"/>
      <c r="BL362" s="490"/>
      <c r="BM362" s="490"/>
      <c r="BN362" s="490"/>
      <c r="BO362" s="490"/>
      <c r="BP362" s="490"/>
      <c r="BQ362" s="490"/>
      <c r="BR362" s="490"/>
      <c r="BS362" s="490"/>
      <c r="BT362" s="490"/>
      <c r="BU362" s="490"/>
      <c r="BV362" s="490"/>
      <c r="BW362" s="490"/>
      <c r="BX362" s="490"/>
      <c r="BY362" s="490"/>
      <c r="BZ362" s="490"/>
      <c r="CA362" s="490"/>
      <c r="CB362" s="490"/>
      <c r="CC362" s="490"/>
      <c r="CD362" s="490"/>
      <c r="CE362" s="490"/>
      <c r="CF362" s="490"/>
      <c r="CG362" s="490"/>
      <c r="CH362" s="490"/>
      <c r="CI362" s="490"/>
      <c r="CJ362" s="490"/>
      <c r="CK362" s="490"/>
      <c r="CL362" s="490"/>
      <c r="CM362" s="490"/>
      <c r="CN362" s="490"/>
      <c r="CO362" s="490"/>
      <c r="CP362" s="490"/>
      <c r="CQ362" s="490"/>
      <c r="CR362" s="490"/>
      <c r="CS362" s="490"/>
      <c r="CT362" s="490"/>
      <c r="CU362" s="490"/>
      <c r="CV362" s="490"/>
      <c r="CW362" s="490"/>
      <c r="CX362" s="490"/>
      <c r="CY362" s="490"/>
      <c r="CZ362" s="490"/>
      <c r="DA362" s="490"/>
      <c r="DB362" s="490"/>
      <c r="DC362" s="490"/>
      <c r="DD362" s="490"/>
      <c r="DE362" s="490"/>
      <c r="DF362" s="490"/>
      <c r="DG362" s="490"/>
      <c r="DH362" s="490"/>
      <c r="DI362" s="490"/>
      <c r="DJ362" s="490"/>
      <c r="DK362" s="490"/>
      <c r="DL362" s="490"/>
      <c r="DM362" s="490"/>
      <c r="DN362" s="490"/>
      <c r="DO362" s="490"/>
      <c r="DP362" s="490"/>
      <c r="DQ362" s="490"/>
      <c r="DR362" s="490"/>
      <c r="DS362" s="490"/>
      <c r="DT362" s="490"/>
      <c r="DU362" s="490"/>
      <c r="DV362" s="490"/>
      <c r="DW362" s="490"/>
      <c r="DX362" s="490"/>
      <c r="DY362" s="490"/>
      <c r="DZ362" s="490"/>
      <c r="EA362" s="490"/>
      <c r="EB362" s="490"/>
      <c r="EC362" s="490"/>
      <c r="ED362" s="490"/>
      <c r="EE362" s="490"/>
      <c r="EF362" s="490"/>
      <c r="EG362" s="490"/>
      <c r="EH362" s="490"/>
      <c r="EI362" s="490"/>
      <c r="EJ362" s="490"/>
      <c r="EK362" s="490"/>
      <c r="EL362" s="490"/>
      <c r="EM362" s="490"/>
      <c r="EN362" s="490"/>
      <c r="EO362" s="490"/>
      <c r="EP362" s="490"/>
      <c r="EQ362" s="490"/>
      <c r="ER362" s="490"/>
      <c r="ES362" s="490"/>
      <c r="ET362" s="490"/>
      <c r="EU362" s="490"/>
      <c r="EV362" s="490"/>
      <c r="EW362" s="490"/>
      <c r="EX362" s="490"/>
      <c r="EY362" s="490"/>
      <c r="EZ362" s="490"/>
      <c r="FA362" s="490"/>
      <c r="FB362" s="490"/>
      <c r="FC362" s="490"/>
      <c r="FD362" s="490"/>
      <c r="FE362" s="490"/>
      <c r="FF362" s="490"/>
      <c r="FG362" s="490"/>
      <c r="FH362" s="490"/>
      <c r="FI362" s="490"/>
      <c r="FJ362" s="490"/>
      <c r="FK362" s="490"/>
      <c r="FL362" s="490"/>
      <c r="FM362" s="490"/>
      <c r="FN362" s="490"/>
    </row>
    <row r="363" s="492" customFormat="1" spans="1:170">
      <c r="A363" s="519"/>
      <c r="B363" s="509"/>
      <c r="C363" s="520"/>
      <c r="D363" s="509"/>
      <c r="E363" s="509"/>
      <c r="F363" s="545" t="s">
        <v>159</v>
      </c>
      <c r="G363" s="542">
        <v>0.79</v>
      </c>
      <c r="H363" s="542">
        <v>0.3</v>
      </c>
      <c r="I363" s="546" t="s">
        <v>22</v>
      </c>
      <c r="J363" s="542">
        <v>1.72</v>
      </c>
      <c r="K363" s="513"/>
      <c r="L363" s="509"/>
      <c r="M363" s="490"/>
      <c r="N363" s="490"/>
      <c r="O363" s="490"/>
      <c r="P363" s="490"/>
      <c r="Q363" s="490"/>
      <c r="R363" s="490"/>
      <c r="S363" s="490"/>
      <c r="T363" s="490"/>
      <c r="U363" s="490"/>
      <c r="V363" s="490"/>
      <c r="W363" s="490"/>
      <c r="X363" s="490"/>
      <c r="Y363" s="490"/>
      <c r="Z363" s="490"/>
      <c r="AA363" s="490"/>
      <c r="AB363" s="490"/>
      <c r="AC363" s="490"/>
      <c r="AD363" s="490"/>
      <c r="AE363" s="490"/>
      <c r="AF363" s="490"/>
      <c r="AG363" s="490"/>
      <c r="AH363" s="490"/>
      <c r="AI363" s="490"/>
      <c r="AJ363" s="490"/>
      <c r="AK363" s="490"/>
      <c r="AL363" s="490"/>
      <c r="AM363" s="490"/>
      <c r="AN363" s="490"/>
      <c r="AO363" s="490"/>
      <c r="AP363" s="490"/>
      <c r="AQ363" s="490"/>
      <c r="AR363" s="490"/>
      <c r="AS363" s="490"/>
      <c r="AT363" s="490"/>
      <c r="AU363" s="490"/>
      <c r="AV363" s="490"/>
      <c r="AW363" s="490"/>
      <c r="AX363" s="490"/>
      <c r="AY363" s="490"/>
      <c r="AZ363" s="490"/>
      <c r="BA363" s="490"/>
      <c r="BB363" s="490"/>
      <c r="BC363" s="490"/>
      <c r="BD363" s="490"/>
      <c r="BE363" s="490"/>
      <c r="BF363" s="490"/>
      <c r="BG363" s="490"/>
      <c r="BH363" s="490"/>
      <c r="BI363" s="490"/>
      <c r="BJ363" s="490"/>
      <c r="BK363" s="490"/>
      <c r="BL363" s="490"/>
      <c r="BM363" s="490"/>
      <c r="BN363" s="490"/>
      <c r="BO363" s="490"/>
      <c r="BP363" s="490"/>
      <c r="BQ363" s="490"/>
      <c r="BR363" s="490"/>
      <c r="BS363" s="490"/>
      <c r="BT363" s="490"/>
      <c r="BU363" s="490"/>
      <c r="BV363" s="490"/>
      <c r="BW363" s="490"/>
      <c r="BX363" s="490"/>
      <c r="BY363" s="490"/>
      <c r="BZ363" s="490"/>
      <c r="CA363" s="490"/>
      <c r="CB363" s="490"/>
      <c r="CC363" s="490"/>
      <c r="CD363" s="490"/>
      <c r="CE363" s="490"/>
      <c r="CF363" s="490"/>
      <c r="CG363" s="490"/>
      <c r="CH363" s="490"/>
      <c r="CI363" s="490"/>
      <c r="CJ363" s="490"/>
      <c r="CK363" s="490"/>
      <c r="CL363" s="490"/>
      <c r="CM363" s="490"/>
      <c r="CN363" s="490"/>
      <c r="CO363" s="490"/>
      <c r="CP363" s="490"/>
      <c r="CQ363" s="490"/>
      <c r="CR363" s="490"/>
      <c r="CS363" s="490"/>
      <c r="CT363" s="490"/>
      <c r="CU363" s="490"/>
      <c r="CV363" s="490"/>
      <c r="CW363" s="490"/>
      <c r="CX363" s="490"/>
      <c r="CY363" s="490"/>
      <c r="CZ363" s="490"/>
      <c r="DA363" s="490"/>
      <c r="DB363" s="490"/>
      <c r="DC363" s="490"/>
      <c r="DD363" s="490"/>
      <c r="DE363" s="490"/>
      <c r="DF363" s="490"/>
      <c r="DG363" s="490"/>
      <c r="DH363" s="490"/>
      <c r="DI363" s="490"/>
      <c r="DJ363" s="490"/>
      <c r="DK363" s="490"/>
      <c r="DL363" s="490"/>
      <c r="DM363" s="490"/>
      <c r="DN363" s="490"/>
      <c r="DO363" s="490"/>
      <c r="DP363" s="490"/>
      <c r="DQ363" s="490"/>
      <c r="DR363" s="490"/>
      <c r="DS363" s="490"/>
      <c r="DT363" s="490"/>
      <c r="DU363" s="490"/>
      <c r="DV363" s="490"/>
      <c r="DW363" s="490"/>
      <c r="DX363" s="490"/>
      <c r="DY363" s="490"/>
      <c r="DZ363" s="490"/>
      <c r="EA363" s="490"/>
      <c r="EB363" s="490"/>
      <c r="EC363" s="490"/>
      <c r="ED363" s="490"/>
      <c r="EE363" s="490"/>
      <c r="EF363" s="490"/>
      <c r="EG363" s="490"/>
      <c r="EH363" s="490"/>
      <c r="EI363" s="490"/>
      <c r="EJ363" s="490"/>
      <c r="EK363" s="490"/>
      <c r="EL363" s="490"/>
      <c r="EM363" s="490"/>
      <c r="EN363" s="490"/>
      <c r="EO363" s="490"/>
      <c r="EP363" s="490"/>
      <c r="EQ363" s="490"/>
      <c r="ER363" s="490"/>
      <c r="ES363" s="490"/>
      <c r="ET363" s="490"/>
      <c r="EU363" s="490"/>
      <c r="EV363" s="490"/>
      <c r="EW363" s="490"/>
      <c r="EX363" s="490"/>
      <c r="EY363" s="490"/>
      <c r="EZ363" s="490"/>
      <c r="FA363" s="490"/>
      <c r="FB363" s="490"/>
      <c r="FC363" s="490"/>
      <c r="FD363" s="490"/>
      <c r="FE363" s="490"/>
      <c r="FF363" s="490"/>
      <c r="FG363" s="490"/>
      <c r="FH363" s="490"/>
      <c r="FI363" s="490"/>
      <c r="FJ363" s="490"/>
      <c r="FK363" s="490"/>
      <c r="FL363" s="490"/>
      <c r="FM363" s="490"/>
      <c r="FN363" s="490"/>
    </row>
    <row r="364" s="492" customFormat="1" spans="1:170">
      <c r="A364" s="519"/>
      <c r="B364" s="509"/>
      <c r="C364" s="520"/>
      <c r="D364" s="509"/>
      <c r="E364" s="509"/>
      <c r="F364" s="545" t="s">
        <v>175</v>
      </c>
      <c r="G364" s="542">
        <v>0.79</v>
      </c>
      <c r="H364" s="542">
        <v>0.2</v>
      </c>
      <c r="I364" s="546" t="s">
        <v>44</v>
      </c>
      <c r="J364" s="542">
        <v>3.1</v>
      </c>
      <c r="K364" s="513"/>
      <c r="L364" s="509"/>
      <c r="M364" s="490"/>
      <c r="N364" s="490"/>
      <c r="O364" s="490"/>
      <c r="P364" s="490"/>
      <c r="Q364" s="490"/>
      <c r="R364" s="490"/>
      <c r="S364" s="490"/>
      <c r="T364" s="490"/>
      <c r="U364" s="490"/>
      <c r="V364" s="490"/>
      <c r="W364" s="490"/>
      <c r="X364" s="490"/>
      <c r="Y364" s="490"/>
      <c r="Z364" s="490"/>
      <c r="AA364" s="490"/>
      <c r="AB364" s="490"/>
      <c r="AC364" s="490"/>
      <c r="AD364" s="490"/>
      <c r="AE364" s="490"/>
      <c r="AF364" s="490"/>
      <c r="AG364" s="490"/>
      <c r="AH364" s="490"/>
      <c r="AI364" s="490"/>
      <c r="AJ364" s="490"/>
      <c r="AK364" s="490"/>
      <c r="AL364" s="490"/>
      <c r="AM364" s="490"/>
      <c r="AN364" s="490"/>
      <c r="AO364" s="490"/>
      <c r="AP364" s="490"/>
      <c r="AQ364" s="490"/>
      <c r="AR364" s="490"/>
      <c r="AS364" s="490"/>
      <c r="AT364" s="490"/>
      <c r="AU364" s="490"/>
      <c r="AV364" s="490"/>
      <c r="AW364" s="490"/>
      <c r="AX364" s="490"/>
      <c r="AY364" s="490"/>
      <c r="AZ364" s="490"/>
      <c r="BA364" s="490"/>
      <c r="BB364" s="490"/>
      <c r="BC364" s="490"/>
      <c r="BD364" s="490"/>
      <c r="BE364" s="490"/>
      <c r="BF364" s="490"/>
      <c r="BG364" s="490"/>
      <c r="BH364" s="490"/>
      <c r="BI364" s="490"/>
      <c r="BJ364" s="490"/>
      <c r="BK364" s="490"/>
      <c r="BL364" s="490"/>
      <c r="BM364" s="490"/>
      <c r="BN364" s="490"/>
      <c r="BO364" s="490"/>
      <c r="BP364" s="490"/>
      <c r="BQ364" s="490"/>
      <c r="BR364" s="490"/>
      <c r="BS364" s="490"/>
      <c r="BT364" s="490"/>
      <c r="BU364" s="490"/>
      <c r="BV364" s="490"/>
      <c r="BW364" s="490"/>
      <c r="BX364" s="490"/>
      <c r="BY364" s="490"/>
      <c r="BZ364" s="490"/>
      <c r="CA364" s="490"/>
      <c r="CB364" s="490"/>
      <c r="CC364" s="490"/>
      <c r="CD364" s="490"/>
      <c r="CE364" s="490"/>
      <c r="CF364" s="490"/>
      <c r="CG364" s="490"/>
      <c r="CH364" s="490"/>
      <c r="CI364" s="490"/>
      <c r="CJ364" s="490"/>
      <c r="CK364" s="490"/>
      <c r="CL364" s="490"/>
      <c r="CM364" s="490"/>
      <c r="CN364" s="490"/>
      <c r="CO364" s="490"/>
      <c r="CP364" s="490"/>
      <c r="CQ364" s="490"/>
      <c r="CR364" s="490"/>
      <c r="CS364" s="490"/>
      <c r="CT364" s="490"/>
      <c r="CU364" s="490"/>
      <c r="CV364" s="490"/>
      <c r="CW364" s="490"/>
      <c r="CX364" s="490"/>
      <c r="CY364" s="490"/>
      <c r="CZ364" s="490"/>
      <c r="DA364" s="490"/>
      <c r="DB364" s="490"/>
      <c r="DC364" s="490"/>
      <c r="DD364" s="490"/>
      <c r="DE364" s="490"/>
      <c r="DF364" s="490"/>
      <c r="DG364" s="490"/>
      <c r="DH364" s="490"/>
      <c r="DI364" s="490"/>
      <c r="DJ364" s="490"/>
      <c r="DK364" s="490"/>
      <c r="DL364" s="490"/>
      <c r="DM364" s="490"/>
      <c r="DN364" s="490"/>
      <c r="DO364" s="490"/>
      <c r="DP364" s="490"/>
      <c r="DQ364" s="490"/>
      <c r="DR364" s="490"/>
      <c r="DS364" s="490"/>
      <c r="DT364" s="490"/>
      <c r="DU364" s="490"/>
      <c r="DV364" s="490"/>
      <c r="DW364" s="490"/>
      <c r="DX364" s="490"/>
      <c r="DY364" s="490"/>
      <c r="DZ364" s="490"/>
      <c r="EA364" s="490"/>
      <c r="EB364" s="490"/>
      <c r="EC364" s="490"/>
      <c r="ED364" s="490"/>
      <c r="EE364" s="490"/>
      <c r="EF364" s="490"/>
      <c r="EG364" s="490"/>
      <c r="EH364" s="490"/>
      <c r="EI364" s="490"/>
      <c r="EJ364" s="490"/>
      <c r="EK364" s="490"/>
      <c r="EL364" s="490"/>
      <c r="EM364" s="490"/>
      <c r="EN364" s="490"/>
      <c r="EO364" s="490"/>
      <c r="EP364" s="490"/>
      <c r="EQ364" s="490"/>
      <c r="ER364" s="490"/>
      <c r="ES364" s="490"/>
      <c r="ET364" s="490"/>
      <c r="EU364" s="490"/>
      <c r="EV364" s="490"/>
      <c r="EW364" s="490"/>
      <c r="EX364" s="490"/>
      <c r="EY364" s="490"/>
      <c r="EZ364" s="490"/>
      <c r="FA364" s="490"/>
      <c r="FB364" s="490"/>
      <c r="FC364" s="490"/>
      <c r="FD364" s="490"/>
      <c r="FE364" s="490"/>
      <c r="FF364" s="490"/>
      <c r="FG364" s="490"/>
      <c r="FH364" s="490"/>
      <c r="FI364" s="490"/>
      <c r="FJ364" s="490"/>
      <c r="FK364" s="490"/>
      <c r="FL364" s="490"/>
      <c r="FM364" s="490"/>
      <c r="FN364" s="490"/>
    </row>
    <row r="365" s="492" customFormat="1" spans="1:170">
      <c r="A365" s="519"/>
      <c r="B365" s="509"/>
      <c r="C365" s="520"/>
      <c r="D365" s="509"/>
      <c r="E365" s="509"/>
      <c r="F365" s="545" t="s">
        <v>148</v>
      </c>
      <c r="G365" s="542">
        <v>2.64</v>
      </c>
      <c r="H365" s="542">
        <v>0.5</v>
      </c>
      <c r="I365" s="542" t="s">
        <v>24</v>
      </c>
      <c r="J365" s="542" t="s">
        <v>24</v>
      </c>
      <c r="K365" s="517"/>
      <c r="L365" s="509"/>
      <c r="M365" s="490"/>
      <c r="N365" s="490"/>
      <c r="O365" s="490"/>
      <c r="P365" s="490"/>
      <c r="Q365" s="490"/>
      <c r="R365" s="490"/>
      <c r="S365" s="490"/>
      <c r="T365" s="490"/>
      <c r="U365" s="490"/>
      <c r="V365" s="490"/>
      <c r="W365" s="490"/>
      <c r="X365" s="490"/>
      <c r="Y365" s="490"/>
      <c r="Z365" s="490"/>
      <c r="AA365" s="490"/>
      <c r="AB365" s="490"/>
      <c r="AC365" s="490"/>
      <c r="AD365" s="490"/>
      <c r="AE365" s="490"/>
      <c r="AF365" s="490"/>
      <c r="AG365" s="490"/>
      <c r="AH365" s="490"/>
      <c r="AI365" s="490"/>
      <c r="AJ365" s="490"/>
      <c r="AK365" s="490"/>
      <c r="AL365" s="490"/>
      <c r="AM365" s="490"/>
      <c r="AN365" s="490"/>
      <c r="AO365" s="490"/>
      <c r="AP365" s="490"/>
      <c r="AQ365" s="490"/>
      <c r="AR365" s="490"/>
      <c r="AS365" s="490"/>
      <c r="AT365" s="490"/>
      <c r="AU365" s="490"/>
      <c r="AV365" s="490"/>
      <c r="AW365" s="490"/>
      <c r="AX365" s="490"/>
      <c r="AY365" s="490"/>
      <c r="AZ365" s="490"/>
      <c r="BA365" s="490"/>
      <c r="BB365" s="490"/>
      <c r="BC365" s="490"/>
      <c r="BD365" s="490"/>
      <c r="BE365" s="490"/>
      <c r="BF365" s="490"/>
      <c r="BG365" s="490"/>
      <c r="BH365" s="490"/>
      <c r="BI365" s="490"/>
      <c r="BJ365" s="490"/>
      <c r="BK365" s="490"/>
      <c r="BL365" s="490"/>
      <c r="BM365" s="490"/>
      <c r="BN365" s="490"/>
      <c r="BO365" s="490"/>
      <c r="BP365" s="490"/>
      <c r="BQ365" s="490"/>
      <c r="BR365" s="490"/>
      <c r="BS365" s="490"/>
      <c r="BT365" s="490"/>
      <c r="BU365" s="490"/>
      <c r="BV365" s="490"/>
      <c r="BW365" s="490"/>
      <c r="BX365" s="490"/>
      <c r="BY365" s="490"/>
      <c r="BZ365" s="490"/>
      <c r="CA365" s="490"/>
      <c r="CB365" s="490"/>
      <c r="CC365" s="490"/>
      <c r="CD365" s="490"/>
      <c r="CE365" s="490"/>
      <c r="CF365" s="490"/>
      <c r="CG365" s="490"/>
      <c r="CH365" s="490"/>
      <c r="CI365" s="490"/>
      <c r="CJ365" s="490"/>
      <c r="CK365" s="490"/>
      <c r="CL365" s="490"/>
      <c r="CM365" s="490"/>
      <c r="CN365" s="490"/>
      <c r="CO365" s="490"/>
      <c r="CP365" s="490"/>
      <c r="CQ365" s="490"/>
      <c r="CR365" s="490"/>
      <c r="CS365" s="490"/>
      <c r="CT365" s="490"/>
      <c r="CU365" s="490"/>
      <c r="CV365" s="490"/>
      <c r="CW365" s="490"/>
      <c r="CX365" s="490"/>
      <c r="CY365" s="490"/>
      <c r="CZ365" s="490"/>
      <c r="DA365" s="490"/>
      <c r="DB365" s="490"/>
      <c r="DC365" s="490"/>
      <c r="DD365" s="490"/>
      <c r="DE365" s="490"/>
      <c r="DF365" s="490"/>
      <c r="DG365" s="490"/>
      <c r="DH365" s="490"/>
      <c r="DI365" s="490"/>
      <c r="DJ365" s="490"/>
      <c r="DK365" s="490"/>
      <c r="DL365" s="490"/>
      <c r="DM365" s="490"/>
      <c r="DN365" s="490"/>
      <c r="DO365" s="490"/>
      <c r="DP365" s="490"/>
      <c r="DQ365" s="490"/>
      <c r="DR365" s="490"/>
      <c r="DS365" s="490"/>
      <c r="DT365" s="490"/>
      <c r="DU365" s="490"/>
      <c r="DV365" s="490"/>
      <c r="DW365" s="490"/>
      <c r="DX365" s="490"/>
      <c r="DY365" s="490"/>
      <c r="DZ365" s="490"/>
      <c r="EA365" s="490"/>
      <c r="EB365" s="490"/>
      <c r="EC365" s="490"/>
      <c r="ED365" s="490"/>
      <c r="EE365" s="490"/>
      <c r="EF365" s="490"/>
      <c r="EG365" s="490"/>
      <c r="EH365" s="490"/>
      <c r="EI365" s="490"/>
      <c r="EJ365" s="490"/>
      <c r="EK365" s="490"/>
      <c r="EL365" s="490"/>
      <c r="EM365" s="490"/>
      <c r="EN365" s="490"/>
      <c r="EO365" s="490"/>
      <c r="EP365" s="490"/>
      <c r="EQ365" s="490"/>
      <c r="ER365" s="490"/>
      <c r="ES365" s="490"/>
      <c r="ET365" s="490"/>
      <c r="EU365" s="490"/>
      <c r="EV365" s="490"/>
      <c r="EW365" s="490"/>
      <c r="EX365" s="490"/>
      <c r="EY365" s="490"/>
      <c r="EZ365" s="490"/>
      <c r="FA365" s="490"/>
      <c r="FB365" s="490"/>
      <c r="FC365" s="490"/>
      <c r="FD365" s="490"/>
      <c r="FE365" s="490"/>
      <c r="FF365" s="490"/>
      <c r="FG365" s="490"/>
      <c r="FH365" s="490"/>
      <c r="FI365" s="490"/>
      <c r="FJ365" s="490"/>
      <c r="FK365" s="490"/>
      <c r="FL365" s="490"/>
      <c r="FM365" s="490"/>
      <c r="FN365" s="490"/>
    </row>
    <row r="366" s="492" customFormat="1" spans="1:170">
      <c r="A366" s="576">
        <v>46191</v>
      </c>
      <c r="B366" s="566" t="s">
        <v>837</v>
      </c>
      <c r="C366" s="560">
        <v>5.64</v>
      </c>
      <c r="D366" s="566" t="s">
        <v>295</v>
      </c>
      <c r="E366" s="566" t="s">
        <v>447</v>
      </c>
      <c r="F366" s="545" t="s">
        <v>158</v>
      </c>
      <c r="G366" s="546">
        <v>1</v>
      </c>
      <c r="H366" s="546">
        <v>5.28</v>
      </c>
      <c r="I366" s="542" t="s">
        <v>17</v>
      </c>
      <c r="J366" s="546">
        <v>1.58</v>
      </c>
      <c r="K366" s="559" t="s">
        <v>838</v>
      </c>
      <c r="L366" s="545" t="s">
        <v>256</v>
      </c>
      <c r="M366" s="490"/>
      <c r="N366" s="490"/>
      <c r="O366" s="490"/>
      <c r="P366" s="490"/>
      <c r="Q366" s="490"/>
      <c r="R366" s="490"/>
      <c r="S366" s="490"/>
      <c r="T366" s="490"/>
      <c r="U366" s="490"/>
      <c r="V366" s="490"/>
      <c r="W366" s="490"/>
      <c r="X366" s="490"/>
      <c r="Y366" s="490"/>
      <c r="Z366" s="490"/>
      <c r="AA366" s="490"/>
      <c r="AB366" s="490"/>
      <c r="AC366" s="490"/>
      <c r="AD366" s="490"/>
      <c r="AE366" s="490"/>
      <c r="AF366" s="490"/>
      <c r="AG366" s="490"/>
      <c r="AH366" s="490"/>
      <c r="AI366" s="490"/>
      <c r="AJ366" s="490"/>
      <c r="AK366" s="490"/>
      <c r="AL366" s="490"/>
      <c r="AM366" s="490"/>
      <c r="AN366" s="490"/>
      <c r="AO366" s="490"/>
      <c r="AP366" s="490"/>
      <c r="AQ366" s="490"/>
      <c r="AR366" s="490"/>
      <c r="AS366" s="490"/>
      <c r="AT366" s="490"/>
      <c r="AU366" s="490"/>
      <c r="AV366" s="490"/>
      <c r="AW366" s="490"/>
      <c r="AX366" s="490"/>
      <c r="AY366" s="490"/>
      <c r="AZ366" s="490"/>
      <c r="BA366" s="490"/>
      <c r="BB366" s="490"/>
      <c r="BC366" s="490"/>
      <c r="BD366" s="490"/>
      <c r="BE366" s="490"/>
      <c r="BF366" s="490"/>
      <c r="BG366" s="490"/>
      <c r="BH366" s="490"/>
      <c r="BI366" s="490"/>
      <c r="BJ366" s="490"/>
      <c r="BK366" s="490"/>
      <c r="BL366" s="490"/>
      <c r="BM366" s="490"/>
      <c r="BN366" s="490"/>
      <c r="BO366" s="490"/>
      <c r="BP366" s="490"/>
      <c r="BQ366" s="490"/>
      <c r="BR366" s="490"/>
      <c r="BS366" s="490"/>
      <c r="BT366" s="490"/>
      <c r="BU366" s="490"/>
      <c r="BV366" s="490"/>
      <c r="BW366" s="490"/>
      <c r="BX366" s="490"/>
      <c r="BY366" s="490"/>
      <c r="BZ366" s="490"/>
      <c r="CA366" s="490"/>
      <c r="CB366" s="490"/>
      <c r="CC366" s="490"/>
      <c r="CD366" s="490"/>
      <c r="CE366" s="490"/>
      <c r="CF366" s="490"/>
      <c r="CG366" s="490"/>
      <c r="CH366" s="490"/>
      <c r="CI366" s="490"/>
      <c r="CJ366" s="490"/>
      <c r="CK366" s="490"/>
      <c r="CL366" s="490"/>
      <c r="CM366" s="490"/>
      <c r="CN366" s="490"/>
      <c r="CO366" s="490"/>
      <c r="CP366" s="490"/>
      <c r="CQ366" s="490"/>
      <c r="CR366" s="490"/>
      <c r="CS366" s="490"/>
      <c r="CT366" s="490"/>
      <c r="CU366" s="490"/>
      <c r="CV366" s="490"/>
      <c r="CW366" s="490"/>
      <c r="CX366" s="490"/>
      <c r="CY366" s="490"/>
      <c r="CZ366" s="490"/>
      <c r="DA366" s="490"/>
      <c r="DB366" s="490"/>
      <c r="DC366" s="490"/>
      <c r="DD366" s="490"/>
      <c r="DE366" s="490"/>
      <c r="DF366" s="490"/>
      <c r="DG366" s="490"/>
      <c r="DH366" s="490"/>
      <c r="DI366" s="490"/>
      <c r="DJ366" s="490"/>
      <c r="DK366" s="490"/>
      <c r="DL366" s="490"/>
      <c r="DM366" s="490"/>
      <c r="DN366" s="490"/>
      <c r="DO366" s="490"/>
      <c r="DP366" s="490"/>
      <c r="DQ366" s="490"/>
      <c r="DR366" s="490"/>
      <c r="DS366" s="490"/>
      <c r="DT366" s="490"/>
      <c r="DU366" s="490"/>
      <c r="DV366" s="490"/>
      <c r="DW366" s="490"/>
      <c r="DX366" s="490"/>
      <c r="DY366" s="490"/>
      <c r="DZ366" s="490"/>
      <c r="EA366" s="490"/>
      <c r="EB366" s="490"/>
      <c r="EC366" s="490"/>
      <c r="ED366" s="490"/>
      <c r="EE366" s="490"/>
      <c r="EF366" s="490"/>
      <c r="EG366" s="490"/>
      <c r="EH366" s="490"/>
      <c r="EI366" s="490"/>
      <c r="EJ366" s="490"/>
      <c r="EK366" s="490"/>
      <c r="EL366" s="490"/>
      <c r="EM366" s="490"/>
      <c r="EN366" s="490"/>
      <c r="EO366" s="490"/>
      <c r="EP366" s="490"/>
      <c r="EQ366" s="490"/>
      <c r="ER366" s="490"/>
      <c r="ES366" s="490"/>
      <c r="ET366" s="490"/>
      <c r="EU366" s="490"/>
      <c r="EV366" s="490"/>
      <c r="EW366" s="490"/>
      <c r="EX366" s="490"/>
      <c r="EY366" s="490"/>
      <c r="EZ366" s="490"/>
      <c r="FA366" s="490"/>
      <c r="FB366" s="490"/>
      <c r="FC366" s="490"/>
      <c r="FD366" s="490"/>
      <c r="FE366" s="490"/>
      <c r="FF366" s="490"/>
      <c r="FG366" s="490"/>
      <c r="FH366" s="490"/>
      <c r="FI366" s="490"/>
      <c r="FJ366" s="490"/>
      <c r="FK366" s="490"/>
      <c r="FL366" s="490"/>
      <c r="FM366" s="490"/>
      <c r="FN366" s="490"/>
    </row>
    <row r="367" s="492" customFormat="1" spans="1:170">
      <c r="A367" s="578"/>
      <c r="B367" s="579"/>
      <c r="C367" s="580"/>
      <c r="D367" s="579"/>
      <c r="E367" s="579"/>
      <c r="F367" s="545" t="s">
        <v>159</v>
      </c>
      <c r="G367" s="546">
        <v>1</v>
      </c>
      <c r="H367" s="546">
        <v>0.36</v>
      </c>
      <c r="I367" s="542" t="s">
        <v>22</v>
      </c>
      <c r="J367" s="546">
        <v>1.83</v>
      </c>
      <c r="K367" s="570"/>
      <c r="L367" s="545"/>
      <c r="M367" s="490"/>
      <c r="N367" s="490"/>
      <c r="O367" s="490"/>
      <c r="P367" s="490"/>
      <c r="Q367" s="490"/>
      <c r="R367" s="490"/>
      <c r="S367" s="490"/>
      <c r="T367" s="490"/>
      <c r="U367" s="490"/>
      <c r="V367" s="490"/>
      <c r="W367" s="490"/>
      <c r="X367" s="490"/>
      <c r="Y367" s="490"/>
      <c r="Z367" s="490"/>
      <c r="AA367" s="490"/>
      <c r="AB367" s="490"/>
      <c r="AC367" s="490"/>
      <c r="AD367" s="490"/>
      <c r="AE367" s="490"/>
      <c r="AF367" s="490"/>
      <c r="AG367" s="490"/>
      <c r="AH367" s="490"/>
      <c r="AI367" s="490"/>
      <c r="AJ367" s="490"/>
      <c r="AK367" s="490"/>
      <c r="AL367" s="490"/>
      <c r="AM367" s="490"/>
      <c r="AN367" s="490"/>
      <c r="AO367" s="490"/>
      <c r="AP367" s="490"/>
      <c r="AQ367" s="490"/>
      <c r="AR367" s="490"/>
      <c r="AS367" s="490"/>
      <c r="AT367" s="490"/>
      <c r="AU367" s="490"/>
      <c r="AV367" s="490"/>
      <c r="AW367" s="490"/>
      <c r="AX367" s="490"/>
      <c r="AY367" s="490"/>
      <c r="AZ367" s="490"/>
      <c r="BA367" s="490"/>
      <c r="BB367" s="490"/>
      <c r="BC367" s="490"/>
      <c r="BD367" s="490"/>
      <c r="BE367" s="490"/>
      <c r="BF367" s="490"/>
      <c r="BG367" s="490"/>
      <c r="BH367" s="490"/>
      <c r="BI367" s="490"/>
      <c r="BJ367" s="490"/>
      <c r="BK367" s="490"/>
      <c r="BL367" s="490"/>
      <c r="BM367" s="490"/>
      <c r="BN367" s="490"/>
      <c r="BO367" s="490"/>
      <c r="BP367" s="490"/>
      <c r="BQ367" s="490"/>
      <c r="BR367" s="490"/>
      <c r="BS367" s="490"/>
      <c r="BT367" s="490"/>
      <c r="BU367" s="490"/>
      <c r="BV367" s="490"/>
      <c r="BW367" s="490"/>
      <c r="BX367" s="490"/>
      <c r="BY367" s="490"/>
      <c r="BZ367" s="490"/>
      <c r="CA367" s="490"/>
      <c r="CB367" s="490"/>
      <c r="CC367" s="490"/>
      <c r="CD367" s="490"/>
      <c r="CE367" s="490"/>
      <c r="CF367" s="490"/>
      <c r="CG367" s="490"/>
      <c r="CH367" s="490"/>
      <c r="CI367" s="490"/>
      <c r="CJ367" s="490"/>
      <c r="CK367" s="490"/>
      <c r="CL367" s="490"/>
      <c r="CM367" s="490"/>
      <c r="CN367" s="490"/>
      <c r="CO367" s="490"/>
      <c r="CP367" s="490"/>
      <c r="CQ367" s="490"/>
      <c r="CR367" s="490"/>
      <c r="CS367" s="490"/>
      <c r="CT367" s="490"/>
      <c r="CU367" s="490"/>
      <c r="CV367" s="490"/>
      <c r="CW367" s="490"/>
      <c r="CX367" s="490"/>
      <c r="CY367" s="490"/>
      <c r="CZ367" s="490"/>
      <c r="DA367" s="490"/>
      <c r="DB367" s="490"/>
      <c r="DC367" s="490"/>
      <c r="DD367" s="490"/>
      <c r="DE367" s="490"/>
      <c r="DF367" s="490"/>
      <c r="DG367" s="490"/>
      <c r="DH367" s="490"/>
      <c r="DI367" s="490"/>
      <c r="DJ367" s="490"/>
      <c r="DK367" s="490"/>
      <c r="DL367" s="490"/>
      <c r="DM367" s="490"/>
      <c r="DN367" s="490"/>
      <c r="DO367" s="490"/>
      <c r="DP367" s="490"/>
      <c r="DQ367" s="490"/>
      <c r="DR367" s="490"/>
      <c r="DS367" s="490"/>
      <c r="DT367" s="490"/>
      <c r="DU367" s="490"/>
      <c r="DV367" s="490"/>
      <c r="DW367" s="490"/>
      <c r="DX367" s="490"/>
      <c r="DY367" s="490"/>
      <c r="DZ367" s="490"/>
      <c r="EA367" s="490"/>
      <c r="EB367" s="490"/>
      <c r="EC367" s="490"/>
      <c r="ED367" s="490"/>
      <c r="EE367" s="490"/>
      <c r="EF367" s="490"/>
      <c r="EG367" s="490"/>
      <c r="EH367" s="490"/>
      <c r="EI367" s="490"/>
      <c r="EJ367" s="490"/>
      <c r="EK367" s="490"/>
      <c r="EL367" s="490"/>
      <c r="EM367" s="490"/>
      <c r="EN367" s="490"/>
      <c r="EO367" s="490"/>
      <c r="EP367" s="490"/>
      <c r="EQ367" s="490"/>
      <c r="ER367" s="490"/>
      <c r="ES367" s="490"/>
      <c r="ET367" s="490"/>
      <c r="EU367" s="490"/>
      <c r="EV367" s="490"/>
      <c r="EW367" s="490"/>
      <c r="EX367" s="490"/>
      <c r="EY367" s="490"/>
      <c r="EZ367" s="490"/>
      <c r="FA367" s="490"/>
      <c r="FB367" s="490"/>
      <c r="FC367" s="490"/>
      <c r="FD367" s="490"/>
      <c r="FE367" s="490"/>
      <c r="FF367" s="490"/>
      <c r="FG367" s="490"/>
      <c r="FH367" s="490"/>
      <c r="FI367" s="490"/>
      <c r="FJ367" s="490"/>
      <c r="FK367" s="490"/>
      <c r="FL367" s="490"/>
      <c r="FM367" s="490"/>
      <c r="FN367" s="490"/>
    </row>
    <row r="368" s="492" customFormat="1" spans="1:170">
      <c r="A368" s="576">
        <v>46191</v>
      </c>
      <c r="B368" s="566" t="s">
        <v>839</v>
      </c>
      <c r="C368" s="560">
        <v>10</v>
      </c>
      <c r="D368" s="566" t="s">
        <v>447</v>
      </c>
      <c r="E368" s="566" t="s">
        <v>826</v>
      </c>
      <c r="F368" s="545" t="s">
        <v>756</v>
      </c>
      <c r="G368" s="546">
        <v>0.94</v>
      </c>
      <c r="H368" s="546">
        <v>9</v>
      </c>
      <c r="I368" s="542" t="s">
        <v>17</v>
      </c>
      <c r="J368" s="546">
        <v>1.58</v>
      </c>
      <c r="K368" s="559" t="s">
        <v>827</v>
      </c>
      <c r="L368" s="545"/>
      <c r="M368" s="490"/>
      <c r="N368" s="490"/>
      <c r="O368" s="490"/>
      <c r="P368" s="490"/>
      <c r="Q368" s="490"/>
      <c r="R368" s="490"/>
      <c r="S368" s="490"/>
      <c r="T368" s="490"/>
      <c r="U368" s="490"/>
      <c r="V368" s="490"/>
      <c r="W368" s="490"/>
      <c r="X368" s="490"/>
      <c r="Y368" s="490"/>
      <c r="Z368" s="490"/>
      <c r="AA368" s="490"/>
      <c r="AB368" s="490"/>
      <c r="AC368" s="490"/>
      <c r="AD368" s="490"/>
      <c r="AE368" s="490"/>
      <c r="AF368" s="490"/>
      <c r="AG368" s="490"/>
      <c r="AH368" s="490"/>
      <c r="AI368" s="490"/>
      <c r="AJ368" s="490"/>
      <c r="AK368" s="490"/>
      <c r="AL368" s="490"/>
      <c r="AM368" s="490"/>
      <c r="AN368" s="490"/>
      <c r="AO368" s="490"/>
      <c r="AP368" s="490"/>
      <c r="AQ368" s="490"/>
      <c r="AR368" s="490"/>
      <c r="AS368" s="490"/>
      <c r="AT368" s="490"/>
      <c r="AU368" s="490"/>
      <c r="AV368" s="490"/>
      <c r="AW368" s="490"/>
      <c r="AX368" s="490"/>
      <c r="AY368" s="490"/>
      <c r="AZ368" s="490"/>
      <c r="BA368" s="490"/>
      <c r="BB368" s="490"/>
      <c r="BC368" s="490"/>
      <c r="BD368" s="490"/>
      <c r="BE368" s="490"/>
      <c r="BF368" s="490"/>
      <c r="BG368" s="490"/>
      <c r="BH368" s="490"/>
      <c r="BI368" s="490"/>
      <c r="BJ368" s="490"/>
      <c r="BK368" s="490"/>
      <c r="BL368" s="490"/>
      <c r="BM368" s="490"/>
      <c r="BN368" s="490"/>
      <c r="BO368" s="490"/>
      <c r="BP368" s="490"/>
      <c r="BQ368" s="490"/>
      <c r="BR368" s="490"/>
      <c r="BS368" s="490"/>
      <c r="BT368" s="490"/>
      <c r="BU368" s="490"/>
      <c r="BV368" s="490"/>
      <c r="BW368" s="490"/>
      <c r="BX368" s="490"/>
      <c r="BY368" s="490"/>
      <c r="BZ368" s="490"/>
      <c r="CA368" s="490"/>
      <c r="CB368" s="490"/>
      <c r="CC368" s="490"/>
      <c r="CD368" s="490"/>
      <c r="CE368" s="490"/>
      <c r="CF368" s="490"/>
      <c r="CG368" s="490"/>
      <c r="CH368" s="490"/>
      <c r="CI368" s="490"/>
      <c r="CJ368" s="490"/>
      <c r="CK368" s="490"/>
      <c r="CL368" s="490"/>
      <c r="CM368" s="490"/>
      <c r="CN368" s="490"/>
      <c r="CO368" s="490"/>
      <c r="CP368" s="490"/>
      <c r="CQ368" s="490"/>
      <c r="CR368" s="490"/>
      <c r="CS368" s="490"/>
      <c r="CT368" s="490"/>
      <c r="CU368" s="490"/>
      <c r="CV368" s="490"/>
      <c r="CW368" s="490"/>
      <c r="CX368" s="490"/>
      <c r="CY368" s="490"/>
      <c r="CZ368" s="490"/>
      <c r="DA368" s="490"/>
      <c r="DB368" s="490"/>
      <c r="DC368" s="490"/>
      <c r="DD368" s="490"/>
      <c r="DE368" s="490"/>
      <c r="DF368" s="490"/>
      <c r="DG368" s="490"/>
      <c r="DH368" s="490"/>
      <c r="DI368" s="490"/>
      <c r="DJ368" s="490"/>
      <c r="DK368" s="490"/>
      <c r="DL368" s="490"/>
      <c r="DM368" s="490"/>
      <c r="DN368" s="490"/>
      <c r="DO368" s="490"/>
      <c r="DP368" s="490"/>
      <c r="DQ368" s="490"/>
      <c r="DR368" s="490"/>
      <c r="DS368" s="490"/>
      <c r="DT368" s="490"/>
      <c r="DU368" s="490"/>
      <c r="DV368" s="490"/>
      <c r="DW368" s="490"/>
      <c r="DX368" s="490"/>
      <c r="DY368" s="490"/>
      <c r="DZ368" s="490"/>
      <c r="EA368" s="490"/>
      <c r="EB368" s="490"/>
      <c r="EC368" s="490"/>
      <c r="ED368" s="490"/>
      <c r="EE368" s="490"/>
      <c r="EF368" s="490"/>
      <c r="EG368" s="490"/>
      <c r="EH368" s="490"/>
      <c r="EI368" s="490"/>
      <c r="EJ368" s="490"/>
      <c r="EK368" s="490"/>
      <c r="EL368" s="490"/>
      <c r="EM368" s="490"/>
      <c r="EN368" s="490"/>
      <c r="EO368" s="490"/>
      <c r="EP368" s="490"/>
      <c r="EQ368" s="490"/>
      <c r="ER368" s="490"/>
      <c r="ES368" s="490"/>
      <c r="ET368" s="490"/>
      <c r="EU368" s="490"/>
      <c r="EV368" s="490"/>
      <c r="EW368" s="490"/>
      <c r="EX368" s="490"/>
      <c r="EY368" s="490"/>
      <c r="EZ368" s="490"/>
      <c r="FA368" s="490"/>
      <c r="FB368" s="490"/>
      <c r="FC368" s="490"/>
      <c r="FD368" s="490"/>
      <c r="FE368" s="490"/>
      <c r="FF368" s="490"/>
      <c r="FG368" s="490"/>
      <c r="FH368" s="490"/>
      <c r="FI368" s="490"/>
      <c r="FJ368" s="490"/>
      <c r="FK368" s="490"/>
      <c r="FL368" s="490"/>
      <c r="FM368" s="490"/>
      <c r="FN368" s="490"/>
    </row>
    <row r="369" s="492" customFormat="1" spans="1:170">
      <c r="A369" s="577"/>
      <c r="B369" s="568"/>
      <c r="C369" s="567"/>
      <c r="D369" s="568"/>
      <c r="E369" s="568"/>
      <c r="F369" s="545" t="s">
        <v>757</v>
      </c>
      <c r="G369" s="546">
        <v>1.2</v>
      </c>
      <c r="H369" s="546">
        <v>0.3</v>
      </c>
      <c r="I369" s="542" t="s">
        <v>22</v>
      </c>
      <c r="J369" s="546">
        <v>1.77</v>
      </c>
      <c r="K369" s="569"/>
      <c r="L369" s="545"/>
      <c r="M369" s="490"/>
      <c r="N369" s="490"/>
      <c r="O369" s="490"/>
      <c r="P369" s="490"/>
      <c r="Q369" s="490"/>
      <c r="R369" s="490"/>
      <c r="S369" s="490"/>
      <c r="T369" s="490"/>
      <c r="U369" s="490"/>
      <c r="V369" s="490"/>
      <c r="W369" s="490"/>
      <c r="X369" s="490"/>
      <c r="Y369" s="490"/>
      <c r="Z369" s="490"/>
      <c r="AA369" s="490"/>
      <c r="AB369" s="490"/>
      <c r="AC369" s="490"/>
      <c r="AD369" s="490"/>
      <c r="AE369" s="490"/>
      <c r="AF369" s="490"/>
      <c r="AG369" s="490"/>
      <c r="AH369" s="490"/>
      <c r="AI369" s="490"/>
      <c r="AJ369" s="490"/>
      <c r="AK369" s="490"/>
      <c r="AL369" s="490"/>
      <c r="AM369" s="490"/>
      <c r="AN369" s="490"/>
      <c r="AO369" s="490"/>
      <c r="AP369" s="490"/>
      <c r="AQ369" s="490"/>
      <c r="AR369" s="490"/>
      <c r="AS369" s="490"/>
      <c r="AT369" s="490"/>
      <c r="AU369" s="490"/>
      <c r="AV369" s="490"/>
      <c r="AW369" s="490"/>
      <c r="AX369" s="490"/>
      <c r="AY369" s="490"/>
      <c r="AZ369" s="490"/>
      <c r="BA369" s="490"/>
      <c r="BB369" s="490"/>
      <c r="BC369" s="490"/>
      <c r="BD369" s="490"/>
      <c r="BE369" s="490"/>
      <c r="BF369" s="490"/>
      <c r="BG369" s="490"/>
      <c r="BH369" s="490"/>
      <c r="BI369" s="490"/>
      <c r="BJ369" s="490"/>
      <c r="BK369" s="490"/>
      <c r="BL369" s="490"/>
      <c r="BM369" s="490"/>
      <c r="BN369" s="490"/>
      <c r="BO369" s="490"/>
      <c r="BP369" s="490"/>
      <c r="BQ369" s="490"/>
      <c r="BR369" s="490"/>
      <c r="BS369" s="490"/>
      <c r="BT369" s="490"/>
      <c r="BU369" s="490"/>
      <c r="BV369" s="490"/>
      <c r="BW369" s="490"/>
      <c r="BX369" s="490"/>
      <c r="BY369" s="490"/>
      <c r="BZ369" s="490"/>
      <c r="CA369" s="490"/>
      <c r="CB369" s="490"/>
      <c r="CC369" s="490"/>
      <c r="CD369" s="490"/>
      <c r="CE369" s="490"/>
      <c r="CF369" s="490"/>
      <c r="CG369" s="490"/>
      <c r="CH369" s="490"/>
      <c r="CI369" s="490"/>
      <c r="CJ369" s="490"/>
      <c r="CK369" s="490"/>
      <c r="CL369" s="490"/>
      <c r="CM369" s="490"/>
      <c r="CN369" s="490"/>
      <c r="CO369" s="490"/>
      <c r="CP369" s="490"/>
      <c r="CQ369" s="490"/>
      <c r="CR369" s="490"/>
      <c r="CS369" s="490"/>
      <c r="CT369" s="490"/>
      <c r="CU369" s="490"/>
      <c r="CV369" s="490"/>
      <c r="CW369" s="490"/>
      <c r="CX369" s="490"/>
      <c r="CY369" s="490"/>
      <c r="CZ369" s="490"/>
      <c r="DA369" s="490"/>
      <c r="DB369" s="490"/>
      <c r="DC369" s="490"/>
      <c r="DD369" s="490"/>
      <c r="DE369" s="490"/>
      <c r="DF369" s="490"/>
      <c r="DG369" s="490"/>
      <c r="DH369" s="490"/>
      <c r="DI369" s="490"/>
      <c r="DJ369" s="490"/>
      <c r="DK369" s="490"/>
      <c r="DL369" s="490"/>
      <c r="DM369" s="490"/>
      <c r="DN369" s="490"/>
      <c r="DO369" s="490"/>
      <c r="DP369" s="490"/>
      <c r="DQ369" s="490"/>
      <c r="DR369" s="490"/>
      <c r="DS369" s="490"/>
      <c r="DT369" s="490"/>
      <c r="DU369" s="490"/>
      <c r="DV369" s="490"/>
      <c r="DW369" s="490"/>
      <c r="DX369" s="490"/>
      <c r="DY369" s="490"/>
      <c r="DZ369" s="490"/>
      <c r="EA369" s="490"/>
      <c r="EB369" s="490"/>
      <c r="EC369" s="490"/>
      <c r="ED369" s="490"/>
      <c r="EE369" s="490"/>
      <c r="EF369" s="490"/>
      <c r="EG369" s="490"/>
      <c r="EH369" s="490"/>
      <c r="EI369" s="490"/>
      <c r="EJ369" s="490"/>
      <c r="EK369" s="490"/>
      <c r="EL369" s="490"/>
      <c r="EM369" s="490"/>
      <c r="EN369" s="490"/>
      <c r="EO369" s="490"/>
      <c r="EP369" s="490"/>
      <c r="EQ369" s="490"/>
      <c r="ER369" s="490"/>
      <c r="ES369" s="490"/>
      <c r="ET369" s="490"/>
      <c r="EU369" s="490"/>
      <c r="EV369" s="490"/>
      <c r="EW369" s="490"/>
      <c r="EX369" s="490"/>
      <c r="EY369" s="490"/>
      <c r="EZ369" s="490"/>
      <c r="FA369" s="490"/>
      <c r="FB369" s="490"/>
      <c r="FC369" s="490"/>
      <c r="FD369" s="490"/>
      <c r="FE369" s="490"/>
      <c r="FF369" s="490"/>
      <c r="FG369" s="490"/>
      <c r="FH369" s="490"/>
      <c r="FI369" s="490"/>
      <c r="FJ369" s="490"/>
      <c r="FK369" s="490"/>
      <c r="FL369" s="490"/>
      <c r="FM369" s="490"/>
      <c r="FN369" s="490"/>
    </row>
    <row r="370" s="492" customFormat="1" spans="1:170">
      <c r="A370" s="578"/>
      <c r="B370" s="579"/>
      <c r="C370" s="580"/>
      <c r="D370" s="579"/>
      <c r="E370" s="579"/>
      <c r="F370" s="559" t="s">
        <v>148</v>
      </c>
      <c r="G370" s="546">
        <v>1.7</v>
      </c>
      <c r="H370" s="546">
        <v>0.7</v>
      </c>
      <c r="I370" s="546" t="s">
        <v>24</v>
      </c>
      <c r="J370" s="546" t="s">
        <v>24</v>
      </c>
      <c r="K370" s="570"/>
      <c r="L370" s="545"/>
      <c r="M370" s="490"/>
      <c r="N370" s="490"/>
      <c r="O370" s="490"/>
      <c r="P370" s="490"/>
      <c r="Q370" s="490"/>
      <c r="R370" s="490"/>
      <c r="S370" s="490"/>
      <c r="T370" s="490"/>
      <c r="U370" s="490"/>
      <c r="V370" s="490"/>
      <c r="W370" s="490"/>
      <c r="X370" s="490"/>
      <c r="Y370" s="490"/>
      <c r="Z370" s="490"/>
      <c r="AA370" s="490"/>
      <c r="AB370" s="490"/>
      <c r="AC370" s="490"/>
      <c r="AD370" s="490"/>
      <c r="AE370" s="490"/>
      <c r="AF370" s="490"/>
      <c r="AG370" s="490"/>
      <c r="AH370" s="490"/>
      <c r="AI370" s="490"/>
      <c r="AJ370" s="490"/>
      <c r="AK370" s="490"/>
      <c r="AL370" s="490"/>
      <c r="AM370" s="490"/>
      <c r="AN370" s="490"/>
      <c r="AO370" s="490"/>
      <c r="AP370" s="490"/>
      <c r="AQ370" s="490"/>
      <c r="AR370" s="490"/>
      <c r="AS370" s="490"/>
      <c r="AT370" s="490"/>
      <c r="AU370" s="490"/>
      <c r="AV370" s="490"/>
      <c r="AW370" s="490"/>
      <c r="AX370" s="490"/>
      <c r="AY370" s="490"/>
      <c r="AZ370" s="490"/>
      <c r="BA370" s="490"/>
      <c r="BB370" s="490"/>
      <c r="BC370" s="490"/>
      <c r="BD370" s="490"/>
      <c r="BE370" s="490"/>
      <c r="BF370" s="490"/>
      <c r="BG370" s="490"/>
      <c r="BH370" s="490"/>
      <c r="BI370" s="490"/>
      <c r="BJ370" s="490"/>
      <c r="BK370" s="490"/>
      <c r="BL370" s="490"/>
      <c r="BM370" s="490"/>
      <c r="BN370" s="490"/>
      <c r="BO370" s="490"/>
      <c r="BP370" s="490"/>
      <c r="BQ370" s="490"/>
      <c r="BR370" s="490"/>
      <c r="BS370" s="490"/>
      <c r="BT370" s="490"/>
      <c r="BU370" s="490"/>
      <c r="BV370" s="490"/>
      <c r="BW370" s="490"/>
      <c r="BX370" s="490"/>
      <c r="BY370" s="490"/>
      <c r="BZ370" s="490"/>
      <c r="CA370" s="490"/>
      <c r="CB370" s="490"/>
      <c r="CC370" s="490"/>
      <c r="CD370" s="490"/>
      <c r="CE370" s="490"/>
      <c r="CF370" s="490"/>
      <c r="CG370" s="490"/>
      <c r="CH370" s="490"/>
      <c r="CI370" s="490"/>
      <c r="CJ370" s="490"/>
      <c r="CK370" s="490"/>
      <c r="CL370" s="490"/>
      <c r="CM370" s="490"/>
      <c r="CN370" s="490"/>
      <c r="CO370" s="490"/>
      <c r="CP370" s="490"/>
      <c r="CQ370" s="490"/>
      <c r="CR370" s="490"/>
      <c r="CS370" s="490"/>
      <c r="CT370" s="490"/>
      <c r="CU370" s="490"/>
      <c r="CV370" s="490"/>
      <c r="CW370" s="490"/>
      <c r="CX370" s="490"/>
      <c r="CY370" s="490"/>
      <c r="CZ370" s="490"/>
      <c r="DA370" s="490"/>
      <c r="DB370" s="490"/>
      <c r="DC370" s="490"/>
      <c r="DD370" s="490"/>
      <c r="DE370" s="490"/>
      <c r="DF370" s="490"/>
      <c r="DG370" s="490"/>
      <c r="DH370" s="490"/>
      <c r="DI370" s="490"/>
      <c r="DJ370" s="490"/>
      <c r="DK370" s="490"/>
      <c r="DL370" s="490"/>
      <c r="DM370" s="490"/>
      <c r="DN370" s="490"/>
      <c r="DO370" s="490"/>
      <c r="DP370" s="490"/>
      <c r="DQ370" s="490"/>
      <c r="DR370" s="490"/>
      <c r="DS370" s="490"/>
      <c r="DT370" s="490"/>
      <c r="DU370" s="490"/>
      <c r="DV370" s="490"/>
      <c r="DW370" s="490"/>
      <c r="DX370" s="490"/>
      <c r="DY370" s="490"/>
      <c r="DZ370" s="490"/>
      <c r="EA370" s="490"/>
      <c r="EB370" s="490"/>
      <c r="EC370" s="490"/>
      <c r="ED370" s="490"/>
      <c r="EE370" s="490"/>
      <c r="EF370" s="490"/>
      <c r="EG370" s="490"/>
      <c r="EH370" s="490"/>
      <c r="EI370" s="490"/>
      <c r="EJ370" s="490"/>
      <c r="EK370" s="490"/>
      <c r="EL370" s="490"/>
      <c r="EM370" s="490"/>
      <c r="EN370" s="490"/>
      <c r="EO370" s="490"/>
      <c r="EP370" s="490"/>
      <c r="EQ370" s="490"/>
      <c r="ER370" s="490"/>
      <c r="ES370" s="490"/>
      <c r="ET370" s="490"/>
      <c r="EU370" s="490"/>
      <c r="EV370" s="490"/>
      <c r="EW370" s="490"/>
      <c r="EX370" s="490"/>
      <c r="EY370" s="490"/>
      <c r="EZ370" s="490"/>
      <c r="FA370" s="490"/>
      <c r="FB370" s="490"/>
      <c r="FC370" s="490"/>
      <c r="FD370" s="490"/>
      <c r="FE370" s="490"/>
      <c r="FF370" s="490"/>
      <c r="FG370" s="490"/>
      <c r="FH370" s="490"/>
      <c r="FI370" s="490"/>
      <c r="FJ370" s="490"/>
      <c r="FK370" s="490"/>
      <c r="FL370" s="490"/>
      <c r="FM370" s="490"/>
      <c r="FN370" s="490"/>
    </row>
    <row r="371" s="492" customFormat="1" spans="1:170">
      <c r="A371" s="576">
        <v>46191</v>
      </c>
      <c r="B371" s="566" t="s">
        <v>840</v>
      </c>
      <c r="C371" s="560">
        <v>10</v>
      </c>
      <c r="D371" s="566" t="s">
        <v>831</v>
      </c>
      <c r="E371" s="566" t="s">
        <v>447</v>
      </c>
      <c r="F371" s="545" t="s">
        <v>756</v>
      </c>
      <c r="G371" s="546">
        <v>0.94</v>
      </c>
      <c r="H371" s="546">
        <v>9</v>
      </c>
      <c r="I371" s="542" t="s">
        <v>17</v>
      </c>
      <c r="J371" s="546">
        <v>1.58</v>
      </c>
      <c r="K371" s="559" t="s">
        <v>827</v>
      </c>
      <c r="L371" s="545"/>
      <c r="M371" s="490"/>
      <c r="N371" s="490"/>
      <c r="O371" s="490"/>
      <c r="P371" s="490"/>
      <c r="Q371" s="490"/>
      <c r="R371" s="490"/>
      <c r="S371" s="490"/>
      <c r="T371" s="490"/>
      <c r="U371" s="490"/>
      <c r="V371" s="490"/>
      <c r="W371" s="490"/>
      <c r="X371" s="490"/>
      <c r="Y371" s="490"/>
      <c r="Z371" s="490"/>
      <c r="AA371" s="490"/>
      <c r="AB371" s="490"/>
      <c r="AC371" s="490"/>
      <c r="AD371" s="490"/>
      <c r="AE371" s="490"/>
      <c r="AF371" s="490"/>
      <c r="AG371" s="490"/>
      <c r="AH371" s="490"/>
      <c r="AI371" s="490"/>
      <c r="AJ371" s="490"/>
      <c r="AK371" s="490"/>
      <c r="AL371" s="490"/>
      <c r="AM371" s="490"/>
      <c r="AN371" s="490"/>
      <c r="AO371" s="490"/>
      <c r="AP371" s="490"/>
      <c r="AQ371" s="490"/>
      <c r="AR371" s="490"/>
      <c r="AS371" s="490"/>
      <c r="AT371" s="490"/>
      <c r="AU371" s="490"/>
      <c r="AV371" s="490"/>
      <c r="AW371" s="490"/>
      <c r="AX371" s="490"/>
      <c r="AY371" s="490"/>
      <c r="AZ371" s="490"/>
      <c r="BA371" s="490"/>
      <c r="BB371" s="490"/>
      <c r="BC371" s="490"/>
      <c r="BD371" s="490"/>
      <c r="BE371" s="490"/>
      <c r="BF371" s="490"/>
      <c r="BG371" s="490"/>
      <c r="BH371" s="490"/>
      <c r="BI371" s="490"/>
      <c r="BJ371" s="490"/>
      <c r="BK371" s="490"/>
      <c r="BL371" s="490"/>
      <c r="BM371" s="490"/>
      <c r="BN371" s="490"/>
      <c r="BO371" s="490"/>
      <c r="BP371" s="490"/>
      <c r="BQ371" s="490"/>
      <c r="BR371" s="490"/>
      <c r="BS371" s="490"/>
      <c r="BT371" s="490"/>
      <c r="BU371" s="490"/>
      <c r="BV371" s="490"/>
      <c r="BW371" s="490"/>
      <c r="BX371" s="490"/>
      <c r="BY371" s="490"/>
      <c r="BZ371" s="490"/>
      <c r="CA371" s="490"/>
      <c r="CB371" s="490"/>
      <c r="CC371" s="490"/>
      <c r="CD371" s="490"/>
      <c r="CE371" s="490"/>
      <c r="CF371" s="490"/>
      <c r="CG371" s="490"/>
      <c r="CH371" s="490"/>
      <c r="CI371" s="490"/>
      <c r="CJ371" s="490"/>
      <c r="CK371" s="490"/>
      <c r="CL371" s="490"/>
      <c r="CM371" s="490"/>
      <c r="CN371" s="490"/>
      <c r="CO371" s="490"/>
      <c r="CP371" s="490"/>
      <c r="CQ371" s="490"/>
      <c r="CR371" s="490"/>
      <c r="CS371" s="490"/>
      <c r="CT371" s="490"/>
      <c r="CU371" s="490"/>
      <c r="CV371" s="490"/>
      <c r="CW371" s="490"/>
      <c r="CX371" s="490"/>
      <c r="CY371" s="490"/>
      <c r="CZ371" s="490"/>
      <c r="DA371" s="490"/>
      <c r="DB371" s="490"/>
      <c r="DC371" s="490"/>
      <c r="DD371" s="490"/>
      <c r="DE371" s="490"/>
      <c r="DF371" s="490"/>
      <c r="DG371" s="490"/>
      <c r="DH371" s="490"/>
      <c r="DI371" s="490"/>
      <c r="DJ371" s="490"/>
      <c r="DK371" s="490"/>
      <c r="DL371" s="490"/>
      <c r="DM371" s="490"/>
      <c r="DN371" s="490"/>
      <c r="DO371" s="490"/>
      <c r="DP371" s="490"/>
      <c r="DQ371" s="490"/>
      <c r="DR371" s="490"/>
      <c r="DS371" s="490"/>
      <c r="DT371" s="490"/>
      <c r="DU371" s="490"/>
      <c r="DV371" s="490"/>
      <c r="DW371" s="490"/>
      <c r="DX371" s="490"/>
      <c r="DY371" s="490"/>
      <c r="DZ371" s="490"/>
      <c r="EA371" s="490"/>
      <c r="EB371" s="490"/>
      <c r="EC371" s="490"/>
      <c r="ED371" s="490"/>
      <c r="EE371" s="490"/>
      <c r="EF371" s="490"/>
      <c r="EG371" s="490"/>
      <c r="EH371" s="490"/>
      <c r="EI371" s="490"/>
      <c r="EJ371" s="490"/>
      <c r="EK371" s="490"/>
      <c r="EL371" s="490"/>
      <c r="EM371" s="490"/>
      <c r="EN371" s="490"/>
      <c r="EO371" s="490"/>
      <c r="EP371" s="490"/>
      <c r="EQ371" s="490"/>
      <c r="ER371" s="490"/>
      <c r="ES371" s="490"/>
      <c r="ET371" s="490"/>
      <c r="EU371" s="490"/>
      <c r="EV371" s="490"/>
      <c r="EW371" s="490"/>
      <c r="EX371" s="490"/>
      <c r="EY371" s="490"/>
      <c r="EZ371" s="490"/>
      <c r="FA371" s="490"/>
      <c r="FB371" s="490"/>
      <c r="FC371" s="490"/>
      <c r="FD371" s="490"/>
      <c r="FE371" s="490"/>
      <c r="FF371" s="490"/>
      <c r="FG371" s="490"/>
      <c r="FH371" s="490"/>
      <c r="FI371" s="490"/>
      <c r="FJ371" s="490"/>
      <c r="FK371" s="490"/>
      <c r="FL371" s="490"/>
      <c r="FM371" s="490"/>
      <c r="FN371" s="490"/>
    </row>
    <row r="372" s="492" customFormat="1" spans="1:170">
      <c r="A372" s="577"/>
      <c r="B372" s="568"/>
      <c r="C372" s="567"/>
      <c r="D372" s="568"/>
      <c r="E372" s="568"/>
      <c r="F372" s="545" t="s">
        <v>757</v>
      </c>
      <c r="G372" s="546">
        <v>1.2</v>
      </c>
      <c r="H372" s="546">
        <v>0.3</v>
      </c>
      <c r="I372" s="542" t="s">
        <v>22</v>
      </c>
      <c r="J372" s="546">
        <v>1.77</v>
      </c>
      <c r="K372" s="569"/>
      <c r="L372" s="545"/>
      <c r="M372" s="490"/>
      <c r="N372" s="490"/>
      <c r="O372" s="490"/>
      <c r="P372" s="490"/>
      <c r="Q372" s="490"/>
      <c r="R372" s="490"/>
      <c r="S372" s="490"/>
      <c r="T372" s="490"/>
      <c r="U372" s="490"/>
      <c r="V372" s="490"/>
      <c r="W372" s="490"/>
      <c r="X372" s="490"/>
      <c r="Y372" s="490"/>
      <c r="Z372" s="490"/>
      <c r="AA372" s="490"/>
      <c r="AB372" s="490"/>
      <c r="AC372" s="490"/>
      <c r="AD372" s="490"/>
      <c r="AE372" s="490"/>
      <c r="AF372" s="490"/>
      <c r="AG372" s="490"/>
      <c r="AH372" s="490"/>
      <c r="AI372" s="490"/>
      <c r="AJ372" s="490"/>
      <c r="AK372" s="490"/>
      <c r="AL372" s="490"/>
      <c r="AM372" s="490"/>
      <c r="AN372" s="490"/>
      <c r="AO372" s="490"/>
      <c r="AP372" s="490"/>
      <c r="AQ372" s="490"/>
      <c r="AR372" s="490"/>
      <c r="AS372" s="490"/>
      <c r="AT372" s="490"/>
      <c r="AU372" s="490"/>
      <c r="AV372" s="490"/>
      <c r="AW372" s="490"/>
      <c r="AX372" s="490"/>
      <c r="AY372" s="490"/>
      <c r="AZ372" s="490"/>
      <c r="BA372" s="490"/>
      <c r="BB372" s="490"/>
      <c r="BC372" s="490"/>
      <c r="BD372" s="490"/>
      <c r="BE372" s="490"/>
      <c r="BF372" s="490"/>
      <c r="BG372" s="490"/>
      <c r="BH372" s="490"/>
      <c r="BI372" s="490"/>
      <c r="BJ372" s="490"/>
      <c r="BK372" s="490"/>
      <c r="BL372" s="490"/>
      <c r="BM372" s="490"/>
      <c r="BN372" s="490"/>
      <c r="BO372" s="490"/>
      <c r="BP372" s="490"/>
      <c r="BQ372" s="490"/>
      <c r="BR372" s="490"/>
      <c r="BS372" s="490"/>
      <c r="BT372" s="490"/>
      <c r="BU372" s="490"/>
      <c r="BV372" s="490"/>
      <c r="BW372" s="490"/>
      <c r="BX372" s="490"/>
      <c r="BY372" s="490"/>
      <c r="BZ372" s="490"/>
      <c r="CA372" s="490"/>
      <c r="CB372" s="490"/>
      <c r="CC372" s="490"/>
      <c r="CD372" s="490"/>
      <c r="CE372" s="490"/>
      <c r="CF372" s="490"/>
      <c r="CG372" s="490"/>
      <c r="CH372" s="490"/>
      <c r="CI372" s="490"/>
      <c r="CJ372" s="490"/>
      <c r="CK372" s="490"/>
      <c r="CL372" s="490"/>
      <c r="CM372" s="490"/>
      <c r="CN372" s="490"/>
      <c r="CO372" s="490"/>
      <c r="CP372" s="490"/>
      <c r="CQ372" s="490"/>
      <c r="CR372" s="490"/>
      <c r="CS372" s="490"/>
      <c r="CT372" s="490"/>
      <c r="CU372" s="490"/>
      <c r="CV372" s="490"/>
      <c r="CW372" s="490"/>
      <c r="CX372" s="490"/>
      <c r="CY372" s="490"/>
      <c r="CZ372" s="490"/>
      <c r="DA372" s="490"/>
      <c r="DB372" s="490"/>
      <c r="DC372" s="490"/>
      <c r="DD372" s="490"/>
      <c r="DE372" s="490"/>
      <c r="DF372" s="490"/>
      <c r="DG372" s="490"/>
      <c r="DH372" s="490"/>
      <c r="DI372" s="490"/>
      <c r="DJ372" s="490"/>
      <c r="DK372" s="490"/>
      <c r="DL372" s="490"/>
      <c r="DM372" s="490"/>
      <c r="DN372" s="490"/>
      <c r="DO372" s="490"/>
      <c r="DP372" s="490"/>
      <c r="DQ372" s="490"/>
      <c r="DR372" s="490"/>
      <c r="DS372" s="490"/>
      <c r="DT372" s="490"/>
      <c r="DU372" s="490"/>
      <c r="DV372" s="490"/>
      <c r="DW372" s="490"/>
      <c r="DX372" s="490"/>
      <c r="DY372" s="490"/>
      <c r="DZ372" s="490"/>
      <c r="EA372" s="490"/>
      <c r="EB372" s="490"/>
      <c r="EC372" s="490"/>
      <c r="ED372" s="490"/>
      <c r="EE372" s="490"/>
      <c r="EF372" s="490"/>
      <c r="EG372" s="490"/>
      <c r="EH372" s="490"/>
      <c r="EI372" s="490"/>
      <c r="EJ372" s="490"/>
      <c r="EK372" s="490"/>
      <c r="EL372" s="490"/>
      <c r="EM372" s="490"/>
      <c r="EN372" s="490"/>
      <c r="EO372" s="490"/>
      <c r="EP372" s="490"/>
      <c r="EQ372" s="490"/>
      <c r="ER372" s="490"/>
      <c r="ES372" s="490"/>
      <c r="ET372" s="490"/>
      <c r="EU372" s="490"/>
      <c r="EV372" s="490"/>
      <c r="EW372" s="490"/>
      <c r="EX372" s="490"/>
      <c r="EY372" s="490"/>
      <c r="EZ372" s="490"/>
      <c r="FA372" s="490"/>
      <c r="FB372" s="490"/>
      <c r="FC372" s="490"/>
      <c r="FD372" s="490"/>
      <c r="FE372" s="490"/>
      <c r="FF372" s="490"/>
      <c r="FG372" s="490"/>
      <c r="FH372" s="490"/>
      <c r="FI372" s="490"/>
      <c r="FJ372" s="490"/>
      <c r="FK372" s="490"/>
      <c r="FL372" s="490"/>
      <c r="FM372" s="490"/>
      <c r="FN372" s="490"/>
    </row>
    <row r="373" s="492" customFormat="1" spans="1:170">
      <c r="A373" s="578"/>
      <c r="B373" s="579"/>
      <c r="C373" s="580"/>
      <c r="D373" s="579"/>
      <c r="E373" s="579"/>
      <c r="F373" s="559" t="s">
        <v>148</v>
      </c>
      <c r="G373" s="546">
        <v>1.7</v>
      </c>
      <c r="H373" s="546">
        <v>0.7</v>
      </c>
      <c r="I373" s="546" t="s">
        <v>24</v>
      </c>
      <c r="J373" s="546" t="s">
        <v>24</v>
      </c>
      <c r="K373" s="570"/>
      <c r="L373" s="545"/>
      <c r="M373" s="490"/>
      <c r="N373" s="490"/>
      <c r="O373" s="490"/>
      <c r="P373" s="490"/>
      <c r="Q373" s="490"/>
      <c r="R373" s="490"/>
      <c r="S373" s="490"/>
      <c r="T373" s="490"/>
      <c r="U373" s="490"/>
      <c r="V373" s="490"/>
      <c r="W373" s="490"/>
      <c r="X373" s="490"/>
      <c r="Y373" s="490"/>
      <c r="Z373" s="490"/>
      <c r="AA373" s="490"/>
      <c r="AB373" s="490"/>
      <c r="AC373" s="490"/>
      <c r="AD373" s="490"/>
      <c r="AE373" s="490"/>
      <c r="AF373" s="490"/>
      <c r="AG373" s="490"/>
      <c r="AH373" s="490"/>
      <c r="AI373" s="490"/>
      <c r="AJ373" s="490"/>
      <c r="AK373" s="490"/>
      <c r="AL373" s="490"/>
      <c r="AM373" s="490"/>
      <c r="AN373" s="490"/>
      <c r="AO373" s="490"/>
      <c r="AP373" s="490"/>
      <c r="AQ373" s="490"/>
      <c r="AR373" s="490"/>
      <c r="AS373" s="490"/>
      <c r="AT373" s="490"/>
      <c r="AU373" s="490"/>
      <c r="AV373" s="490"/>
      <c r="AW373" s="490"/>
      <c r="AX373" s="490"/>
      <c r="AY373" s="490"/>
      <c r="AZ373" s="490"/>
      <c r="BA373" s="490"/>
      <c r="BB373" s="490"/>
      <c r="BC373" s="490"/>
      <c r="BD373" s="490"/>
      <c r="BE373" s="490"/>
      <c r="BF373" s="490"/>
      <c r="BG373" s="490"/>
      <c r="BH373" s="490"/>
      <c r="BI373" s="490"/>
      <c r="BJ373" s="490"/>
      <c r="BK373" s="490"/>
      <c r="BL373" s="490"/>
      <c r="BM373" s="490"/>
      <c r="BN373" s="490"/>
      <c r="BO373" s="490"/>
      <c r="BP373" s="490"/>
      <c r="BQ373" s="490"/>
      <c r="BR373" s="490"/>
      <c r="BS373" s="490"/>
      <c r="BT373" s="490"/>
      <c r="BU373" s="490"/>
      <c r="BV373" s="490"/>
      <c r="BW373" s="490"/>
      <c r="BX373" s="490"/>
      <c r="BY373" s="490"/>
      <c r="BZ373" s="490"/>
      <c r="CA373" s="490"/>
      <c r="CB373" s="490"/>
      <c r="CC373" s="490"/>
      <c r="CD373" s="490"/>
      <c r="CE373" s="490"/>
      <c r="CF373" s="490"/>
      <c r="CG373" s="490"/>
      <c r="CH373" s="490"/>
      <c r="CI373" s="490"/>
      <c r="CJ373" s="490"/>
      <c r="CK373" s="490"/>
      <c r="CL373" s="490"/>
      <c r="CM373" s="490"/>
      <c r="CN373" s="490"/>
      <c r="CO373" s="490"/>
      <c r="CP373" s="490"/>
      <c r="CQ373" s="490"/>
      <c r="CR373" s="490"/>
      <c r="CS373" s="490"/>
      <c r="CT373" s="490"/>
      <c r="CU373" s="490"/>
      <c r="CV373" s="490"/>
      <c r="CW373" s="490"/>
      <c r="CX373" s="490"/>
      <c r="CY373" s="490"/>
      <c r="CZ373" s="490"/>
      <c r="DA373" s="490"/>
      <c r="DB373" s="490"/>
      <c r="DC373" s="490"/>
      <c r="DD373" s="490"/>
      <c r="DE373" s="490"/>
      <c r="DF373" s="490"/>
      <c r="DG373" s="490"/>
      <c r="DH373" s="490"/>
      <c r="DI373" s="490"/>
      <c r="DJ373" s="490"/>
      <c r="DK373" s="490"/>
      <c r="DL373" s="490"/>
      <c r="DM373" s="490"/>
      <c r="DN373" s="490"/>
      <c r="DO373" s="490"/>
      <c r="DP373" s="490"/>
      <c r="DQ373" s="490"/>
      <c r="DR373" s="490"/>
      <c r="DS373" s="490"/>
      <c r="DT373" s="490"/>
      <c r="DU373" s="490"/>
      <c r="DV373" s="490"/>
      <c r="DW373" s="490"/>
      <c r="DX373" s="490"/>
      <c r="DY373" s="490"/>
      <c r="DZ373" s="490"/>
      <c r="EA373" s="490"/>
      <c r="EB373" s="490"/>
      <c r="EC373" s="490"/>
      <c r="ED373" s="490"/>
      <c r="EE373" s="490"/>
      <c r="EF373" s="490"/>
      <c r="EG373" s="490"/>
      <c r="EH373" s="490"/>
      <c r="EI373" s="490"/>
      <c r="EJ373" s="490"/>
      <c r="EK373" s="490"/>
      <c r="EL373" s="490"/>
      <c r="EM373" s="490"/>
      <c r="EN373" s="490"/>
      <c r="EO373" s="490"/>
      <c r="EP373" s="490"/>
      <c r="EQ373" s="490"/>
      <c r="ER373" s="490"/>
      <c r="ES373" s="490"/>
      <c r="ET373" s="490"/>
      <c r="EU373" s="490"/>
      <c r="EV373" s="490"/>
      <c r="EW373" s="490"/>
      <c r="EX373" s="490"/>
      <c r="EY373" s="490"/>
      <c r="EZ373" s="490"/>
      <c r="FA373" s="490"/>
      <c r="FB373" s="490"/>
      <c r="FC373" s="490"/>
      <c r="FD373" s="490"/>
      <c r="FE373" s="490"/>
      <c r="FF373" s="490"/>
      <c r="FG373" s="490"/>
      <c r="FH373" s="490"/>
      <c r="FI373" s="490"/>
      <c r="FJ373" s="490"/>
      <c r="FK373" s="490"/>
      <c r="FL373" s="490"/>
      <c r="FM373" s="490"/>
      <c r="FN373" s="490"/>
    </row>
    <row r="374" s="492" customFormat="1" spans="1:170">
      <c r="A374" s="576">
        <v>46191</v>
      </c>
      <c r="B374" s="566" t="s">
        <v>841</v>
      </c>
      <c r="C374" s="560">
        <v>5.64</v>
      </c>
      <c r="D374" s="566" t="s">
        <v>447</v>
      </c>
      <c r="E374" s="566" t="s">
        <v>447</v>
      </c>
      <c r="F374" s="545" t="s">
        <v>756</v>
      </c>
      <c r="G374" s="546">
        <v>1</v>
      </c>
      <c r="H374" s="546">
        <v>5.28</v>
      </c>
      <c r="I374" s="542" t="s">
        <v>17</v>
      </c>
      <c r="J374" s="546">
        <v>1.58</v>
      </c>
      <c r="K374" s="559" t="s">
        <v>838</v>
      </c>
      <c r="L374" s="545" t="s">
        <v>256</v>
      </c>
      <c r="M374" s="490"/>
      <c r="N374" s="490"/>
      <c r="O374" s="490"/>
      <c r="P374" s="490"/>
      <c r="Q374" s="490"/>
      <c r="R374" s="490"/>
      <c r="S374" s="490"/>
      <c r="T374" s="490"/>
      <c r="U374" s="490"/>
      <c r="V374" s="490"/>
      <c r="W374" s="490"/>
      <c r="X374" s="490"/>
      <c r="Y374" s="490"/>
      <c r="Z374" s="490"/>
      <c r="AA374" s="490"/>
      <c r="AB374" s="490"/>
      <c r="AC374" s="490"/>
      <c r="AD374" s="490"/>
      <c r="AE374" s="490"/>
      <c r="AF374" s="490"/>
      <c r="AG374" s="490"/>
      <c r="AH374" s="490"/>
      <c r="AI374" s="490"/>
      <c r="AJ374" s="490"/>
      <c r="AK374" s="490"/>
      <c r="AL374" s="490"/>
      <c r="AM374" s="490"/>
      <c r="AN374" s="490"/>
      <c r="AO374" s="490"/>
      <c r="AP374" s="490"/>
      <c r="AQ374" s="490"/>
      <c r="AR374" s="490"/>
      <c r="AS374" s="490"/>
      <c r="AT374" s="490"/>
      <c r="AU374" s="490"/>
      <c r="AV374" s="490"/>
      <c r="AW374" s="490"/>
      <c r="AX374" s="490"/>
      <c r="AY374" s="490"/>
      <c r="AZ374" s="490"/>
      <c r="BA374" s="490"/>
      <c r="BB374" s="490"/>
      <c r="BC374" s="490"/>
      <c r="BD374" s="490"/>
      <c r="BE374" s="490"/>
      <c r="BF374" s="490"/>
      <c r="BG374" s="490"/>
      <c r="BH374" s="490"/>
      <c r="BI374" s="490"/>
      <c r="BJ374" s="490"/>
      <c r="BK374" s="490"/>
      <c r="BL374" s="490"/>
      <c r="BM374" s="490"/>
      <c r="BN374" s="490"/>
      <c r="BO374" s="490"/>
      <c r="BP374" s="490"/>
      <c r="BQ374" s="490"/>
      <c r="BR374" s="490"/>
      <c r="BS374" s="490"/>
      <c r="BT374" s="490"/>
      <c r="BU374" s="490"/>
      <c r="BV374" s="490"/>
      <c r="BW374" s="490"/>
      <c r="BX374" s="490"/>
      <c r="BY374" s="490"/>
      <c r="BZ374" s="490"/>
      <c r="CA374" s="490"/>
      <c r="CB374" s="490"/>
      <c r="CC374" s="490"/>
      <c r="CD374" s="490"/>
      <c r="CE374" s="490"/>
      <c r="CF374" s="490"/>
      <c r="CG374" s="490"/>
      <c r="CH374" s="490"/>
      <c r="CI374" s="490"/>
      <c r="CJ374" s="490"/>
      <c r="CK374" s="490"/>
      <c r="CL374" s="490"/>
      <c r="CM374" s="490"/>
      <c r="CN374" s="490"/>
      <c r="CO374" s="490"/>
      <c r="CP374" s="490"/>
      <c r="CQ374" s="490"/>
      <c r="CR374" s="490"/>
      <c r="CS374" s="490"/>
      <c r="CT374" s="490"/>
      <c r="CU374" s="490"/>
      <c r="CV374" s="490"/>
      <c r="CW374" s="490"/>
      <c r="CX374" s="490"/>
      <c r="CY374" s="490"/>
      <c r="CZ374" s="490"/>
      <c r="DA374" s="490"/>
      <c r="DB374" s="490"/>
      <c r="DC374" s="490"/>
      <c r="DD374" s="490"/>
      <c r="DE374" s="490"/>
      <c r="DF374" s="490"/>
      <c r="DG374" s="490"/>
      <c r="DH374" s="490"/>
      <c r="DI374" s="490"/>
      <c r="DJ374" s="490"/>
      <c r="DK374" s="490"/>
      <c r="DL374" s="490"/>
      <c r="DM374" s="490"/>
      <c r="DN374" s="490"/>
      <c r="DO374" s="490"/>
      <c r="DP374" s="490"/>
      <c r="DQ374" s="490"/>
      <c r="DR374" s="490"/>
      <c r="DS374" s="490"/>
      <c r="DT374" s="490"/>
      <c r="DU374" s="490"/>
      <c r="DV374" s="490"/>
      <c r="DW374" s="490"/>
      <c r="DX374" s="490"/>
      <c r="DY374" s="490"/>
      <c r="DZ374" s="490"/>
      <c r="EA374" s="490"/>
      <c r="EB374" s="490"/>
      <c r="EC374" s="490"/>
      <c r="ED374" s="490"/>
      <c r="EE374" s="490"/>
      <c r="EF374" s="490"/>
      <c r="EG374" s="490"/>
      <c r="EH374" s="490"/>
      <c r="EI374" s="490"/>
      <c r="EJ374" s="490"/>
      <c r="EK374" s="490"/>
      <c r="EL374" s="490"/>
      <c r="EM374" s="490"/>
      <c r="EN374" s="490"/>
      <c r="EO374" s="490"/>
      <c r="EP374" s="490"/>
      <c r="EQ374" s="490"/>
      <c r="ER374" s="490"/>
      <c r="ES374" s="490"/>
      <c r="ET374" s="490"/>
      <c r="EU374" s="490"/>
      <c r="EV374" s="490"/>
      <c r="EW374" s="490"/>
      <c r="EX374" s="490"/>
      <c r="EY374" s="490"/>
      <c r="EZ374" s="490"/>
      <c r="FA374" s="490"/>
      <c r="FB374" s="490"/>
      <c r="FC374" s="490"/>
      <c r="FD374" s="490"/>
      <c r="FE374" s="490"/>
      <c r="FF374" s="490"/>
      <c r="FG374" s="490"/>
      <c r="FH374" s="490"/>
      <c r="FI374" s="490"/>
      <c r="FJ374" s="490"/>
      <c r="FK374" s="490"/>
      <c r="FL374" s="490"/>
      <c r="FM374" s="490"/>
      <c r="FN374" s="490"/>
    </row>
    <row r="375" s="492" customFormat="1" spans="1:170">
      <c r="A375" s="578"/>
      <c r="B375" s="579"/>
      <c r="C375" s="580"/>
      <c r="D375" s="579"/>
      <c r="E375" s="579"/>
      <c r="F375" s="545" t="s">
        <v>757</v>
      </c>
      <c r="G375" s="546">
        <v>1</v>
      </c>
      <c r="H375" s="546">
        <v>0.36</v>
      </c>
      <c r="I375" s="542" t="s">
        <v>22</v>
      </c>
      <c r="J375" s="546">
        <v>1.8</v>
      </c>
      <c r="K375" s="570"/>
      <c r="L375" s="545"/>
      <c r="M375" s="490"/>
      <c r="N375" s="490"/>
      <c r="O375" s="490"/>
      <c r="P375" s="490"/>
      <c r="Q375" s="490"/>
      <c r="R375" s="490"/>
      <c r="S375" s="490"/>
      <c r="T375" s="490"/>
      <c r="U375" s="490"/>
      <c r="V375" s="490"/>
      <c r="W375" s="490"/>
      <c r="X375" s="490"/>
      <c r="Y375" s="490"/>
      <c r="Z375" s="490"/>
      <c r="AA375" s="490"/>
      <c r="AB375" s="490"/>
      <c r="AC375" s="490"/>
      <c r="AD375" s="490"/>
      <c r="AE375" s="490"/>
      <c r="AF375" s="490"/>
      <c r="AG375" s="490"/>
      <c r="AH375" s="490"/>
      <c r="AI375" s="490"/>
      <c r="AJ375" s="490"/>
      <c r="AK375" s="490"/>
      <c r="AL375" s="490"/>
      <c r="AM375" s="490"/>
      <c r="AN375" s="490"/>
      <c r="AO375" s="490"/>
      <c r="AP375" s="490"/>
      <c r="AQ375" s="490"/>
      <c r="AR375" s="490"/>
      <c r="AS375" s="490"/>
      <c r="AT375" s="490"/>
      <c r="AU375" s="490"/>
      <c r="AV375" s="490"/>
      <c r="AW375" s="490"/>
      <c r="AX375" s="490"/>
      <c r="AY375" s="490"/>
      <c r="AZ375" s="490"/>
      <c r="BA375" s="490"/>
      <c r="BB375" s="490"/>
      <c r="BC375" s="490"/>
      <c r="BD375" s="490"/>
      <c r="BE375" s="490"/>
      <c r="BF375" s="490"/>
      <c r="BG375" s="490"/>
      <c r="BH375" s="490"/>
      <c r="BI375" s="490"/>
      <c r="BJ375" s="490"/>
      <c r="BK375" s="490"/>
      <c r="BL375" s="490"/>
      <c r="BM375" s="490"/>
      <c r="BN375" s="490"/>
      <c r="BO375" s="490"/>
      <c r="BP375" s="490"/>
      <c r="BQ375" s="490"/>
      <c r="BR375" s="490"/>
      <c r="BS375" s="490"/>
      <c r="BT375" s="490"/>
      <c r="BU375" s="490"/>
      <c r="BV375" s="490"/>
      <c r="BW375" s="490"/>
      <c r="BX375" s="490"/>
      <c r="BY375" s="490"/>
      <c r="BZ375" s="490"/>
      <c r="CA375" s="490"/>
      <c r="CB375" s="490"/>
      <c r="CC375" s="490"/>
      <c r="CD375" s="490"/>
      <c r="CE375" s="490"/>
      <c r="CF375" s="490"/>
      <c r="CG375" s="490"/>
      <c r="CH375" s="490"/>
      <c r="CI375" s="490"/>
      <c r="CJ375" s="490"/>
      <c r="CK375" s="490"/>
      <c r="CL375" s="490"/>
      <c r="CM375" s="490"/>
      <c r="CN375" s="490"/>
      <c r="CO375" s="490"/>
      <c r="CP375" s="490"/>
      <c r="CQ375" s="490"/>
      <c r="CR375" s="490"/>
      <c r="CS375" s="490"/>
      <c r="CT375" s="490"/>
      <c r="CU375" s="490"/>
      <c r="CV375" s="490"/>
      <c r="CW375" s="490"/>
      <c r="CX375" s="490"/>
      <c r="CY375" s="490"/>
      <c r="CZ375" s="490"/>
      <c r="DA375" s="490"/>
      <c r="DB375" s="490"/>
      <c r="DC375" s="490"/>
      <c r="DD375" s="490"/>
      <c r="DE375" s="490"/>
      <c r="DF375" s="490"/>
      <c r="DG375" s="490"/>
      <c r="DH375" s="490"/>
      <c r="DI375" s="490"/>
      <c r="DJ375" s="490"/>
      <c r="DK375" s="490"/>
      <c r="DL375" s="490"/>
      <c r="DM375" s="490"/>
      <c r="DN375" s="490"/>
      <c r="DO375" s="490"/>
      <c r="DP375" s="490"/>
      <c r="DQ375" s="490"/>
      <c r="DR375" s="490"/>
      <c r="DS375" s="490"/>
      <c r="DT375" s="490"/>
      <c r="DU375" s="490"/>
      <c r="DV375" s="490"/>
      <c r="DW375" s="490"/>
      <c r="DX375" s="490"/>
      <c r="DY375" s="490"/>
      <c r="DZ375" s="490"/>
      <c r="EA375" s="490"/>
      <c r="EB375" s="490"/>
      <c r="EC375" s="490"/>
      <c r="ED375" s="490"/>
      <c r="EE375" s="490"/>
      <c r="EF375" s="490"/>
      <c r="EG375" s="490"/>
      <c r="EH375" s="490"/>
      <c r="EI375" s="490"/>
      <c r="EJ375" s="490"/>
      <c r="EK375" s="490"/>
      <c r="EL375" s="490"/>
      <c r="EM375" s="490"/>
      <c r="EN375" s="490"/>
      <c r="EO375" s="490"/>
      <c r="EP375" s="490"/>
      <c r="EQ375" s="490"/>
      <c r="ER375" s="490"/>
      <c r="ES375" s="490"/>
      <c r="ET375" s="490"/>
      <c r="EU375" s="490"/>
      <c r="EV375" s="490"/>
      <c r="EW375" s="490"/>
      <c r="EX375" s="490"/>
      <c r="EY375" s="490"/>
      <c r="EZ375" s="490"/>
      <c r="FA375" s="490"/>
      <c r="FB375" s="490"/>
      <c r="FC375" s="490"/>
      <c r="FD375" s="490"/>
      <c r="FE375" s="490"/>
      <c r="FF375" s="490"/>
      <c r="FG375" s="490"/>
      <c r="FH375" s="490"/>
      <c r="FI375" s="490"/>
      <c r="FJ375" s="490"/>
      <c r="FK375" s="490"/>
      <c r="FL375" s="490"/>
      <c r="FM375" s="490"/>
      <c r="FN375" s="490"/>
    </row>
    <row r="376" s="492" customFormat="1" spans="1:170">
      <c r="A376" s="576">
        <v>46191</v>
      </c>
      <c r="B376" s="566" t="s">
        <v>842</v>
      </c>
      <c r="C376" s="560">
        <v>10</v>
      </c>
      <c r="D376" s="566" t="s">
        <v>447</v>
      </c>
      <c r="E376" s="566" t="s">
        <v>447</v>
      </c>
      <c r="F376" s="545" t="s">
        <v>144</v>
      </c>
      <c r="G376" s="546">
        <v>1</v>
      </c>
      <c r="H376" s="546">
        <v>8.9</v>
      </c>
      <c r="I376" s="542" t="s">
        <v>17</v>
      </c>
      <c r="J376" s="546">
        <v>1.58</v>
      </c>
      <c r="K376" s="559" t="s">
        <v>829</v>
      </c>
      <c r="L376" s="509" t="s">
        <v>130</v>
      </c>
      <c r="M376" s="490"/>
      <c r="N376" s="490"/>
      <c r="O376" s="490"/>
      <c r="P376" s="490"/>
      <c r="Q376" s="490"/>
      <c r="R376" s="490"/>
      <c r="S376" s="490"/>
      <c r="T376" s="490"/>
      <c r="U376" s="490"/>
      <c r="V376" s="490"/>
      <c r="W376" s="490"/>
      <c r="X376" s="490"/>
      <c r="Y376" s="490"/>
      <c r="Z376" s="490"/>
      <c r="AA376" s="490"/>
      <c r="AB376" s="490"/>
      <c r="AC376" s="490"/>
      <c r="AD376" s="490"/>
      <c r="AE376" s="490"/>
      <c r="AF376" s="490"/>
      <c r="AG376" s="490"/>
      <c r="AH376" s="490"/>
      <c r="AI376" s="490"/>
      <c r="AJ376" s="490"/>
      <c r="AK376" s="490"/>
      <c r="AL376" s="490"/>
      <c r="AM376" s="490"/>
      <c r="AN376" s="490"/>
      <c r="AO376" s="490"/>
      <c r="AP376" s="490"/>
      <c r="AQ376" s="490"/>
      <c r="AR376" s="490"/>
      <c r="AS376" s="490"/>
      <c r="AT376" s="490"/>
      <c r="AU376" s="490"/>
      <c r="AV376" s="490"/>
      <c r="AW376" s="490"/>
      <c r="AX376" s="490"/>
      <c r="AY376" s="490"/>
      <c r="AZ376" s="490"/>
      <c r="BA376" s="490"/>
      <c r="BB376" s="490"/>
      <c r="BC376" s="490"/>
      <c r="BD376" s="490"/>
      <c r="BE376" s="490"/>
      <c r="BF376" s="490"/>
      <c r="BG376" s="490"/>
      <c r="BH376" s="490"/>
      <c r="BI376" s="490"/>
      <c r="BJ376" s="490"/>
      <c r="BK376" s="490"/>
      <c r="BL376" s="490"/>
      <c r="BM376" s="490"/>
      <c r="BN376" s="490"/>
      <c r="BO376" s="490"/>
      <c r="BP376" s="490"/>
      <c r="BQ376" s="490"/>
      <c r="BR376" s="490"/>
      <c r="BS376" s="490"/>
      <c r="BT376" s="490"/>
      <c r="BU376" s="490"/>
      <c r="BV376" s="490"/>
      <c r="BW376" s="490"/>
      <c r="BX376" s="490"/>
      <c r="BY376" s="490"/>
      <c r="BZ376" s="490"/>
      <c r="CA376" s="490"/>
      <c r="CB376" s="490"/>
      <c r="CC376" s="490"/>
      <c r="CD376" s="490"/>
      <c r="CE376" s="490"/>
      <c r="CF376" s="490"/>
      <c r="CG376" s="490"/>
      <c r="CH376" s="490"/>
      <c r="CI376" s="490"/>
      <c r="CJ376" s="490"/>
      <c r="CK376" s="490"/>
      <c r="CL376" s="490"/>
      <c r="CM376" s="490"/>
      <c r="CN376" s="490"/>
      <c r="CO376" s="490"/>
      <c r="CP376" s="490"/>
      <c r="CQ376" s="490"/>
      <c r="CR376" s="490"/>
      <c r="CS376" s="490"/>
      <c r="CT376" s="490"/>
      <c r="CU376" s="490"/>
      <c r="CV376" s="490"/>
      <c r="CW376" s="490"/>
      <c r="CX376" s="490"/>
      <c r="CY376" s="490"/>
      <c r="CZ376" s="490"/>
      <c r="DA376" s="490"/>
      <c r="DB376" s="490"/>
      <c r="DC376" s="490"/>
      <c r="DD376" s="490"/>
      <c r="DE376" s="490"/>
      <c r="DF376" s="490"/>
      <c r="DG376" s="490"/>
      <c r="DH376" s="490"/>
      <c r="DI376" s="490"/>
      <c r="DJ376" s="490"/>
      <c r="DK376" s="490"/>
      <c r="DL376" s="490"/>
      <c r="DM376" s="490"/>
      <c r="DN376" s="490"/>
      <c r="DO376" s="490"/>
      <c r="DP376" s="490"/>
      <c r="DQ376" s="490"/>
      <c r="DR376" s="490"/>
      <c r="DS376" s="490"/>
      <c r="DT376" s="490"/>
      <c r="DU376" s="490"/>
      <c r="DV376" s="490"/>
      <c r="DW376" s="490"/>
      <c r="DX376" s="490"/>
      <c r="DY376" s="490"/>
      <c r="DZ376" s="490"/>
      <c r="EA376" s="490"/>
      <c r="EB376" s="490"/>
      <c r="EC376" s="490"/>
      <c r="ED376" s="490"/>
      <c r="EE376" s="490"/>
      <c r="EF376" s="490"/>
      <c r="EG376" s="490"/>
      <c r="EH376" s="490"/>
      <c r="EI376" s="490"/>
      <c r="EJ376" s="490"/>
      <c r="EK376" s="490"/>
      <c r="EL376" s="490"/>
      <c r="EM376" s="490"/>
      <c r="EN376" s="490"/>
      <c r="EO376" s="490"/>
      <c r="EP376" s="490"/>
      <c r="EQ376" s="490"/>
      <c r="ER376" s="490"/>
      <c r="ES376" s="490"/>
      <c r="ET376" s="490"/>
      <c r="EU376" s="490"/>
      <c r="EV376" s="490"/>
      <c r="EW376" s="490"/>
      <c r="EX376" s="490"/>
      <c r="EY376" s="490"/>
      <c r="EZ376" s="490"/>
      <c r="FA376" s="490"/>
      <c r="FB376" s="490"/>
      <c r="FC376" s="490"/>
      <c r="FD376" s="490"/>
      <c r="FE376" s="490"/>
      <c r="FF376" s="490"/>
      <c r="FG376" s="490"/>
      <c r="FH376" s="490"/>
      <c r="FI376" s="490"/>
      <c r="FJ376" s="490"/>
      <c r="FK376" s="490"/>
      <c r="FL376" s="490"/>
      <c r="FM376" s="490"/>
      <c r="FN376" s="490"/>
    </row>
    <row r="377" s="492" customFormat="1" spans="1:170">
      <c r="A377" s="577"/>
      <c r="B377" s="568"/>
      <c r="C377" s="567"/>
      <c r="D377" s="568"/>
      <c r="E377" s="568"/>
      <c r="F377" s="545" t="s">
        <v>750</v>
      </c>
      <c r="G377" s="546">
        <v>0.17</v>
      </c>
      <c r="H377" s="546">
        <v>0.5</v>
      </c>
      <c r="I377" s="542" t="s">
        <v>22</v>
      </c>
      <c r="J377" s="546">
        <v>1.77</v>
      </c>
      <c r="K377" s="569"/>
      <c r="L377" s="509"/>
      <c r="M377" s="490"/>
      <c r="N377" s="490"/>
      <c r="O377" s="490"/>
      <c r="P377" s="490"/>
      <c r="Q377" s="490"/>
      <c r="R377" s="490"/>
      <c r="S377" s="490"/>
      <c r="T377" s="490"/>
      <c r="U377" s="490"/>
      <c r="V377" s="490"/>
      <c r="W377" s="490"/>
      <c r="X377" s="490"/>
      <c r="Y377" s="490"/>
      <c r="Z377" s="490"/>
      <c r="AA377" s="490"/>
      <c r="AB377" s="490"/>
      <c r="AC377" s="490"/>
      <c r="AD377" s="490"/>
      <c r="AE377" s="490"/>
      <c r="AF377" s="490"/>
      <c r="AG377" s="490"/>
      <c r="AH377" s="490"/>
      <c r="AI377" s="490"/>
      <c r="AJ377" s="490"/>
      <c r="AK377" s="490"/>
      <c r="AL377" s="490"/>
      <c r="AM377" s="490"/>
      <c r="AN377" s="490"/>
      <c r="AO377" s="490"/>
      <c r="AP377" s="490"/>
      <c r="AQ377" s="490"/>
      <c r="AR377" s="490"/>
      <c r="AS377" s="490"/>
      <c r="AT377" s="490"/>
      <c r="AU377" s="490"/>
      <c r="AV377" s="490"/>
      <c r="AW377" s="490"/>
      <c r="AX377" s="490"/>
      <c r="AY377" s="490"/>
      <c r="AZ377" s="490"/>
      <c r="BA377" s="490"/>
      <c r="BB377" s="490"/>
      <c r="BC377" s="490"/>
      <c r="BD377" s="490"/>
      <c r="BE377" s="490"/>
      <c r="BF377" s="490"/>
      <c r="BG377" s="490"/>
      <c r="BH377" s="490"/>
      <c r="BI377" s="490"/>
      <c r="BJ377" s="490"/>
      <c r="BK377" s="490"/>
      <c r="BL377" s="490"/>
      <c r="BM377" s="490"/>
      <c r="BN377" s="490"/>
      <c r="BO377" s="490"/>
      <c r="BP377" s="490"/>
      <c r="BQ377" s="490"/>
      <c r="BR377" s="490"/>
      <c r="BS377" s="490"/>
      <c r="BT377" s="490"/>
      <c r="BU377" s="490"/>
      <c r="BV377" s="490"/>
      <c r="BW377" s="490"/>
      <c r="BX377" s="490"/>
      <c r="BY377" s="490"/>
      <c r="BZ377" s="490"/>
      <c r="CA377" s="490"/>
      <c r="CB377" s="490"/>
      <c r="CC377" s="490"/>
      <c r="CD377" s="490"/>
      <c r="CE377" s="490"/>
      <c r="CF377" s="490"/>
      <c r="CG377" s="490"/>
      <c r="CH377" s="490"/>
      <c r="CI377" s="490"/>
      <c r="CJ377" s="490"/>
      <c r="CK377" s="490"/>
      <c r="CL377" s="490"/>
      <c r="CM377" s="490"/>
      <c r="CN377" s="490"/>
      <c r="CO377" s="490"/>
      <c r="CP377" s="490"/>
      <c r="CQ377" s="490"/>
      <c r="CR377" s="490"/>
      <c r="CS377" s="490"/>
      <c r="CT377" s="490"/>
      <c r="CU377" s="490"/>
      <c r="CV377" s="490"/>
      <c r="CW377" s="490"/>
      <c r="CX377" s="490"/>
      <c r="CY377" s="490"/>
      <c r="CZ377" s="490"/>
      <c r="DA377" s="490"/>
      <c r="DB377" s="490"/>
      <c r="DC377" s="490"/>
      <c r="DD377" s="490"/>
      <c r="DE377" s="490"/>
      <c r="DF377" s="490"/>
      <c r="DG377" s="490"/>
      <c r="DH377" s="490"/>
      <c r="DI377" s="490"/>
      <c r="DJ377" s="490"/>
      <c r="DK377" s="490"/>
      <c r="DL377" s="490"/>
      <c r="DM377" s="490"/>
      <c r="DN377" s="490"/>
      <c r="DO377" s="490"/>
      <c r="DP377" s="490"/>
      <c r="DQ377" s="490"/>
      <c r="DR377" s="490"/>
      <c r="DS377" s="490"/>
      <c r="DT377" s="490"/>
      <c r="DU377" s="490"/>
      <c r="DV377" s="490"/>
      <c r="DW377" s="490"/>
      <c r="DX377" s="490"/>
      <c r="DY377" s="490"/>
      <c r="DZ377" s="490"/>
      <c r="EA377" s="490"/>
      <c r="EB377" s="490"/>
      <c r="EC377" s="490"/>
      <c r="ED377" s="490"/>
      <c r="EE377" s="490"/>
      <c r="EF377" s="490"/>
      <c r="EG377" s="490"/>
      <c r="EH377" s="490"/>
      <c r="EI377" s="490"/>
      <c r="EJ377" s="490"/>
      <c r="EK377" s="490"/>
      <c r="EL377" s="490"/>
      <c r="EM377" s="490"/>
      <c r="EN377" s="490"/>
      <c r="EO377" s="490"/>
      <c r="EP377" s="490"/>
      <c r="EQ377" s="490"/>
      <c r="ER377" s="490"/>
      <c r="ES377" s="490"/>
      <c r="ET377" s="490"/>
      <c r="EU377" s="490"/>
      <c r="EV377" s="490"/>
      <c r="EW377" s="490"/>
      <c r="EX377" s="490"/>
      <c r="EY377" s="490"/>
      <c r="EZ377" s="490"/>
      <c r="FA377" s="490"/>
      <c r="FB377" s="490"/>
      <c r="FC377" s="490"/>
      <c r="FD377" s="490"/>
      <c r="FE377" s="490"/>
      <c r="FF377" s="490"/>
      <c r="FG377" s="490"/>
      <c r="FH377" s="490"/>
      <c r="FI377" s="490"/>
      <c r="FJ377" s="490"/>
      <c r="FK377" s="490"/>
      <c r="FL377" s="490"/>
      <c r="FM377" s="490"/>
      <c r="FN377" s="490"/>
    </row>
    <row r="378" s="492" customFormat="1" spans="1:170">
      <c r="A378" s="578"/>
      <c r="B378" s="579"/>
      <c r="C378" s="580"/>
      <c r="D378" s="579"/>
      <c r="E378" s="579"/>
      <c r="F378" s="545" t="s">
        <v>148</v>
      </c>
      <c r="G378" s="546">
        <v>1.76</v>
      </c>
      <c r="H378" s="546">
        <v>0.6</v>
      </c>
      <c r="I378" s="546" t="s">
        <v>24</v>
      </c>
      <c r="J378" s="546" t="s">
        <v>24</v>
      </c>
      <c r="K378" s="570"/>
      <c r="L378" s="509"/>
      <c r="M378" s="490"/>
      <c r="N378" s="490"/>
      <c r="O378" s="490"/>
      <c r="P378" s="490"/>
      <c r="Q378" s="490"/>
      <c r="R378" s="490"/>
      <c r="S378" s="490"/>
      <c r="T378" s="490"/>
      <c r="U378" s="490"/>
      <c r="V378" s="490"/>
      <c r="W378" s="490"/>
      <c r="X378" s="490"/>
      <c r="Y378" s="490"/>
      <c r="Z378" s="490"/>
      <c r="AA378" s="490"/>
      <c r="AB378" s="490"/>
      <c r="AC378" s="490"/>
      <c r="AD378" s="490"/>
      <c r="AE378" s="490"/>
      <c r="AF378" s="490"/>
      <c r="AG378" s="490"/>
      <c r="AH378" s="490"/>
      <c r="AI378" s="490"/>
      <c r="AJ378" s="490"/>
      <c r="AK378" s="490"/>
      <c r="AL378" s="490"/>
      <c r="AM378" s="490"/>
      <c r="AN378" s="490"/>
      <c r="AO378" s="490"/>
      <c r="AP378" s="490"/>
      <c r="AQ378" s="490"/>
      <c r="AR378" s="490"/>
      <c r="AS378" s="490"/>
      <c r="AT378" s="490"/>
      <c r="AU378" s="490"/>
      <c r="AV378" s="490"/>
      <c r="AW378" s="490"/>
      <c r="AX378" s="490"/>
      <c r="AY378" s="490"/>
      <c r="AZ378" s="490"/>
      <c r="BA378" s="490"/>
      <c r="BB378" s="490"/>
      <c r="BC378" s="490"/>
      <c r="BD378" s="490"/>
      <c r="BE378" s="490"/>
      <c r="BF378" s="490"/>
      <c r="BG378" s="490"/>
      <c r="BH378" s="490"/>
      <c r="BI378" s="490"/>
      <c r="BJ378" s="490"/>
      <c r="BK378" s="490"/>
      <c r="BL378" s="490"/>
      <c r="BM378" s="490"/>
      <c r="BN378" s="490"/>
      <c r="BO378" s="490"/>
      <c r="BP378" s="490"/>
      <c r="BQ378" s="490"/>
      <c r="BR378" s="490"/>
      <c r="BS378" s="490"/>
      <c r="BT378" s="490"/>
      <c r="BU378" s="490"/>
      <c r="BV378" s="490"/>
      <c r="BW378" s="490"/>
      <c r="BX378" s="490"/>
      <c r="BY378" s="490"/>
      <c r="BZ378" s="490"/>
      <c r="CA378" s="490"/>
      <c r="CB378" s="490"/>
      <c r="CC378" s="490"/>
      <c r="CD378" s="490"/>
      <c r="CE378" s="490"/>
      <c r="CF378" s="490"/>
      <c r="CG378" s="490"/>
      <c r="CH378" s="490"/>
      <c r="CI378" s="490"/>
      <c r="CJ378" s="490"/>
      <c r="CK378" s="490"/>
      <c r="CL378" s="490"/>
      <c r="CM378" s="490"/>
      <c r="CN378" s="490"/>
      <c r="CO378" s="490"/>
      <c r="CP378" s="490"/>
      <c r="CQ378" s="490"/>
      <c r="CR378" s="490"/>
      <c r="CS378" s="490"/>
      <c r="CT378" s="490"/>
      <c r="CU378" s="490"/>
      <c r="CV378" s="490"/>
      <c r="CW378" s="490"/>
      <c r="CX378" s="490"/>
      <c r="CY378" s="490"/>
      <c r="CZ378" s="490"/>
      <c r="DA378" s="490"/>
      <c r="DB378" s="490"/>
      <c r="DC378" s="490"/>
      <c r="DD378" s="490"/>
      <c r="DE378" s="490"/>
      <c r="DF378" s="490"/>
      <c r="DG378" s="490"/>
      <c r="DH378" s="490"/>
      <c r="DI378" s="490"/>
      <c r="DJ378" s="490"/>
      <c r="DK378" s="490"/>
      <c r="DL378" s="490"/>
      <c r="DM378" s="490"/>
      <c r="DN378" s="490"/>
      <c r="DO378" s="490"/>
      <c r="DP378" s="490"/>
      <c r="DQ378" s="490"/>
      <c r="DR378" s="490"/>
      <c r="DS378" s="490"/>
      <c r="DT378" s="490"/>
      <c r="DU378" s="490"/>
      <c r="DV378" s="490"/>
      <c r="DW378" s="490"/>
      <c r="DX378" s="490"/>
      <c r="DY378" s="490"/>
      <c r="DZ378" s="490"/>
      <c r="EA378" s="490"/>
      <c r="EB378" s="490"/>
      <c r="EC378" s="490"/>
      <c r="ED378" s="490"/>
      <c r="EE378" s="490"/>
      <c r="EF378" s="490"/>
      <c r="EG378" s="490"/>
      <c r="EH378" s="490"/>
      <c r="EI378" s="490"/>
      <c r="EJ378" s="490"/>
      <c r="EK378" s="490"/>
      <c r="EL378" s="490"/>
      <c r="EM378" s="490"/>
      <c r="EN378" s="490"/>
      <c r="EO378" s="490"/>
      <c r="EP378" s="490"/>
      <c r="EQ378" s="490"/>
      <c r="ER378" s="490"/>
      <c r="ES378" s="490"/>
      <c r="ET378" s="490"/>
      <c r="EU378" s="490"/>
      <c r="EV378" s="490"/>
      <c r="EW378" s="490"/>
      <c r="EX378" s="490"/>
      <c r="EY378" s="490"/>
      <c r="EZ378" s="490"/>
      <c r="FA378" s="490"/>
      <c r="FB378" s="490"/>
      <c r="FC378" s="490"/>
      <c r="FD378" s="490"/>
      <c r="FE378" s="490"/>
      <c r="FF378" s="490"/>
      <c r="FG378" s="490"/>
      <c r="FH378" s="490"/>
      <c r="FI378" s="490"/>
      <c r="FJ378" s="490"/>
      <c r="FK378" s="490"/>
      <c r="FL378" s="490"/>
      <c r="FM378" s="490"/>
      <c r="FN378" s="490"/>
    </row>
    <row r="379" s="492" customFormat="1" spans="1:170">
      <c r="A379" s="576">
        <v>46196</v>
      </c>
      <c r="B379" s="566" t="s">
        <v>843</v>
      </c>
      <c r="C379" s="560">
        <v>10</v>
      </c>
      <c r="D379" s="566" t="s">
        <v>447</v>
      </c>
      <c r="E379" s="566" t="s">
        <v>831</v>
      </c>
      <c r="F379" s="545" t="s">
        <v>144</v>
      </c>
      <c r="G379" s="546">
        <v>1</v>
      </c>
      <c r="H379" s="546">
        <v>8.9</v>
      </c>
      <c r="I379" s="542" t="s">
        <v>17</v>
      </c>
      <c r="J379" s="546">
        <v>1.57</v>
      </c>
      <c r="K379" s="559" t="s">
        <v>829</v>
      </c>
      <c r="L379" s="509" t="s">
        <v>130</v>
      </c>
      <c r="M379" s="490"/>
      <c r="N379" s="490"/>
      <c r="O379" s="490"/>
      <c r="P379" s="490"/>
      <c r="Q379" s="490"/>
      <c r="R379" s="490"/>
      <c r="S379" s="490"/>
      <c r="T379" s="490"/>
      <c r="U379" s="490"/>
      <c r="V379" s="490"/>
      <c r="W379" s="490"/>
      <c r="X379" s="490"/>
      <c r="Y379" s="490"/>
      <c r="Z379" s="490"/>
      <c r="AA379" s="490"/>
      <c r="AB379" s="490"/>
      <c r="AC379" s="490"/>
      <c r="AD379" s="490"/>
      <c r="AE379" s="490"/>
      <c r="AF379" s="490"/>
      <c r="AG379" s="490"/>
      <c r="AH379" s="490"/>
      <c r="AI379" s="490"/>
      <c r="AJ379" s="490"/>
      <c r="AK379" s="490"/>
      <c r="AL379" s="490"/>
      <c r="AM379" s="490"/>
      <c r="AN379" s="490"/>
      <c r="AO379" s="490"/>
      <c r="AP379" s="490"/>
      <c r="AQ379" s="490"/>
      <c r="AR379" s="490"/>
      <c r="AS379" s="490"/>
      <c r="AT379" s="490"/>
      <c r="AU379" s="490"/>
      <c r="AV379" s="490"/>
      <c r="AW379" s="490"/>
      <c r="AX379" s="490"/>
      <c r="AY379" s="490"/>
      <c r="AZ379" s="490"/>
      <c r="BA379" s="490"/>
      <c r="BB379" s="490"/>
      <c r="BC379" s="490"/>
      <c r="BD379" s="490"/>
      <c r="BE379" s="490"/>
      <c r="BF379" s="490"/>
      <c r="BG379" s="490"/>
      <c r="BH379" s="490"/>
      <c r="BI379" s="490"/>
      <c r="BJ379" s="490"/>
      <c r="BK379" s="490"/>
      <c r="BL379" s="490"/>
      <c r="BM379" s="490"/>
      <c r="BN379" s="490"/>
      <c r="BO379" s="490"/>
      <c r="BP379" s="490"/>
      <c r="BQ379" s="490"/>
      <c r="BR379" s="490"/>
      <c r="BS379" s="490"/>
      <c r="BT379" s="490"/>
      <c r="BU379" s="490"/>
      <c r="BV379" s="490"/>
      <c r="BW379" s="490"/>
      <c r="BX379" s="490"/>
      <c r="BY379" s="490"/>
      <c r="BZ379" s="490"/>
      <c r="CA379" s="490"/>
      <c r="CB379" s="490"/>
      <c r="CC379" s="490"/>
      <c r="CD379" s="490"/>
      <c r="CE379" s="490"/>
      <c r="CF379" s="490"/>
      <c r="CG379" s="490"/>
      <c r="CH379" s="490"/>
      <c r="CI379" s="490"/>
      <c r="CJ379" s="490"/>
      <c r="CK379" s="490"/>
      <c r="CL379" s="490"/>
      <c r="CM379" s="490"/>
      <c r="CN379" s="490"/>
      <c r="CO379" s="490"/>
      <c r="CP379" s="490"/>
      <c r="CQ379" s="490"/>
      <c r="CR379" s="490"/>
      <c r="CS379" s="490"/>
      <c r="CT379" s="490"/>
      <c r="CU379" s="490"/>
      <c r="CV379" s="490"/>
      <c r="CW379" s="490"/>
      <c r="CX379" s="490"/>
      <c r="CY379" s="490"/>
      <c r="CZ379" s="490"/>
      <c r="DA379" s="490"/>
      <c r="DB379" s="490"/>
      <c r="DC379" s="490"/>
      <c r="DD379" s="490"/>
      <c r="DE379" s="490"/>
      <c r="DF379" s="490"/>
      <c r="DG379" s="490"/>
      <c r="DH379" s="490"/>
      <c r="DI379" s="490"/>
      <c r="DJ379" s="490"/>
      <c r="DK379" s="490"/>
      <c r="DL379" s="490"/>
      <c r="DM379" s="490"/>
      <c r="DN379" s="490"/>
      <c r="DO379" s="490"/>
      <c r="DP379" s="490"/>
      <c r="DQ379" s="490"/>
      <c r="DR379" s="490"/>
      <c r="DS379" s="490"/>
      <c r="DT379" s="490"/>
      <c r="DU379" s="490"/>
      <c r="DV379" s="490"/>
      <c r="DW379" s="490"/>
      <c r="DX379" s="490"/>
      <c r="DY379" s="490"/>
      <c r="DZ379" s="490"/>
      <c r="EA379" s="490"/>
      <c r="EB379" s="490"/>
      <c r="EC379" s="490"/>
      <c r="ED379" s="490"/>
      <c r="EE379" s="490"/>
      <c r="EF379" s="490"/>
      <c r="EG379" s="490"/>
      <c r="EH379" s="490"/>
      <c r="EI379" s="490"/>
      <c r="EJ379" s="490"/>
      <c r="EK379" s="490"/>
      <c r="EL379" s="490"/>
      <c r="EM379" s="490"/>
      <c r="EN379" s="490"/>
      <c r="EO379" s="490"/>
      <c r="EP379" s="490"/>
      <c r="EQ379" s="490"/>
      <c r="ER379" s="490"/>
      <c r="ES379" s="490"/>
      <c r="ET379" s="490"/>
      <c r="EU379" s="490"/>
      <c r="EV379" s="490"/>
      <c r="EW379" s="490"/>
      <c r="EX379" s="490"/>
      <c r="EY379" s="490"/>
      <c r="EZ379" s="490"/>
      <c r="FA379" s="490"/>
      <c r="FB379" s="490"/>
      <c r="FC379" s="490"/>
      <c r="FD379" s="490"/>
      <c r="FE379" s="490"/>
      <c r="FF379" s="490"/>
      <c r="FG379" s="490"/>
      <c r="FH379" s="490"/>
      <c r="FI379" s="490"/>
      <c r="FJ379" s="490"/>
      <c r="FK379" s="490"/>
      <c r="FL379" s="490"/>
      <c r="FM379" s="490"/>
      <c r="FN379" s="490"/>
    </row>
    <row r="380" s="492" customFormat="1" spans="1:170">
      <c r="A380" s="577"/>
      <c r="B380" s="568"/>
      <c r="C380" s="567"/>
      <c r="D380" s="568"/>
      <c r="E380" s="568"/>
      <c r="F380" s="545" t="s">
        <v>750</v>
      </c>
      <c r="G380" s="546">
        <v>1.1667</v>
      </c>
      <c r="H380" s="546">
        <v>0.5</v>
      </c>
      <c r="I380" s="542" t="s">
        <v>22</v>
      </c>
      <c r="J380" s="546">
        <v>1.77</v>
      </c>
      <c r="K380" s="569"/>
      <c r="L380" s="509"/>
      <c r="M380" s="490"/>
      <c r="N380" s="490"/>
      <c r="O380" s="490"/>
      <c r="P380" s="490"/>
      <c r="Q380" s="490"/>
      <c r="R380" s="490"/>
      <c r="S380" s="490"/>
      <c r="T380" s="490"/>
      <c r="U380" s="490"/>
      <c r="V380" s="490"/>
      <c r="W380" s="490"/>
      <c r="X380" s="490"/>
      <c r="Y380" s="490"/>
      <c r="Z380" s="490"/>
      <c r="AA380" s="490"/>
      <c r="AB380" s="490"/>
      <c r="AC380" s="490"/>
      <c r="AD380" s="490"/>
      <c r="AE380" s="490"/>
      <c r="AF380" s="490"/>
      <c r="AG380" s="490"/>
      <c r="AH380" s="490"/>
      <c r="AI380" s="490"/>
      <c r="AJ380" s="490"/>
      <c r="AK380" s="490"/>
      <c r="AL380" s="490"/>
      <c r="AM380" s="490"/>
      <c r="AN380" s="490"/>
      <c r="AO380" s="490"/>
      <c r="AP380" s="490"/>
      <c r="AQ380" s="490"/>
      <c r="AR380" s="490"/>
      <c r="AS380" s="490"/>
      <c r="AT380" s="490"/>
      <c r="AU380" s="490"/>
      <c r="AV380" s="490"/>
      <c r="AW380" s="490"/>
      <c r="AX380" s="490"/>
      <c r="AY380" s="490"/>
      <c r="AZ380" s="490"/>
      <c r="BA380" s="490"/>
      <c r="BB380" s="490"/>
      <c r="BC380" s="490"/>
      <c r="BD380" s="490"/>
      <c r="BE380" s="490"/>
      <c r="BF380" s="490"/>
      <c r="BG380" s="490"/>
      <c r="BH380" s="490"/>
      <c r="BI380" s="490"/>
      <c r="BJ380" s="490"/>
      <c r="BK380" s="490"/>
      <c r="BL380" s="490"/>
      <c r="BM380" s="490"/>
      <c r="BN380" s="490"/>
      <c r="BO380" s="490"/>
      <c r="BP380" s="490"/>
      <c r="BQ380" s="490"/>
      <c r="BR380" s="490"/>
      <c r="BS380" s="490"/>
      <c r="BT380" s="490"/>
      <c r="BU380" s="490"/>
      <c r="BV380" s="490"/>
      <c r="BW380" s="490"/>
      <c r="BX380" s="490"/>
      <c r="BY380" s="490"/>
      <c r="BZ380" s="490"/>
      <c r="CA380" s="490"/>
      <c r="CB380" s="490"/>
      <c r="CC380" s="490"/>
      <c r="CD380" s="490"/>
      <c r="CE380" s="490"/>
      <c r="CF380" s="490"/>
      <c r="CG380" s="490"/>
      <c r="CH380" s="490"/>
      <c r="CI380" s="490"/>
      <c r="CJ380" s="490"/>
      <c r="CK380" s="490"/>
      <c r="CL380" s="490"/>
      <c r="CM380" s="490"/>
      <c r="CN380" s="490"/>
      <c r="CO380" s="490"/>
      <c r="CP380" s="490"/>
      <c r="CQ380" s="490"/>
      <c r="CR380" s="490"/>
      <c r="CS380" s="490"/>
      <c r="CT380" s="490"/>
      <c r="CU380" s="490"/>
      <c r="CV380" s="490"/>
      <c r="CW380" s="490"/>
      <c r="CX380" s="490"/>
      <c r="CY380" s="490"/>
      <c r="CZ380" s="490"/>
      <c r="DA380" s="490"/>
      <c r="DB380" s="490"/>
      <c r="DC380" s="490"/>
      <c r="DD380" s="490"/>
      <c r="DE380" s="490"/>
      <c r="DF380" s="490"/>
      <c r="DG380" s="490"/>
      <c r="DH380" s="490"/>
      <c r="DI380" s="490"/>
      <c r="DJ380" s="490"/>
      <c r="DK380" s="490"/>
      <c r="DL380" s="490"/>
      <c r="DM380" s="490"/>
      <c r="DN380" s="490"/>
      <c r="DO380" s="490"/>
      <c r="DP380" s="490"/>
      <c r="DQ380" s="490"/>
      <c r="DR380" s="490"/>
      <c r="DS380" s="490"/>
      <c r="DT380" s="490"/>
      <c r="DU380" s="490"/>
      <c r="DV380" s="490"/>
      <c r="DW380" s="490"/>
      <c r="DX380" s="490"/>
      <c r="DY380" s="490"/>
      <c r="DZ380" s="490"/>
      <c r="EA380" s="490"/>
      <c r="EB380" s="490"/>
      <c r="EC380" s="490"/>
      <c r="ED380" s="490"/>
      <c r="EE380" s="490"/>
      <c r="EF380" s="490"/>
      <c r="EG380" s="490"/>
      <c r="EH380" s="490"/>
      <c r="EI380" s="490"/>
      <c r="EJ380" s="490"/>
      <c r="EK380" s="490"/>
      <c r="EL380" s="490"/>
      <c r="EM380" s="490"/>
      <c r="EN380" s="490"/>
      <c r="EO380" s="490"/>
      <c r="EP380" s="490"/>
      <c r="EQ380" s="490"/>
      <c r="ER380" s="490"/>
      <c r="ES380" s="490"/>
      <c r="ET380" s="490"/>
      <c r="EU380" s="490"/>
      <c r="EV380" s="490"/>
      <c r="EW380" s="490"/>
      <c r="EX380" s="490"/>
      <c r="EY380" s="490"/>
      <c r="EZ380" s="490"/>
      <c r="FA380" s="490"/>
      <c r="FB380" s="490"/>
      <c r="FC380" s="490"/>
      <c r="FD380" s="490"/>
      <c r="FE380" s="490"/>
      <c r="FF380" s="490"/>
      <c r="FG380" s="490"/>
      <c r="FH380" s="490"/>
      <c r="FI380" s="490"/>
      <c r="FJ380" s="490"/>
      <c r="FK380" s="490"/>
      <c r="FL380" s="490"/>
      <c r="FM380" s="490"/>
      <c r="FN380" s="490"/>
    </row>
    <row r="381" s="492" customFormat="1" spans="1:170">
      <c r="A381" s="578"/>
      <c r="B381" s="579"/>
      <c r="C381" s="580"/>
      <c r="D381" s="579"/>
      <c r="E381" s="579"/>
      <c r="F381" s="545" t="s">
        <v>148</v>
      </c>
      <c r="G381" s="546">
        <v>1.7486</v>
      </c>
      <c r="H381" s="546">
        <v>0.6</v>
      </c>
      <c r="I381" s="546" t="s">
        <v>24</v>
      </c>
      <c r="J381" s="546" t="s">
        <v>24</v>
      </c>
      <c r="K381" s="570"/>
      <c r="L381" s="509"/>
      <c r="M381" s="490"/>
      <c r="N381" s="490"/>
      <c r="O381" s="490"/>
      <c r="P381" s="490"/>
      <c r="Q381" s="490"/>
      <c r="R381" s="490"/>
      <c r="S381" s="490"/>
      <c r="T381" s="490"/>
      <c r="U381" s="490"/>
      <c r="V381" s="490"/>
      <c r="W381" s="490"/>
      <c r="X381" s="490"/>
      <c r="Y381" s="490"/>
      <c r="Z381" s="490"/>
      <c r="AA381" s="490"/>
      <c r="AB381" s="490"/>
      <c r="AC381" s="490"/>
      <c r="AD381" s="490"/>
      <c r="AE381" s="490"/>
      <c r="AF381" s="490"/>
      <c r="AG381" s="490"/>
      <c r="AH381" s="490"/>
      <c r="AI381" s="490"/>
      <c r="AJ381" s="490"/>
      <c r="AK381" s="490"/>
      <c r="AL381" s="490"/>
      <c r="AM381" s="490"/>
      <c r="AN381" s="490"/>
      <c r="AO381" s="490"/>
      <c r="AP381" s="490"/>
      <c r="AQ381" s="490"/>
      <c r="AR381" s="490"/>
      <c r="AS381" s="490"/>
      <c r="AT381" s="490"/>
      <c r="AU381" s="490"/>
      <c r="AV381" s="490"/>
      <c r="AW381" s="490"/>
      <c r="AX381" s="490"/>
      <c r="AY381" s="490"/>
      <c r="AZ381" s="490"/>
      <c r="BA381" s="490"/>
      <c r="BB381" s="490"/>
      <c r="BC381" s="490"/>
      <c r="BD381" s="490"/>
      <c r="BE381" s="490"/>
      <c r="BF381" s="490"/>
      <c r="BG381" s="490"/>
      <c r="BH381" s="490"/>
      <c r="BI381" s="490"/>
      <c r="BJ381" s="490"/>
      <c r="BK381" s="490"/>
      <c r="BL381" s="490"/>
      <c r="BM381" s="490"/>
      <c r="BN381" s="490"/>
      <c r="BO381" s="490"/>
      <c r="BP381" s="490"/>
      <c r="BQ381" s="490"/>
      <c r="BR381" s="490"/>
      <c r="BS381" s="490"/>
      <c r="BT381" s="490"/>
      <c r="BU381" s="490"/>
      <c r="BV381" s="490"/>
      <c r="BW381" s="490"/>
      <c r="BX381" s="490"/>
      <c r="BY381" s="490"/>
      <c r="BZ381" s="490"/>
      <c r="CA381" s="490"/>
      <c r="CB381" s="490"/>
      <c r="CC381" s="490"/>
      <c r="CD381" s="490"/>
      <c r="CE381" s="490"/>
      <c r="CF381" s="490"/>
      <c r="CG381" s="490"/>
      <c r="CH381" s="490"/>
      <c r="CI381" s="490"/>
      <c r="CJ381" s="490"/>
      <c r="CK381" s="490"/>
      <c r="CL381" s="490"/>
      <c r="CM381" s="490"/>
      <c r="CN381" s="490"/>
      <c r="CO381" s="490"/>
      <c r="CP381" s="490"/>
      <c r="CQ381" s="490"/>
      <c r="CR381" s="490"/>
      <c r="CS381" s="490"/>
      <c r="CT381" s="490"/>
      <c r="CU381" s="490"/>
      <c r="CV381" s="490"/>
      <c r="CW381" s="490"/>
      <c r="CX381" s="490"/>
      <c r="CY381" s="490"/>
      <c r="CZ381" s="490"/>
      <c r="DA381" s="490"/>
      <c r="DB381" s="490"/>
      <c r="DC381" s="490"/>
      <c r="DD381" s="490"/>
      <c r="DE381" s="490"/>
      <c r="DF381" s="490"/>
      <c r="DG381" s="490"/>
      <c r="DH381" s="490"/>
      <c r="DI381" s="490"/>
      <c r="DJ381" s="490"/>
      <c r="DK381" s="490"/>
      <c r="DL381" s="490"/>
      <c r="DM381" s="490"/>
      <c r="DN381" s="490"/>
      <c r="DO381" s="490"/>
      <c r="DP381" s="490"/>
      <c r="DQ381" s="490"/>
      <c r="DR381" s="490"/>
      <c r="DS381" s="490"/>
      <c r="DT381" s="490"/>
      <c r="DU381" s="490"/>
      <c r="DV381" s="490"/>
      <c r="DW381" s="490"/>
      <c r="DX381" s="490"/>
      <c r="DY381" s="490"/>
      <c r="DZ381" s="490"/>
      <c r="EA381" s="490"/>
      <c r="EB381" s="490"/>
      <c r="EC381" s="490"/>
      <c r="ED381" s="490"/>
      <c r="EE381" s="490"/>
      <c r="EF381" s="490"/>
      <c r="EG381" s="490"/>
      <c r="EH381" s="490"/>
      <c r="EI381" s="490"/>
      <c r="EJ381" s="490"/>
      <c r="EK381" s="490"/>
      <c r="EL381" s="490"/>
      <c r="EM381" s="490"/>
      <c r="EN381" s="490"/>
      <c r="EO381" s="490"/>
      <c r="EP381" s="490"/>
      <c r="EQ381" s="490"/>
      <c r="ER381" s="490"/>
      <c r="ES381" s="490"/>
      <c r="ET381" s="490"/>
      <c r="EU381" s="490"/>
      <c r="EV381" s="490"/>
      <c r="EW381" s="490"/>
      <c r="EX381" s="490"/>
      <c r="EY381" s="490"/>
      <c r="EZ381" s="490"/>
      <c r="FA381" s="490"/>
      <c r="FB381" s="490"/>
      <c r="FC381" s="490"/>
      <c r="FD381" s="490"/>
      <c r="FE381" s="490"/>
      <c r="FF381" s="490"/>
      <c r="FG381" s="490"/>
      <c r="FH381" s="490"/>
      <c r="FI381" s="490"/>
      <c r="FJ381" s="490"/>
      <c r="FK381" s="490"/>
      <c r="FL381" s="490"/>
      <c r="FM381" s="490"/>
      <c r="FN381" s="490"/>
    </row>
    <row r="382" s="492" customFormat="1" spans="1:170">
      <c r="A382" s="576">
        <v>46196</v>
      </c>
      <c r="B382" s="566" t="s">
        <v>844</v>
      </c>
      <c r="C382" s="560">
        <v>10</v>
      </c>
      <c r="D382" s="566" t="s">
        <v>279</v>
      </c>
      <c r="E382" s="566" t="s">
        <v>831</v>
      </c>
      <c r="F382" s="545" t="s">
        <v>144</v>
      </c>
      <c r="G382" s="546">
        <v>0.8795</v>
      </c>
      <c r="H382" s="546">
        <v>9</v>
      </c>
      <c r="I382" s="542" t="s">
        <v>17</v>
      </c>
      <c r="J382" s="546">
        <v>1.57</v>
      </c>
      <c r="K382" s="559" t="s">
        <v>827</v>
      </c>
      <c r="L382" s="545"/>
      <c r="M382" s="490"/>
      <c r="N382" s="490"/>
      <c r="O382" s="490"/>
      <c r="P382" s="490"/>
      <c r="Q382" s="490"/>
      <c r="R382" s="490"/>
      <c r="S382" s="490"/>
      <c r="T382" s="490"/>
      <c r="U382" s="490"/>
      <c r="V382" s="490"/>
      <c r="W382" s="490"/>
      <c r="X382" s="490"/>
      <c r="Y382" s="490"/>
      <c r="Z382" s="490"/>
      <c r="AA382" s="490"/>
      <c r="AB382" s="490"/>
      <c r="AC382" s="490"/>
      <c r="AD382" s="490"/>
      <c r="AE382" s="490"/>
      <c r="AF382" s="490"/>
      <c r="AG382" s="490"/>
      <c r="AH382" s="490"/>
      <c r="AI382" s="490"/>
      <c r="AJ382" s="490"/>
      <c r="AK382" s="490"/>
      <c r="AL382" s="490"/>
      <c r="AM382" s="490"/>
      <c r="AN382" s="490"/>
      <c r="AO382" s="490"/>
      <c r="AP382" s="490"/>
      <c r="AQ382" s="490"/>
      <c r="AR382" s="490"/>
      <c r="AS382" s="490"/>
      <c r="AT382" s="490"/>
      <c r="AU382" s="490"/>
      <c r="AV382" s="490"/>
      <c r="AW382" s="490"/>
      <c r="AX382" s="490"/>
      <c r="AY382" s="490"/>
      <c r="AZ382" s="490"/>
      <c r="BA382" s="490"/>
      <c r="BB382" s="490"/>
      <c r="BC382" s="490"/>
      <c r="BD382" s="490"/>
      <c r="BE382" s="490"/>
      <c r="BF382" s="490"/>
      <c r="BG382" s="490"/>
      <c r="BH382" s="490"/>
      <c r="BI382" s="490"/>
      <c r="BJ382" s="490"/>
      <c r="BK382" s="490"/>
      <c r="BL382" s="490"/>
      <c r="BM382" s="490"/>
      <c r="BN382" s="490"/>
      <c r="BO382" s="490"/>
      <c r="BP382" s="490"/>
      <c r="BQ382" s="490"/>
      <c r="BR382" s="490"/>
      <c r="BS382" s="490"/>
      <c r="BT382" s="490"/>
      <c r="BU382" s="490"/>
      <c r="BV382" s="490"/>
      <c r="BW382" s="490"/>
      <c r="BX382" s="490"/>
      <c r="BY382" s="490"/>
      <c r="BZ382" s="490"/>
      <c r="CA382" s="490"/>
      <c r="CB382" s="490"/>
      <c r="CC382" s="490"/>
      <c r="CD382" s="490"/>
      <c r="CE382" s="490"/>
      <c r="CF382" s="490"/>
      <c r="CG382" s="490"/>
      <c r="CH382" s="490"/>
      <c r="CI382" s="490"/>
      <c r="CJ382" s="490"/>
      <c r="CK382" s="490"/>
      <c r="CL382" s="490"/>
      <c r="CM382" s="490"/>
      <c r="CN382" s="490"/>
      <c r="CO382" s="490"/>
      <c r="CP382" s="490"/>
      <c r="CQ382" s="490"/>
      <c r="CR382" s="490"/>
      <c r="CS382" s="490"/>
      <c r="CT382" s="490"/>
      <c r="CU382" s="490"/>
      <c r="CV382" s="490"/>
      <c r="CW382" s="490"/>
      <c r="CX382" s="490"/>
      <c r="CY382" s="490"/>
      <c r="CZ382" s="490"/>
      <c r="DA382" s="490"/>
      <c r="DB382" s="490"/>
      <c r="DC382" s="490"/>
      <c r="DD382" s="490"/>
      <c r="DE382" s="490"/>
      <c r="DF382" s="490"/>
      <c r="DG382" s="490"/>
      <c r="DH382" s="490"/>
      <c r="DI382" s="490"/>
      <c r="DJ382" s="490"/>
      <c r="DK382" s="490"/>
      <c r="DL382" s="490"/>
      <c r="DM382" s="490"/>
      <c r="DN382" s="490"/>
      <c r="DO382" s="490"/>
      <c r="DP382" s="490"/>
      <c r="DQ382" s="490"/>
      <c r="DR382" s="490"/>
      <c r="DS382" s="490"/>
      <c r="DT382" s="490"/>
      <c r="DU382" s="490"/>
      <c r="DV382" s="490"/>
      <c r="DW382" s="490"/>
      <c r="DX382" s="490"/>
      <c r="DY382" s="490"/>
      <c r="DZ382" s="490"/>
      <c r="EA382" s="490"/>
      <c r="EB382" s="490"/>
      <c r="EC382" s="490"/>
      <c r="ED382" s="490"/>
      <c r="EE382" s="490"/>
      <c r="EF382" s="490"/>
      <c r="EG382" s="490"/>
      <c r="EH382" s="490"/>
      <c r="EI382" s="490"/>
      <c r="EJ382" s="490"/>
      <c r="EK382" s="490"/>
      <c r="EL382" s="490"/>
      <c r="EM382" s="490"/>
      <c r="EN382" s="490"/>
      <c r="EO382" s="490"/>
      <c r="EP382" s="490"/>
      <c r="EQ382" s="490"/>
      <c r="ER382" s="490"/>
      <c r="ES382" s="490"/>
      <c r="ET382" s="490"/>
      <c r="EU382" s="490"/>
      <c r="EV382" s="490"/>
      <c r="EW382" s="490"/>
      <c r="EX382" s="490"/>
      <c r="EY382" s="490"/>
      <c r="EZ382" s="490"/>
      <c r="FA382" s="490"/>
      <c r="FB382" s="490"/>
      <c r="FC382" s="490"/>
      <c r="FD382" s="490"/>
      <c r="FE382" s="490"/>
      <c r="FF382" s="490"/>
      <c r="FG382" s="490"/>
      <c r="FH382" s="490"/>
      <c r="FI382" s="490"/>
      <c r="FJ382" s="490"/>
      <c r="FK382" s="490"/>
      <c r="FL382" s="490"/>
      <c r="FM382" s="490"/>
      <c r="FN382" s="490"/>
    </row>
    <row r="383" s="492" customFormat="1" spans="1:170">
      <c r="A383" s="577"/>
      <c r="B383" s="568"/>
      <c r="C383" s="567"/>
      <c r="D383" s="568"/>
      <c r="E383" s="568"/>
      <c r="F383" s="545" t="s">
        <v>750</v>
      </c>
      <c r="G383" s="546">
        <v>1.1148</v>
      </c>
      <c r="H383" s="546">
        <v>0.3</v>
      </c>
      <c r="I383" s="542" t="s">
        <v>22</v>
      </c>
      <c r="J383" s="546">
        <v>1.77</v>
      </c>
      <c r="K383" s="569"/>
      <c r="L383" s="545"/>
      <c r="M383" s="490"/>
      <c r="N383" s="490"/>
      <c r="O383" s="490"/>
      <c r="P383" s="490"/>
      <c r="Q383" s="490"/>
      <c r="R383" s="490"/>
      <c r="S383" s="490"/>
      <c r="T383" s="490"/>
      <c r="U383" s="490"/>
      <c r="V383" s="490"/>
      <c r="W383" s="490"/>
      <c r="X383" s="490"/>
      <c r="Y383" s="490"/>
      <c r="Z383" s="490"/>
      <c r="AA383" s="490"/>
      <c r="AB383" s="490"/>
      <c r="AC383" s="490"/>
      <c r="AD383" s="490"/>
      <c r="AE383" s="490"/>
      <c r="AF383" s="490"/>
      <c r="AG383" s="490"/>
      <c r="AH383" s="490"/>
      <c r="AI383" s="490"/>
      <c r="AJ383" s="490"/>
      <c r="AK383" s="490"/>
      <c r="AL383" s="490"/>
      <c r="AM383" s="490"/>
      <c r="AN383" s="490"/>
      <c r="AO383" s="490"/>
      <c r="AP383" s="490"/>
      <c r="AQ383" s="490"/>
      <c r="AR383" s="490"/>
      <c r="AS383" s="490"/>
      <c r="AT383" s="490"/>
      <c r="AU383" s="490"/>
      <c r="AV383" s="490"/>
      <c r="AW383" s="490"/>
      <c r="AX383" s="490"/>
      <c r="AY383" s="490"/>
      <c r="AZ383" s="490"/>
      <c r="BA383" s="490"/>
      <c r="BB383" s="490"/>
      <c r="BC383" s="490"/>
      <c r="BD383" s="490"/>
      <c r="BE383" s="490"/>
      <c r="BF383" s="490"/>
      <c r="BG383" s="490"/>
      <c r="BH383" s="490"/>
      <c r="BI383" s="490"/>
      <c r="BJ383" s="490"/>
      <c r="BK383" s="490"/>
      <c r="BL383" s="490"/>
      <c r="BM383" s="490"/>
      <c r="BN383" s="490"/>
      <c r="BO383" s="490"/>
      <c r="BP383" s="490"/>
      <c r="BQ383" s="490"/>
      <c r="BR383" s="490"/>
      <c r="BS383" s="490"/>
      <c r="BT383" s="490"/>
      <c r="BU383" s="490"/>
      <c r="BV383" s="490"/>
      <c r="BW383" s="490"/>
      <c r="BX383" s="490"/>
      <c r="BY383" s="490"/>
      <c r="BZ383" s="490"/>
      <c r="CA383" s="490"/>
      <c r="CB383" s="490"/>
      <c r="CC383" s="490"/>
      <c r="CD383" s="490"/>
      <c r="CE383" s="490"/>
      <c r="CF383" s="490"/>
      <c r="CG383" s="490"/>
      <c r="CH383" s="490"/>
      <c r="CI383" s="490"/>
      <c r="CJ383" s="490"/>
      <c r="CK383" s="490"/>
      <c r="CL383" s="490"/>
      <c r="CM383" s="490"/>
      <c r="CN383" s="490"/>
      <c r="CO383" s="490"/>
      <c r="CP383" s="490"/>
      <c r="CQ383" s="490"/>
      <c r="CR383" s="490"/>
      <c r="CS383" s="490"/>
      <c r="CT383" s="490"/>
      <c r="CU383" s="490"/>
      <c r="CV383" s="490"/>
      <c r="CW383" s="490"/>
      <c r="CX383" s="490"/>
      <c r="CY383" s="490"/>
      <c r="CZ383" s="490"/>
      <c r="DA383" s="490"/>
      <c r="DB383" s="490"/>
      <c r="DC383" s="490"/>
      <c r="DD383" s="490"/>
      <c r="DE383" s="490"/>
      <c r="DF383" s="490"/>
      <c r="DG383" s="490"/>
      <c r="DH383" s="490"/>
      <c r="DI383" s="490"/>
      <c r="DJ383" s="490"/>
      <c r="DK383" s="490"/>
      <c r="DL383" s="490"/>
      <c r="DM383" s="490"/>
      <c r="DN383" s="490"/>
      <c r="DO383" s="490"/>
      <c r="DP383" s="490"/>
      <c r="DQ383" s="490"/>
      <c r="DR383" s="490"/>
      <c r="DS383" s="490"/>
      <c r="DT383" s="490"/>
      <c r="DU383" s="490"/>
      <c r="DV383" s="490"/>
      <c r="DW383" s="490"/>
      <c r="DX383" s="490"/>
      <c r="DY383" s="490"/>
      <c r="DZ383" s="490"/>
      <c r="EA383" s="490"/>
      <c r="EB383" s="490"/>
      <c r="EC383" s="490"/>
      <c r="ED383" s="490"/>
      <c r="EE383" s="490"/>
      <c r="EF383" s="490"/>
      <c r="EG383" s="490"/>
      <c r="EH383" s="490"/>
      <c r="EI383" s="490"/>
      <c r="EJ383" s="490"/>
      <c r="EK383" s="490"/>
      <c r="EL383" s="490"/>
      <c r="EM383" s="490"/>
      <c r="EN383" s="490"/>
      <c r="EO383" s="490"/>
      <c r="EP383" s="490"/>
      <c r="EQ383" s="490"/>
      <c r="ER383" s="490"/>
      <c r="ES383" s="490"/>
      <c r="ET383" s="490"/>
      <c r="EU383" s="490"/>
      <c r="EV383" s="490"/>
      <c r="EW383" s="490"/>
      <c r="EX383" s="490"/>
      <c r="EY383" s="490"/>
      <c r="EZ383" s="490"/>
      <c r="FA383" s="490"/>
      <c r="FB383" s="490"/>
      <c r="FC383" s="490"/>
      <c r="FD383" s="490"/>
      <c r="FE383" s="490"/>
      <c r="FF383" s="490"/>
      <c r="FG383" s="490"/>
      <c r="FH383" s="490"/>
      <c r="FI383" s="490"/>
      <c r="FJ383" s="490"/>
      <c r="FK383" s="490"/>
      <c r="FL383" s="490"/>
      <c r="FM383" s="490"/>
      <c r="FN383" s="490"/>
    </row>
    <row r="384" s="492" customFormat="1" spans="1:170">
      <c r="A384" s="578"/>
      <c r="B384" s="579"/>
      <c r="C384" s="580"/>
      <c r="D384" s="579"/>
      <c r="E384" s="579"/>
      <c r="F384" s="545" t="s">
        <v>148</v>
      </c>
      <c r="G384" s="546">
        <v>1.6311</v>
      </c>
      <c r="H384" s="546">
        <v>0.7</v>
      </c>
      <c r="I384" s="546" t="s">
        <v>24</v>
      </c>
      <c r="J384" s="546" t="s">
        <v>24</v>
      </c>
      <c r="K384" s="570"/>
      <c r="L384" s="545"/>
      <c r="M384" s="490"/>
      <c r="N384" s="490"/>
      <c r="O384" s="490"/>
      <c r="P384" s="490"/>
      <c r="Q384" s="490"/>
      <c r="R384" s="490"/>
      <c r="S384" s="490"/>
      <c r="T384" s="490"/>
      <c r="U384" s="490"/>
      <c r="V384" s="490"/>
      <c r="W384" s="490"/>
      <c r="X384" s="490"/>
      <c r="Y384" s="490"/>
      <c r="Z384" s="490"/>
      <c r="AA384" s="490"/>
      <c r="AB384" s="490"/>
      <c r="AC384" s="490"/>
      <c r="AD384" s="490"/>
      <c r="AE384" s="490"/>
      <c r="AF384" s="490"/>
      <c r="AG384" s="490"/>
      <c r="AH384" s="490"/>
      <c r="AI384" s="490"/>
      <c r="AJ384" s="490"/>
      <c r="AK384" s="490"/>
      <c r="AL384" s="490"/>
      <c r="AM384" s="490"/>
      <c r="AN384" s="490"/>
      <c r="AO384" s="490"/>
      <c r="AP384" s="490"/>
      <c r="AQ384" s="490"/>
      <c r="AR384" s="490"/>
      <c r="AS384" s="490"/>
      <c r="AT384" s="490"/>
      <c r="AU384" s="490"/>
      <c r="AV384" s="490"/>
      <c r="AW384" s="490"/>
      <c r="AX384" s="490"/>
      <c r="AY384" s="490"/>
      <c r="AZ384" s="490"/>
      <c r="BA384" s="490"/>
      <c r="BB384" s="490"/>
      <c r="BC384" s="490"/>
      <c r="BD384" s="490"/>
      <c r="BE384" s="490"/>
      <c r="BF384" s="490"/>
      <c r="BG384" s="490"/>
      <c r="BH384" s="490"/>
      <c r="BI384" s="490"/>
      <c r="BJ384" s="490"/>
      <c r="BK384" s="490"/>
      <c r="BL384" s="490"/>
      <c r="BM384" s="490"/>
      <c r="BN384" s="490"/>
      <c r="BO384" s="490"/>
      <c r="BP384" s="490"/>
      <c r="BQ384" s="490"/>
      <c r="BR384" s="490"/>
      <c r="BS384" s="490"/>
      <c r="BT384" s="490"/>
      <c r="BU384" s="490"/>
      <c r="BV384" s="490"/>
      <c r="BW384" s="490"/>
      <c r="BX384" s="490"/>
      <c r="BY384" s="490"/>
      <c r="BZ384" s="490"/>
      <c r="CA384" s="490"/>
      <c r="CB384" s="490"/>
      <c r="CC384" s="490"/>
      <c r="CD384" s="490"/>
      <c r="CE384" s="490"/>
      <c r="CF384" s="490"/>
      <c r="CG384" s="490"/>
      <c r="CH384" s="490"/>
      <c r="CI384" s="490"/>
      <c r="CJ384" s="490"/>
      <c r="CK384" s="490"/>
      <c r="CL384" s="490"/>
      <c r="CM384" s="490"/>
      <c r="CN384" s="490"/>
      <c r="CO384" s="490"/>
      <c r="CP384" s="490"/>
      <c r="CQ384" s="490"/>
      <c r="CR384" s="490"/>
      <c r="CS384" s="490"/>
      <c r="CT384" s="490"/>
      <c r="CU384" s="490"/>
      <c r="CV384" s="490"/>
      <c r="CW384" s="490"/>
      <c r="CX384" s="490"/>
      <c r="CY384" s="490"/>
      <c r="CZ384" s="490"/>
      <c r="DA384" s="490"/>
      <c r="DB384" s="490"/>
      <c r="DC384" s="490"/>
      <c r="DD384" s="490"/>
      <c r="DE384" s="490"/>
      <c r="DF384" s="490"/>
      <c r="DG384" s="490"/>
      <c r="DH384" s="490"/>
      <c r="DI384" s="490"/>
      <c r="DJ384" s="490"/>
      <c r="DK384" s="490"/>
      <c r="DL384" s="490"/>
      <c r="DM384" s="490"/>
      <c r="DN384" s="490"/>
      <c r="DO384" s="490"/>
      <c r="DP384" s="490"/>
      <c r="DQ384" s="490"/>
      <c r="DR384" s="490"/>
      <c r="DS384" s="490"/>
      <c r="DT384" s="490"/>
      <c r="DU384" s="490"/>
      <c r="DV384" s="490"/>
      <c r="DW384" s="490"/>
      <c r="DX384" s="490"/>
      <c r="DY384" s="490"/>
      <c r="DZ384" s="490"/>
      <c r="EA384" s="490"/>
      <c r="EB384" s="490"/>
      <c r="EC384" s="490"/>
      <c r="ED384" s="490"/>
      <c r="EE384" s="490"/>
      <c r="EF384" s="490"/>
      <c r="EG384" s="490"/>
      <c r="EH384" s="490"/>
      <c r="EI384" s="490"/>
      <c r="EJ384" s="490"/>
      <c r="EK384" s="490"/>
      <c r="EL384" s="490"/>
      <c r="EM384" s="490"/>
      <c r="EN384" s="490"/>
      <c r="EO384" s="490"/>
      <c r="EP384" s="490"/>
      <c r="EQ384" s="490"/>
      <c r="ER384" s="490"/>
      <c r="ES384" s="490"/>
      <c r="ET384" s="490"/>
      <c r="EU384" s="490"/>
      <c r="EV384" s="490"/>
      <c r="EW384" s="490"/>
      <c r="EX384" s="490"/>
      <c r="EY384" s="490"/>
      <c r="EZ384" s="490"/>
      <c r="FA384" s="490"/>
      <c r="FB384" s="490"/>
      <c r="FC384" s="490"/>
      <c r="FD384" s="490"/>
      <c r="FE384" s="490"/>
      <c r="FF384" s="490"/>
      <c r="FG384" s="490"/>
      <c r="FH384" s="490"/>
      <c r="FI384" s="490"/>
      <c r="FJ384" s="490"/>
      <c r="FK384" s="490"/>
      <c r="FL384" s="490"/>
      <c r="FM384" s="490"/>
      <c r="FN384" s="490"/>
    </row>
    <row r="385" s="492" customFormat="1" spans="1:170">
      <c r="A385" s="576">
        <v>46197</v>
      </c>
      <c r="B385" s="566" t="s">
        <v>845</v>
      </c>
      <c r="C385" s="560">
        <v>10</v>
      </c>
      <c r="D385" s="566" t="s">
        <v>282</v>
      </c>
      <c r="E385" s="566" t="s">
        <v>282</v>
      </c>
      <c r="F385" s="545" t="s">
        <v>144</v>
      </c>
      <c r="G385" s="581">
        <v>1</v>
      </c>
      <c r="H385" s="546">
        <v>8.9</v>
      </c>
      <c r="I385" s="542" t="s">
        <v>17</v>
      </c>
      <c r="J385" s="546">
        <v>1.56</v>
      </c>
      <c r="K385" s="559" t="s">
        <v>829</v>
      </c>
      <c r="L385" s="575" t="s">
        <v>846</v>
      </c>
      <c r="M385" s="490"/>
      <c r="N385" s="490"/>
      <c r="O385" s="490"/>
      <c r="P385" s="490"/>
      <c r="Q385" s="490"/>
      <c r="R385" s="490"/>
      <c r="S385" s="490"/>
      <c r="T385" s="490"/>
      <c r="U385" s="490"/>
      <c r="V385" s="490"/>
      <c r="W385" s="490"/>
      <c r="X385" s="490"/>
      <c r="Y385" s="490"/>
      <c r="Z385" s="490"/>
      <c r="AA385" s="490"/>
      <c r="AB385" s="490"/>
      <c r="AC385" s="490"/>
      <c r="AD385" s="490"/>
      <c r="AE385" s="490"/>
      <c r="AF385" s="490"/>
      <c r="AG385" s="490"/>
      <c r="AH385" s="490"/>
      <c r="AI385" s="490"/>
      <c r="AJ385" s="490"/>
      <c r="AK385" s="490"/>
      <c r="AL385" s="490"/>
      <c r="AM385" s="490"/>
      <c r="AN385" s="490"/>
      <c r="AO385" s="490"/>
      <c r="AP385" s="490"/>
      <c r="AQ385" s="490"/>
      <c r="AR385" s="490"/>
      <c r="AS385" s="490"/>
      <c r="AT385" s="490"/>
      <c r="AU385" s="490"/>
      <c r="AV385" s="490"/>
      <c r="AW385" s="490"/>
      <c r="AX385" s="490"/>
      <c r="AY385" s="490"/>
      <c r="AZ385" s="490"/>
      <c r="BA385" s="490"/>
      <c r="BB385" s="490"/>
      <c r="BC385" s="490"/>
      <c r="BD385" s="490"/>
      <c r="BE385" s="490"/>
      <c r="BF385" s="490"/>
      <c r="BG385" s="490"/>
      <c r="BH385" s="490"/>
      <c r="BI385" s="490"/>
      <c r="BJ385" s="490"/>
      <c r="BK385" s="490"/>
      <c r="BL385" s="490"/>
      <c r="BM385" s="490"/>
      <c r="BN385" s="490"/>
      <c r="BO385" s="490"/>
      <c r="BP385" s="490"/>
      <c r="BQ385" s="490"/>
      <c r="BR385" s="490"/>
      <c r="BS385" s="490"/>
      <c r="BT385" s="490"/>
      <c r="BU385" s="490"/>
      <c r="BV385" s="490"/>
      <c r="BW385" s="490"/>
      <c r="BX385" s="490"/>
      <c r="BY385" s="490"/>
      <c r="BZ385" s="490"/>
      <c r="CA385" s="490"/>
      <c r="CB385" s="490"/>
      <c r="CC385" s="490"/>
      <c r="CD385" s="490"/>
      <c r="CE385" s="490"/>
      <c r="CF385" s="490"/>
      <c r="CG385" s="490"/>
      <c r="CH385" s="490"/>
      <c r="CI385" s="490"/>
      <c r="CJ385" s="490"/>
      <c r="CK385" s="490"/>
      <c r="CL385" s="490"/>
      <c r="CM385" s="490"/>
      <c r="CN385" s="490"/>
      <c r="CO385" s="490"/>
      <c r="CP385" s="490"/>
      <c r="CQ385" s="490"/>
      <c r="CR385" s="490"/>
      <c r="CS385" s="490"/>
      <c r="CT385" s="490"/>
      <c r="CU385" s="490"/>
      <c r="CV385" s="490"/>
      <c r="CW385" s="490"/>
      <c r="CX385" s="490"/>
      <c r="CY385" s="490"/>
      <c r="CZ385" s="490"/>
      <c r="DA385" s="490"/>
      <c r="DB385" s="490"/>
      <c r="DC385" s="490"/>
      <c r="DD385" s="490"/>
      <c r="DE385" s="490"/>
      <c r="DF385" s="490"/>
      <c r="DG385" s="490"/>
      <c r="DH385" s="490"/>
      <c r="DI385" s="490"/>
      <c r="DJ385" s="490"/>
      <c r="DK385" s="490"/>
      <c r="DL385" s="490"/>
      <c r="DM385" s="490"/>
      <c r="DN385" s="490"/>
      <c r="DO385" s="490"/>
      <c r="DP385" s="490"/>
      <c r="DQ385" s="490"/>
      <c r="DR385" s="490"/>
      <c r="DS385" s="490"/>
      <c r="DT385" s="490"/>
      <c r="DU385" s="490"/>
      <c r="DV385" s="490"/>
      <c r="DW385" s="490"/>
      <c r="DX385" s="490"/>
      <c r="DY385" s="490"/>
      <c r="DZ385" s="490"/>
      <c r="EA385" s="490"/>
      <c r="EB385" s="490"/>
      <c r="EC385" s="490"/>
      <c r="ED385" s="490"/>
      <c r="EE385" s="490"/>
      <c r="EF385" s="490"/>
      <c r="EG385" s="490"/>
      <c r="EH385" s="490"/>
      <c r="EI385" s="490"/>
      <c r="EJ385" s="490"/>
      <c r="EK385" s="490"/>
      <c r="EL385" s="490"/>
      <c r="EM385" s="490"/>
      <c r="EN385" s="490"/>
      <c r="EO385" s="490"/>
      <c r="EP385" s="490"/>
      <c r="EQ385" s="490"/>
      <c r="ER385" s="490"/>
      <c r="ES385" s="490"/>
      <c r="ET385" s="490"/>
      <c r="EU385" s="490"/>
      <c r="EV385" s="490"/>
      <c r="EW385" s="490"/>
      <c r="EX385" s="490"/>
      <c r="EY385" s="490"/>
      <c r="EZ385" s="490"/>
      <c r="FA385" s="490"/>
      <c r="FB385" s="490"/>
      <c r="FC385" s="490"/>
      <c r="FD385" s="490"/>
      <c r="FE385" s="490"/>
      <c r="FF385" s="490"/>
      <c r="FG385" s="490"/>
      <c r="FH385" s="490"/>
      <c r="FI385" s="490"/>
      <c r="FJ385" s="490"/>
      <c r="FK385" s="490"/>
      <c r="FL385" s="490"/>
      <c r="FM385" s="490"/>
      <c r="FN385" s="490"/>
    </row>
    <row r="386" s="492" customFormat="1" spans="1:170">
      <c r="A386" s="577"/>
      <c r="B386" s="568"/>
      <c r="C386" s="567"/>
      <c r="D386" s="568"/>
      <c r="E386" s="568"/>
      <c r="F386" s="545" t="s">
        <v>750</v>
      </c>
      <c r="G386" s="546">
        <v>1.17</v>
      </c>
      <c r="H386" s="546">
        <v>0.5</v>
      </c>
      <c r="I386" s="542" t="s">
        <v>22</v>
      </c>
      <c r="J386" s="546">
        <v>1.77</v>
      </c>
      <c r="K386" s="569"/>
      <c r="L386" s="509"/>
      <c r="M386" s="490"/>
      <c r="N386" s="490"/>
      <c r="O386" s="490"/>
      <c r="P386" s="490"/>
      <c r="Q386" s="490"/>
      <c r="R386" s="490"/>
      <c r="S386" s="490"/>
      <c r="T386" s="490"/>
      <c r="U386" s="490"/>
      <c r="V386" s="490"/>
      <c r="W386" s="490"/>
      <c r="X386" s="490"/>
      <c r="Y386" s="490"/>
      <c r="Z386" s="490"/>
      <c r="AA386" s="490"/>
      <c r="AB386" s="490"/>
      <c r="AC386" s="490"/>
      <c r="AD386" s="490"/>
      <c r="AE386" s="490"/>
      <c r="AF386" s="490"/>
      <c r="AG386" s="490"/>
      <c r="AH386" s="490"/>
      <c r="AI386" s="490"/>
      <c r="AJ386" s="490"/>
      <c r="AK386" s="490"/>
      <c r="AL386" s="490"/>
      <c r="AM386" s="490"/>
      <c r="AN386" s="490"/>
      <c r="AO386" s="490"/>
      <c r="AP386" s="490"/>
      <c r="AQ386" s="490"/>
      <c r="AR386" s="490"/>
      <c r="AS386" s="490"/>
      <c r="AT386" s="490"/>
      <c r="AU386" s="490"/>
      <c r="AV386" s="490"/>
      <c r="AW386" s="490"/>
      <c r="AX386" s="490"/>
      <c r="AY386" s="490"/>
      <c r="AZ386" s="490"/>
      <c r="BA386" s="490"/>
      <c r="BB386" s="490"/>
      <c r="BC386" s="490"/>
      <c r="BD386" s="490"/>
      <c r="BE386" s="490"/>
      <c r="BF386" s="490"/>
      <c r="BG386" s="490"/>
      <c r="BH386" s="490"/>
      <c r="BI386" s="490"/>
      <c r="BJ386" s="490"/>
      <c r="BK386" s="490"/>
      <c r="BL386" s="490"/>
      <c r="BM386" s="490"/>
      <c r="BN386" s="490"/>
      <c r="BO386" s="490"/>
      <c r="BP386" s="490"/>
      <c r="BQ386" s="490"/>
      <c r="BR386" s="490"/>
      <c r="BS386" s="490"/>
      <c r="BT386" s="490"/>
      <c r="BU386" s="490"/>
      <c r="BV386" s="490"/>
      <c r="BW386" s="490"/>
      <c r="BX386" s="490"/>
      <c r="BY386" s="490"/>
      <c r="BZ386" s="490"/>
      <c r="CA386" s="490"/>
      <c r="CB386" s="490"/>
      <c r="CC386" s="490"/>
      <c r="CD386" s="490"/>
      <c r="CE386" s="490"/>
      <c r="CF386" s="490"/>
      <c r="CG386" s="490"/>
      <c r="CH386" s="490"/>
      <c r="CI386" s="490"/>
      <c r="CJ386" s="490"/>
      <c r="CK386" s="490"/>
      <c r="CL386" s="490"/>
      <c r="CM386" s="490"/>
      <c r="CN386" s="490"/>
      <c r="CO386" s="490"/>
      <c r="CP386" s="490"/>
      <c r="CQ386" s="490"/>
      <c r="CR386" s="490"/>
      <c r="CS386" s="490"/>
      <c r="CT386" s="490"/>
      <c r="CU386" s="490"/>
      <c r="CV386" s="490"/>
      <c r="CW386" s="490"/>
      <c r="CX386" s="490"/>
      <c r="CY386" s="490"/>
      <c r="CZ386" s="490"/>
      <c r="DA386" s="490"/>
      <c r="DB386" s="490"/>
      <c r="DC386" s="490"/>
      <c r="DD386" s="490"/>
      <c r="DE386" s="490"/>
      <c r="DF386" s="490"/>
      <c r="DG386" s="490"/>
      <c r="DH386" s="490"/>
      <c r="DI386" s="490"/>
      <c r="DJ386" s="490"/>
      <c r="DK386" s="490"/>
      <c r="DL386" s="490"/>
      <c r="DM386" s="490"/>
      <c r="DN386" s="490"/>
      <c r="DO386" s="490"/>
      <c r="DP386" s="490"/>
      <c r="DQ386" s="490"/>
      <c r="DR386" s="490"/>
      <c r="DS386" s="490"/>
      <c r="DT386" s="490"/>
      <c r="DU386" s="490"/>
      <c r="DV386" s="490"/>
      <c r="DW386" s="490"/>
      <c r="DX386" s="490"/>
      <c r="DY386" s="490"/>
      <c r="DZ386" s="490"/>
      <c r="EA386" s="490"/>
      <c r="EB386" s="490"/>
      <c r="EC386" s="490"/>
      <c r="ED386" s="490"/>
      <c r="EE386" s="490"/>
      <c r="EF386" s="490"/>
      <c r="EG386" s="490"/>
      <c r="EH386" s="490"/>
      <c r="EI386" s="490"/>
      <c r="EJ386" s="490"/>
      <c r="EK386" s="490"/>
      <c r="EL386" s="490"/>
      <c r="EM386" s="490"/>
      <c r="EN386" s="490"/>
      <c r="EO386" s="490"/>
      <c r="EP386" s="490"/>
      <c r="EQ386" s="490"/>
      <c r="ER386" s="490"/>
      <c r="ES386" s="490"/>
      <c r="ET386" s="490"/>
      <c r="EU386" s="490"/>
      <c r="EV386" s="490"/>
      <c r="EW386" s="490"/>
      <c r="EX386" s="490"/>
      <c r="EY386" s="490"/>
      <c r="EZ386" s="490"/>
      <c r="FA386" s="490"/>
      <c r="FB386" s="490"/>
      <c r="FC386" s="490"/>
      <c r="FD386" s="490"/>
      <c r="FE386" s="490"/>
      <c r="FF386" s="490"/>
      <c r="FG386" s="490"/>
      <c r="FH386" s="490"/>
      <c r="FI386" s="490"/>
      <c r="FJ386" s="490"/>
      <c r="FK386" s="490"/>
      <c r="FL386" s="490"/>
      <c r="FM386" s="490"/>
      <c r="FN386" s="490"/>
    </row>
    <row r="387" s="492" customFormat="1" spans="1:170">
      <c r="A387" s="578"/>
      <c r="B387" s="579"/>
      <c r="C387" s="580"/>
      <c r="D387" s="579"/>
      <c r="E387" s="579"/>
      <c r="F387" s="545" t="s">
        <v>148</v>
      </c>
      <c r="G387" s="546">
        <v>1.75</v>
      </c>
      <c r="H387" s="546">
        <v>0.6</v>
      </c>
      <c r="I387" s="546" t="s">
        <v>24</v>
      </c>
      <c r="J387" s="546" t="s">
        <v>24</v>
      </c>
      <c r="K387" s="570"/>
      <c r="L387" s="509"/>
      <c r="M387" s="490"/>
      <c r="N387" s="490"/>
      <c r="O387" s="490"/>
      <c r="P387" s="490"/>
      <c r="Q387" s="490"/>
      <c r="R387" s="490"/>
      <c r="S387" s="490"/>
      <c r="T387" s="490"/>
      <c r="U387" s="490"/>
      <c r="V387" s="490"/>
      <c r="W387" s="490"/>
      <c r="X387" s="490"/>
      <c r="Y387" s="490"/>
      <c r="Z387" s="490"/>
      <c r="AA387" s="490"/>
      <c r="AB387" s="490"/>
      <c r="AC387" s="490"/>
      <c r="AD387" s="490"/>
      <c r="AE387" s="490"/>
      <c r="AF387" s="490"/>
      <c r="AG387" s="490"/>
      <c r="AH387" s="490"/>
      <c r="AI387" s="490"/>
      <c r="AJ387" s="490"/>
      <c r="AK387" s="490"/>
      <c r="AL387" s="490"/>
      <c r="AM387" s="490"/>
      <c r="AN387" s="490"/>
      <c r="AO387" s="490"/>
      <c r="AP387" s="490"/>
      <c r="AQ387" s="490"/>
      <c r="AR387" s="490"/>
      <c r="AS387" s="490"/>
      <c r="AT387" s="490"/>
      <c r="AU387" s="490"/>
      <c r="AV387" s="490"/>
      <c r="AW387" s="490"/>
      <c r="AX387" s="490"/>
      <c r="AY387" s="490"/>
      <c r="AZ387" s="490"/>
      <c r="BA387" s="490"/>
      <c r="BB387" s="490"/>
      <c r="BC387" s="490"/>
      <c r="BD387" s="490"/>
      <c r="BE387" s="490"/>
      <c r="BF387" s="490"/>
      <c r="BG387" s="490"/>
      <c r="BH387" s="490"/>
      <c r="BI387" s="490"/>
      <c r="BJ387" s="490"/>
      <c r="BK387" s="490"/>
      <c r="BL387" s="490"/>
      <c r="BM387" s="490"/>
      <c r="BN387" s="490"/>
      <c r="BO387" s="490"/>
      <c r="BP387" s="490"/>
      <c r="BQ387" s="490"/>
      <c r="BR387" s="490"/>
      <c r="BS387" s="490"/>
      <c r="BT387" s="490"/>
      <c r="BU387" s="490"/>
      <c r="BV387" s="490"/>
      <c r="BW387" s="490"/>
      <c r="BX387" s="490"/>
      <c r="BY387" s="490"/>
      <c r="BZ387" s="490"/>
      <c r="CA387" s="490"/>
      <c r="CB387" s="490"/>
      <c r="CC387" s="490"/>
      <c r="CD387" s="490"/>
      <c r="CE387" s="490"/>
      <c r="CF387" s="490"/>
      <c r="CG387" s="490"/>
      <c r="CH387" s="490"/>
      <c r="CI387" s="490"/>
      <c r="CJ387" s="490"/>
      <c r="CK387" s="490"/>
      <c r="CL387" s="490"/>
      <c r="CM387" s="490"/>
      <c r="CN387" s="490"/>
      <c r="CO387" s="490"/>
      <c r="CP387" s="490"/>
      <c r="CQ387" s="490"/>
      <c r="CR387" s="490"/>
      <c r="CS387" s="490"/>
      <c r="CT387" s="490"/>
      <c r="CU387" s="490"/>
      <c r="CV387" s="490"/>
      <c r="CW387" s="490"/>
      <c r="CX387" s="490"/>
      <c r="CY387" s="490"/>
      <c r="CZ387" s="490"/>
      <c r="DA387" s="490"/>
      <c r="DB387" s="490"/>
      <c r="DC387" s="490"/>
      <c r="DD387" s="490"/>
      <c r="DE387" s="490"/>
      <c r="DF387" s="490"/>
      <c r="DG387" s="490"/>
      <c r="DH387" s="490"/>
      <c r="DI387" s="490"/>
      <c r="DJ387" s="490"/>
      <c r="DK387" s="490"/>
      <c r="DL387" s="490"/>
      <c r="DM387" s="490"/>
      <c r="DN387" s="490"/>
      <c r="DO387" s="490"/>
      <c r="DP387" s="490"/>
      <c r="DQ387" s="490"/>
      <c r="DR387" s="490"/>
      <c r="DS387" s="490"/>
      <c r="DT387" s="490"/>
      <c r="DU387" s="490"/>
      <c r="DV387" s="490"/>
      <c r="DW387" s="490"/>
      <c r="DX387" s="490"/>
      <c r="DY387" s="490"/>
      <c r="DZ387" s="490"/>
      <c r="EA387" s="490"/>
      <c r="EB387" s="490"/>
      <c r="EC387" s="490"/>
      <c r="ED387" s="490"/>
      <c r="EE387" s="490"/>
      <c r="EF387" s="490"/>
      <c r="EG387" s="490"/>
      <c r="EH387" s="490"/>
      <c r="EI387" s="490"/>
      <c r="EJ387" s="490"/>
      <c r="EK387" s="490"/>
      <c r="EL387" s="490"/>
      <c r="EM387" s="490"/>
      <c r="EN387" s="490"/>
      <c r="EO387" s="490"/>
      <c r="EP387" s="490"/>
      <c r="EQ387" s="490"/>
      <c r="ER387" s="490"/>
      <c r="ES387" s="490"/>
      <c r="ET387" s="490"/>
      <c r="EU387" s="490"/>
      <c r="EV387" s="490"/>
      <c r="EW387" s="490"/>
      <c r="EX387" s="490"/>
      <c r="EY387" s="490"/>
      <c r="EZ387" s="490"/>
      <c r="FA387" s="490"/>
      <c r="FB387" s="490"/>
      <c r="FC387" s="490"/>
      <c r="FD387" s="490"/>
      <c r="FE387" s="490"/>
      <c r="FF387" s="490"/>
      <c r="FG387" s="490"/>
      <c r="FH387" s="490"/>
      <c r="FI387" s="490"/>
    </row>
    <row r="388" s="492" customFormat="1" spans="1:170">
      <c r="A388" s="576">
        <v>46198</v>
      </c>
      <c r="B388" s="566" t="s">
        <v>847</v>
      </c>
      <c r="C388" s="560">
        <v>10</v>
      </c>
      <c r="D388" s="566" t="s">
        <v>831</v>
      </c>
      <c r="E388" s="566" t="s">
        <v>279</v>
      </c>
      <c r="F388" s="545" t="s">
        <v>158</v>
      </c>
      <c r="G388" s="546">
        <v>0.9425</v>
      </c>
      <c r="H388" s="546">
        <v>9</v>
      </c>
      <c r="I388" s="542" t="s">
        <v>17</v>
      </c>
      <c r="J388" s="546">
        <v>1.6</v>
      </c>
      <c r="K388" s="559" t="s">
        <v>827</v>
      </c>
      <c r="L388" s="545"/>
      <c r="M388" s="490"/>
      <c r="N388" s="490"/>
      <c r="O388" s="490"/>
      <c r="P388" s="490"/>
      <c r="Q388" s="490"/>
      <c r="R388" s="490"/>
      <c r="S388" s="490"/>
      <c r="T388" s="490"/>
      <c r="U388" s="490"/>
      <c r="V388" s="490"/>
      <c r="W388" s="490"/>
      <c r="X388" s="490"/>
      <c r="Y388" s="490"/>
      <c r="Z388" s="490"/>
      <c r="AA388" s="490"/>
      <c r="AB388" s="490"/>
      <c r="AC388" s="490"/>
      <c r="AD388" s="490"/>
      <c r="AE388" s="490"/>
      <c r="AF388" s="490"/>
      <c r="AG388" s="490"/>
      <c r="AH388" s="490"/>
      <c r="AI388" s="490"/>
      <c r="AJ388" s="490"/>
      <c r="AK388" s="490"/>
      <c r="AL388" s="490"/>
      <c r="AM388" s="490"/>
      <c r="AN388" s="490"/>
      <c r="AO388" s="490"/>
      <c r="AP388" s="490"/>
      <c r="AQ388" s="490"/>
      <c r="AR388" s="490"/>
      <c r="AS388" s="490"/>
      <c r="AT388" s="490"/>
      <c r="AU388" s="490"/>
      <c r="AV388" s="490"/>
      <c r="AW388" s="490"/>
      <c r="AX388" s="490"/>
      <c r="AY388" s="490"/>
      <c r="AZ388" s="490"/>
      <c r="BA388" s="490"/>
      <c r="BB388" s="490"/>
      <c r="BC388" s="490"/>
      <c r="BD388" s="490"/>
      <c r="BE388" s="490"/>
      <c r="BF388" s="490"/>
      <c r="BG388" s="490"/>
      <c r="BH388" s="490"/>
      <c r="BI388" s="490"/>
      <c r="BJ388" s="490"/>
      <c r="BK388" s="490"/>
      <c r="BL388" s="490"/>
      <c r="BM388" s="490"/>
      <c r="BN388" s="490"/>
      <c r="BO388" s="490"/>
      <c r="BP388" s="490"/>
      <c r="BQ388" s="490"/>
      <c r="BR388" s="490"/>
      <c r="BS388" s="490"/>
      <c r="BT388" s="490"/>
      <c r="BU388" s="490"/>
      <c r="BV388" s="490"/>
      <c r="BW388" s="490"/>
      <c r="BX388" s="490"/>
      <c r="BY388" s="490"/>
      <c r="BZ388" s="490"/>
      <c r="CA388" s="490"/>
      <c r="CB388" s="490"/>
      <c r="CC388" s="490"/>
      <c r="CD388" s="490"/>
      <c r="CE388" s="490"/>
      <c r="CF388" s="490"/>
      <c r="CG388" s="490"/>
      <c r="CH388" s="490"/>
      <c r="CI388" s="490"/>
      <c r="CJ388" s="490"/>
      <c r="CK388" s="490"/>
      <c r="CL388" s="490"/>
      <c r="CM388" s="490"/>
      <c r="CN388" s="490"/>
      <c r="CO388" s="490"/>
      <c r="CP388" s="490"/>
      <c r="CQ388" s="490"/>
      <c r="CR388" s="490"/>
      <c r="CS388" s="490"/>
      <c r="CT388" s="490"/>
      <c r="CU388" s="490"/>
      <c r="CV388" s="490"/>
      <c r="CW388" s="490"/>
      <c r="CX388" s="490"/>
      <c r="CY388" s="490"/>
      <c r="CZ388" s="490"/>
      <c r="DA388" s="490"/>
      <c r="DB388" s="490"/>
      <c r="DC388" s="490"/>
      <c r="DD388" s="490"/>
      <c r="DE388" s="490"/>
      <c r="DF388" s="490"/>
      <c r="DG388" s="490"/>
      <c r="DH388" s="490"/>
      <c r="DI388" s="490"/>
      <c r="DJ388" s="490"/>
      <c r="DK388" s="490"/>
      <c r="DL388" s="490"/>
      <c r="DM388" s="490"/>
      <c r="DN388" s="490"/>
      <c r="DO388" s="490"/>
      <c r="DP388" s="490"/>
      <c r="DQ388" s="490"/>
      <c r="DR388" s="490"/>
      <c r="DS388" s="490"/>
      <c r="DT388" s="490"/>
      <c r="DU388" s="490"/>
      <c r="DV388" s="490"/>
      <c r="DW388" s="490"/>
      <c r="DX388" s="490"/>
      <c r="DY388" s="490"/>
      <c r="DZ388" s="490"/>
      <c r="EA388" s="490"/>
      <c r="EB388" s="490"/>
      <c r="EC388" s="490"/>
      <c r="ED388" s="490"/>
      <c r="EE388" s="490"/>
      <c r="EF388" s="490"/>
      <c r="EG388" s="490"/>
      <c r="EH388" s="490"/>
      <c r="EI388" s="490"/>
      <c r="EJ388" s="490"/>
      <c r="EK388" s="490"/>
      <c r="EL388" s="490"/>
      <c r="EM388" s="490"/>
      <c r="EN388" s="490"/>
      <c r="EO388" s="490"/>
      <c r="EP388" s="490"/>
      <c r="EQ388" s="490"/>
      <c r="ER388" s="490"/>
      <c r="ES388" s="490"/>
      <c r="ET388" s="490"/>
      <c r="EU388" s="490"/>
      <c r="EV388" s="490"/>
      <c r="EW388" s="490"/>
      <c r="EX388" s="490"/>
      <c r="EY388" s="490"/>
      <c r="EZ388" s="490"/>
      <c r="FA388" s="490"/>
      <c r="FB388" s="490"/>
      <c r="FC388" s="490"/>
      <c r="FD388" s="490"/>
      <c r="FE388" s="490"/>
      <c r="FF388" s="490"/>
      <c r="FG388" s="490"/>
      <c r="FH388" s="490"/>
      <c r="FI388" s="490"/>
    </row>
    <row r="389" s="492" customFormat="1" spans="1:170">
      <c r="A389" s="577"/>
      <c r="B389" s="568"/>
      <c r="C389" s="567"/>
      <c r="D389" s="568"/>
      <c r="E389" s="568"/>
      <c r="F389" s="545" t="s">
        <v>159</v>
      </c>
      <c r="G389" s="546">
        <v>1.1995</v>
      </c>
      <c r="H389" s="546">
        <v>0.3</v>
      </c>
      <c r="I389" s="542" t="s">
        <v>22</v>
      </c>
      <c r="J389" s="546">
        <v>1.77</v>
      </c>
      <c r="K389" s="569"/>
      <c r="L389" s="545"/>
      <c r="M389" s="490"/>
      <c r="N389" s="490"/>
      <c r="O389" s="490"/>
      <c r="P389" s="490"/>
      <c r="Q389" s="490"/>
      <c r="R389" s="490"/>
      <c r="S389" s="490"/>
      <c r="T389" s="490"/>
      <c r="U389" s="490"/>
      <c r="V389" s="490"/>
      <c r="W389" s="490"/>
      <c r="X389" s="490"/>
      <c r="Y389" s="490"/>
      <c r="Z389" s="490"/>
      <c r="AA389" s="490"/>
      <c r="AB389" s="490"/>
      <c r="AC389" s="490"/>
      <c r="AD389" s="490"/>
      <c r="AE389" s="490"/>
      <c r="AF389" s="490"/>
      <c r="AG389" s="490"/>
      <c r="AH389" s="490"/>
      <c r="AI389" s="490"/>
      <c r="AJ389" s="490"/>
      <c r="AK389" s="490"/>
      <c r="AL389" s="490"/>
      <c r="AM389" s="490"/>
      <c r="AN389" s="490"/>
      <c r="AO389" s="490"/>
      <c r="AP389" s="490"/>
      <c r="AQ389" s="490"/>
      <c r="AR389" s="490"/>
      <c r="AS389" s="490"/>
      <c r="AT389" s="490"/>
      <c r="AU389" s="490"/>
      <c r="AV389" s="490"/>
      <c r="AW389" s="490"/>
      <c r="AX389" s="490"/>
      <c r="AY389" s="490"/>
      <c r="AZ389" s="490"/>
      <c r="BA389" s="490"/>
      <c r="BB389" s="490"/>
      <c r="BC389" s="490"/>
      <c r="BD389" s="490"/>
      <c r="BE389" s="490"/>
      <c r="BF389" s="490"/>
      <c r="BG389" s="490"/>
      <c r="BH389" s="490"/>
      <c r="BI389" s="490"/>
      <c r="BJ389" s="490"/>
      <c r="BK389" s="490"/>
      <c r="BL389" s="490"/>
      <c r="BM389" s="490"/>
      <c r="BN389" s="490"/>
      <c r="BO389" s="490"/>
      <c r="BP389" s="490"/>
      <c r="BQ389" s="490"/>
      <c r="BR389" s="490"/>
      <c r="BS389" s="490"/>
      <c r="BT389" s="490"/>
      <c r="BU389" s="490"/>
      <c r="BV389" s="490"/>
      <c r="BW389" s="490"/>
      <c r="BX389" s="490"/>
      <c r="BY389" s="490"/>
      <c r="BZ389" s="490"/>
      <c r="CA389" s="490"/>
      <c r="CB389" s="490"/>
      <c r="CC389" s="490"/>
      <c r="CD389" s="490"/>
      <c r="CE389" s="490"/>
      <c r="CF389" s="490"/>
      <c r="CG389" s="490"/>
      <c r="CH389" s="490"/>
      <c r="CI389" s="490"/>
      <c r="CJ389" s="490"/>
      <c r="CK389" s="490"/>
      <c r="CL389" s="490"/>
      <c r="CM389" s="490"/>
      <c r="CN389" s="490"/>
      <c r="CO389" s="490"/>
      <c r="CP389" s="490"/>
      <c r="CQ389" s="490"/>
      <c r="CR389" s="490"/>
      <c r="CS389" s="490"/>
      <c r="CT389" s="490"/>
      <c r="CU389" s="490"/>
      <c r="CV389" s="490"/>
      <c r="CW389" s="490"/>
      <c r="CX389" s="490"/>
      <c r="CY389" s="490"/>
      <c r="CZ389" s="490"/>
      <c r="DA389" s="490"/>
      <c r="DB389" s="490"/>
      <c r="DC389" s="490"/>
      <c r="DD389" s="490"/>
      <c r="DE389" s="490"/>
      <c r="DF389" s="490"/>
      <c r="DG389" s="490"/>
      <c r="DH389" s="490"/>
      <c r="DI389" s="490"/>
      <c r="DJ389" s="490"/>
      <c r="DK389" s="490"/>
      <c r="DL389" s="490"/>
      <c r="DM389" s="490"/>
      <c r="DN389" s="490"/>
      <c r="DO389" s="490"/>
      <c r="DP389" s="490"/>
      <c r="DQ389" s="490"/>
      <c r="DR389" s="490"/>
      <c r="DS389" s="490"/>
      <c r="DT389" s="490"/>
      <c r="DU389" s="490"/>
      <c r="DV389" s="490"/>
      <c r="DW389" s="490"/>
      <c r="DX389" s="490"/>
      <c r="DY389" s="490"/>
      <c r="DZ389" s="490"/>
      <c r="EA389" s="490"/>
      <c r="EB389" s="490"/>
      <c r="EC389" s="490"/>
      <c r="ED389" s="490"/>
      <c r="EE389" s="490"/>
      <c r="EF389" s="490"/>
      <c r="EG389" s="490"/>
      <c r="EH389" s="490"/>
      <c r="EI389" s="490"/>
      <c r="EJ389" s="490"/>
      <c r="EK389" s="490"/>
      <c r="EL389" s="490"/>
      <c r="EM389" s="490"/>
      <c r="EN389" s="490"/>
      <c r="EO389" s="490"/>
      <c r="EP389" s="490"/>
      <c r="EQ389" s="490"/>
      <c r="ER389" s="490"/>
      <c r="ES389" s="490"/>
      <c r="ET389" s="490"/>
      <c r="EU389" s="490"/>
      <c r="EV389" s="490"/>
      <c r="EW389" s="490"/>
      <c r="EX389" s="490"/>
      <c r="EY389" s="490"/>
      <c r="EZ389" s="490"/>
      <c r="FA389" s="490"/>
      <c r="FB389" s="490"/>
      <c r="FC389" s="490"/>
      <c r="FD389" s="490"/>
      <c r="FE389" s="490"/>
      <c r="FF389" s="490"/>
      <c r="FG389" s="490"/>
      <c r="FH389" s="490"/>
      <c r="FI389" s="490"/>
    </row>
    <row r="390" s="492" customFormat="1" spans="1:170">
      <c r="A390" s="578"/>
      <c r="B390" s="579"/>
      <c r="C390" s="580"/>
      <c r="D390" s="579"/>
      <c r="E390" s="579"/>
      <c r="F390" s="545" t="s">
        <v>148</v>
      </c>
      <c r="G390" s="546">
        <v>1.7022</v>
      </c>
      <c r="H390" s="546">
        <v>0.7</v>
      </c>
      <c r="I390" s="546" t="s">
        <v>24</v>
      </c>
      <c r="J390" s="546" t="s">
        <v>24</v>
      </c>
      <c r="K390" s="570"/>
      <c r="L390" s="545"/>
      <c r="M390" s="490"/>
      <c r="N390" s="490"/>
      <c r="O390" s="490"/>
      <c r="P390" s="490"/>
      <c r="Q390" s="490"/>
      <c r="R390" s="490"/>
      <c r="S390" s="490"/>
      <c r="T390" s="490"/>
      <c r="U390" s="490"/>
      <c r="V390" s="490"/>
      <c r="W390" s="490"/>
      <c r="X390" s="490"/>
      <c r="Y390" s="490"/>
      <c r="Z390" s="490"/>
      <c r="AA390" s="490"/>
      <c r="AB390" s="490"/>
      <c r="AC390" s="490"/>
      <c r="AD390" s="490"/>
      <c r="AE390" s="490"/>
      <c r="AF390" s="490"/>
      <c r="AG390" s="490"/>
      <c r="AH390" s="490"/>
      <c r="AI390" s="490"/>
      <c r="AJ390" s="490"/>
      <c r="AK390" s="490"/>
      <c r="AL390" s="490"/>
      <c r="AM390" s="490"/>
      <c r="AN390" s="490"/>
      <c r="AO390" s="490"/>
      <c r="AP390" s="490"/>
      <c r="AQ390" s="490"/>
      <c r="AR390" s="490"/>
      <c r="AS390" s="490"/>
      <c r="AT390" s="490"/>
      <c r="AU390" s="490"/>
      <c r="AV390" s="490"/>
      <c r="AW390" s="490"/>
      <c r="AX390" s="490"/>
      <c r="AY390" s="490"/>
      <c r="AZ390" s="490"/>
      <c r="BA390" s="490"/>
      <c r="BB390" s="490"/>
      <c r="BC390" s="490"/>
      <c r="BD390" s="490"/>
      <c r="BE390" s="490"/>
      <c r="BF390" s="490"/>
      <c r="BG390" s="490"/>
      <c r="BH390" s="490"/>
      <c r="BI390" s="490"/>
      <c r="BJ390" s="490"/>
      <c r="BK390" s="490"/>
      <c r="BL390" s="490"/>
      <c r="BM390" s="490"/>
      <c r="BN390" s="490"/>
      <c r="BO390" s="490"/>
      <c r="BP390" s="490"/>
      <c r="BQ390" s="490"/>
      <c r="BR390" s="490"/>
      <c r="BS390" s="490"/>
      <c r="BT390" s="490"/>
      <c r="BU390" s="490"/>
      <c r="BV390" s="490"/>
      <c r="BW390" s="490"/>
      <c r="BX390" s="490"/>
      <c r="BY390" s="490"/>
      <c r="BZ390" s="490"/>
      <c r="CA390" s="490"/>
      <c r="CB390" s="490"/>
      <c r="CC390" s="490"/>
      <c r="CD390" s="490"/>
      <c r="CE390" s="490"/>
      <c r="CF390" s="490"/>
      <c r="CG390" s="490"/>
      <c r="CH390" s="490"/>
      <c r="CI390" s="490"/>
      <c r="CJ390" s="490"/>
      <c r="CK390" s="490"/>
      <c r="CL390" s="490"/>
      <c r="CM390" s="490"/>
      <c r="CN390" s="490"/>
      <c r="CO390" s="490"/>
      <c r="CP390" s="490"/>
      <c r="CQ390" s="490"/>
      <c r="CR390" s="490"/>
      <c r="CS390" s="490"/>
      <c r="CT390" s="490"/>
      <c r="CU390" s="490"/>
      <c r="CV390" s="490"/>
      <c r="CW390" s="490"/>
      <c r="CX390" s="490"/>
      <c r="CY390" s="490"/>
      <c r="CZ390" s="490"/>
      <c r="DA390" s="490"/>
      <c r="DB390" s="490"/>
      <c r="DC390" s="490"/>
      <c r="DD390" s="490"/>
      <c r="DE390" s="490"/>
      <c r="DF390" s="490"/>
      <c r="DG390" s="490"/>
      <c r="DH390" s="490"/>
      <c r="DI390" s="490"/>
      <c r="DJ390" s="490"/>
      <c r="DK390" s="490"/>
      <c r="DL390" s="490"/>
      <c r="DM390" s="490"/>
      <c r="DN390" s="490"/>
      <c r="DO390" s="490"/>
      <c r="DP390" s="490"/>
      <c r="DQ390" s="490"/>
      <c r="DR390" s="490"/>
      <c r="DS390" s="490"/>
      <c r="DT390" s="490"/>
      <c r="DU390" s="490"/>
      <c r="DV390" s="490"/>
      <c r="DW390" s="490"/>
      <c r="DX390" s="490"/>
      <c r="DY390" s="490"/>
      <c r="DZ390" s="490"/>
      <c r="EA390" s="490"/>
      <c r="EB390" s="490"/>
      <c r="EC390" s="490"/>
      <c r="ED390" s="490"/>
      <c r="EE390" s="490"/>
      <c r="EF390" s="490"/>
      <c r="EG390" s="490"/>
      <c r="EH390" s="490"/>
      <c r="EI390" s="490"/>
      <c r="EJ390" s="490"/>
      <c r="EK390" s="490"/>
      <c r="EL390" s="490"/>
      <c r="EM390" s="490"/>
      <c r="EN390" s="490"/>
      <c r="EO390" s="490"/>
      <c r="EP390" s="490"/>
      <c r="EQ390" s="490"/>
      <c r="ER390" s="490"/>
      <c r="ES390" s="490"/>
      <c r="ET390" s="490"/>
      <c r="EU390" s="490"/>
      <c r="EV390" s="490"/>
      <c r="EW390" s="490"/>
      <c r="EX390" s="490"/>
      <c r="EY390" s="490"/>
      <c r="EZ390" s="490"/>
      <c r="FA390" s="490"/>
      <c r="FB390" s="490"/>
      <c r="FC390" s="490"/>
      <c r="FD390" s="490"/>
      <c r="FE390" s="490"/>
      <c r="FF390" s="490"/>
      <c r="FG390" s="490"/>
      <c r="FH390" s="490"/>
      <c r="FI390" s="490"/>
    </row>
    <row r="391" s="492" customFormat="1" spans="1:170">
      <c r="A391" s="576">
        <v>46198</v>
      </c>
      <c r="B391" s="566" t="s">
        <v>848</v>
      </c>
      <c r="C391" s="560">
        <v>10</v>
      </c>
      <c r="D391" s="566" t="s">
        <v>447</v>
      </c>
      <c r="E391" s="566" t="s">
        <v>826</v>
      </c>
      <c r="F391" s="545" t="s">
        <v>158</v>
      </c>
      <c r="G391" s="546">
        <v>0.874</v>
      </c>
      <c r="H391" s="546">
        <v>9</v>
      </c>
      <c r="I391" s="542" t="s">
        <v>17</v>
      </c>
      <c r="J391" s="546">
        <v>1.6</v>
      </c>
      <c r="K391" s="559" t="s">
        <v>827</v>
      </c>
      <c r="L391" s="545"/>
      <c r="M391" s="490"/>
      <c r="N391" s="490"/>
      <c r="O391" s="490"/>
      <c r="P391" s="490"/>
      <c r="Q391" s="490"/>
      <c r="R391" s="490"/>
      <c r="S391" s="490"/>
      <c r="T391" s="490"/>
      <c r="U391" s="490"/>
      <c r="V391" s="490"/>
      <c r="W391" s="490"/>
      <c r="X391" s="490"/>
      <c r="Y391" s="490"/>
      <c r="Z391" s="490"/>
      <c r="AA391" s="490"/>
      <c r="AB391" s="490"/>
      <c r="AC391" s="490"/>
      <c r="AD391" s="490"/>
      <c r="AE391" s="490"/>
      <c r="AF391" s="490"/>
      <c r="AG391" s="490"/>
      <c r="AH391" s="490"/>
      <c r="AI391" s="490"/>
      <c r="AJ391" s="490"/>
      <c r="AK391" s="490"/>
      <c r="AL391" s="490"/>
      <c r="AM391" s="490"/>
      <c r="AN391" s="490"/>
      <c r="AO391" s="490"/>
      <c r="AP391" s="490"/>
      <c r="AQ391" s="490"/>
      <c r="AR391" s="490"/>
      <c r="AS391" s="490"/>
      <c r="AT391" s="490"/>
      <c r="AU391" s="490"/>
      <c r="AV391" s="490"/>
      <c r="AW391" s="490"/>
      <c r="AX391" s="490"/>
      <c r="AY391" s="490"/>
      <c r="AZ391" s="490"/>
      <c r="BA391" s="490"/>
      <c r="BB391" s="490"/>
      <c r="BC391" s="490"/>
      <c r="BD391" s="490"/>
      <c r="BE391" s="490"/>
      <c r="BF391" s="490"/>
      <c r="BG391" s="490"/>
      <c r="BH391" s="490"/>
      <c r="BI391" s="490"/>
      <c r="BJ391" s="490"/>
      <c r="BK391" s="490"/>
      <c r="BL391" s="490"/>
      <c r="BM391" s="490"/>
      <c r="BN391" s="490"/>
      <c r="BO391" s="490"/>
      <c r="BP391" s="490"/>
      <c r="BQ391" s="490"/>
      <c r="BR391" s="490"/>
      <c r="BS391" s="490"/>
      <c r="BT391" s="490"/>
      <c r="BU391" s="490"/>
      <c r="BV391" s="490"/>
      <c r="BW391" s="490"/>
      <c r="BX391" s="490"/>
      <c r="BY391" s="490"/>
      <c r="BZ391" s="490"/>
      <c r="CA391" s="490"/>
      <c r="CB391" s="490"/>
      <c r="CC391" s="490"/>
      <c r="CD391" s="490"/>
      <c r="CE391" s="490"/>
      <c r="CF391" s="490"/>
      <c r="CG391" s="490"/>
      <c r="CH391" s="490"/>
      <c r="CI391" s="490"/>
      <c r="CJ391" s="490"/>
      <c r="CK391" s="490"/>
      <c r="CL391" s="490"/>
      <c r="CM391" s="490"/>
      <c r="CN391" s="490"/>
      <c r="CO391" s="490"/>
      <c r="CP391" s="490"/>
      <c r="CQ391" s="490"/>
      <c r="CR391" s="490"/>
      <c r="CS391" s="490"/>
      <c r="CT391" s="490"/>
      <c r="CU391" s="490"/>
      <c r="CV391" s="490"/>
      <c r="CW391" s="490"/>
      <c r="CX391" s="490"/>
      <c r="CY391" s="490"/>
      <c r="CZ391" s="490"/>
      <c r="DA391" s="490"/>
      <c r="DB391" s="490"/>
      <c r="DC391" s="490"/>
      <c r="DD391" s="490"/>
      <c r="DE391" s="490"/>
      <c r="DF391" s="490"/>
      <c r="DG391" s="490"/>
      <c r="DH391" s="490"/>
      <c r="DI391" s="490"/>
      <c r="DJ391" s="490"/>
      <c r="DK391" s="490"/>
      <c r="DL391" s="490"/>
      <c r="DM391" s="490"/>
      <c r="DN391" s="490"/>
      <c r="DO391" s="490"/>
      <c r="DP391" s="490"/>
      <c r="DQ391" s="490"/>
      <c r="DR391" s="490"/>
      <c r="DS391" s="490"/>
      <c r="DT391" s="490"/>
      <c r="DU391" s="490"/>
      <c r="DV391" s="490"/>
      <c r="DW391" s="490"/>
      <c r="DX391" s="490"/>
      <c r="DY391" s="490"/>
      <c r="DZ391" s="490"/>
      <c r="EA391" s="490"/>
      <c r="EB391" s="490"/>
      <c r="EC391" s="490"/>
      <c r="ED391" s="490"/>
      <c r="EE391" s="490"/>
      <c r="EF391" s="490"/>
      <c r="EG391" s="490"/>
      <c r="EH391" s="490"/>
      <c r="EI391" s="490"/>
      <c r="EJ391" s="490"/>
      <c r="EK391" s="490"/>
      <c r="EL391" s="490"/>
      <c r="EM391" s="490"/>
      <c r="EN391" s="490"/>
      <c r="EO391" s="490"/>
      <c r="EP391" s="490"/>
      <c r="EQ391" s="490"/>
      <c r="ER391" s="490"/>
      <c r="ES391" s="490"/>
      <c r="ET391" s="490"/>
      <c r="EU391" s="490"/>
      <c r="EV391" s="490"/>
      <c r="EW391" s="490"/>
      <c r="EX391" s="490"/>
      <c r="EY391" s="490"/>
      <c r="EZ391" s="490"/>
      <c r="FA391" s="490"/>
      <c r="FB391" s="490"/>
      <c r="FC391" s="490"/>
      <c r="FD391" s="490"/>
      <c r="FE391" s="490"/>
      <c r="FF391" s="490"/>
      <c r="FG391" s="490"/>
      <c r="FH391" s="490"/>
      <c r="FI391" s="490"/>
    </row>
    <row r="392" s="492" customFormat="1" spans="1:170">
      <c r="A392" s="577"/>
      <c r="B392" s="568"/>
      <c r="C392" s="567"/>
      <c r="D392" s="568"/>
      <c r="E392" s="568"/>
      <c r="F392" s="545" t="s">
        <v>159</v>
      </c>
      <c r="G392" s="546">
        <v>1.1093</v>
      </c>
      <c r="H392" s="546">
        <v>0.3</v>
      </c>
      <c r="I392" s="542" t="s">
        <v>22</v>
      </c>
      <c r="J392" s="546">
        <v>1.77</v>
      </c>
      <c r="K392" s="569"/>
      <c r="L392" s="545"/>
      <c r="M392" s="490"/>
      <c r="N392" s="490"/>
      <c r="O392" s="490"/>
      <c r="P392" s="490"/>
      <c r="Q392" s="490"/>
      <c r="R392" s="490"/>
      <c r="S392" s="490"/>
      <c r="T392" s="490"/>
      <c r="U392" s="490"/>
      <c r="V392" s="490"/>
      <c r="W392" s="490"/>
      <c r="X392" s="490"/>
      <c r="Y392" s="490"/>
      <c r="Z392" s="490"/>
      <c r="AA392" s="490"/>
      <c r="AB392" s="490"/>
      <c r="AC392" s="490"/>
      <c r="AD392" s="490"/>
      <c r="AE392" s="490"/>
      <c r="AF392" s="490"/>
      <c r="AG392" s="490"/>
      <c r="AH392" s="490"/>
      <c r="AI392" s="490"/>
      <c r="AJ392" s="490"/>
      <c r="AK392" s="490"/>
      <c r="AL392" s="490"/>
      <c r="AM392" s="490"/>
      <c r="AN392" s="490"/>
      <c r="AO392" s="490"/>
      <c r="AP392" s="490"/>
      <c r="AQ392" s="490"/>
      <c r="AR392" s="490"/>
      <c r="AS392" s="490"/>
      <c r="AT392" s="490"/>
      <c r="AU392" s="490"/>
      <c r="AV392" s="490"/>
      <c r="AW392" s="490"/>
      <c r="AX392" s="490"/>
      <c r="AY392" s="490"/>
      <c r="AZ392" s="490"/>
      <c r="BA392" s="490"/>
      <c r="BB392" s="490"/>
      <c r="BC392" s="490"/>
      <c r="BD392" s="490"/>
      <c r="BE392" s="490"/>
      <c r="BF392" s="490"/>
      <c r="BG392" s="490"/>
      <c r="BH392" s="490"/>
      <c r="BI392" s="490"/>
      <c r="BJ392" s="490"/>
      <c r="BK392" s="490"/>
      <c r="BL392" s="490"/>
      <c r="BM392" s="490"/>
      <c r="BN392" s="490"/>
      <c r="BO392" s="490"/>
      <c r="BP392" s="490"/>
      <c r="BQ392" s="490"/>
      <c r="BR392" s="490"/>
      <c r="BS392" s="490"/>
      <c r="BT392" s="490"/>
      <c r="BU392" s="490"/>
      <c r="BV392" s="490"/>
      <c r="BW392" s="490"/>
      <c r="BX392" s="490"/>
      <c r="BY392" s="490"/>
      <c r="BZ392" s="490"/>
      <c r="CA392" s="490"/>
      <c r="CB392" s="490"/>
      <c r="CC392" s="490"/>
      <c r="CD392" s="490"/>
      <c r="CE392" s="490"/>
      <c r="CF392" s="490"/>
      <c r="CG392" s="490"/>
      <c r="CH392" s="490"/>
      <c r="CI392" s="490"/>
      <c r="CJ392" s="490"/>
      <c r="CK392" s="490"/>
      <c r="CL392" s="490"/>
      <c r="CM392" s="490"/>
      <c r="CN392" s="490"/>
      <c r="CO392" s="490"/>
      <c r="CP392" s="490"/>
      <c r="CQ392" s="490"/>
      <c r="CR392" s="490"/>
      <c r="CS392" s="490"/>
      <c r="CT392" s="490"/>
      <c r="CU392" s="490"/>
      <c r="CV392" s="490"/>
      <c r="CW392" s="490"/>
      <c r="CX392" s="490"/>
      <c r="CY392" s="490"/>
      <c r="CZ392" s="490"/>
      <c r="DA392" s="490"/>
      <c r="DB392" s="490"/>
      <c r="DC392" s="490"/>
      <c r="DD392" s="490"/>
      <c r="DE392" s="490"/>
      <c r="DF392" s="490"/>
      <c r="DG392" s="490"/>
      <c r="DH392" s="490"/>
      <c r="DI392" s="490"/>
      <c r="DJ392" s="490"/>
      <c r="DK392" s="490"/>
      <c r="DL392" s="490"/>
      <c r="DM392" s="490"/>
      <c r="DN392" s="490"/>
      <c r="DO392" s="490"/>
      <c r="DP392" s="490"/>
      <c r="DQ392" s="490"/>
      <c r="DR392" s="490"/>
      <c r="DS392" s="490"/>
      <c r="DT392" s="490"/>
      <c r="DU392" s="490"/>
      <c r="DV392" s="490"/>
      <c r="DW392" s="490"/>
      <c r="DX392" s="490"/>
      <c r="DY392" s="490"/>
      <c r="DZ392" s="490"/>
      <c r="EA392" s="490"/>
      <c r="EB392" s="490"/>
      <c r="EC392" s="490"/>
      <c r="ED392" s="490"/>
      <c r="EE392" s="490"/>
      <c r="EF392" s="490"/>
      <c r="EG392" s="490"/>
      <c r="EH392" s="490"/>
      <c r="EI392" s="490"/>
      <c r="EJ392" s="490"/>
      <c r="EK392" s="490"/>
      <c r="EL392" s="490"/>
      <c r="EM392" s="490"/>
      <c r="EN392" s="490"/>
      <c r="EO392" s="490"/>
      <c r="EP392" s="490"/>
      <c r="EQ392" s="490"/>
      <c r="ER392" s="490"/>
      <c r="ES392" s="490"/>
      <c r="ET392" s="490"/>
      <c r="EU392" s="490"/>
      <c r="EV392" s="490"/>
      <c r="EW392" s="490"/>
      <c r="EX392" s="490"/>
      <c r="EY392" s="490"/>
      <c r="EZ392" s="490"/>
      <c r="FA392" s="490"/>
      <c r="FB392" s="490"/>
      <c r="FC392" s="490"/>
      <c r="FD392" s="490"/>
      <c r="FE392" s="490"/>
      <c r="FF392" s="490"/>
      <c r="FG392" s="490"/>
      <c r="FH392" s="490"/>
      <c r="FI392" s="490"/>
    </row>
    <row r="393" s="492" customFormat="1" spans="1:170">
      <c r="A393" s="578"/>
      <c r="B393" s="579"/>
      <c r="C393" s="580"/>
      <c r="D393" s="579"/>
      <c r="E393" s="579"/>
      <c r="F393" s="545" t="s">
        <v>148</v>
      </c>
      <c r="G393" s="546">
        <v>1.6284</v>
      </c>
      <c r="H393" s="546">
        <v>0.7</v>
      </c>
      <c r="I393" s="546" t="s">
        <v>24</v>
      </c>
      <c r="J393" s="546" t="s">
        <v>24</v>
      </c>
      <c r="K393" s="570"/>
      <c r="L393" s="545"/>
      <c r="M393" s="490"/>
      <c r="N393" s="490"/>
      <c r="O393" s="490"/>
      <c r="P393" s="490"/>
      <c r="Q393" s="490"/>
      <c r="R393" s="490"/>
      <c r="S393" s="490"/>
      <c r="T393" s="490"/>
      <c r="U393" s="490"/>
      <c r="V393" s="490"/>
      <c r="W393" s="490"/>
      <c r="X393" s="490"/>
      <c r="Y393" s="490"/>
      <c r="Z393" s="490"/>
      <c r="AA393" s="490"/>
      <c r="AB393" s="490"/>
      <c r="AC393" s="490"/>
      <c r="AD393" s="490"/>
      <c r="AE393" s="490"/>
      <c r="AF393" s="490"/>
      <c r="AG393" s="490"/>
      <c r="AH393" s="490"/>
      <c r="AI393" s="490"/>
      <c r="AJ393" s="490"/>
      <c r="AK393" s="490"/>
      <c r="AL393" s="490"/>
      <c r="AM393" s="490"/>
      <c r="AN393" s="490"/>
      <c r="AO393" s="490"/>
      <c r="AP393" s="490"/>
      <c r="AQ393" s="490"/>
      <c r="AR393" s="490"/>
      <c r="AS393" s="490"/>
      <c r="AT393" s="490"/>
      <c r="AU393" s="490"/>
      <c r="AV393" s="490"/>
      <c r="AW393" s="490"/>
      <c r="AX393" s="490"/>
      <c r="AY393" s="490"/>
      <c r="AZ393" s="490"/>
      <c r="BA393" s="490"/>
      <c r="BB393" s="490"/>
      <c r="BC393" s="490"/>
      <c r="BD393" s="490"/>
      <c r="BE393" s="490"/>
      <c r="BF393" s="490"/>
      <c r="BG393" s="490"/>
      <c r="BH393" s="490"/>
      <c r="BI393" s="490"/>
      <c r="BJ393" s="490"/>
      <c r="BK393" s="490"/>
      <c r="BL393" s="490"/>
      <c r="BM393" s="490"/>
      <c r="BN393" s="490"/>
      <c r="BO393" s="490"/>
      <c r="BP393" s="490"/>
      <c r="BQ393" s="490"/>
      <c r="BR393" s="490"/>
      <c r="BS393" s="490"/>
      <c r="BT393" s="490"/>
      <c r="BU393" s="490"/>
      <c r="BV393" s="490"/>
      <c r="BW393" s="490"/>
      <c r="BX393" s="490"/>
      <c r="BY393" s="490"/>
      <c r="BZ393" s="490"/>
      <c r="CA393" s="490"/>
      <c r="CB393" s="490"/>
      <c r="CC393" s="490"/>
      <c r="CD393" s="490"/>
      <c r="CE393" s="490"/>
      <c r="CF393" s="490"/>
      <c r="CG393" s="490"/>
      <c r="CH393" s="490"/>
      <c r="CI393" s="490"/>
      <c r="CJ393" s="490"/>
      <c r="CK393" s="490"/>
      <c r="CL393" s="490"/>
      <c r="CM393" s="490"/>
      <c r="CN393" s="490"/>
      <c r="CO393" s="490"/>
      <c r="CP393" s="490"/>
      <c r="CQ393" s="490"/>
      <c r="CR393" s="490"/>
      <c r="CS393" s="490"/>
      <c r="CT393" s="490"/>
      <c r="CU393" s="490"/>
      <c r="CV393" s="490"/>
      <c r="CW393" s="490"/>
      <c r="CX393" s="490"/>
      <c r="CY393" s="490"/>
      <c r="CZ393" s="490"/>
      <c r="DA393" s="490"/>
      <c r="DB393" s="490"/>
      <c r="DC393" s="490"/>
      <c r="DD393" s="490"/>
      <c r="DE393" s="490"/>
      <c r="DF393" s="490"/>
      <c r="DG393" s="490"/>
      <c r="DH393" s="490"/>
      <c r="DI393" s="490"/>
      <c r="DJ393" s="490"/>
      <c r="DK393" s="490"/>
      <c r="DL393" s="490"/>
      <c r="DM393" s="490"/>
      <c r="DN393" s="490"/>
      <c r="DO393" s="490"/>
      <c r="DP393" s="490"/>
      <c r="DQ393" s="490"/>
      <c r="DR393" s="490"/>
      <c r="DS393" s="490"/>
      <c r="DT393" s="490"/>
      <c r="DU393" s="490"/>
      <c r="DV393" s="490"/>
      <c r="DW393" s="490"/>
      <c r="DX393" s="490"/>
      <c r="DY393" s="490"/>
      <c r="DZ393" s="490"/>
      <c r="EA393" s="490"/>
      <c r="EB393" s="490"/>
      <c r="EC393" s="490"/>
      <c r="ED393" s="490"/>
      <c r="EE393" s="490"/>
      <c r="EF393" s="490"/>
      <c r="EG393" s="490"/>
      <c r="EH393" s="490"/>
      <c r="EI393" s="490"/>
      <c r="EJ393" s="490"/>
      <c r="EK393" s="490"/>
      <c r="EL393" s="490"/>
      <c r="EM393" s="490"/>
      <c r="EN393" s="490"/>
      <c r="EO393" s="490"/>
      <c r="EP393" s="490"/>
      <c r="EQ393" s="490"/>
      <c r="ER393" s="490"/>
      <c r="ES393" s="490"/>
      <c r="ET393" s="490"/>
      <c r="EU393" s="490"/>
      <c r="EV393" s="490"/>
      <c r="EW393" s="490"/>
      <c r="EX393" s="490"/>
      <c r="EY393" s="490"/>
      <c r="EZ393" s="490"/>
      <c r="FA393" s="490"/>
      <c r="FB393" s="490"/>
      <c r="FC393" s="490"/>
      <c r="FD393" s="490"/>
      <c r="FE393" s="490"/>
      <c r="FF393" s="490"/>
      <c r="FG393" s="490"/>
      <c r="FH393" s="490"/>
      <c r="FI393" s="490"/>
    </row>
    <row r="394" s="492" customFormat="1" spans="1:170">
      <c r="A394" s="576">
        <v>46198</v>
      </c>
      <c r="B394" s="566" t="s">
        <v>849</v>
      </c>
      <c r="C394" s="560">
        <v>10</v>
      </c>
      <c r="D394" s="566" t="s">
        <v>275</v>
      </c>
      <c r="E394" s="566" t="s">
        <v>282</v>
      </c>
      <c r="F394" s="545" t="s">
        <v>158</v>
      </c>
      <c r="G394" s="546">
        <v>0.8274</v>
      </c>
      <c r="H394" s="546">
        <v>9</v>
      </c>
      <c r="I394" s="546" t="s">
        <v>17</v>
      </c>
      <c r="J394" s="546">
        <v>1.59</v>
      </c>
      <c r="K394" s="559" t="s">
        <v>850</v>
      </c>
      <c r="L394" s="545" t="s">
        <v>277</v>
      </c>
      <c r="M394" s="490"/>
      <c r="N394" s="490"/>
      <c r="O394" s="490"/>
      <c r="P394" s="490"/>
      <c r="Q394" s="490"/>
      <c r="R394" s="490"/>
      <c r="S394" s="490"/>
      <c r="T394" s="490"/>
      <c r="U394" s="490"/>
      <c r="V394" s="490"/>
      <c r="W394" s="490"/>
      <c r="X394" s="490"/>
      <c r="Y394" s="490"/>
      <c r="Z394" s="490"/>
      <c r="AA394" s="490"/>
      <c r="AB394" s="490"/>
      <c r="AC394" s="490"/>
      <c r="AD394" s="490"/>
      <c r="AE394" s="490"/>
      <c r="AF394" s="490"/>
      <c r="AG394" s="490"/>
      <c r="AH394" s="490"/>
      <c r="AI394" s="490"/>
      <c r="AJ394" s="490"/>
      <c r="AK394" s="490"/>
      <c r="AL394" s="490"/>
      <c r="AM394" s="490"/>
      <c r="AN394" s="490"/>
      <c r="AO394" s="490"/>
      <c r="AP394" s="490"/>
      <c r="AQ394" s="490"/>
      <c r="AR394" s="490"/>
      <c r="AS394" s="490"/>
      <c r="AT394" s="490"/>
      <c r="AU394" s="490"/>
      <c r="AV394" s="490"/>
      <c r="AW394" s="490"/>
      <c r="AX394" s="490"/>
      <c r="AY394" s="490"/>
      <c r="AZ394" s="490"/>
      <c r="BA394" s="490"/>
      <c r="BB394" s="490"/>
      <c r="BC394" s="490"/>
      <c r="BD394" s="490"/>
      <c r="BE394" s="490"/>
      <c r="BF394" s="490"/>
      <c r="BG394" s="490"/>
      <c r="BH394" s="490"/>
      <c r="BI394" s="490"/>
      <c r="BJ394" s="490"/>
      <c r="BK394" s="490"/>
      <c r="BL394" s="490"/>
      <c r="BM394" s="490"/>
      <c r="BN394" s="490"/>
      <c r="BO394" s="490"/>
      <c r="BP394" s="490"/>
      <c r="BQ394" s="490"/>
      <c r="BR394" s="490"/>
      <c r="BS394" s="490"/>
      <c r="BT394" s="490"/>
      <c r="BU394" s="490"/>
      <c r="BV394" s="490"/>
      <c r="BW394" s="490"/>
      <c r="BX394" s="490"/>
      <c r="BY394" s="490"/>
      <c r="BZ394" s="490"/>
      <c r="CA394" s="490"/>
      <c r="CB394" s="490"/>
      <c r="CC394" s="490"/>
      <c r="CD394" s="490"/>
      <c r="CE394" s="490"/>
      <c r="CF394" s="490"/>
      <c r="CG394" s="490"/>
      <c r="CH394" s="490"/>
      <c r="CI394" s="490"/>
      <c r="CJ394" s="490"/>
      <c r="CK394" s="490"/>
      <c r="CL394" s="490"/>
      <c r="CM394" s="490"/>
      <c r="CN394" s="490"/>
      <c r="CO394" s="490"/>
      <c r="CP394" s="490"/>
      <c r="CQ394" s="490"/>
      <c r="CR394" s="490"/>
      <c r="CS394" s="490"/>
      <c r="CT394" s="490"/>
      <c r="CU394" s="490"/>
      <c r="CV394" s="490"/>
      <c r="CW394" s="490"/>
      <c r="CX394" s="490"/>
      <c r="CY394" s="490"/>
      <c r="CZ394" s="490"/>
      <c r="DA394" s="490"/>
      <c r="DB394" s="490"/>
      <c r="DC394" s="490"/>
      <c r="DD394" s="490"/>
      <c r="DE394" s="490"/>
      <c r="DF394" s="490"/>
      <c r="DG394" s="490"/>
      <c r="DH394" s="490"/>
      <c r="DI394" s="490"/>
      <c r="DJ394" s="490"/>
      <c r="DK394" s="490"/>
      <c r="DL394" s="490"/>
      <c r="DM394" s="490"/>
      <c r="DN394" s="490"/>
      <c r="DO394" s="490"/>
      <c r="DP394" s="490"/>
      <c r="DQ394" s="490"/>
      <c r="DR394" s="490"/>
      <c r="DS394" s="490"/>
      <c r="DT394" s="490"/>
      <c r="DU394" s="490"/>
      <c r="DV394" s="490"/>
      <c r="DW394" s="490"/>
      <c r="DX394" s="490"/>
      <c r="DY394" s="490"/>
      <c r="DZ394" s="490"/>
      <c r="EA394" s="490"/>
      <c r="EB394" s="490"/>
      <c r="EC394" s="490"/>
      <c r="ED394" s="490"/>
      <c r="EE394" s="490"/>
      <c r="EF394" s="490"/>
      <c r="EG394" s="490"/>
      <c r="EH394" s="490"/>
      <c r="EI394" s="490"/>
      <c r="EJ394" s="490"/>
      <c r="EK394" s="490"/>
      <c r="EL394" s="490"/>
      <c r="EM394" s="490"/>
      <c r="EN394" s="490"/>
      <c r="EO394" s="490"/>
      <c r="EP394" s="490"/>
      <c r="EQ394" s="490"/>
      <c r="ER394" s="490"/>
      <c r="ES394" s="490"/>
      <c r="ET394" s="490"/>
      <c r="EU394" s="490"/>
      <c r="EV394" s="490"/>
      <c r="EW394" s="490"/>
      <c r="EX394" s="490"/>
      <c r="EY394" s="490"/>
      <c r="EZ394" s="490"/>
      <c r="FA394" s="490"/>
      <c r="FB394" s="490"/>
      <c r="FC394" s="490"/>
      <c r="FD394" s="490"/>
      <c r="FE394" s="490"/>
      <c r="FF394" s="490"/>
      <c r="FG394" s="490"/>
      <c r="FH394" s="490"/>
      <c r="FI394" s="490"/>
    </row>
    <row r="395" s="492" customFormat="1" spans="1:170">
      <c r="A395" s="577"/>
      <c r="B395" s="568"/>
      <c r="C395" s="567"/>
      <c r="D395" s="568"/>
      <c r="E395" s="568"/>
      <c r="F395" s="545" t="s">
        <v>159</v>
      </c>
      <c r="G395" s="546">
        <v>0.8274</v>
      </c>
      <c r="H395" s="546">
        <v>0.3</v>
      </c>
      <c r="I395" s="546" t="s">
        <v>22</v>
      </c>
      <c r="J395" s="546">
        <v>1.72</v>
      </c>
      <c r="K395" s="569"/>
      <c r="L395" s="545"/>
      <c r="M395" s="490"/>
      <c r="N395" s="490"/>
      <c r="O395" s="490"/>
      <c r="P395" s="490"/>
      <c r="Q395" s="490"/>
      <c r="R395" s="490"/>
      <c r="S395" s="490"/>
      <c r="T395" s="490"/>
      <c r="U395" s="490"/>
      <c r="V395" s="490"/>
      <c r="W395" s="490"/>
      <c r="X395" s="490"/>
      <c r="Y395" s="490"/>
      <c r="Z395" s="490"/>
      <c r="AA395" s="490"/>
      <c r="AB395" s="490"/>
      <c r="AC395" s="490"/>
      <c r="AD395" s="490"/>
      <c r="AE395" s="490"/>
      <c r="AF395" s="490"/>
      <c r="AG395" s="490"/>
      <c r="AH395" s="490"/>
      <c r="AI395" s="490"/>
      <c r="AJ395" s="490"/>
      <c r="AK395" s="490"/>
      <c r="AL395" s="490"/>
      <c r="AM395" s="490"/>
      <c r="AN395" s="490"/>
      <c r="AO395" s="490"/>
      <c r="AP395" s="490"/>
      <c r="AQ395" s="490"/>
      <c r="AR395" s="490"/>
      <c r="AS395" s="490"/>
      <c r="AT395" s="490"/>
      <c r="AU395" s="490"/>
      <c r="AV395" s="490"/>
      <c r="AW395" s="490"/>
      <c r="AX395" s="490"/>
      <c r="AY395" s="490"/>
      <c r="AZ395" s="490"/>
      <c r="BA395" s="490"/>
      <c r="BB395" s="490"/>
      <c r="BC395" s="490"/>
      <c r="BD395" s="490"/>
      <c r="BE395" s="490"/>
      <c r="BF395" s="490"/>
      <c r="BG395" s="490"/>
      <c r="BH395" s="490"/>
      <c r="BI395" s="490"/>
      <c r="BJ395" s="490"/>
      <c r="BK395" s="490"/>
      <c r="BL395" s="490"/>
      <c r="BM395" s="490"/>
      <c r="BN395" s="490"/>
      <c r="BO395" s="490"/>
      <c r="BP395" s="490"/>
      <c r="BQ395" s="490"/>
      <c r="BR395" s="490"/>
      <c r="BS395" s="490"/>
      <c r="BT395" s="490"/>
      <c r="BU395" s="490"/>
      <c r="BV395" s="490"/>
      <c r="BW395" s="490"/>
      <c r="BX395" s="490"/>
      <c r="BY395" s="490"/>
      <c r="BZ395" s="490"/>
      <c r="CA395" s="490"/>
      <c r="CB395" s="490"/>
      <c r="CC395" s="490"/>
      <c r="CD395" s="490"/>
      <c r="CE395" s="490"/>
      <c r="CF395" s="490"/>
      <c r="CG395" s="490"/>
      <c r="CH395" s="490"/>
      <c r="CI395" s="490"/>
      <c r="CJ395" s="490"/>
      <c r="CK395" s="490"/>
      <c r="CL395" s="490"/>
      <c r="CM395" s="490"/>
      <c r="CN395" s="490"/>
      <c r="CO395" s="490"/>
      <c r="CP395" s="490"/>
      <c r="CQ395" s="490"/>
      <c r="CR395" s="490"/>
      <c r="CS395" s="490"/>
      <c r="CT395" s="490"/>
      <c r="CU395" s="490"/>
      <c r="CV395" s="490"/>
      <c r="CW395" s="490"/>
      <c r="CX395" s="490"/>
      <c r="CY395" s="490"/>
      <c r="CZ395" s="490"/>
      <c r="DA395" s="490"/>
      <c r="DB395" s="490"/>
      <c r="DC395" s="490"/>
      <c r="DD395" s="490"/>
      <c r="DE395" s="490"/>
      <c r="DF395" s="490"/>
      <c r="DG395" s="490"/>
      <c r="DH395" s="490"/>
      <c r="DI395" s="490"/>
      <c r="DJ395" s="490"/>
      <c r="DK395" s="490"/>
      <c r="DL395" s="490"/>
      <c r="DM395" s="490"/>
      <c r="DN395" s="490"/>
      <c r="DO395" s="490"/>
      <c r="DP395" s="490"/>
      <c r="DQ395" s="490"/>
      <c r="DR395" s="490"/>
      <c r="DS395" s="490"/>
      <c r="DT395" s="490"/>
      <c r="DU395" s="490"/>
      <c r="DV395" s="490"/>
      <c r="DW395" s="490"/>
      <c r="DX395" s="490"/>
      <c r="DY395" s="490"/>
      <c r="DZ395" s="490"/>
      <c r="EA395" s="490"/>
      <c r="EB395" s="490"/>
      <c r="EC395" s="490"/>
      <c r="ED395" s="490"/>
      <c r="EE395" s="490"/>
      <c r="EF395" s="490"/>
      <c r="EG395" s="490"/>
      <c r="EH395" s="490"/>
      <c r="EI395" s="490"/>
      <c r="EJ395" s="490"/>
      <c r="EK395" s="490"/>
      <c r="EL395" s="490"/>
      <c r="EM395" s="490"/>
      <c r="EN395" s="490"/>
      <c r="EO395" s="490"/>
      <c r="EP395" s="490"/>
      <c r="EQ395" s="490"/>
      <c r="ER395" s="490"/>
      <c r="ES395" s="490"/>
      <c r="ET395" s="490"/>
      <c r="EU395" s="490"/>
      <c r="EV395" s="490"/>
      <c r="EW395" s="490"/>
      <c r="EX395" s="490"/>
      <c r="EY395" s="490"/>
      <c r="EZ395" s="490"/>
      <c r="FA395" s="490"/>
      <c r="FB395" s="490"/>
      <c r="FC395" s="490"/>
      <c r="FD395" s="490"/>
      <c r="FE395" s="490"/>
      <c r="FF395" s="490"/>
      <c r="FG395" s="490"/>
      <c r="FH395" s="490"/>
      <c r="FI395" s="490"/>
    </row>
    <row r="396" s="492" customFormat="1" spans="1:170">
      <c r="A396" s="577"/>
      <c r="B396" s="568"/>
      <c r="C396" s="567"/>
      <c r="D396" s="568"/>
      <c r="E396" s="568"/>
      <c r="F396" s="545" t="s">
        <v>851</v>
      </c>
      <c r="G396" s="546">
        <v>0.8274</v>
      </c>
      <c r="H396" s="546">
        <v>0.2</v>
      </c>
      <c r="I396" s="546" t="s">
        <v>96</v>
      </c>
      <c r="J396" s="546">
        <v>3.1</v>
      </c>
      <c r="K396" s="569"/>
      <c r="L396" s="545"/>
      <c r="M396" s="490"/>
      <c r="N396" s="490"/>
      <c r="O396" s="490"/>
      <c r="P396" s="490"/>
      <c r="Q396" s="490"/>
      <c r="R396" s="490"/>
      <c r="S396" s="490"/>
      <c r="T396" s="490"/>
      <c r="U396" s="490"/>
      <c r="V396" s="490"/>
      <c r="W396" s="490"/>
      <c r="X396" s="490"/>
      <c r="Y396" s="490"/>
      <c r="Z396" s="490"/>
      <c r="AA396" s="490"/>
      <c r="AB396" s="490"/>
      <c r="AC396" s="490"/>
      <c r="AD396" s="490"/>
      <c r="AE396" s="490"/>
      <c r="AF396" s="490"/>
      <c r="AG396" s="490"/>
      <c r="AH396" s="490"/>
      <c r="AI396" s="490"/>
      <c r="AJ396" s="490"/>
      <c r="AK396" s="490"/>
      <c r="AL396" s="490"/>
      <c r="AM396" s="490"/>
      <c r="AN396" s="490"/>
      <c r="AO396" s="490"/>
      <c r="AP396" s="490"/>
      <c r="AQ396" s="490"/>
      <c r="AR396" s="490"/>
      <c r="AS396" s="490"/>
      <c r="AT396" s="490"/>
      <c r="AU396" s="490"/>
      <c r="AV396" s="490"/>
      <c r="AW396" s="490"/>
      <c r="AX396" s="490"/>
      <c r="AY396" s="490"/>
      <c r="AZ396" s="490"/>
      <c r="BA396" s="490"/>
      <c r="BB396" s="490"/>
      <c r="BC396" s="490"/>
      <c r="BD396" s="490"/>
      <c r="BE396" s="490"/>
      <c r="BF396" s="490"/>
      <c r="BG396" s="490"/>
      <c r="BH396" s="490"/>
      <c r="BI396" s="490"/>
      <c r="BJ396" s="490"/>
      <c r="BK396" s="490"/>
      <c r="BL396" s="490"/>
      <c r="BM396" s="490"/>
      <c r="BN396" s="490"/>
      <c r="BO396" s="490"/>
      <c r="BP396" s="490"/>
      <c r="BQ396" s="490"/>
      <c r="BR396" s="490"/>
      <c r="BS396" s="490"/>
      <c r="BT396" s="490"/>
      <c r="BU396" s="490"/>
      <c r="BV396" s="490"/>
      <c r="BW396" s="490"/>
      <c r="BX396" s="490"/>
      <c r="BY396" s="490"/>
      <c r="BZ396" s="490"/>
      <c r="CA396" s="490"/>
      <c r="CB396" s="490"/>
      <c r="CC396" s="490"/>
      <c r="CD396" s="490"/>
      <c r="CE396" s="490"/>
      <c r="CF396" s="490"/>
      <c r="CG396" s="490"/>
      <c r="CH396" s="490"/>
      <c r="CI396" s="490"/>
      <c r="CJ396" s="490"/>
      <c r="CK396" s="490"/>
      <c r="CL396" s="490"/>
      <c r="CM396" s="490"/>
      <c r="CN396" s="490"/>
      <c r="CO396" s="490"/>
      <c r="CP396" s="490"/>
      <c r="CQ396" s="490"/>
      <c r="CR396" s="490"/>
      <c r="CS396" s="490"/>
      <c r="CT396" s="490"/>
      <c r="CU396" s="490"/>
      <c r="CV396" s="490"/>
      <c r="CW396" s="490"/>
      <c r="CX396" s="490"/>
      <c r="CY396" s="490"/>
      <c r="CZ396" s="490"/>
      <c r="DA396" s="490"/>
      <c r="DB396" s="490"/>
      <c r="DC396" s="490"/>
      <c r="DD396" s="490"/>
      <c r="DE396" s="490"/>
      <c r="DF396" s="490"/>
      <c r="DG396" s="490"/>
      <c r="DH396" s="490"/>
      <c r="DI396" s="490"/>
      <c r="DJ396" s="490"/>
      <c r="DK396" s="490"/>
      <c r="DL396" s="490"/>
      <c r="DM396" s="490"/>
      <c r="DN396" s="490"/>
      <c r="DO396" s="490"/>
      <c r="DP396" s="490"/>
      <c r="DQ396" s="490"/>
      <c r="DR396" s="490"/>
      <c r="DS396" s="490"/>
      <c r="DT396" s="490"/>
      <c r="DU396" s="490"/>
      <c r="DV396" s="490"/>
      <c r="DW396" s="490"/>
      <c r="DX396" s="490"/>
      <c r="DY396" s="490"/>
      <c r="DZ396" s="490"/>
      <c r="EA396" s="490"/>
      <c r="EB396" s="490"/>
      <c r="EC396" s="490"/>
      <c r="ED396" s="490"/>
      <c r="EE396" s="490"/>
      <c r="EF396" s="490"/>
      <c r="EG396" s="490"/>
      <c r="EH396" s="490"/>
      <c r="EI396" s="490"/>
      <c r="EJ396" s="490"/>
      <c r="EK396" s="490"/>
      <c r="EL396" s="490"/>
      <c r="EM396" s="490"/>
      <c r="EN396" s="490"/>
      <c r="EO396" s="490"/>
      <c r="EP396" s="490"/>
      <c r="EQ396" s="490"/>
      <c r="ER396" s="490"/>
      <c r="ES396" s="490"/>
      <c r="ET396" s="490"/>
      <c r="EU396" s="490"/>
      <c r="EV396" s="490"/>
      <c r="EW396" s="490"/>
      <c r="EX396" s="490"/>
      <c r="EY396" s="490"/>
      <c r="EZ396" s="490"/>
      <c r="FA396" s="490"/>
      <c r="FB396" s="490"/>
      <c r="FC396" s="490"/>
      <c r="FD396" s="490"/>
      <c r="FE396" s="490"/>
      <c r="FF396" s="490"/>
      <c r="FG396" s="490"/>
      <c r="FH396" s="490"/>
      <c r="FI396" s="490"/>
      <c r="FJ396" s="490"/>
      <c r="FK396" s="490"/>
      <c r="FL396" s="490"/>
      <c r="FM396" s="490"/>
      <c r="FN396" s="490"/>
    </row>
    <row r="397" s="492" customFormat="1" spans="1:170">
      <c r="A397" s="577"/>
      <c r="B397" s="568"/>
      <c r="C397" s="567"/>
      <c r="D397" s="568"/>
      <c r="E397" s="568"/>
      <c r="F397" s="545" t="s">
        <v>148</v>
      </c>
      <c r="G397" s="546">
        <v>2.6658</v>
      </c>
      <c r="H397" s="546">
        <v>0.5</v>
      </c>
      <c r="I397" s="546" t="s">
        <v>24</v>
      </c>
      <c r="J397" s="546" t="s">
        <v>24</v>
      </c>
      <c r="K397" s="570"/>
      <c r="L397" s="545"/>
      <c r="M397" s="490"/>
      <c r="N397" s="490"/>
      <c r="O397" s="490"/>
      <c r="P397" s="490"/>
      <c r="Q397" s="490"/>
      <c r="R397" s="490"/>
      <c r="S397" s="490"/>
      <c r="T397" s="490"/>
      <c r="U397" s="490"/>
      <c r="V397" s="490"/>
      <c r="W397" s="490"/>
      <c r="X397" s="490"/>
      <c r="Y397" s="490"/>
      <c r="Z397" s="490"/>
      <c r="AA397" s="490"/>
      <c r="AB397" s="490"/>
      <c r="AC397" s="490"/>
      <c r="AD397" s="490"/>
      <c r="AE397" s="490"/>
      <c r="AF397" s="490"/>
      <c r="AG397" s="490"/>
      <c r="AH397" s="490"/>
      <c r="AI397" s="490"/>
      <c r="AJ397" s="490"/>
      <c r="AK397" s="490"/>
      <c r="AL397" s="490"/>
      <c r="AM397" s="490"/>
      <c r="AN397" s="490"/>
      <c r="AO397" s="490"/>
      <c r="AP397" s="490"/>
      <c r="AQ397" s="490"/>
      <c r="AR397" s="490"/>
      <c r="AS397" s="490"/>
      <c r="AT397" s="490"/>
      <c r="AU397" s="490"/>
      <c r="AV397" s="490"/>
      <c r="AW397" s="490"/>
      <c r="AX397" s="490"/>
      <c r="AY397" s="490"/>
      <c r="AZ397" s="490"/>
      <c r="BA397" s="490"/>
      <c r="BB397" s="490"/>
      <c r="BC397" s="490"/>
      <c r="BD397" s="490"/>
      <c r="BE397" s="490"/>
      <c r="BF397" s="490"/>
      <c r="BG397" s="490"/>
      <c r="BH397" s="490"/>
      <c r="BI397" s="490"/>
      <c r="BJ397" s="490"/>
      <c r="BK397" s="490"/>
      <c r="BL397" s="490"/>
      <c r="BM397" s="490"/>
      <c r="BN397" s="490"/>
      <c r="BO397" s="490"/>
      <c r="BP397" s="490"/>
      <c r="BQ397" s="490"/>
      <c r="BR397" s="490"/>
      <c r="BS397" s="490"/>
      <c r="BT397" s="490"/>
      <c r="BU397" s="490"/>
      <c r="BV397" s="490"/>
      <c r="BW397" s="490"/>
      <c r="BX397" s="490"/>
      <c r="BY397" s="490"/>
      <c r="BZ397" s="490"/>
      <c r="CA397" s="490"/>
      <c r="CB397" s="490"/>
      <c r="CC397" s="490"/>
      <c r="CD397" s="490"/>
      <c r="CE397" s="490"/>
      <c r="CF397" s="490"/>
      <c r="CG397" s="490"/>
      <c r="CH397" s="490"/>
      <c r="CI397" s="490"/>
      <c r="CJ397" s="490"/>
      <c r="CK397" s="490"/>
      <c r="CL397" s="490"/>
      <c r="CM397" s="490"/>
      <c r="CN397" s="490"/>
      <c r="CO397" s="490"/>
      <c r="CP397" s="490"/>
      <c r="CQ397" s="490"/>
      <c r="CR397" s="490"/>
      <c r="CS397" s="490"/>
      <c r="CT397" s="490"/>
      <c r="CU397" s="490"/>
      <c r="CV397" s="490"/>
      <c r="CW397" s="490"/>
      <c r="CX397" s="490"/>
      <c r="CY397" s="490"/>
      <c r="CZ397" s="490"/>
      <c r="DA397" s="490"/>
      <c r="DB397" s="490"/>
      <c r="DC397" s="490"/>
      <c r="DD397" s="490"/>
      <c r="DE397" s="490"/>
      <c r="DF397" s="490"/>
      <c r="DG397" s="490"/>
      <c r="DH397" s="490"/>
      <c r="DI397" s="490"/>
      <c r="DJ397" s="490"/>
      <c r="DK397" s="490"/>
      <c r="DL397" s="490"/>
      <c r="DM397" s="490"/>
      <c r="DN397" s="490"/>
      <c r="DO397" s="490"/>
      <c r="DP397" s="490"/>
      <c r="DQ397" s="490"/>
      <c r="DR397" s="490"/>
      <c r="DS397" s="490"/>
      <c r="DT397" s="490"/>
      <c r="DU397" s="490"/>
      <c r="DV397" s="490"/>
      <c r="DW397" s="490"/>
      <c r="DX397" s="490"/>
      <c r="DY397" s="490"/>
      <c r="DZ397" s="490"/>
      <c r="EA397" s="490"/>
      <c r="EB397" s="490"/>
      <c r="EC397" s="490"/>
      <c r="ED397" s="490"/>
      <c r="EE397" s="490"/>
      <c r="EF397" s="490"/>
      <c r="EG397" s="490"/>
      <c r="EH397" s="490"/>
      <c r="EI397" s="490"/>
      <c r="EJ397" s="490"/>
      <c r="EK397" s="490"/>
      <c r="EL397" s="490"/>
      <c r="EM397" s="490"/>
      <c r="EN397" s="490"/>
      <c r="EO397" s="490"/>
      <c r="EP397" s="490"/>
      <c r="EQ397" s="490"/>
      <c r="ER397" s="490"/>
      <c r="ES397" s="490"/>
      <c r="ET397" s="490"/>
      <c r="EU397" s="490"/>
      <c r="EV397" s="490"/>
      <c r="EW397" s="490"/>
      <c r="EX397" s="490"/>
      <c r="EY397" s="490"/>
      <c r="EZ397" s="490"/>
      <c r="FA397" s="490"/>
      <c r="FB397" s="490"/>
      <c r="FC397" s="490"/>
      <c r="FD397" s="490"/>
      <c r="FE397" s="490"/>
      <c r="FF397" s="490"/>
      <c r="FG397" s="490"/>
      <c r="FH397" s="490"/>
      <c r="FI397" s="490"/>
      <c r="FJ397" s="490"/>
      <c r="FK397" s="490"/>
      <c r="FL397" s="490"/>
      <c r="FM397" s="490"/>
      <c r="FN397" s="490"/>
    </row>
    <row r="398" s="492" customFormat="1" spans="1:170">
      <c r="A398" s="576">
        <v>46198</v>
      </c>
      <c r="B398" s="566" t="s">
        <v>852</v>
      </c>
      <c r="C398" s="560">
        <v>4.7</v>
      </c>
      <c r="D398" s="566" t="s">
        <v>295</v>
      </c>
      <c r="E398" s="566" t="s">
        <v>295</v>
      </c>
      <c r="F398" s="545" t="s">
        <v>158</v>
      </c>
      <c r="G398" s="546">
        <v>1</v>
      </c>
      <c r="H398" s="546">
        <v>4.4</v>
      </c>
      <c r="I398" s="542" t="s">
        <v>17</v>
      </c>
      <c r="J398" s="546">
        <v>1.57</v>
      </c>
      <c r="K398" s="559" t="s">
        <v>838</v>
      </c>
      <c r="L398" s="545" t="s">
        <v>256</v>
      </c>
      <c r="M398" s="490"/>
      <c r="N398" s="490"/>
      <c r="O398" s="490"/>
      <c r="P398" s="490"/>
      <c r="Q398" s="490"/>
      <c r="R398" s="490"/>
      <c r="S398" s="490"/>
      <c r="T398" s="490"/>
      <c r="U398" s="490"/>
      <c r="V398" s="490"/>
      <c r="W398" s="490"/>
      <c r="X398" s="490"/>
      <c r="Y398" s="490"/>
      <c r="Z398" s="490"/>
      <c r="AA398" s="490"/>
      <c r="AB398" s="490"/>
      <c r="AC398" s="490"/>
      <c r="AD398" s="490"/>
      <c r="AE398" s="490"/>
      <c r="AF398" s="490"/>
      <c r="AG398" s="490"/>
      <c r="AH398" s="490"/>
      <c r="AI398" s="490"/>
      <c r="AJ398" s="490"/>
      <c r="AK398" s="490"/>
      <c r="AL398" s="490"/>
      <c r="AM398" s="490"/>
      <c r="AN398" s="490"/>
      <c r="AO398" s="490"/>
      <c r="AP398" s="490"/>
      <c r="AQ398" s="490"/>
      <c r="AR398" s="490"/>
      <c r="AS398" s="490"/>
      <c r="AT398" s="490"/>
      <c r="AU398" s="490"/>
      <c r="AV398" s="490"/>
      <c r="AW398" s="490"/>
      <c r="AX398" s="490"/>
      <c r="AY398" s="490"/>
      <c r="AZ398" s="490"/>
      <c r="BA398" s="490"/>
      <c r="BB398" s="490"/>
      <c r="BC398" s="490"/>
      <c r="BD398" s="490"/>
      <c r="BE398" s="490"/>
      <c r="BF398" s="490"/>
      <c r="BG398" s="490"/>
      <c r="BH398" s="490"/>
      <c r="BI398" s="490"/>
      <c r="BJ398" s="490"/>
      <c r="BK398" s="490"/>
      <c r="BL398" s="490"/>
      <c r="BM398" s="490"/>
      <c r="BN398" s="490"/>
      <c r="BO398" s="490"/>
      <c r="BP398" s="490"/>
      <c r="BQ398" s="490"/>
      <c r="BR398" s="490"/>
      <c r="BS398" s="490"/>
      <c r="BT398" s="490"/>
      <c r="BU398" s="490"/>
      <c r="BV398" s="490"/>
      <c r="BW398" s="490"/>
      <c r="BX398" s="490"/>
      <c r="BY398" s="490"/>
      <c r="BZ398" s="490"/>
      <c r="CA398" s="490"/>
      <c r="CB398" s="490"/>
      <c r="CC398" s="490"/>
      <c r="CD398" s="490"/>
      <c r="CE398" s="490"/>
      <c r="CF398" s="490"/>
      <c r="CG398" s="490"/>
      <c r="CH398" s="490"/>
      <c r="CI398" s="490"/>
      <c r="CJ398" s="490"/>
      <c r="CK398" s="490"/>
      <c r="CL398" s="490"/>
      <c r="CM398" s="490"/>
      <c r="CN398" s="490"/>
      <c r="CO398" s="490"/>
      <c r="CP398" s="490"/>
      <c r="CQ398" s="490"/>
      <c r="CR398" s="490"/>
      <c r="CS398" s="490"/>
      <c r="CT398" s="490"/>
      <c r="CU398" s="490"/>
      <c r="CV398" s="490"/>
      <c r="CW398" s="490"/>
      <c r="CX398" s="490"/>
      <c r="CY398" s="490"/>
      <c r="CZ398" s="490"/>
      <c r="DA398" s="490"/>
      <c r="DB398" s="490"/>
      <c r="DC398" s="490"/>
      <c r="DD398" s="490"/>
      <c r="DE398" s="490"/>
      <c r="DF398" s="490"/>
      <c r="DG398" s="490"/>
      <c r="DH398" s="490"/>
      <c r="DI398" s="490"/>
      <c r="DJ398" s="490"/>
      <c r="DK398" s="490"/>
      <c r="DL398" s="490"/>
      <c r="DM398" s="490"/>
      <c r="DN398" s="490"/>
      <c r="DO398" s="490"/>
      <c r="DP398" s="490"/>
      <c r="DQ398" s="490"/>
      <c r="DR398" s="490"/>
      <c r="DS398" s="490"/>
      <c r="DT398" s="490"/>
      <c r="DU398" s="490"/>
      <c r="DV398" s="490"/>
      <c r="DW398" s="490"/>
      <c r="DX398" s="490"/>
      <c r="DY398" s="490"/>
      <c r="DZ398" s="490"/>
      <c r="EA398" s="490"/>
      <c r="EB398" s="490"/>
      <c r="EC398" s="490"/>
      <c r="ED398" s="490"/>
      <c r="EE398" s="490"/>
      <c r="EF398" s="490"/>
      <c r="EG398" s="490"/>
      <c r="EH398" s="490"/>
      <c r="EI398" s="490"/>
      <c r="EJ398" s="490"/>
      <c r="EK398" s="490"/>
      <c r="EL398" s="490"/>
      <c r="EM398" s="490"/>
      <c r="EN398" s="490"/>
      <c r="EO398" s="490"/>
      <c r="EP398" s="490"/>
      <c r="EQ398" s="490"/>
      <c r="ER398" s="490"/>
      <c r="ES398" s="490"/>
      <c r="ET398" s="490"/>
      <c r="EU398" s="490"/>
      <c r="EV398" s="490"/>
      <c r="EW398" s="490"/>
      <c r="EX398" s="490"/>
      <c r="EY398" s="490"/>
      <c r="EZ398" s="490"/>
      <c r="FA398" s="490"/>
      <c r="FB398" s="490"/>
      <c r="FC398" s="490"/>
      <c r="FD398" s="490"/>
      <c r="FE398" s="490"/>
      <c r="FF398" s="490"/>
      <c r="FG398" s="490"/>
      <c r="FH398" s="490"/>
      <c r="FI398" s="490"/>
      <c r="FJ398" s="490"/>
      <c r="FK398" s="490"/>
      <c r="FL398" s="490"/>
      <c r="FM398" s="490"/>
      <c r="FN398" s="490"/>
    </row>
    <row r="399" s="492" customFormat="1" spans="1:170">
      <c r="A399" s="577"/>
      <c r="B399" s="568"/>
      <c r="C399" s="567"/>
      <c r="D399" s="568"/>
      <c r="E399" s="568"/>
      <c r="F399" s="545" t="s">
        <v>159</v>
      </c>
      <c r="G399" s="546">
        <v>1</v>
      </c>
      <c r="H399" s="546">
        <v>0.3</v>
      </c>
      <c r="I399" s="542" t="s">
        <v>22</v>
      </c>
      <c r="J399" s="546">
        <v>1.7</v>
      </c>
      <c r="K399" s="569"/>
      <c r="L399" s="545"/>
      <c r="M399" s="490"/>
      <c r="N399" s="490"/>
      <c r="O399" s="490"/>
      <c r="P399" s="490"/>
      <c r="Q399" s="490"/>
      <c r="R399" s="490"/>
      <c r="S399" s="490"/>
      <c r="T399" s="490"/>
      <c r="U399" s="490"/>
      <c r="V399" s="490"/>
      <c r="W399" s="490"/>
      <c r="X399" s="490"/>
      <c r="Y399" s="490"/>
      <c r="Z399" s="490"/>
      <c r="AA399" s="490"/>
      <c r="AB399" s="490"/>
      <c r="AC399" s="490"/>
      <c r="AD399" s="490"/>
      <c r="AE399" s="490"/>
      <c r="AF399" s="490"/>
      <c r="AG399" s="490"/>
      <c r="AH399" s="490"/>
      <c r="AI399" s="490"/>
      <c r="AJ399" s="490"/>
      <c r="AK399" s="490"/>
      <c r="AL399" s="490"/>
      <c r="AM399" s="490"/>
      <c r="AN399" s="490"/>
      <c r="AO399" s="490"/>
      <c r="AP399" s="490"/>
      <c r="AQ399" s="490"/>
      <c r="AR399" s="490"/>
      <c r="AS399" s="490"/>
      <c r="AT399" s="490"/>
      <c r="AU399" s="490"/>
      <c r="AV399" s="490"/>
      <c r="AW399" s="490"/>
      <c r="AX399" s="490"/>
      <c r="AY399" s="490"/>
      <c r="AZ399" s="490"/>
      <c r="BA399" s="490"/>
      <c r="BB399" s="490"/>
      <c r="BC399" s="490"/>
      <c r="BD399" s="490"/>
      <c r="BE399" s="490"/>
      <c r="BF399" s="490"/>
      <c r="BG399" s="490"/>
      <c r="BH399" s="490"/>
      <c r="BI399" s="490"/>
      <c r="BJ399" s="490"/>
      <c r="BK399" s="490"/>
      <c r="BL399" s="490"/>
      <c r="BM399" s="490"/>
      <c r="BN399" s="490"/>
      <c r="BO399" s="490"/>
      <c r="BP399" s="490"/>
      <c r="BQ399" s="490"/>
      <c r="BR399" s="490"/>
      <c r="BS399" s="490"/>
      <c r="BT399" s="490"/>
      <c r="BU399" s="490"/>
      <c r="BV399" s="490"/>
      <c r="BW399" s="490"/>
      <c r="BX399" s="490"/>
      <c r="BY399" s="490"/>
      <c r="BZ399" s="490"/>
      <c r="CA399" s="490"/>
      <c r="CB399" s="490"/>
      <c r="CC399" s="490"/>
      <c r="CD399" s="490"/>
      <c r="CE399" s="490"/>
      <c r="CF399" s="490"/>
      <c r="CG399" s="490"/>
      <c r="CH399" s="490"/>
      <c r="CI399" s="490"/>
      <c r="CJ399" s="490"/>
      <c r="CK399" s="490"/>
      <c r="CL399" s="490"/>
      <c r="CM399" s="490"/>
      <c r="CN399" s="490"/>
      <c r="CO399" s="490"/>
      <c r="CP399" s="490"/>
      <c r="CQ399" s="490"/>
      <c r="CR399" s="490"/>
      <c r="CS399" s="490"/>
      <c r="CT399" s="490"/>
      <c r="CU399" s="490"/>
      <c r="CV399" s="490"/>
      <c r="CW399" s="490"/>
      <c r="CX399" s="490"/>
      <c r="CY399" s="490"/>
      <c r="CZ399" s="490"/>
      <c r="DA399" s="490"/>
      <c r="DB399" s="490"/>
      <c r="DC399" s="490"/>
      <c r="DD399" s="490"/>
      <c r="DE399" s="490"/>
      <c r="DF399" s="490"/>
      <c r="DG399" s="490"/>
      <c r="DH399" s="490"/>
      <c r="DI399" s="490"/>
      <c r="DJ399" s="490"/>
      <c r="DK399" s="490"/>
      <c r="DL399" s="490"/>
      <c r="DM399" s="490"/>
      <c r="DN399" s="490"/>
      <c r="DO399" s="490"/>
      <c r="DP399" s="490"/>
      <c r="DQ399" s="490"/>
      <c r="DR399" s="490"/>
      <c r="DS399" s="490"/>
      <c r="DT399" s="490"/>
      <c r="DU399" s="490"/>
      <c r="DV399" s="490"/>
      <c r="DW399" s="490"/>
      <c r="DX399" s="490"/>
      <c r="DY399" s="490"/>
      <c r="DZ399" s="490"/>
      <c r="EA399" s="490"/>
      <c r="EB399" s="490"/>
      <c r="EC399" s="490"/>
      <c r="ED399" s="490"/>
      <c r="EE399" s="490"/>
      <c r="EF399" s="490"/>
      <c r="EG399" s="490"/>
      <c r="EH399" s="490"/>
      <c r="EI399" s="490"/>
      <c r="EJ399" s="490"/>
      <c r="EK399" s="490"/>
      <c r="EL399" s="490"/>
      <c r="EM399" s="490"/>
      <c r="EN399" s="490"/>
      <c r="EO399" s="490"/>
      <c r="EP399" s="490"/>
      <c r="EQ399" s="490"/>
      <c r="ER399" s="490"/>
      <c r="ES399" s="490"/>
      <c r="ET399" s="490"/>
      <c r="EU399" s="490"/>
      <c r="EV399" s="490"/>
      <c r="EW399" s="490"/>
      <c r="EX399" s="490"/>
      <c r="EY399" s="490"/>
      <c r="EZ399" s="490"/>
      <c r="FA399" s="490"/>
      <c r="FB399" s="490"/>
      <c r="FC399" s="490"/>
      <c r="FD399" s="490"/>
      <c r="FE399" s="490"/>
      <c r="FF399" s="490"/>
      <c r="FG399" s="490"/>
      <c r="FH399" s="490"/>
      <c r="FI399" s="490"/>
      <c r="FJ399" s="490"/>
      <c r="FK399" s="490"/>
      <c r="FL399" s="490"/>
      <c r="FM399" s="490"/>
      <c r="FN399" s="490"/>
    </row>
    <row r="400" s="492" customFormat="1" spans="1:170">
      <c r="A400" s="576">
        <v>46199</v>
      </c>
      <c r="B400" s="566" t="s">
        <v>853</v>
      </c>
      <c r="C400" s="560">
        <v>5.64</v>
      </c>
      <c r="D400" s="566" t="s">
        <v>295</v>
      </c>
      <c r="E400" s="566" t="s">
        <v>447</v>
      </c>
      <c r="F400" s="545" t="s">
        <v>158</v>
      </c>
      <c r="G400" s="546">
        <v>0.9973</v>
      </c>
      <c r="H400" s="546">
        <v>5.28</v>
      </c>
      <c r="I400" s="542" t="s">
        <v>17</v>
      </c>
      <c r="J400" s="546">
        <v>1.6</v>
      </c>
      <c r="K400" s="559" t="s">
        <v>838</v>
      </c>
      <c r="L400" s="545" t="s">
        <v>256</v>
      </c>
      <c r="M400" s="490"/>
      <c r="N400" s="490"/>
      <c r="O400" s="490"/>
      <c r="P400" s="490"/>
      <c r="Q400" s="490"/>
      <c r="R400" s="490"/>
      <c r="S400" s="490"/>
      <c r="T400" s="490"/>
      <c r="U400" s="490"/>
      <c r="V400" s="490"/>
      <c r="W400" s="490"/>
      <c r="X400" s="490"/>
      <c r="Y400" s="490"/>
      <c r="Z400" s="490"/>
      <c r="AA400" s="490"/>
      <c r="AB400" s="490"/>
      <c r="AC400" s="490"/>
      <c r="AD400" s="490"/>
      <c r="AE400" s="490"/>
      <c r="AF400" s="490"/>
      <c r="AG400" s="490"/>
      <c r="AH400" s="490"/>
      <c r="AI400" s="490"/>
      <c r="AJ400" s="490"/>
      <c r="AK400" s="490"/>
      <c r="AL400" s="490"/>
      <c r="AM400" s="490"/>
      <c r="AN400" s="490"/>
      <c r="AO400" s="490"/>
      <c r="AP400" s="490"/>
      <c r="AQ400" s="490"/>
      <c r="AR400" s="490"/>
      <c r="AS400" s="490"/>
      <c r="AT400" s="490"/>
      <c r="AU400" s="490"/>
      <c r="AV400" s="490"/>
      <c r="AW400" s="490"/>
      <c r="AX400" s="490"/>
      <c r="AY400" s="490"/>
      <c r="AZ400" s="490"/>
      <c r="BA400" s="490"/>
      <c r="BB400" s="490"/>
      <c r="BC400" s="490"/>
      <c r="BD400" s="490"/>
      <c r="BE400" s="490"/>
      <c r="BF400" s="490"/>
      <c r="BG400" s="490"/>
      <c r="BH400" s="490"/>
      <c r="BI400" s="490"/>
      <c r="BJ400" s="490"/>
      <c r="BK400" s="490"/>
      <c r="BL400" s="490"/>
      <c r="BM400" s="490"/>
      <c r="BN400" s="490"/>
      <c r="BO400" s="490"/>
      <c r="BP400" s="490"/>
      <c r="BQ400" s="490"/>
      <c r="BR400" s="490"/>
      <c r="BS400" s="490"/>
      <c r="BT400" s="490"/>
      <c r="BU400" s="490"/>
      <c r="BV400" s="490"/>
      <c r="BW400" s="490"/>
      <c r="BX400" s="490"/>
      <c r="BY400" s="490"/>
      <c r="BZ400" s="490"/>
      <c r="CA400" s="490"/>
      <c r="CB400" s="490"/>
      <c r="CC400" s="490"/>
      <c r="CD400" s="490"/>
      <c r="CE400" s="490"/>
      <c r="CF400" s="490"/>
      <c r="CG400" s="490"/>
      <c r="CH400" s="490"/>
      <c r="CI400" s="490"/>
      <c r="CJ400" s="490"/>
      <c r="CK400" s="490"/>
      <c r="CL400" s="490"/>
      <c r="CM400" s="490"/>
      <c r="CN400" s="490"/>
      <c r="CO400" s="490"/>
      <c r="CP400" s="490"/>
      <c r="CQ400" s="490"/>
      <c r="CR400" s="490"/>
      <c r="CS400" s="490"/>
      <c r="CT400" s="490"/>
      <c r="CU400" s="490"/>
      <c r="CV400" s="490"/>
      <c r="CW400" s="490"/>
      <c r="CX400" s="490"/>
      <c r="CY400" s="490"/>
      <c r="CZ400" s="490"/>
      <c r="DA400" s="490"/>
      <c r="DB400" s="490"/>
      <c r="DC400" s="490"/>
      <c r="DD400" s="490"/>
      <c r="DE400" s="490"/>
      <c r="DF400" s="490"/>
      <c r="DG400" s="490"/>
      <c r="DH400" s="490"/>
      <c r="DI400" s="490"/>
      <c r="DJ400" s="490"/>
      <c r="DK400" s="490"/>
      <c r="DL400" s="490"/>
      <c r="DM400" s="490"/>
      <c r="DN400" s="490"/>
      <c r="DO400" s="490"/>
      <c r="DP400" s="490"/>
      <c r="DQ400" s="490"/>
      <c r="DR400" s="490"/>
      <c r="DS400" s="490"/>
      <c r="DT400" s="490"/>
      <c r="DU400" s="490"/>
      <c r="DV400" s="490"/>
      <c r="DW400" s="490"/>
      <c r="DX400" s="490"/>
      <c r="DY400" s="490"/>
      <c r="DZ400" s="490"/>
      <c r="EA400" s="490"/>
      <c r="EB400" s="490"/>
      <c r="EC400" s="490"/>
      <c r="ED400" s="490"/>
      <c r="EE400" s="490"/>
      <c r="EF400" s="490"/>
      <c r="EG400" s="490"/>
      <c r="EH400" s="490"/>
      <c r="EI400" s="490"/>
      <c r="EJ400" s="490"/>
      <c r="EK400" s="490"/>
      <c r="EL400" s="490"/>
      <c r="EM400" s="490"/>
      <c r="EN400" s="490"/>
      <c r="EO400" s="490"/>
      <c r="EP400" s="490"/>
      <c r="EQ400" s="490"/>
      <c r="ER400" s="490"/>
      <c r="ES400" s="490"/>
      <c r="ET400" s="490"/>
      <c r="EU400" s="490"/>
      <c r="EV400" s="490"/>
      <c r="EW400" s="490"/>
      <c r="EX400" s="490"/>
      <c r="EY400" s="490"/>
      <c r="EZ400" s="490"/>
      <c r="FA400" s="490"/>
      <c r="FB400" s="490"/>
      <c r="FC400" s="490"/>
      <c r="FD400" s="490"/>
      <c r="FE400" s="490"/>
      <c r="FF400" s="490"/>
      <c r="FG400" s="490"/>
      <c r="FH400" s="490"/>
      <c r="FI400" s="490"/>
      <c r="FJ400" s="490"/>
      <c r="FK400" s="490"/>
      <c r="FL400" s="490"/>
      <c r="FM400" s="490"/>
      <c r="FN400" s="490"/>
    </row>
    <row r="401" s="492" customFormat="1" spans="1:170">
      <c r="A401" s="577"/>
      <c r="B401" s="568"/>
      <c r="C401" s="567"/>
      <c r="D401" s="568"/>
      <c r="E401" s="568"/>
      <c r="F401" s="545" t="s">
        <v>159</v>
      </c>
      <c r="G401" s="546">
        <v>0.9973</v>
      </c>
      <c r="H401" s="546">
        <v>0.36</v>
      </c>
      <c r="I401" s="542" t="s">
        <v>22</v>
      </c>
      <c r="J401" s="546">
        <v>1.8</v>
      </c>
      <c r="K401" s="570"/>
      <c r="L401" s="545"/>
      <c r="M401" s="490"/>
      <c r="N401" s="490"/>
      <c r="O401" s="490"/>
      <c r="P401" s="490"/>
      <c r="Q401" s="490"/>
      <c r="R401" s="490"/>
      <c r="S401" s="490"/>
      <c r="T401" s="490"/>
      <c r="U401" s="490"/>
      <c r="V401" s="490"/>
      <c r="W401" s="490"/>
      <c r="X401" s="490"/>
      <c r="Y401" s="490"/>
      <c r="Z401" s="490"/>
      <c r="AA401" s="490"/>
      <c r="AB401" s="490"/>
      <c r="AC401" s="490"/>
      <c r="AD401" s="490"/>
      <c r="AE401" s="490"/>
      <c r="AF401" s="490"/>
      <c r="AG401" s="490"/>
      <c r="AH401" s="490"/>
      <c r="AI401" s="490"/>
      <c r="AJ401" s="490"/>
      <c r="AK401" s="490"/>
      <c r="AL401" s="490"/>
      <c r="AM401" s="490"/>
      <c r="AN401" s="490"/>
      <c r="AO401" s="490"/>
      <c r="AP401" s="490"/>
      <c r="AQ401" s="490"/>
      <c r="AR401" s="490"/>
      <c r="AS401" s="490"/>
      <c r="AT401" s="490"/>
      <c r="AU401" s="490"/>
      <c r="AV401" s="490"/>
      <c r="AW401" s="490"/>
      <c r="AX401" s="490"/>
      <c r="AY401" s="490"/>
      <c r="AZ401" s="490"/>
      <c r="BA401" s="490"/>
      <c r="BB401" s="490"/>
      <c r="BC401" s="490"/>
      <c r="BD401" s="490"/>
      <c r="BE401" s="490"/>
      <c r="BF401" s="490"/>
      <c r="BG401" s="490"/>
      <c r="BH401" s="490"/>
      <c r="BI401" s="490"/>
      <c r="BJ401" s="490"/>
      <c r="BK401" s="490"/>
      <c r="BL401" s="490"/>
      <c r="BM401" s="490"/>
      <c r="BN401" s="490"/>
      <c r="BO401" s="490"/>
      <c r="BP401" s="490"/>
      <c r="BQ401" s="490"/>
      <c r="BR401" s="490"/>
      <c r="BS401" s="490"/>
      <c r="BT401" s="490"/>
      <c r="BU401" s="490"/>
      <c r="BV401" s="490"/>
      <c r="BW401" s="490"/>
      <c r="BX401" s="490"/>
      <c r="BY401" s="490"/>
      <c r="BZ401" s="490"/>
      <c r="CA401" s="490"/>
      <c r="CB401" s="490"/>
      <c r="CC401" s="490"/>
      <c r="CD401" s="490"/>
      <c r="CE401" s="490"/>
      <c r="CF401" s="490"/>
      <c r="CG401" s="490"/>
      <c r="CH401" s="490"/>
      <c r="CI401" s="490"/>
      <c r="CJ401" s="490"/>
      <c r="CK401" s="490"/>
      <c r="CL401" s="490"/>
      <c r="CM401" s="490"/>
      <c r="CN401" s="490"/>
      <c r="CO401" s="490"/>
      <c r="CP401" s="490"/>
      <c r="CQ401" s="490"/>
      <c r="CR401" s="490"/>
      <c r="CS401" s="490"/>
      <c r="CT401" s="490"/>
      <c r="CU401" s="490"/>
      <c r="CV401" s="490"/>
      <c r="CW401" s="490"/>
      <c r="CX401" s="490"/>
      <c r="CY401" s="490"/>
      <c r="CZ401" s="490"/>
      <c r="DA401" s="490"/>
      <c r="DB401" s="490"/>
      <c r="DC401" s="490"/>
      <c r="DD401" s="490"/>
      <c r="DE401" s="490"/>
      <c r="DF401" s="490"/>
      <c r="DG401" s="490"/>
      <c r="DH401" s="490"/>
      <c r="DI401" s="490"/>
      <c r="DJ401" s="490"/>
      <c r="DK401" s="490"/>
      <c r="DL401" s="490"/>
      <c r="DM401" s="490"/>
      <c r="DN401" s="490"/>
      <c r="DO401" s="490"/>
      <c r="DP401" s="490"/>
      <c r="DQ401" s="490"/>
      <c r="DR401" s="490"/>
      <c r="DS401" s="490"/>
      <c r="DT401" s="490"/>
      <c r="DU401" s="490"/>
      <c r="DV401" s="490"/>
      <c r="DW401" s="490"/>
      <c r="DX401" s="490"/>
      <c r="DY401" s="490"/>
      <c r="DZ401" s="490"/>
      <c r="EA401" s="490"/>
      <c r="EB401" s="490"/>
      <c r="EC401" s="490"/>
      <c r="ED401" s="490"/>
      <c r="EE401" s="490"/>
      <c r="EF401" s="490"/>
      <c r="EG401" s="490"/>
      <c r="EH401" s="490"/>
      <c r="EI401" s="490"/>
      <c r="EJ401" s="490"/>
      <c r="EK401" s="490"/>
      <c r="EL401" s="490"/>
      <c r="EM401" s="490"/>
      <c r="EN401" s="490"/>
      <c r="EO401" s="490"/>
      <c r="EP401" s="490"/>
      <c r="EQ401" s="490"/>
      <c r="ER401" s="490"/>
      <c r="ES401" s="490"/>
      <c r="ET401" s="490"/>
      <c r="EU401" s="490"/>
      <c r="EV401" s="490"/>
      <c r="EW401" s="490"/>
      <c r="EX401" s="490"/>
      <c r="EY401" s="490"/>
      <c r="EZ401" s="490"/>
      <c r="FA401" s="490"/>
      <c r="FB401" s="490"/>
      <c r="FC401" s="490"/>
      <c r="FD401" s="490"/>
      <c r="FE401" s="490"/>
      <c r="FF401" s="490"/>
      <c r="FG401" s="490"/>
      <c r="FH401" s="490"/>
      <c r="FI401" s="490"/>
      <c r="FJ401" s="490"/>
      <c r="FK401" s="490"/>
      <c r="FL401" s="490"/>
      <c r="FM401" s="490"/>
      <c r="FN401" s="490"/>
    </row>
    <row r="402" s="492" customFormat="1" spans="1:170">
      <c r="A402" s="540">
        <v>46199</v>
      </c>
      <c r="B402" s="515" t="s">
        <v>854</v>
      </c>
      <c r="C402" s="541">
        <v>10</v>
      </c>
      <c r="D402" s="515" t="s">
        <v>649</v>
      </c>
      <c r="E402" s="515" t="s">
        <v>33</v>
      </c>
      <c r="F402" s="515" t="s">
        <v>73</v>
      </c>
      <c r="G402" s="541">
        <v>0.86</v>
      </c>
      <c r="H402" s="541">
        <v>9</v>
      </c>
      <c r="I402" s="541" t="s">
        <v>17</v>
      </c>
      <c r="J402" s="541">
        <v>1.6</v>
      </c>
      <c r="K402" s="515" t="s">
        <v>713</v>
      </c>
      <c r="L402" s="515"/>
      <c r="M402" s="490"/>
      <c r="N402" s="490"/>
      <c r="O402" s="490"/>
      <c r="P402" s="490"/>
      <c r="Q402" s="490"/>
      <c r="R402" s="490"/>
      <c r="S402" s="490"/>
      <c r="T402" s="490"/>
      <c r="U402" s="490"/>
      <c r="V402" s="490"/>
      <c r="W402" s="490"/>
      <c r="X402" s="490"/>
      <c r="Y402" s="490"/>
      <c r="Z402" s="490"/>
      <c r="AA402" s="490"/>
      <c r="AB402" s="490"/>
      <c r="AC402" s="490"/>
      <c r="AD402" s="490"/>
      <c r="AE402" s="490"/>
      <c r="AF402" s="490"/>
      <c r="AG402" s="490"/>
      <c r="AH402" s="490"/>
      <c r="AI402" s="490"/>
      <c r="AJ402" s="490"/>
      <c r="AK402" s="490"/>
      <c r="AL402" s="490"/>
      <c r="AM402" s="490"/>
      <c r="AN402" s="490"/>
      <c r="AO402" s="490"/>
      <c r="AP402" s="490"/>
      <c r="AQ402" s="490"/>
      <c r="AR402" s="490"/>
      <c r="AS402" s="490"/>
      <c r="AT402" s="490"/>
      <c r="AU402" s="490"/>
      <c r="AV402" s="490"/>
      <c r="AW402" s="490"/>
      <c r="AX402" s="490"/>
      <c r="AY402" s="490"/>
      <c r="AZ402" s="490"/>
      <c r="BA402" s="490"/>
      <c r="BB402" s="490"/>
      <c r="BC402" s="490"/>
      <c r="BD402" s="490"/>
      <c r="BE402" s="490"/>
      <c r="BF402" s="490"/>
      <c r="BG402" s="490"/>
      <c r="BH402" s="490"/>
      <c r="BI402" s="490"/>
      <c r="BJ402" s="490"/>
      <c r="BK402" s="490"/>
      <c r="BL402" s="490"/>
      <c r="BM402" s="490"/>
      <c r="BN402" s="490"/>
      <c r="BO402" s="490"/>
      <c r="BP402" s="490"/>
      <c r="BQ402" s="490"/>
      <c r="BR402" s="490"/>
      <c r="BS402" s="490"/>
      <c r="BT402" s="490"/>
      <c r="BU402" s="490"/>
      <c r="BV402" s="490"/>
      <c r="BW402" s="490"/>
      <c r="BX402" s="490"/>
      <c r="BY402" s="490"/>
      <c r="BZ402" s="490"/>
      <c r="CA402" s="490"/>
      <c r="CB402" s="490"/>
      <c r="CC402" s="490"/>
      <c r="CD402" s="490"/>
      <c r="CE402" s="490"/>
      <c r="CF402" s="490"/>
      <c r="CG402" s="490"/>
      <c r="CH402" s="490"/>
      <c r="CI402" s="490"/>
      <c r="CJ402" s="490"/>
      <c r="CK402" s="490"/>
      <c r="CL402" s="490"/>
      <c r="CM402" s="490"/>
      <c r="CN402" s="490"/>
      <c r="CO402" s="490"/>
      <c r="CP402" s="490"/>
      <c r="CQ402" s="490"/>
      <c r="CR402" s="490"/>
      <c r="CS402" s="490"/>
      <c r="CT402" s="490"/>
      <c r="CU402" s="490"/>
      <c r="CV402" s="490"/>
      <c r="CW402" s="490"/>
      <c r="CX402" s="490"/>
      <c r="CY402" s="490"/>
      <c r="CZ402" s="490"/>
      <c r="DA402" s="490"/>
      <c r="DB402" s="490"/>
      <c r="DC402" s="490"/>
      <c r="DD402" s="490"/>
      <c r="DE402" s="490"/>
      <c r="DF402" s="490"/>
      <c r="DG402" s="490"/>
      <c r="DH402" s="490"/>
      <c r="DI402" s="490"/>
      <c r="DJ402" s="490"/>
      <c r="DK402" s="490"/>
      <c r="DL402" s="490"/>
      <c r="DM402" s="490"/>
      <c r="DN402" s="490"/>
      <c r="DO402" s="490"/>
      <c r="DP402" s="490"/>
      <c r="DQ402" s="490"/>
      <c r="DR402" s="490"/>
      <c r="DS402" s="490"/>
      <c r="DT402" s="490"/>
      <c r="DU402" s="490"/>
      <c r="DV402" s="490"/>
      <c r="DW402" s="490"/>
      <c r="DX402" s="490"/>
      <c r="DY402" s="490"/>
      <c r="DZ402" s="490"/>
      <c r="EA402" s="490"/>
      <c r="EB402" s="490"/>
      <c r="EC402" s="490"/>
      <c r="ED402" s="490"/>
      <c r="EE402" s="490"/>
      <c r="EF402" s="490"/>
      <c r="EG402" s="490"/>
      <c r="EH402" s="490"/>
      <c r="EI402" s="490"/>
      <c r="EJ402" s="490"/>
      <c r="EK402" s="490"/>
      <c r="EL402" s="490"/>
      <c r="EM402" s="490"/>
      <c r="EN402" s="490"/>
      <c r="EO402" s="490"/>
      <c r="EP402" s="490"/>
      <c r="EQ402" s="490"/>
      <c r="ER402" s="490"/>
      <c r="ES402" s="490"/>
      <c r="ET402" s="490"/>
      <c r="EU402" s="490"/>
      <c r="EV402" s="490"/>
      <c r="EW402" s="490"/>
      <c r="EX402" s="490"/>
      <c r="EY402" s="490"/>
      <c r="EZ402" s="490"/>
      <c r="FA402" s="490"/>
      <c r="FB402" s="490"/>
      <c r="FC402" s="490"/>
      <c r="FD402" s="490"/>
      <c r="FE402" s="490"/>
      <c r="FF402" s="490"/>
      <c r="FG402" s="490"/>
      <c r="FH402" s="490"/>
      <c r="FI402" s="490"/>
      <c r="FJ402" s="490"/>
      <c r="FK402" s="490"/>
      <c r="FL402" s="490"/>
      <c r="FM402" s="490"/>
      <c r="FN402" s="490"/>
    </row>
    <row r="403" s="492" customFormat="1" spans="1:170">
      <c r="A403" s="540"/>
      <c r="B403" s="515"/>
      <c r="C403" s="541"/>
      <c r="D403" s="515"/>
      <c r="E403" s="515"/>
      <c r="F403" s="515" t="s">
        <v>75</v>
      </c>
      <c r="G403" s="541">
        <v>1.1</v>
      </c>
      <c r="H403" s="541">
        <v>0.3</v>
      </c>
      <c r="I403" s="541" t="s">
        <v>22</v>
      </c>
      <c r="J403" s="541">
        <v>1.77</v>
      </c>
      <c r="K403" s="515"/>
      <c r="L403" s="515"/>
      <c r="M403" s="490"/>
      <c r="N403" s="490"/>
      <c r="O403" s="490"/>
      <c r="P403" s="490"/>
      <c r="Q403" s="490"/>
      <c r="R403" s="490"/>
      <c r="S403" s="490"/>
      <c r="T403" s="490"/>
      <c r="U403" s="490"/>
      <c r="V403" s="490"/>
      <c r="W403" s="490"/>
      <c r="X403" s="490"/>
      <c r="Y403" s="490"/>
      <c r="Z403" s="490"/>
      <c r="AA403" s="490"/>
      <c r="AB403" s="490"/>
      <c r="AC403" s="490"/>
      <c r="AD403" s="490"/>
      <c r="AE403" s="490"/>
      <c r="AF403" s="490"/>
      <c r="AG403" s="490"/>
      <c r="AH403" s="490"/>
      <c r="AI403" s="490"/>
      <c r="AJ403" s="490"/>
      <c r="AK403" s="490"/>
      <c r="AL403" s="490"/>
      <c r="AM403" s="490"/>
      <c r="AN403" s="490"/>
      <c r="AO403" s="490"/>
      <c r="AP403" s="490"/>
      <c r="AQ403" s="490"/>
      <c r="AR403" s="490"/>
      <c r="AS403" s="490"/>
      <c r="AT403" s="490"/>
      <c r="AU403" s="490"/>
      <c r="AV403" s="490"/>
      <c r="AW403" s="490"/>
      <c r="AX403" s="490"/>
      <c r="AY403" s="490"/>
      <c r="AZ403" s="490"/>
      <c r="BA403" s="490"/>
      <c r="BB403" s="490"/>
      <c r="BC403" s="490"/>
      <c r="BD403" s="490"/>
      <c r="BE403" s="490"/>
      <c r="BF403" s="490"/>
      <c r="BG403" s="490"/>
      <c r="BH403" s="490"/>
      <c r="BI403" s="490"/>
      <c r="BJ403" s="490"/>
      <c r="BK403" s="490"/>
      <c r="BL403" s="490"/>
      <c r="BM403" s="490"/>
      <c r="BN403" s="490"/>
      <c r="BO403" s="490"/>
      <c r="BP403" s="490"/>
      <c r="BQ403" s="490"/>
      <c r="BR403" s="490"/>
      <c r="BS403" s="490"/>
      <c r="BT403" s="490"/>
      <c r="BU403" s="490"/>
      <c r="BV403" s="490"/>
      <c r="BW403" s="490"/>
      <c r="BX403" s="490"/>
      <c r="BY403" s="490"/>
      <c r="BZ403" s="490"/>
      <c r="CA403" s="490"/>
      <c r="CB403" s="490"/>
      <c r="CC403" s="490"/>
      <c r="CD403" s="490"/>
      <c r="CE403" s="490"/>
      <c r="CF403" s="490"/>
      <c r="CG403" s="490"/>
      <c r="CH403" s="490"/>
      <c r="CI403" s="490"/>
      <c r="CJ403" s="490"/>
      <c r="CK403" s="490"/>
      <c r="CL403" s="490"/>
      <c r="CM403" s="490"/>
      <c r="CN403" s="490"/>
      <c r="CO403" s="490"/>
      <c r="CP403" s="490"/>
      <c r="CQ403" s="490"/>
      <c r="CR403" s="490"/>
      <c r="CS403" s="490"/>
      <c r="CT403" s="490"/>
      <c r="CU403" s="490"/>
      <c r="CV403" s="490"/>
      <c r="CW403" s="490"/>
      <c r="CX403" s="490"/>
      <c r="CY403" s="490"/>
      <c r="CZ403" s="490"/>
      <c r="DA403" s="490"/>
      <c r="DB403" s="490"/>
      <c r="DC403" s="490"/>
      <c r="DD403" s="490"/>
      <c r="DE403" s="490"/>
      <c r="DF403" s="490"/>
      <c r="DG403" s="490"/>
      <c r="DH403" s="490"/>
      <c r="DI403" s="490"/>
      <c r="DJ403" s="490"/>
      <c r="DK403" s="490"/>
      <c r="DL403" s="490"/>
      <c r="DM403" s="490"/>
      <c r="DN403" s="490"/>
      <c r="DO403" s="490"/>
      <c r="DP403" s="490"/>
      <c r="DQ403" s="490"/>
      <c r="DR403" s="490"/>
      <c r="DS403" s="490"/>
      <c r="DT403" s="490"/>
      <c r="DU403" s="490"/>
      <c r="DV403" s="490"/>
      <c r="DW403" s="490"/>
      <c r="DX403" s="490"/>
      <c r="DY403" s="490"/>
      <c r="DZ403" s="490"/>
      <c r="EA403" s="490"/>
      <c r="EB403" s="490"/>
      <c r="EC403" s="490"/>
      <c r="ED403" s="490"/>
      <c r="EE403" s="490"/>
      <c r="EF403" s="490"/>
      <c r="EG403" s="490"/>
      <c r="EH403" s="490"/>
      <c r="EI403" s="490"/>
      <c r="EJ403" s="490"/>
      <c r="EK403" s="490"/>
      <c r="EL403" s="490"/>
      <c r="EM403" s="490"/>
      <c r="EN403" s="490"/>
      <c r="EO403" s="490"/>
      <c r="EP403" s="490"/>
      <c r="EQ403" s="490"/>
      <c r="ER403" s="490"/>
      <c r="ES403" s="490"/>
      <c r="ET403" s="490"/>
      <c r="EU403" s="490"/>
      <c r="EV403" s="490"/>
      <c r="EW403" s="490"/>
      <c r="EX403" s="490"/>
      <c r="EY403" s="490"/>
      <c r="EZ403" s="490"/>
      <c r="FA403" s="490"/>
      <c r="FB403" s="490"/>
      <c r="FC403" s="490"/>
      <c r="FD403" s="490"/>
      <c r="FE403" s="490"/>
      <c r="FF403" s="490"/>
      <c r="FG403" s="490"/>
      <c r="FH403" s="490"/>
      <c r="FI403" s="490"/>
      <c r="FJ403" s="490"/>
      <c r="FK403" s="490"/>
      <c r="FL403" s="490"/>
      <c r="FM403" s="490"/>
      <c r="FN403" s="490"/>
    </row>
    <row r="404" s="492" customFormat="1" spans="1:170">
      <c r="A404" s="540"/>
      <c r="B404" s="515"/>
      <c r="C404" s="541"/>
      <c r="D404" s="515"/>
      <c r="E404" s="515"/>
      <c r="F404" s="515" t="s">
        <v>91</v>
      </c>
      <c r="G404" s="541">
        <v>1.61</v>
      </c>
      <c r="H404" s="541">
        <v>0.7</v>
      </c>
      <c r="I404" s="541" t="s">
        <v>24</v>
      </c>
      <c r="J404" s="541" t="s">
        <v>24</v>
      </c>
      <c r="K404" s="515"/>
      <c r="L404" s="515"/>
      <c r="M404" s="490"/>
      <c r="N404" s="490"/>
      <c r="O404" s="490"/>
      <c r="P404" s="490"/>
      <c r="Q404" s="490"/>
      <c r="R404" s="490"/>
      <c r="S404" s="490"/>
      <c r="T404" s="490"/>
      <c r="U404" s="490"/>
      <c r="V404" s="490"/>
      <c r="W404" s="490"/>
      <c r="X404" s="490"/>
      <c r="Y404" s="490"/>
      <c r="Z404" s="490"/>
      <c r="AA404" s="490"/>
      <c r="AB404" s="490"/>
      <c r="AC404" s="490"/>
      <c r="AD404" s="490"/>
      <c r="AE404" s="490"/>
      <c r="AF404" s="490"/>
      <c r="AG404" s="490"/>
      <c r="AH404" s="490"/>
      <c r="AI404" s="490"/>
      <c r="AJ404" s="490"/>
      <c r="AK404" s="490"/>
      <c r="AL404" s="490"/>
      <c r="AM404" s="490"/>
      <c r="AN404" s="490"/>
      <c r="AO404" s="490"/>
      <c r="AP404" s="490"/>
      <c r="AQ404" s="490"/>
      <c r="AR404" s="490"/>
      <c r="AS404" s="490"/>
      <c r="AT404" s="490"/>
      <c r="AU404" s="490"/>
      <c r="AV404" s="490"/>
      <c r="AW404" s="490"/>
      <c r="AX404" s="490"/>
      <c r="AY404" s="490"/>
      <c r="AZ404" s="490"/>
      <c r="BA404" s="490"/>
      <c r="BB404" s="490"/>
      <c r="BC404" s="490"/>
      <c r="BD404" s="490"/>
      <c r="BE404" s="490"/>
      <c r="BF404" s="490"/>
      <c r="BG404" s="490"/>
      <c r="BH404" s="490"/>
      <c r="BI404" s="490"/>
      <c r="BJ404" s="490"/>
      <c r="BK404" s="490"/>
      <c r="BL404" s="490"/>
      <c r="BM404" s="490"/>
      <c r="BN404" s="490"/>
      <c r="BO404" s="490"/>
      <c r="BP404" s="490"/>
      <c r="BQ404" s="490"/>
      <c r="BR404" s="490"/>
      <c r="BS404" s="490"/>
      <c r="BT404" s="490"/>
      <c r="BU404" s="490"/>
      <c r="BV404" s="490"/>
      <c r="BW404" s="490"/>
      <c r="BX404" s="490"/>
      <c r="BY404" s="490"/>
      <c r="BZ404" s="490"/>
      <c r="CA404" s="490"/>
      <c r="CB404" s="490"/>
      <c r="CC404" s="490"/>
      <c r="CD404" s="490"/>
      <c r="CE404" s="490"/>
      <c r="CF404" s="490"/>
      <c r="CG404" s="490"/>
      <c r="CH404" s="490"/>
      <c r="CI404" s="490"/>
      <c r="CJ404" s="490"/>
      <c r="CK404" s="490"/>
      <c r="CL404" s="490"/>
      <c r="CM404" s="490"/>
      <c r="CN404" s="490"/>
      <c r="CO404" s="490"/>
      <c r="CP404" s="490"/>
      <c r="CQ404" s="490"/>
      <c r="CR404" s="490"/>
      <c r="CS404" s="490"/>
      <c r="CT404" s="490"/>
      <c r="CU404" s="490"/>
      <c r="CV404" s="490"/>
      <c r="CW404" s="490"/>
      <c r="CX404" s="490"/>
      <c r="CY404" s="490"/>
      <c r="CZ404" s="490"/>
      <c r="DA404" s="490"/>
      <c r="DB404" s="490"/>
      <c r="DC404" s="490"/>
      <c r="DD404" s="490"/>
      <c r="DE404" s="490"/>
      <c r="DF404" s="490"/>
      <c r="DG404" s="490"/>
      <c r="DH404" s="490"/>
      <c r="DI404" s="490"/>
      <c r="DJ404" s="490"/>
      <c r="DK404" s="490"/>
      <c r="DL404" s="490"/>
      <c r="DM404" s="490"/>
      <c r="DN404" s="490"/>
      <c r="DO404" s="490"/>
      <c r="DP404" s="490"/>
      <c r="DQ404" s="490"/>
      <c r="DR404" s="490"/>
      <c r="DS404" s="490"/>
      <c r="DT404" s="490"/>
      <c r="DU404" s="490"/>
      <c r="DV404" s="490"/>
      <c r="DW404" s="490"/>
      <c r="DX404" s="490"/>
      <c r="DY404" s="490"/>
      <c r="DZ404" s="490"/>
      <c r="EA404" s="490"/>
      <c r="EB404" s="490"/>
      <c r="EC404" s="490"/>
      <c r="ED404" s="490"/>
      <c r="EE404" s="490"/>
      <c r="EF404" s="490"/>
      <c r="EG404" s="490"/>
      <c r="EH404" s="490"/>
      <c r="EI404" s="490"/>
      <c r="EJ404" s="490"/>
      <c r="EK404" s="490"/>
      <c r="EL404" s="490"/>
      <c r="EM404" s="490"/>
      <c r="EN404" s="490"/>
      <c r="EO404" s="490"/>
      <c r="EP404" s="490"/>
      <c r="EQ404" s="490"/>
      <c r="ER404" s="490"/>
      <c r="ES404" s="490"/>
      <c r="ET404" s="490"/>
      <c r="EU404" s="490"/>
      <c r="EV404" s="490"/>
      <c r="EW404" s="490"/>
      <c r="EX404" s="490"/>
      <c r="EY404" s="490"/>
      <c r="EZ404" s="490"/>
      <c r="FA404" s="490"/>
      <c r="FB404" s="490"/>
      <c r="FC404" s="490"/>
      <c r="FD404" s="490"/>
      <c r="FE404" s="490"/>
      <c r="FF404" s="490"/>
      <c r="FG404" s="490"/>
      <c r="FH404" s="490"/>
      <c r="FI404" s="490"/>
      <c r="FJ404" s="490"/>
      <c r="FK404" s="490"/>
      <c r="FL404" s="490"/>
      <c r="FM404" s="490"/>
      <c r="FN404" s="490"/>
    </row>
    <row r="405" s="492" customFormat="1" spans="1:170">
      <c r="A405" s="540">
        <v>46199</v>
      </c>
      <c r="B405" s="515" t="s">
        <v>855</v>
      </c>
      <c r="C405" s="541">
        <v>10</v>
      </c>
      <c r="D405" s="515" t="s">
        <v>649</v>
      </c>
      <c r="E405" s="515" t="s">
        <v>33</v>
      </c>
      <c r="F405" s="515" t="s">
        <v>73</v>
      </c>
      <c r="G405" s="541">
        <v>0.86</v>
      </c>
      <c r="H405" s="541">
        <v>9</v>
      </c>
      <c r="I405" s="541" t="s">
        <v>17</v>
      </c>
      <c r="J405" s="541">
        <v>1.6</v>
      </c>
      <c r="K405" s="515" t="s">
        <v>713</v>
      </c>
      <c r="L405" s="515"/>
      <c r="M405" s="490"/>
      <c r="N405" s="490"/>
      <c r="O405" s="490"/>
      <c r="P405" s="490"/>
      <c r="Q405" s="490"/>
      <c r="R405" s="490"/>
      <c r="S405" s="490"/>
      <c r="T405" s="490"/>
      <c r="U405" s="490"/>
      <c r="V405" s="490"/>
      <c r="W405" s="490"/>
      <c r="X405" s="490"/>
      <c r="Y405" s="490"/>
      <c r="Z405" s="490"/>
      <c r="AA405" s="490"/>
      <c r="AB405" s="490"/>
      <c r="AC405" s="490"/>
      <c r="AD405" s="490"/>
      <c r="AE405" s="490"/>
      <c r="AF405" s="490"/>
      <c r="AG405" s="490"/>
      <c r="AH405" s="490"/>
      <c r="AI405" s="490"/>
      <c r="AJ405" s="490"/>
      <c r="AK405" s="490"/>
      <c r="AL405" s="490"/>
      <c r="AM405" s="490"/>
      <c r="AN405" s="490"/>
      <c r="AO405" s="490"/>
      <c r="AP405" s="490"/>
      <c r="AQ405" s="490"/>
      <c r="AR405" s="490"/>
      <c r="AS405" s="490"/>
      <c r="AT405" s="490"/>
      <c r="AU405" s="490"/>
      <c r="AV405" s="490"/>
      <c r="AW405" s="490"/>
      <c r="AX405" s="490"/>
      <c r="AY405" s="490"/>
      <c r="AZ405" s="490"/>
      <c r="BA405" s="490"/>
      <c r="BB405" s="490"/>
      <c r="BC405" s="490"/>
      <c r="BD405" s="490"/>
      <c r="BE405" s="490"/>
      <c r="BF405" s="490"/>
      <c r="BG405" s="490"/>
      <c r="BH405" s="490"/>
      <c r="BI405" s="490"/>
      <c r="BJ405" s="490"/>
      <c r="BK405" s="490"/>
      <c r="BL405" s="490"/>
      <c r="BM405" s="490"/>
      <c r="BN405" s="490"/>
      <c r="BO405" s="490"/>
      <c r="BP405" s="490"/>
      <c r="BQ405" s="490"/>
      <c r="BR405" s="490"/>
      <c r="BS405" s="490"/>
      <c r="BT405" s="490"/>
      <c r="BU405" s="490"/>
      <c r="BV405" s="490"/>
      <c r="BW405" s="490"/>
      <c r="BX405" s="490"/>
      <c r="BY405" s="490"/>
      <c r="BZ405" s="490"/>
      <c r="CA405" s="490"/>
      <c r="CB405" s="490"/>
      <c r="CC405" s="490"/>
      <c r="CD405" s="490"/>
      <c r="CE405" s="490"/>
      <c r="CF405" s="490"/>
      <c r="CG405" s="490"/>
      <c r="CH405" s="490"/>
      <c r="CI405" s="490"/>
      <c r="CJ405" s="490"/>
      <c r="CK405" s="490"/>
      <c r="CL405" s="490"/>
      <c r="CM405" s="490"/>
      <c r="CN405" s="490"/>
      <c r="CO405" s="490"/>
      <c r="CP405" s="490"/>
      <c r="CQ405" s="490"/>
      <c r="CR405" s="490"/>
      <c r="CS405" s="490"/>
      <c r="CT405" s="490"/>
      <c r="CU405" s="490"/>
      <c r="CV405" s="490"/>
      <c r="CW405" s="490"/>
      <c r="CX405" s="490"/>
      <c r="CY405" s="490"/>
      <c r="CZ405" s="490"/>
      <c r="DA405" s="490"/>
      <c r="DB405" s="490"/>
      <c r="DC405" s="490"/>
      <c r="DD405" s="490"/>
      <c r="DE405" s="490"/>
      <c r="DF405" s="490"/>
      <c r="DG405" s="490"/>
      <c r="DH405" s="490"/>
      <c r="DI405" s="490"/>
      <c r="DJ405" s="490"/>
      <c r="DK405" s="490"/>
      <c r="DL405" s="490"/>
      <c r="DM405" s="490"/>
      <c r="DN405" s="490"/>
      <c r="DO405" s="490"/>
      <c r="DP405" s="490"/>
      <c r="DQ405" s="490"/>
      <c r="DR405" s="490"/>
      <c r="DS405" s="490"/>
      <c r="DT405" s="490"/>
      <c r="DU405" s="490"/>
      <c r="DV405" s="490"/>
      <c r="DW405" s="490"/>
      <c r="DX405" s="490"/>
      <c r="DY405" s="490"/>
      <c r="DZ405" s="490"/>
      <c r="EA405" s="490"/>
      <c r="EB405" s="490"/>
      <c r="EC405" s="490"/>
      <c r="ED405" s="490"/>
      <c r="EE405" s="490"/>
      <c r="EF405" s="490"/>
      <c r="EG405" s="490"/>
      <c r="EH405" s="490"/>
      <c r="EI405" s="490"/>
      <c r="EJ405" s="490"/>
      <c r="EK405" s="490"/>
      <c r="EL405" s="490"/>
      <c r="EM405" s="490"/>
      <c r="EN405" s="490"/>
      <c r="EO405" s="490"/>
      <c r="EP405" s="490"/>
      <c r="EQ405" s="490"/>
      <c r="ER405" s="490"/>
      <c r="ES405" s="490"/>
      <c r="ET405" s="490"/>
      <c r="EU405" s="490"/>
      <c r="EV405" s="490"/>
      <c r="EW405" s="490"/>
      <c r="EX405" s="490"/>
      <c r="EY405" s="490"/>
      <c r="EZ405" s="490"/>
      <c r="FA405" s="490"/>
      <c r="FB405" s="490"/>
      <c r="FC405" s="490"/>
      <c r="FD405" s="490"/>
      <c r="FE405" s="490"/>
      <c r="FF405" s="490"/>
      <c r="FG405" s="490"/>
      <c r="FH405" s="490"/>
      <c r="FI405" s="490"/>
      <c r="FJ405" s="490"/>
      <c r="FK405" s="490"/>
      <c r="FL405" s="490"/>
      <c r="FM405" s="490"/>
      <c r="FN405" s="490"/>
    </row>
    <row r="406" s="492" customFormat="1" spans="1:170">
      <c r="A406" s="540"/>
      <c r="B406" s="515"/>
      <c r="C406" s="541"/>
      <c r="D406" s="515"/>
      <c r="E406" s="515"/>
      <c r="F406" s="515" t="s">
        <v>75</v>
      </c>
      <c r="G406" s="541">
        <v>1.1</v>
      </c>
      <c r="H406" s="541">
        <v>0.3</v>
      </c>
      <c r="I406" s="541" t="s">
        <v>22</v>
      </c>
      <c r="J406" s="541">
        <v>1.77</v>
      </c>
      <c r="K406" s="515"/>
      <c r="L406" s="515"/>
      <c r="M406" s="490"/>
      <c r="N406" s="490"/>
      <c r="O406" s="490"/>
      <c r="P406" s="490"/>
      <c r="Q406" s="490"/>
      <c r="R406" s="490"/>
      <c r="S406" s="490"/>
      <c r="T406" s="490"/>
      <c r="U406" s="490"/>
      <c r="V406" s="490"/>
      <c r="W406" s="490"/>
      <c r="X406" s="490"/>
      <c r="Y406" s="490"/>
      <c r="Z406" s="490"/>
      <c r="AA406" s="490"/>
      <c r="AB406" s="490"/>
      <c r="AC406" s="490"/>
      <c r="AD406" s="490"/>
      <c r="AE406" s="490"/>
      <c r="AF406" s="490"/>
      <c r="AG406" s="490"/>
      <c r="AH406" s="490"/>
      <c r="AI406" s="490"/>
      <c r="AJ406" s="490"/>
      <c r="AK406" s="490"/>
      <c r="AL406" s="490"/>
      <c r="AM406" s="490"/>
      <c r="AN406" s="490"/>
      <c r="AO406" s="490"/>
      <c r="AP406" s="490"/>
      <c r="AQ406" s="490"/>
      <c r="AR406" s="490"/>
      <c r="AS406" s="490"/>
      <c r="AT406" s="490"/>
      <c r="AU406" s="490"/>
      <c r="AV406" s="490"/>
      <c r="AW406" s="490"/>
      <c r="AX406" s="490"/>
      <c r="AY406" s="490"/>
      <c r="AZ406" s="490"/>
      <c r="BA406" s="490"/>
      <c r="BB406" s="490"/>
      <c r="BC406" s="490"/>
      <c r="BD406" s="490"/>
      <c r="BE406" s="490"/>
      <c r="BF406" s="490"/>
      <c r="BG406" s="490"/>
      <c r="BH406" s="490"/>
      <c r="BI406" s="490"/>
      <c r="BJ406" s="490"/>
      <c r="BK406" s="490"/>
      <c r="BL406" s="490"/>
      <c r="BM406" s="490"/>
      <c r="BN406" s="490"/>
      <c r="BO406" s="490"/>
      <c r="BP406" s="490"/>
      <c r="BQ406" s="490"/>
      <c r="BR406" s="490"/>
      <c r="BS406" s="490"/>
      <c r="BT406" s="490"/>
      <c r="BU406" s="490"/>
      <c r="BV406" s="490"/>
      <c r="BW406" s="490"/>
      <c r="BX406" s="490"/>
      <c r="BY406" s="490"/>
      <c r="BZ406" s="490"/>
      <c r="CA406" s="490"/>
      <c r="CB406" s="490"/>
      <c r="CC406" s="490"/>
      <c r="CD406" s="490"/>
      <c r="CE406" s="490"/>
      <c r="CF406" s="490"/>
      <c r="CG406" s="490"/>
      <c r="CH406" s="490"/>
      <c r="CI406" s="490"/>
      <c r="CJ406" s="490"/>
      <c r="CK406" s="490"/>
      <c r="CL406" s="490"/>
      <c r="CM406" s="490"/>
      <c r="CN406" s="490"/>
      <c r="CO406" s="490"/>
      <c r="CP406" s="490"/>
      <c r="CQ406" s="490"/>
      <c r="CR406" s="490"/>
      <c r="CS406" s="490"/>
      <c r="CT406" s="490"/>
      <c r="CU406" s="490"/>
      <c r="CV406" s="490"/>
      <c r="CW406" s="490"/>
      <c r="CX406" s="490"/>
      <c r="CY406" s="490"/>
      <c r="CZ406" s="490"/>
      <c r="DA406" s="490"/>
      <c r="DB406" s="490"/>
      <c r="DC406" s="490"/>
      <c r="DD406" s="490"/>
      <c r="DE406" s="490"/>
      <c r="DF406" s="490"/>
      <c r="DG406" s="490"/>
      <c r="DH406" s="490"/>
      <c r="DI406" s="490"/>
      <c r="DJ406" s="490"/>
      <c r="DK406" s="490"/>
      <c r="DL406" s="490"/>
      <c r="DM406" s="490"/>
      <c r="DN406" s="490"/>
      <c r="DO406" s="490"/>
      <c r="DP406" s="490"/>
      <c r="DQ406" s="490"/>
      <c r="DR406" s="490"/>
      <c r="DS406" s="490"/>
      <c r="DT406" s="490"/>
      <c r="DU406" s="490"/>
      <c r="DV406" s="490"/>
      <c r="DW406" s="490"/>
      <c r="DX406" s="490"/>
      <c r="DY406" s="490"/>
      <c r="DZ406" s="490"/>
      <c r="EA406" s="490"/>
      <c r="EB406" s="490"/>
      <c r="EC406" s="490"/>
      <c r="ED406" s="490"/>
      <c r="EE406" s="490"/>
      <c r="EF406" s="490"/>
      <c r="EG406" s="490"/>
      <c r="EH406" s="490"/>
      <c r="EI406" s="490"/>
      <c r="EJ406" s="490"/>
      <c r="EK406" s="490"/>
      <c r="EL406" s="490"/>
      <c r="EM406" s="490"/>
      <c r="EN406" s="490"/>
      <c r="EO406" s="490"/>
      <c r="EP406" s="490"/>
      <c r="EQ406" s="490"/>
      <c r="ER406" s="490"/>
      <c r="ES406" s="490"/>
      <c r="ET406" s="490"/>
      <c r="EU406" s="490"/>
      <c r="EV406" s="490"/>
      <c r="EW406" s="490"/>
      <c r="EX406" s="490"/>
      <c r="EY406" s="490"/>
      <c r="EZ406" s="490"/>
      <c r="FA406" s="490"/>
      <c r="FB406" s="490"/>
      <c r="FC406" s="490"/>
      <c r="FD406" s="490"/>
      <c r="FE406" s="490"/>
      <c r="FF406" s="490"/>
      <c r="FG406" s="490"/>
      <c r="FH406" s="490"/>
      <c r="FI406" s="490"/>
      <c r="FJ406" s="490"/>
      <c r="FK406" s="490"/>
      <c r="FL406" s="490"/>
      <c r="FM406" s="490"/>
      <c r="FN406" s="490"/>
    </row>
    <row r="407" s="492" customFormat="1" spans="1:170">
      <c r="A407" s="540"/>
      <c r="B407" s="515"/>
      <c r="C407" s="541"/>
      <c r="D407" s="515"/>
      <c r="E407" s="515"/>
      <c r="F407" s="515" t="s">
        <v>91</v>
      </c>
      <c r="G407" s="541">
        <v>1.61</v>
      </c>
      <c r="H407" s="541">
        <v>0.7</v>
      </c>
      <c r="I407" s="541" t="s">
        <v>24</v>
      </c>
      <c r="J407" s="541" t="s">
        <v>24</v>
      </c>
      <c r="K407" s="515"/>
      <c r="L407" s="515"/>
      <c r="M407" s="490"/>
      <c r="N407" s="490"/>
      <c r="O407" s="490"/>
      <c r="P407" s="490"/>
      <c r="Q407" s="490"/>
      <c r="R407" s="490"/>
      <c r="S407" s="490"/>
      <c r="T407" s="490"/>
      <c r="U407" s="490"/>
      <c r="V407" s="490"/>
      <c r="W407" s="490"/>
      <c r="X407" s="490"/>
      <c r="Y407" s="490"/>
      <c r="Z407" s="490"/>
      <c r="AA407" s="490"/>
      <c r="AB407" s="490"/>
      <c r="AC407" s="490"/>
      <c r="AD407" s="490"/>
      <c r="AE407" s="490"/>
      <c r="AF407" s="490"/>
      <c r="AG407" s="490"/>
      <c r="AH407" s="490"/>
      <c r="AI407" s="490"/>
      <c r="AJ407" s="490"/>
      <c r="AK407" s="490"/>
      <c r="AL407" s="490"/>
      <c r="AM407" s="490"/>
      <c r="AN407" s="490"/>
      <c r="AO407" s="490"/>
      <c r="AP407" s="490"/>
      <c r="AQ407" s="490"/>
      <c r="AR407" s="490"/>
      <c r="AS407" s="490"/>
      <c r="AT407" s="490"/>
      <c r="AU407" s="490"/>
      <c r="AV407" s="490"/>
      <c r="AW407" s="490"/>
      <c r="AX407" s="490"/>
      <c r="AY407" s="490"/>
      <c r="AZ407" s="490"/>
      <c r="BA407" s="490"/>
      <c r="BB407" s="490"/>
      <c r="BC407" s="490"/>
      <c r="BD407" s="490"/>
      <c r="BE407" s="490"/>
      <c r="BF407" s="490"/>
      <c r="BG407" s="490"/>
      <c r="BH407" s="490"/>
      <c r="BI407" s="490"/>
      <c r="BJ407" s="490"/>
      <c r="BK407" s="490"/>
      <c r="BL407" s="490"/>
      <c r="BM407" s="490"/>
      <c r="BN407" s="490"/>
      <c r="BO407" s="490"/>
      <c r="BP407" s="490"/>
      <c r="BQ407" s="490"/>
      <c r="BR407" s="490"/>
      <c r="BS407" s="490"/>
      <c r="BT407" s="490"/>
      <c r="BU407" s="490"/>
      <c r="BV407" s="490"/>
      <c r="BW407" s="490"/>
      <c r="BX407" s="490"/>
      <c r="BY407" s="490"/>
      <c r="BZ407" s="490"/>
      <c r="CA407" s="490"/>
      <c r="CB407" s="490"/>
      <c r="CC407" s="490"/>
      <c r="CD407" s="490"/>
      <c r="CE407" s="490"/>
      <c r="CF407" s="490"/>
      <c r="CG407" s="490"/>
      <c r="CH407" s="490"/>
      <c r="CI407" s="490"/>
      <c r="CJ407" s="490"/>
      <c r="CK407" s="490"/>
      <c r="CL407" s="490"/>
      <c r="CM407" s="490"/>
      <c r="CN407" s="490"/>
      <c r="CO407" s="490"/>
      <c r="CP407" s="490"/>
      <c r="CQ407" s="490"/>
      <c r="CR407" s="490"/>
      <c r="CS407" s="490"/>
      <c r="CT407" s="490"/>
      <c r="CU407" s="490"/>
      <c r="CV407" s="490"/>
      <c r="CW407" s="490"/>
      <c r="CX407" s="490"/>
      <c r="CY407" s="490"/>
      <c r="CZ407" s="490"/>
      <c r="DA407" s="490"/>
      <c r="DB407" s="490"/>
      <c r="DC407" s="490"/>
      <c r="DD407" s="490"/>
      <c r="DE407" s="490"/>
      <c r="DF407" s="490"/>
      <c r="DG407" s="490"/>
      <c r="DH407" s="490"/>
      <c r="DI407" s="490"/>
      <c r="DJ407" s="490"/>
      <c r="DK407" s="490"/>
      <c r="DL407" s="490"/>
      <c r="DM407" s="490"/>
      <c r="DN407" s="490"/>
      <c r="DO407" s="490"/>
      <c r="DP407" s="490"/>
      <c r="DQ407" s="490"/>
      <c r="DR407" s="490"/>
      <c r="DS407" s="490"/>
      <c r="DT407" s="490"/>
      <c r="DU407" s="490"/>
      <c r="DV407" s="490"/>
      <c r="DW407" s="490"/>
      <c r="DX407" s="490"/>
      <c r="DY407" s="490"/>
      <c r="DZ407" s="490"/>
      <c r="EA407" s="490"/>
      <c r="EB407" s="490"/>
      <c r="EC407" s="490"/>
      <c r="ED407" s="490"/>
      <c r="EE407" s="490"/>
      <c r="EF407" s="490"/>
      <c r="EG407" s="490"/>
      <c r="EH407" s="490"/>
      <c r="EI407" s="490"/>
      <c r="EJ407" s="490"/>
      <c r="EK407" s="490"/>
      <c r="EL407" s="490"/>
      <c r="EM407" s="490"/>
      <c r="EN407" s="490"/>
      <c r="EO407" s="490"/>
      <c r="EP407" s="490"/>
      <c r="EQ407" s="490"/>
      <c r="ER407" s="490"/>
      <c r="ES407" s="490"/>
      <c r="ET407" s="490"/>
      <c r="EU407" s="490"/>
      <c r="EV407" s="490"/>
      <c r="EW407" s="490"/>
      <c r="EX407" s="490"/>
      <c r="EY407" s="490"/>
      <c r="EZ407" s="490"/>
      <c r="FA407" s="490"/>
      <c r="FB407" s="490"/>
      <c r="FC407" s="490"/>
      <c r="FD407" s="490"/>
      <c r="FE407" s="490"/>
      <c r="FF407" s="490"/>
      <c r="FG407" s="490"/>
      <c r="FH407" s="490"/>
      <c r="FI407" s="490"/>
      <c r="FJ407" s="490"/>
      <c r="FK407" s="490"/>
      <c r="FL407" s="490"/>
      <c r="FM407" s="490"/>
      <c r="FN407" s="490"/>
    </row>
    <row r="408" s="492" customFormat="1" spans="1:170">
      <c r="A408" s="540">
        <v>46199</v>
      </c>
      <c r="B408" s="515" t="s">
        <v>856</v>
      </c>
      <c r="C408" s="541">
        <v>10</v>
      </c>
      <c r="D408" s="515" t="s">
        <v>208</v>
      </c>
      <c r="E408" s="515" t="s">
        <v>72</v>
      </c>
      <c r="F408" s="515" t="s">
        <v>128</v>
      </c>
      <c r="G408" s="541">
        <v>0.99</v>
      </c>
      <c r="H408" s="541">
        <v>8.9</v>
      </c>
      <c r="I408" s="541" t="s">
        <v>17</v>
      </c>
      <c r="J408" s="541">
        <v>1.57</v>
      </c>
      <c r="K408" s="515" t="s">
        <v>603</v>
      </c>
      <c r="L408" s="509" t="s">
        <v>130</v>
      </c>
      <c r="M408" s="490"/>
      <c r="N408" s="490"/>
      <c r="O408" s="490"/>
      <c r="P408" s="490"/>
      <c r="Q408" s="490"/>
      <c r="R408" s="490"/>
      <c r="S408" s="490"/>
      <c r="T408" s="490"/>
      <c r="U408" s="490"/>
      <c r="V408" s="490"/>
      <c r="W408" s="490"/>
      <c r="X408" s="490"/>
      <c r="Y408" s="490"/>
      <c r="Z408" s="490"/>
      <c r="AA408" s="490"/>
      <c r="AB408" s="490"/>
      <c r="AC408" s="490"/>
      <c r="AD408" s="490"/>
      <c r="AE408" s="490"/>
      <c r="AF408" s="490"/>
      <c r="AG408" s="490"/>
      <c r="AH408" s="490"/>
      <c r="AI408" s="490"/>
      <c r="AJ408" s="490"/>
      <c r="AK408" s="490"/>
      <c r="AL408" s="490"/>
      <c r="AM408" s="490"/>
      <c r="AN408" s="490"/>
      <c r="AO408" s="490"/>
      <c r="AP408" s="490"/>
      <c r="AQ408" s="490"/>
      <c r="AR408" s="490"/>
      <c r="AS408" s="490"/>
      <c r="AT408" s="490"/>
      <c r="AU408" s="490"/>
      <c r="AV408" s="490"/>
      <c r="AW408" s="490"/>
      <c r="AX408" s="490"/>
      <c r="AY408" s="490"/>
      <c r="AZ408" s="490"/>
      <c r="BA408" s="490"/>
      <c r="BB408" s="490"/>
      <c r="BC408" s="490"/>
      <c r="BD408" s="490"/>
      <c r="BE408" s="490"/>
      <c r="BF408" s="490"/>
      <c r="BG408" s="490"/>
      <c r="BH408" s="490"/>
      <c r="BI408" s="490"/>
      <c r="BJ408" s="490"/>
      <c r="BK408" s="490"/>
      <c r="BL408" s="490"/>
      <c r="BM408" s="490"/>
      <c r="BN408" s="490"/>
      <c r="BO408" s="490"/>
      <c r="BP408" s="490"/>
      <c r="BQ408" s="490"/>
      <c r="BR408" s="490"/>
      <c r="BS408" s="490"/>
      <c r="BT408" s="490"/>
      <c r="BU408" s="490"/>
      <c r="BV408" s="490"/>
      <c r="BW408" s="490"/>
      <c r="BX408" s="490"/>
      <c r="BY408" s="490"/>
      <c r="BZ408" s="490"/>
      <c r="CA408" s="490"/>
      <c r="CB408" s="490"/>
      <c r="CC408" s="490"/>
      <c r="CD408" s="490"/>
      <c r="CE408" s="490"/>
      <c r="CF408" s="490"/>
      <c r="CG408" s="490"/>
      <c r="CH408" s="490"/>
      <c r="CI408" s="490"/>
      <c r="CJ408" s="490"/>
      <c r="CK408" s="490"/>
      <c r="CL408" s="490"/>
      <c r="CM408" s="490"/>
      <c r="CN408" s="490"/>
      <c r="CO408" s="490"/>
      <c r="CP408" s="490"/>
      <c r="CQ408" s="490"/>
      <c r="CR408" s="490"/>
      <c r="CS408" s="490"/>
      <c r="CT408" s="490"/>
      <c r="CU408" s="490"/>
      <c r="CV408" s="490"/>
      <c r="CW408" s="490"/>
      <c r="CX408" s="490"/>
      <c r="CY408" s="490"/>
      <c r="CZ408" s="490"/>
      <c r="DA408" s="490"/>
      <c r="DB408" s="490"/>
      <c r="DC408" s="490"/>
      <c r="DD408" s="490"/>
      <c r="DE408" s="490"/>
      <c r="DF408" s="490"/>
      <c r="DG408" s="490"/>
      <c r="DH408" s="490"/>
      <c r="DI408" s="490"/>
      <c r="DJ408" s="490"/>
      <c r="DK408" s="490"/>
      <c r="DL408" s="490"/>
      <c r="DM408" s="490"/>
      <c r="DN408" s="490"/>
      <c r="DO408" s="490"/>
      <c r="DP408" s="490"/>
      <c r="DQ408" s="490"/>
      <c r="DR408" s="490"/>
      <c r="DS408" s="490"/>
      <c r="DT408" s="490"/>
      <c r="DU408" s="490"/>
      <c r="DV408" s="490"/>
      <c r="DW408" s="490"/>
      <c r="DX408" s="490"/>
      <c r="DY408" s="490"/>
      <c r="DZ408" s="490"/>
      <c r="EA408" s="490"/>
      <c r="EB408" s="490"/>
      <c r="EC408" s="490"/>
      <c r="ED408" s="490"/>
      <c r="EE408" s="490"/>
      <c r="EF408" s="490"/>
      <c r="EG408" s="490"/>
      <c r="EH408" s="490"/>
      <c r="EI408" s="490"/>
      <c r="EJ408" s="490"/>
      <c r="EK408" s="490"/>
      <c r="EL408" s="490"/>
      <c r="EM408" s="490"/>
      <c r="EN408" s="490"/>
      <c r="EO408" s="490"/>
      <c r="EP408" s="490"/>
      <c r="EQ408" s="490"/>
      <c r="ER408" s="490"/>
      <c r="ES408" s="490"/>
      <c r="ET408" s="490"/>
      <c r="EU408" s="490"/>
      <c r="EV408" s="490"/>
      <c r="EW408" s="490"/>
      <c r="EX408" s="490"/>
      <c r="EY408" s="490"/>
      <c r="EZ408" s="490"/>
      <c r="FA408" s="490"/>
      <c r="FB408" s="490"/>
      <c r="FC408" s="490"/>
      <c r="FD408" s="490"/>
      <c r="FE408" s="490"/>
      <c r="FF408" s="490"/>
      <c r="FG408" s="490"/>
      <c r="FH408" s="490"/>
      <c r="FI408" s="490"/>
      <c r="FJ408" s="490"/>
      <c r="FK408" s="490"/>
      <c r="FL408" s="490"/>
      <c r="FM408" s="490"/>
      <c r="FN408" s="490"/>
    </row>
    <row r="409" s="492" customFormat="1" spans="1:170">
      <c r="A409" s="540"/>
      <c r="B409" s="515"/>
      <c r="C409" s="541"/>
      <c r="D409" s="515"/>
      <c r="E409" s="515"/>
      <c r="F409" s="515" t="s">
        <v>131</v>
      </c>
      <c r="G409" s="541">
        <v>1.16</v>
      </c>
      <c r="H409" s="541">
        <v>0.5</v>
      </c>
      <c r="I409" s="541" t="s">
        <v>22</v>
      </c>
      <c r="J409" s="541">
        <v>1.77</v>
      </c>
      <c r="K409" s="515"/>
      <c r="L409" s="509"/>
      <c r="M409" s="490"/>
      <c r="N409" s="490"/>
      <c r="O409" s="490"/>
      <c r="P409" s="490"/>
      <c r="Q409" s="490"/>
      <c r="R409" s="490"/>
      <c r="S409" s="490"/>
      <c r="T409" s="490"/>
      <c r="U409" s="490"/>
      <c r="V409" s="490"/>
      <c r="W409" s="490"/>
      <c r="X409" s="490"/>
      <c r="Y409" s="490"/>
      <c r="Z409" s="490"/>
      <c r="AA409" s="490"/>
      <c r="AB409" s="490"/>
      <c r="AC409" s="490"/>
      <c r="AD409" s="490"/>
      <c r="AE409" s="490"/>
      <c r="AF409" s="490"/>
      <c r="AG409" s="490"/>
      <c r="AH409" s="490"/>
      <c r="AI409" s="490"/>
      <c r="AJ409" s="490"/>
      <c r="AK409" s="490"/>
      <c r="AL409" s="490"/>
      <c r="AM409" s="490"/>
      <c r="AN409" s="490"/>
      <c r="AO409" s="490"/>
      <c r="AP409" s="490"/>
      <c r="AQ409" s="490"/>
      <c r="AR409" s="490"/>
      <c r="AS409" s="490"/>
      <c r="AT409" s="490"/>
      <c r="AU409" s="490"/>
      <c r="AV409" s="490"/>
      <c r="AW409" s="490"/>
      <c r="AX409" s="490"/>
      <c r="AY409" s="490"/>
      <c r="AZ409" s="490"/>
      <c r="BA409" s="490"/>
      <c r="BB409" s="490"/>
      <c r="BC409" s="490"/>
      <c r="BD409" s="490"/>
      <c r="BE409" s="490"/>
      <c r="BF409" s="490"/>
      <c r="BG409" s="490"/>
      <c r="BH409" s="490"/>
      <c r="BI409" s="490"/>
      <c r="BJ409" s="490"/>
      <c r="BK409" s="490"/>
      <c r="BL409" s="490"/>
      <c r="BM409" s="490"/>
      <c r="BN409" s="490"/>
      <c r="BO409" s="490"/>
      <c r="BP409" s="490"/>
      <c r="BQ409" s="490"/>
      <c r="BR409" s="490"/>
      <c r="BS409" s="490"/>
      <c r="BT409" s="490"/>
      <c r="BU409" s="490"/>
      <c r="BV409" s="490"/>
      <c r="BW409" s="490"/>
      <c r="BX409" s="490"/>
      <c r="BY409" s="490"/>
      <c r="BZ409" s="490"/>
      <c r="CA409" s="490"/>
      <c r="CB409" s="490"/>
      <c r="CC409" s="490"/>
      <c r="CD409" s="490"/>
      <c r="CE409" s="490"/>
      <c r="CF409" s="490"/>
      <c r="CG409" s="490"/>
      <c r="CH409" s="490"/>
      <c r="CI409" s="490"/>
      <c r="CJ409" s="490"/>
      <c r="CK409" s="490"/>
      <c r="CL409" s="490"/>
      <c r="CM409" s="490"/>
      <c r="CN409" s="490"/>
      <c r="CO409" s="490"/>
      <c r="CP409" s="490"/>
      <c r="CQ409" s="490"/>
      <c r="CR409" s="490"/>
      <c r="CS409" s="490"/>
      <c r="CT409" s="490"/>
      <c r="CU409" s="490"/>
      <c r="CV409" s="490"/>
      <c r="CW409" s="490"/>
      <c r="CX409" s="490"/>
      <c r="CY409" s="490"/>
      <c r="CZ409" s="490"/>
      <c r="DA409" s="490"/>
      <c r="DB409" s="490"/>
      <c r="DC409" s="490"/>
      <c r="DD409" s="490"/>
      <c r="DE409" s="490"/>
      <c r="DF409" s="490"/>
      <c r="DG409" s="490"/>
      <c r="DH409" s="490"/>
      <c r="DI409" s="490"/>
      <c r="DJ409" s="490"/>
      <c r="DK409" s="490"/>
      <c r="DL409" s="490"/>
      <c r="DM409" s="490"/>
      <c r="DN409" s="490"/>
      <c r="DO409" s="490"/>
      <c r="DP409" s="490"/>
      <c r="DQ409" s="490"/>
      <c r="DR409" s="490"/>
      <c r="DS409" s="490"/>
      <c r="DT409" s="490"/>
      <c r="DU409" s="490"/>
      <c r="DV409" s="490"/>
      <c r="DW409" s="490"/>
      <c r="DX409" s="490"/>
      <c r="DY409" s="490"/>
      <c r="DZ409" s="490"/>
      <c r="EA409" s="490"/>
      <c r="EB409" s="490"/>
      <c r="EC409" s="490"/>
      <c r="ED409" s="490"/>
      <c r="EE409" s="490"/>
      <c r="EF409" s="490"/>
      <c r="EG409" s="490"/>
      <c r="EH409" s="490"/>
      <c r="EI409" s="490"/>
      <c r="EJ409" s="490"/>
      <c r="EK409" s="490"/>
      <c r="EL409" s="490"/>
      <c r="EM409" s="490"/>
      <c r="EN409" s="490"/>
      <c r="EO409" s="490"/>
      <c r="EP409" s="490"/>
      <c r="EQ409" s="490"/>
      <c r="ER409" s="490"/>
      <c r="ES409" s="490"/>
      <c r="ET409" s="490"/>
      <c r="EU409" s="490"/>
      <c r="EV409" s="490"/>
      <c r="EW409" s="490"/>
      <c r="EX409" s="490"/>
      <c r="EY409" s="490"/>
      <c r="EZ409" s="490"/>
      <c r="FA409" s="490"/>
      <c r="FB409" s="490"/>
      <c r="FC409" s="490"/>
      <c r="FD409" s="490"/>
      <c r="FE409" s="490"/>
      <c r="FF409" s="490"/>
      <c r="FG409" s="490"/>
      <c r="FH409" s="490"/>
      <c r="FI409" s="490"/>
      <c r="FJ409" s="490"/>
      <c r="FK409" s="490"/>
      <c r="FL409" s="490"/>
      <c r="FM409" s="490"/>
      <c r="FN409" s="490"/>
    </row>
    <row r="410" s="492" customFormat="1" spans="1:170">
      <c r="A410" s="571"/>
      <c r="B410" s="561"/>
      <c r="C410" s="563"/>
      <c r="D410" s="561"/>
      <c r="E410" s="561"/>
      <c r="F410" s="561" t="s">
        <v>91</v>
      </c>
      <c r="G410" s="541">
        <v>1.74</v>
      </c>
      <c r="H410" s="541">
        <v>0.6</v>
      </c>
      <c r="I410" s="541" t="s">
        <v>24</v>
      </c>
      <c r="J410" s="541" t="s">
        <v>24</v>
      </c>
      <c r="K410" s="561"/>
      <c r="L410" s="509"/>
      <c r="M410" s="490"/>
      <c r="N410" s="490"/>
      <c r="O410" s="490"/>
      <c r="P410" s="490"/>
      <c r="Q410" s="490"/>
      <c r="R410" s="490"/>
      <c r="S410" s="490"/>
      <c r="T410" s="490"/>
      <c r="U410" s="490"/>
      <c r="V410" s="490"/>
      <c r="W410" s="490"/>
      <c r="X410" s="490"/>
      <c r="Y410" s="490"/>
      <c r="Z410" s="490"/>
      <c r="AA410" s="490"/>
      <c r="AB410" s="490"/>
      <c r="AC410" s="490"/>
      <c r="AD410" s="490"/>
      <c r="AE410" s="490"/>
      <c r="AF410" s="490"/>
      <c r="AG410" s="490"/>
      <c r="AH410" s="490"/>
      <c r="AI410" s="490"/>
      <c r="AJ410" s="490"/>
      <c r="AK410" s="490"/>
      <c r="AL410" s="490"/>
      <c r="AM410" s="490"/>
      <c r="AN410" s="490"/>
      <c r="AO410" s="490"/>
      <c r="AP410" s="490"/>
      <c r="AQ410" s="490"/>
      <c r="AR410" s="490"/>
      <c r="AS410" s="490"/>
      <c r="AT410" s="490"/>
      <c r="AU410" s="490"/>
      <c r="AV410" s="490"/>
      <c r="AW410" s="490"/>
      <c r="AX410" s="490"/>
      <c r="AY410" s="490"/>
      <c r="AZ410" s="490"/>
      <c r="BA410" s="490"/>
      <c r="BB410" s="490"/>
      <c r="BC410" s="490"/>
      <c r="BD410" s="490"/>
      <c r="BE410" s="490"/>
      <c r="BF410" s="490"/>
      <c r="BG410" s="490"/>
      <c r="BH410" s="490"/>
      <c r="BI410" s="490"/>
      <c r="BJ410" s="490"/>
      <c r="BK410" s="490"/>
      <c r="BL410" s="490"/>
      <c r="BM410" s="490"/>
      <c r="BN410" s="490"/>
      <c r="BO410" s="490"/>
      <c r="BP410" s="490"/>
      <c r="BQ410" s="490"/>
      <c r="BR410" s="490"/>
      <c r="BS410" s="490"/>
      <c r="BT410" s="490"/>
      <c r="BU410" s="490"/>
      <c r="BV410" s="490"/>
      <c r="BW410" s="490"/>
      <c r="BX410" s="490"/>
      <c r="BY410" s="490"/>
      <c r="BZ410" s="490"/>
      <c r="CA410" s="490"/>
      <c r="CB410" s="490"/>
      <c r="CC410" s="490"/>
      <c r="CD410" s="490"/>
      <c r="CE410" s="490"/>
      <c r="CF410" s="490"/>
      <c r="CG410" s="490"/>
      <c r="CH410" s="490"/>
      <c r="CI410" s="490"/>
      <c r="CJ410" s="490"/>
      <c r="CK410" s="490"/>
      <c r="CL410" s="490"/>
      <c r="CM410" s="490"/>
      <c r="CN410" s="490"/>
      <c r="CO410" s="490"/>
      <c r="CP410" s="490"/>
      <c r="CQ410" s="490"/>
      <c r="CR410" s="490"/>
      <c r="CS410" s="490"/>
      <c r="CT410" s="490"/>
      <c r="CU410" s="490"/>
      <c r="CV410" s="490"/>
      <c r="CW410" s="490"/>
      <c r="CX410" s="490"/>
      <c r="CY410" s="490"/>
      <c r="CZ410" s="490"/>
      <c r="DA410" s="490"/>
      <c r="DB410" s="490"/>
      <c r="DC410" s="490"/>
      <c r="DD410" s="490"/>
      <c r="DE410" s="490"/>
      <c r="DF410" s="490"/>
      <c r="DG410" s="490"/>
      <c r="DH410" s="490"/>
      <c r="DI410" s="490"/>
      <c r="DJ410" s="490"/>
      <c r="DK410" s="490"/>
      <c r="DL410" s="490"/>
      <c r="DM410" s="490"/>
      <c r="DN410" s="490"/>
      <c r="DO410" s="490"/>
      <c r="DP410" s="490"/>
      <c r="DQ410" s="490"/>
      <c r="DR410" s="490"/>
      <c r="DS410" s="490"/>
      <c r="DT410" s="490"/>
      <c r="DU410" s="490"/>
      <c r="DV410" s="490"/>
      <c r="DW410" s="490"/>
      <c r="DX410" s="490"/>
      <c r="DY410" s="490"/>
      <c r="DZ410" s="490"/>
      <c r="EA410" s="490"/>
      <c r="EB410" s="490"/>
      <c r="EC410" s="490"/>
      <c r="ED410" s="490"/>
      <c r="EE410" s="490"/>
      <c r="EF410" s="490"/>
      <c r="EG410" s="490"/>
      <c r="EH410" s="490"/>
      <c r="EI410" s="490"/>
      <c r="EJ410" s="490"/>
      <c r="EK410" s="490"/>
      <c r="EL410" s="490"/>
      <c r="EM410" s="490"/>
      <c r="EN410" s="490"/>
      <c r="EO410" s="490"/>
      <c r="EP410" s="490"/>
      <c r="EQ410" s="490"/>
      <c r="ER410" s="490"/>
      <c r="ES410" s="490"/>
      <c r="ET410" s="490"/>
      <c r="EU410" s="490"/>
      <c r="EV410" s="490"/>
      <c r="EW410" s="490"/>
      <c r="EX410" s="490"/>
      <c r="EY410" s="490"/>
      <c r="EZ410" s="490"/>
      <c r="FA410" s="490"/>
      <c r="FB410" s="490"/>
      <c r="FC410" s="490"/>
      <c r="FD410" s="490"/>
      <c r="FE410" s="490"/>
      <c r="FF410" s="490"/>
      <c r="FG410" s="490"/>
      <c r="FH410" s="490"/>
      <c r="FI410" s="490"/>
      <c r="FJ410" s="490"/>
      <c r="FK410" s="490"/>
      <c r="FL410" s="490"/>
      <c r="FM410" s="490"/>
      <c r="FN410" s="490"/>
    </row>
    <row r="411" s="492" customFormat="1" spans="1:170">
      <c r="A411" s="540">
        <v>46202</v>
      </c>
      <c r="B411" s="515" t="s">
        <v>857</v>
      </c>
      <c r="C411" s="541">
        <v>15</v>
      </c>
      <c r="D411" s="515" t="s">
        <v>33</v>
      </c>
      <c r="E411" s="515" t="s">
        <v>72</v>
      </c>
      <c r="F411" s="515" t="s">
        <v>73</v>
      </c>
      <c r="G411" s="541">
        <v>1.08</v>
      </c>
      <c r="H411" s="541">
        <v>12.45</v>
      </c>
      <c r="I411" s="541" t="s">
        <v>724</v>
      </c>
      <c r="J411" s="541">
        <v>1.68</v>
      </c>
      <c r="K411" s="515" t="s">
        <v>607</v>
      </c>
      <c r="L411" s="582" t="s">
        <v>858</v>
      </c>
      <c r="M411" s="490"/>
      <c r="N411" s="490"/>
      <c r="O411" s="490"/>
      <c r="P411" s="490"/>
      <c r="Q411" s="490"/>
      <c r="R411" s="490"/>
      <c r="S411" s="490"/>
      <c r="T411" s="490"/>
      <c r="U411" s="490"/>
      <c r="V411" s="490"/>
      <c r="W411" s="490"/>
      <c r="X411" s="490"/>
      <c r="Y411" s="490"/>
      <c r="Z411" s="490"/>
      <c r="AA411" s="490"/>
      <c r="AB411" s="490"/>
      <c r="AC411" s="490"/>
      <c r="AD411" s="490"/>
      <c r="AE411" s="490"/>
      <c r="AF411" s="490"/>
      <c r="AG411" s="490"/>
      <c r="AH411" s="490"/>
      <c r="AI411" s="490"/>
      <c r="AJ411" s="490"/>
      <c r="AK411" s="490"/>
      <c r="AL411" s="490"/>
      <c r="AM411" s="490"/>
      <c r="AN411" s="490"/>
      <c r="AO411" s="490"/>
      <c r="AP411" s="490"/>
      <c r="AQ411" s="490"/>
      <c r="AR411" s="490"/>
      <c r="AS411" s="490"/>
      <c r="AT411" s="490"/>
      <c r="AU411" s="490"/>
      <c r="AV411" s="490"/>
      <c r="AW411" s="490"/>
      <c r="AX411" s="490"/>
      <c r="AY411" s="490"/>
      <c r="AZ411" s="490"/>
      <c r="BA411" s="490"/>
      <c r="BB411" s="490"/>
      <c r="BC411" s="490"/>
      <c r="BD411" s="490"/>
      <c r="BE411" s="490"/>
      <c r="BF411" s="490"/>
      <c r="BG411" s="490"/>
      <c r="BH411" s="490"/>
      <c r="BI411" s="490"/>
      <c r="BJ411" s="490"/>
      <c r="BK411" s="490"/>
      <c r="BL411" s="490"/>
      <c r="BM411" s="490"/>
      <c r="BN411" s="490"/>
      <c r="BO411" s="490"/>
      <c r="BP411" s="490"/>
      <c r="BQ411" s="490"/>
      <c r="BR411" s="490"/>
      <c r="BS411" s="490"/>
      <c r="BT411" s="490"/>
      <c r="BU411" s="490"/>
      <c r="BV411" s="490"/>
      <c r="BW411" s="490"/>
      <c r="BX411" s="490"/>
      <c r="BY411" s="490"/>
      <c r="BZ411" s="490"/>
      <c r="CA411" s="490"/>
      <c r="CB411" s="490"/>
      <c r="CC411" s="490"/>
      <c r="CD411" s="490"/>
      <c r="CE411" s="490"/>
      <c r="CF411" s="490"/>
      <c r="CG411" s="490"/>
      <c r="CH411" s="490"/>
      <c r="CI411" s="490"/>
      <c r="CJ411" s="490"/>
      <c r="CK411" s="490"/>
      <c r="CL411" s="490"/>
      <c r="CM411" s="490"/>
      <c r="CN411" s="490"/>
      <c r="CO411" s="490"/>
      <c r="CP411" s="490"/>
      <c r="CQ411" s="490"/>
      <c r="CR411" s="490"/>
      <c r="CS411" s="490"/>
      <c r="CT411" s="490"/>
      <c r="CU411" s="490"/>
      <c r="CV411" s="490"/>
      <c r="CW411" s="490"/>
      <c r="CX411" s="490"/>
      <c r="CY411" s="490"/>
      <c r="CZ411" s="490"/>
      <c r="DA411" s="490"/>
      <c r="DB411" s="490"/>
      <c r="DC411" s="490"/>
      <c r="DD411" s="490"/>
      <c r="DE411" s="490"/>
      <c r="DF411" s="490"/>
      <c r="DG411" s="490"/>
      <c r="DH411" s="490"/>
      <c r="DI411" s="490"/>
      <c r="DJ411" s="490"/>
      <c r="DK411" s="490"/>
      <c r="DL411" s="490"/>
      <c r="DM411" s="490"/>
      <c r="DN411" s="490"/>
      <c r="DO411" s="490"/>
      <c r="DP411" s="490"/>
      <c r="DQ411" s="490"/>
      <c r="DR411" s="490"/>
      <c r="DS411" s="490"/>
      <c r="DT411" s="490"/>
      <c r="DU411" s="490"/>
      <c r="DV411" s="490"/>
      <c r="DW411" s="490"/>
      <c r="DX411" s="490"/>
      <c r="DY411" s="490"/>
      <c r="DZ411" s="490"/>
      <c r="EA411" s="490"/>
      <c r="EB411" s="490"/>
      <c r="EC411" s="490"/>
      <c r="ED411" s="490"/>
      <c r="EE411" s="490"/>
      <c r="EF411" s="490"/>
      <c r="EG411" s="490"/>
      <c r="EH411" s="490"/>
      <c r="EI411" s="490"/>
      <c r="EJ411" s="490"/>
      <c r="EK411" s="490"/>
      <c r="EL411" s="490"/>
      <c r="EM411" s="490"/>
      <c r="EN411" s="490"/>
      <c r="EO411" s="490"/>
      <c r="EP411" s="490"/>
      <c r="EQ411" s="490"/>
      <c r="ER411" s="490"/>
      <c r="ES411" s="490"/>
      <c r="ET411" s="490"/>
      <c r="EU411" s="490"/>
      <c r="EV411" s="490"/>
      <c r="EW411" s="490"/>
      <c r="EX411" s="490"/>
      <c r="EY411" s="490"/>
      <c r="EZ411" s="490"/>
      <c r="FA411" s="490"/>
      <c r="FB411" s="490"/>
      <c r="FC411" s="490"/>
      <c r="FD411" s="490"/>
      <c r="FE411" s="490"/>
      <c r="FF411" s="490"/>
      <c r="FG411" s="490"/>
      <c r="FH411" s="490"/>
      <c r="FI411" s="490"/>
      <c r="FJ411" s="490"/>
      <c r="FK411" s="490"/>
      <c r="FL411" s="490"/>
      <c r="FM411" s="490"/>
      <c r="FN411" s="490"/>
    </row>
    <row r="412" s="492" customFormat="1" spans="1:170">
      <c r="A412" s="540"/>
      <c r="B412" s="515"/>
      <c r="C412" s="541"/>
      <c r="D412" s="515"/>
      <c r="E412" s="515"/>
      <c r="F412" s="515" t="s">
        <v>75</v>
      </c>
      <c r="G412" s="541">
        <v>1.08</v>
      </c>
      <c r="H412" s="541">
        <v>0.75</v>
      </c>
      <c r="I412" s="541" t="s">
        <v>859</v>
      </c>
      <c r="J412" s="541">
        <v>1.8</v>
      </c>
      <c r="K412" s="515"/>
      <c r="L412" s="515"/>
      <c r="M412" s="490"/>
      <c r="N412" s="490"/>
      <c r="O412" s="490"/>
      <c r="P412" s="490"/>
      <c r="Q412" s="490"/>
      <c r="R412" s="490"/>
      <c r="S412" s="490"/>
      <c r="T412" s="490"/>
      <c r="U412" s="490"/>
      <c r="V412" s="490"/>
      <c r="W412" s="490"/>
      <c r="X412" s="490"/>
      <c r="Y412" s="490"/>
      <c r="Z412" s="490"/>
      <c r="AA412" s="490"/>
      <c r="AB412" s="490"/>
      <c r="AC412" s="490"/>
      <c r="AD412" s="490"/>
      <c r="AE412" s="490"/>
      <c r="AF412" s="490"/>
      <c r="AG412" s="490"/>
      <c r="AH412" s="490"/>
      <c r="AI412" s="490"/>
      <c r="AJ412" s="490"/>
      <c r="AK412" s="490"/>
      <c r="AL412" s="490"/>
      <c r="AM412" s="490"/>
      <c r="AN412" s="490"/>
      <c r="AO412" s="490"/>
      <c r="AP412" s="490"/>
      <c r="AQ412" s="490"/>
      <c r="AR412" s="490"/>
      <c r="AS412" s="490"/>
      <c r="AT412" s="490"/>
      <c r="AU412" s="490"/>
      <c r="AV412" s="490"/>
      <c r="AW412" s="490"/>
      <c r="AX412" s="490"/>
      <c r="AY412" s="490"/>
      <c r="AZ412" s="490"/>
      <c r="BA412" s="490"/>
      <c r="BB412" s="490"/>
      <c r="BC412" s="490"/>
      <c r="BD412" s="490"/>
      <c r="BE412" s="490"/>
      <c r="BF412" s="490"/>
      <c r="BG412" s="490"/>
      <c r="BH412" s="490"/>
      <c r="BI412" s="490"/>
      <c r="BJ412" s="490"/>
      <c r="BK412" s="490"/>
      <c r="BL412" s="490"/>
      <c r="BM412" s="490"/>
      <c r="BN412" s="490"/>
      <c r="BO412" s="490"/>
      <c r="BP412" s="490"/>
      <c r="BQ412" s="490"/>
      <c r="BR412" s="490"/>
      <c r="BS412" s="490"/>
      <c r="BT412" s="490"/>
      <c r="BU412" s="490"/>
      <c r="BV412" s="490"/>
      <c r="BW412" s="490"/>
      <c r="BX412" s="490"/>
      <c r="BY412" s="490"/>
      <c r="BZ412" s="490"/>
      <c r="CA412" s="490"/>
      <c r="CB412" s="490"/>
      <c r="CC412" s="490"/>
      <c r="CD412" s="490"/>
      <c r="CE412" s="490"/>
      <c r="CF412" s="490"/>
      <c r="CG412" s="490"/>
      <c r="CH412" s="490"/>
      <c r="CI412" s="490"/>
      <c r="CJ412" s="490"/>
      <c r="CK412" s="490"/>
      <c r="CL412" s="490"/>
      <c r="CM412" s="490"/>
      <c r="CN412" s="490"/>
      <c r="CO412" s="490"/>
      <c r="CP412" s="490"/>
      <c r="CQ412" s="490"/>
      <c r="CR412" s="490"/>
      <c r="CS412" s="490"/>
      <c r="CT412" s="490"/>
      <c r="CU412" s="490"/>
      <c r="CV412" s="490"/>
      <c r="CW412" s="490"/>
      <c r="CX412" s="490"/>
      <c r="CY412" s="490"/>
      <c r="CZ412" s="490"/>
      <c r="DA412" s="490"/>
      <c r="DB412" s="490"/>
      <c r="DC412" s="490"/>
      <c r="DD412" s="490"/>
      <c r="DE412" s="490"/>
      <c r="DF412" s="490"/>
      <c r="DG412" s="490"/>
      <c r="DH412" s="490"/>
      <c r="DI412" s="490"/>
      <c r="DJ412" s="490"/>
      <c r="DK412" s="490"/>
      <c r="DL412" s="490"/>
      <c r="DM412" s="490"/>
      <c r="DN412" s="490"/>
      <c r="DO412" s="490"/>
      <c r="DP412" s="490"/>
      <c r="DQ412" s="490"/>
      <c r="DR412" s="490"/>
      <c r="DS412" s="490"/>
      <c r="DT412" s="490"/>
      <c r="DU412" s="490"/>
      <c r="DV412" s="490"/>
      <c r="DW412" s="490"/>
      <c r="DX412" s="490"/>
      <c r="DY412" s="490"/>
      <c r="DZ412" s="490"/>
      <c r="EA412" s="490"/>
      <c r="EB412" s="490"/>
      <c r="EC412" s="490"/>
      <c r="ED412" s="490"/>
      <c r="EE412" s="490"/>
      <c r="EF412" s="490"/>
      <c r="EG412" s="490"/>
      <c r="EH412" s="490"/>
      <c r="EI412" s="490"/>
      <c r="EJ412" s="490"/>
      <c r="EK412" s="490"/>
      <c r="EL412" s="490"/>
      <c r="EM412" s="490"/>
      <c r="EN412" s="490"/>
      <c r="EO412" s="490"/>
      <c r="EP412" s="490"/>
      <c r="EQ412" s="490"/>
      <c r="ER412" s="490"/>
      <c r="ES412" s="490"/>
      <c r="ET412" s="490"/>
      <c r="EU412" s="490"/>
      <c r="EV412" s="490"/>
      <c r="EW412" s="490"/>
      <c r="EX412" s="490"/>
      <c r="EY412" s="490"/>
      <c r="EZ412" s="490"/>
      <c r="FA412" s="490"/>
      <c r="FB412" s="490"/>
      <c r="FC412" s="490"/>
      <c r="FD412" s="490"/>
      <c r="FE412" s="490"/>
      <c r="FF412" s="490"/>
      <c r="FG412" s="490"/>
      <c r="FH412" s="490"/>
      <c r="FI412" s="490"/>
      <c r="FJ412" s="490"/>
      <c r="FK412" s="490"/>
      <c r="FL412" s="490"/>
      <c r="FM412" s="490"/>
      <c r="FN412" s="490"/>
    </row>
    <row r="413" s="492" customFormat="1" spans="1:170">
      <c r="A413" s="540"/>
      <c r="B413" s="515"/>
      <c r="C413" s="541"/>
      <c r="D413" s="515"/>
      <c r="E413" s="515"/>
      <c r="F413" s="515" t="s">
        <v>99</v>
      </c>
      <c r="G413" s="541">
        <v>2.75</v>
      </c>
      <c r="H413" s="541">
        <v>1.05</v>
      </c>
      <c r="I413" s="541" t="s">
        <v>100</v>
      </c>
      <c r="J413" s="541">
        <v>3.1</v>
      </c>
      <c r="K413" s="515"/>
      <c r="L413" s="515"/>
      <c r="M413" s="490"/>
      <c r="N413" s="490"/>
      <c r="O413" s="490"/>
      <c r="P413" s="490"/>
      <c r="Q413" s="490"/>
      <c r="R413" s="490"/>
      <c r="S413" s="490"/>
      <c r="T413" s="490"/>
      <c r="U413" s="490"/>
      <c r="V413" s="490"/>
      <c r="W413" s="490"/>
      <c r="X413" s="490"/>
      <c r="Y413" s="490"/>
      <c r="Z413" s="490"/>
      <c r="AA413" s="490"/>
      <c r="AB413" s="490"/>
      <c r="AC413" s="490"/>
      <c r="AD413" s="490"/>
      <c r="AE413" s="490"/>
      <c r="AF413" s="490"/>
      <c r="AG413" s="490"/>
      <c r="AH413" s="490"/>
      <c r="AI413" s="490"/>
      <c r="AJ413" s="490"/>
      <c r="AK413" s="490"/>
      <c r="AL413" s="490"/>
      <c r="AM413" s="490"/>
      <c r="AN413" s="490"/>
      <c r="AO413" s="490"/>
      <c r="AP413" s="490"/>
      <c r="AQ413" s="490"/>
      <c r="AR413" s="490"/>
      <c r="AS413" s="490"/>
      <c r="AT413" s="490"/>
      <c r="AU413" s="490"/>
      <c r="AV413" s="490"/>
      <c r="AW413" s="490"/>
      <c r="AX413" s="490"/>
      <c r="AY413" s="490"/>
      <c r="AZ413" s="490"/>
      <c r="BA413" s="490"/>
      <c r="BB413" s="490"/>
      <c r="BC413" s="490"/>
      <c r="BD413" s="490"/>
      <c r="BE413" s="490"/>
      <c r="BF413" s="490"/>
      <c r="BG413" s="490"/>
      <c r="BH413" s="490"/>
      <c r="BI413" s="490"/>
      <c r="BJ413" s="490"/>
      <c r="BK413" s="490"/>
      <c r="BL413" s="490"/>
      <c r="BM413" s="490"/>
      <c r="BN413" s="490"/>
      <c r="BO413" s="490"/>
      <c r="BP413" s="490"/>
      <c r="BQ413" s="490"/>
      <c r="BR413" s="490"/>
      <c r="BS413" s="490"/>
      <c r="BT413" s="490"/>
      <c r="BU413" s="490"/>
      <c r="BV413" s="490"/>
      <c r="BW413" s="490"/>
      <c r="BX413" s="490"/>
      <c r="BY413" s="490"/>
      <c r="BZ413" s="490"/>
      <c r="CA413" s="490"/>
      <c r="CB413" s="490"/>
      <c r="CC413" s="490"/>
      <c r="CD413" s="490"/>
      <c r="CE413" s="490"/>
      <c r="CF413" s="490"/>
      <c r="CG413" s="490"/>
      <c r="CH413" s="490"/>
      <c r="CI413" s="490"/>
      <c r="CJ413" s="490"/>
      <c r="CK413" s="490"/>
      <c r="CL413" s="490"/>
      <c r="CM413" s="490"/>
      <c r="CN413" s="490"/>
      <c r="CO413" s="490"/>
      <c r="CP413" s="490"/>
      <c r="CQ413" s="490"/>
      <c r="CR413" s="490"/>
      <c r="CS413" s="490"/>
      <c r="CT413" s="490"/>
      <c r="CU413" s="490"/>
      <c r="CV413" s="490"/>
      <c r="CW413" s="490"/>
      <c r="CX413" s="490"/>
      <c r="CY413" s="490"/>
      <c r="CZ413" s="490"/>
      <c r="DA413" s="490"/>
      <c r="DB413" s="490"/>
      <c r="DC413" s="490"/>
      <c r="DD413" s="490"/>
      <c r="DE413" s="490"/>
      <c r="DF413" s="490"/>
      <c r="DG413" s="490"/>
      <c r="DH413" s="490"/>
      <c r="DI413" s="490"/>
      <c r="DJ413" s="490"/>
      <c r="DK413" s="490"/>
      <c r="DL413" s="490"/>
      <c r="DM413" s="490"/>
      <c r="DN413" s="490"/>
      <c r="DO413" s="490"/>
      <c r="DP413" s="490"/>
      <c r="DQ413" s="490"/>
      <c r="DR413" s="490"/>
      <c r="DS413" s="490"/>
      <c r="DT413" s="490"/>
      <c r="DU413" s="490"/>
      <c r="DV413" s="490"/>
      <c r="DW413" s="490"/>
      <c r="DX413" s="490"/>
      <c r="DY413" s="490"/>
      <c r="DZ413" s="490"/>
      <c r="EA413" s="490"/>
      <c r="EB413" s="490"/>
      <c r="EC413" s="490"/>
      <c r="ED413" s="490"/>
      <c r="EE413" s="490"/>
      <c r="EF413" s="490"/>
      <c r="EG413" s="490"/>
      <c r="EH413" s="490"/>
      <c r="EI413" s="490"/>
      <c r="EJ413" s="490"/>
      <c r="EK413" s="490"/>
      <c r="EL413" s="490"/>
      <c r="EM413" s="490"/>
      <c r="EN413" s="490"/>
      <c r="EO413" s="490"/>
      <c r="EP413" s="490"/>
      <c r="EQ413" s="490"/>
      <c r="ER413" s="490"/>
      <c r="ES413" s="490"/>
      <c r="ET413" s="490"/>
      <c r="EU413" s="490"/>
      <c r="EV413" s="490"/>
      <c r="EW413" s="490"/>
      <c r="EX413" s="490"/>
      <c r="EY413" s="490"/>
      <c r="EZ413" s="490"/>
      <c r="FA413" s="490"/>
      <c r="FB413" s="490"/>
      <c r="FC413" s="490"/>
      <c r="FD413" s="490"/>
      <c r="FE413" s="490"/>
      <c r="FF413" s="490"/>
      <c r="FG413" s="490"/>
      <c r="FH413" s="490"/>
      <c r="FI413" s="490"/>
      <c r="FJ413" s="490"/>
      <c r="FK413" s="490"/>
      <c r="FL413" s="490"/>
      <c r="FM413" s="490"/>
      <c r="FN413" s="490"/>
    </row>
    <row r="414" s="492" customFormat="1" spans="1:170">
      <c r="A414" s="540"/>
      <c r="B414" s="515"/>
      <c r="C414" s="541"/>
      <c r="D414" s="515"/>
      <c r="E414" s="515"/>
      <c r="F414" s="515" t="s">
        <v>91</v>
      </c>
      <c r="G414" s="541">
        <v>2.75</v>
      </c>
      <c r="H414" s="541">
        <v>0.75</v>
      </c>
      <c r="I414" s="541" t="s">
        <v>24</v>
      </c>
      <c r="J414" s="541" t="s">
        <v>24</v>
      </c>
      <c r="K414" s="515"/>
      <c r="L414" s="515"/>
      <c r="M414" s="490"/>
      <c r="N414" s="490"/>
      <c r="O414" s="490"/>
      <c r="P414" s="490"/>
      <c r="Q414" s="490"/>
      <c r="R414" s="490"/>
      <c r="S414" s="490"/>
      <c r="T414" s="490"/>
      <c r="U414" s="490"/>
      <c r="V414" s="490"/>
      <c r="W414" s="490"/>
      <c r="X414" s="490"/>
      <c r="Y414" s="490"/>
      <c r="Z414" s="490"/>
      <c r="AA414" s="490"/>
      <c r="AB414" s="490"/>
      <c r="AC414" s="490"/>
      <c r="AD414" s="490"/>
      <c r="AE414" s="490"/>
      <c r="AF414" s="490"/>
      <c r="AG414" s="490"/>
      <c r="AH414" s="490"/>
      <c r="AI414" s="490"/>
      <c r="AJ414" s="490"/>
      <c r="AK414" s="490"/>
      <c r="AL414" s="490"/>
      <c r="AM414" s="490"/>
      <c r="AN414" s="490"/>
      <c r="AO414" s="490"/>
      <c r="AP414" s="490"/>
      <c r="AQ414" s="490"/>
      <c r="AR414" s="490"/>
      <c r="AS414" s="490"/>
      <c r="AT414" s="490"/>
      <c r="AU414" s="490"/>
      <c r="AV414" s="490"/>
      <c r="AW414" s="490"/>
      <c r="AX414" s="490"/>
      <c r="AY414" s="490"/>
      <c r="AZ414" s="490"/>
      <c r="BA414" s="490"/>
      <c r="BB414" s="490"/>
      <c r="BC414" s="490"/>
      <c r="BD414" s="490"/>
      <c r="BE414" s="490"/>
      <c r="BF414" s="490"/>
      <c r="BG414" s="490"/>
      <c r="BH414" s="490"/>
      <c r="BI414" s="490"/>
      <c r="BJ414" s="490"/>
      <c r="BK414" s="490"/>
      <c r="BL414" s="490"/>
      <c r="BM414" s="490"/>
      <c r="BN414" s="490"/>
      <c r="BO414" s="490"/>
      <c r="BP414" s="490"/>
      <c r="BQ414" s="490"/>
      <c r="BR414" s="490"/>
      <c r="BS414" s="490"/>
      <c r="BT414" s="490"/>
      <c r="BU414" s="490"/>
      <c r="BV414" s="490"/>
      <c r="BW414" s="490"/>
      <c r="BX414" s="490"/>
      <c r="BY414" s="490"/>
      <c r="BZ414" s="490"/>
      <c r="CA414" s="490"/>
      <c r="CB414" s="490"/>
      <c r="CC414" s="490"/>
      <c r="CD414" s="490"/>
      <c r="CE414" s="490"/>
      <c r="CF414" s="490"/>
      <c r="CG414" s="490"/>
      <c r="CH414" s="490"/>
      <c r="CI414" s="490"/>
      <c r="CJ414" s="490"/>
      <c r="CK414" s="490"/>
      <c r="CL414" s="490"/>
      <c r="CM414" s="490"/>
      <c r="CN414" s="490"/>
      <c r="CO414" s="490"/>
      <c r="CP414" s="490"/>
      <c r="CQ414" s="490"/>
      <c r="CR414" s="490"/>
      <c r="CS414" s="490"/>
      <c r="CT414" s="490"/>
      <c r="CU414" s="490"/>
      <c r="CV414" s="490"/>
      <c r="CW414" s="490"/>
      <c r="CX414" s="490"/>
      <c r="CY414" s="490"/>
      <c r="CZ414" s="490"/>
      <c r="DA414" s="490"/>
      <c r="DB414" s="490"/>
      <c r="DC414" s="490"/>
      <c r="DD414" s="490"/>
      <c r="DE414" s="490"/>
      <c r="DF414" s="490"/>
      <c r="DG414" s="490"/>
      <c r="DH414" s="490"/>
      <c r="DI414" s="490"/>
      <c r="DJ414" s="490"/>
      <c r="DK414" s="490"/>
      <c r="DL414" s="490"/>
      <c r="DM414" s="490"/>
      <c r="DN414" s="490"/>
      <c r="DO414" s="490"/>
      <c r="DP414" s="490"/>
      <c r="DQ414" s="490"/>
      <c r="DR414" s="490"/>
      <c r="DS414" s="490"/>
      <c r="DT414" s="490"/>
      <c r="DU414" s="490"/>
      <c r="DV414" s="490"/>
      <c r="DW414" s="490"/>
      <c r="DX414" s="490"/>
      <c r="DY414" s="490"/>
      <c r="DZ414" s="490"/>
      <c r="EA414" s="490"/>
      <c r="EB414" s="490"/>
      <c r="EC414" s="490"/>
      <c r="ED414" s="490"/>
      <c r="EE414" s="490"/>
      <c r="EF414" s="490"/>
      <c r="EG414" s="490"/>
      <c r="EH414" s="490"/>
      <c r="EI414" s="490"/>
      <c r="EJ414" s="490"/>
      <c r="EK414" s="490"/>
      <c r="EL414" s="490"/>
      <c r="EM414" s="490"/>
      <c r="EN414" s="490"/>
      <c r="EO414" s="490"/>
      <c r="EP414" s="490"/>
      <c r="EQ414" s="490"/>
      <c r="ER414" s="490"/>
      <c r="ES414" s="490"/>
      <c r="ET414" s="490"/>
      <c r="EU414" s="490"/>
      <c r="EV414" s="490"/>
      <c r="EW414" s="490"/>
      <c r="EX414" s="490"/>
      <c r="EY414" s="490"/>
      <c r="EZ414" s="490"/>
      <c r="FA414" s="490"/>
      <c r="FB414" s="490"/>
      <c r="FC414" s="490"/>
      <c r="FD414" s="490"/>
      <c r="FE414" s="490"/>
      <c r="FF414" s="490"/>
      <c r="FG414" s="490"/>
      <c r="FH414" s="490"/>
      <c r="FI414" s="490"/>
      <c r="FJ414" s="490"/>
      <c r="FK414" s="490"/>
      <c r="FL414" s="490"/>
      <c r="FM414" s="490"/>
      <c r="FN414" s="490"/>
    </row>
    <row r="415" s="492" customFormat="1" spans="1:170">
      <c r="A415" s="540">
        <v>46202</v>
      </c>
      <c r="B415" s="515" t="s">
        <v>860</v>
      </c>
      <c r="C415" s="541">
        <v>10</v>
      </c>
      <c r="D415" s="515" t="s">
        <v>51</v>
      </c>
      <c r="E415" s="515" t="s">
        <v>208</v>
      </c>
      <c r="F415" s="515" t="s">
        <v>73</v>
      </c>
      <c r="G415" s="541">
        <v>1</v>
      </c>
      <c r="H415" s="541">
        <v>9</v>
      </c>
      <c r="I415" s="541" t="s">
        <v>724</v>
      </c>
      <c r="J415" s="541">
        <v>1.6</v>
      </c>
      <c r="K415" s="515" t="s">
        <v>607</v>
      </c>
      <c r="L415" s="545" t="s">
        <v>277</v>
      </c>
      <c r="M415" s="490"/>
      <c r="N415" s="490"/>
      <c r="O415" s="490"/>
      <c r="P415" s="490"/>
      <c r="Q415" s="490"/>
      <c r="R415" s="490"/>
      <c r="S415" s="490"/>
      <c r="T415" s="490"/>
      <c r="U415" s="490"/>
      <c r="V415" s="490"/>
      <c r="W415" s="490"/>
      <c r="X415" s="490"/>
      <c r="Y415" s="490"/>
      <c r="Z415" s="490"/>
      <c r="AA415" s="490"/>
      <c r="AB415" s="490"/>
      <c r="AC415" s="490"/>
      <c r="AD415" s="490"/>
      <c r="AE415" s="490"/>
      <c r="AF415" s="490"/>
      <c r="AG415" s="490"/>
      <c r="AH415" s="490"/>
      <c r="AI415" s="490"/>
      <c r="AJ415" s="490"/>
      <c r="AK415" s="490"/>
      <c r="AL415" s="490"/>
      <c r="AM415" s="490"/>
      <c r="AN415" s="490"/>
      <c r="AO415" s="490"/>
      <c r="AP415" s="490"/>
      <c r="AQ415" s="490"/>
      <c r="AR415" s="490"/>
      <c r="AS415" s="490"/>
      <c r="AT415" s="490"/>
      <c r="AU415" s="490"/>
      <c r="AV415" s="490"/>
      <c r="AW415" s="490"/>
      <c r="AX415" s="490"/>
      <c r="AY415" s="490"/>
      <c r="AZ415" s="490"/>
      <c r="BA415" s="490"/>
      <c r="BB415" s="490"/>
      <c r="BC415" s="490"/>
      <c r="BD415" s="490"/>
      <c r="BE415" s="490"/>
      <c r="BF415" s="490"/>
      <c r="BG415" s="490"/>
      <c r="BH415" s="490"/>
      <c r="BI415" s="490"/>
      <c r="BJ415" s="490"/>
      <c r="BK415" s="490"/>
      <c r="BL415" s="490"/>
      <c r="BM415" s="490"/>
      <c r="BN415" s="490"/>
      <c r="BO415" s="490"/>
      <c r="BP415" s="490"/>
      <c r="BQ415" s="490"/>
      <c r="BR415" s="490"/>
      <c r="BS415" s="490"/>
      <c r="BT415" s="490"/>
      <c r="BU415" s="490"/>
      <c r="BV415" s="490"/>
      <c r="BW415" s="490"/>
      <c r="BX415" s="490"/>
      <c r="BY415" s="490"/>
      <c r="BZ415" s="490"/>
      <c r="CA415" s="490"/>
      <c r="CB415" s="490"/>
      <c r="CC415" s="490"/>
      <c r="CD415" s="490"/>
      <c r="CE415" s="490"/>
      <c r="CF415" s="490"/>
      <c r="CG415" s="490"/>
      <c r="CH415" s="490"/>
      <c r="CI415" s="490"/>
      <c r="CJ415" s="490"/>
      <c r="CK415" s="490"/>
      <c r="CL415" s="490"/>
      <c r="CM415" s="490"/>
      <c r="CN415" s="490"/>
      <c r="CO415" s="490"/>
      <c r="CP415" s="490"/>
      <c r="CQ415" s="490"/>
      <c r="CR415" s="490"/>
      <c r="CS415" s="490"/>
      <c r="CT415" s="490"/>
      <c r="CU415" s="490"/>
      <c r="CV415" s="490"/>
      <c r="CW415" s="490"/>
      <c r="CX415" s="490"/>
      <c r="CY415" s="490"/>
      <c r="CZ415" s="490"/>
      <c r="DA415" s="490"/>
      <c r="DB415" s="490"/>
      <c r="DC415" s="490"/>
      <c r="DD415" s="490"/>
      <c r="DE415" s="490"/>
      <c r="DF415" s="490"/>
      <c r="DG415" s="490"/>
      <c r="DH415" s="490"/>
      <c r="DI415" s="490"/>
      <c r="DJ415" s="490"/>
      <c r="DK415" s="490"/>
      <c r="DL415" s="490"/>
      <c r="DM415" s="490"/>
      <c r="DN415" s="490"/>
      <c r="DO415" s="490"/>
      <c r="DP415" s="490"/>
      <c r="DQ415" s="490"/>
      <c r="DR415" s="490"/>
      <c r="DS415" s="490"/>
      <c r="DT415" s="490"/>
      <c r="DU415" s="490"/>
      <c r="DV415" s="490"/>
      <c r="DW415" s="490"/>
      <c r="DX415" s="490"/>
      <c r="DY415" s="490"/>
      <c r="DZ415" s="490"/>
      <c r="EA415" s="490"/>
      <c r="EB415" s="490"/>
      <c r="EC415" s="490"/>
      <c r="ED415" s="490"/>
      <c r="EE415" s="490"/>
      <c r="EF415" s="490"/>
      <c r="EG415" s="490"/>
      <c r="EH415" s="490"/>
      <c r="EI415" s="490"/>
      <c r="EJ415" s="490"/>
      <c r="EK415" s="490"/>
      <c r="EL415" s="490"/>
      <c r="EM415" s="490"/>
      <c r="EN415" s="490"/>
      <c r="EO415" s="490"/>
      <c r="EP415" s="490"/>
      <c r="EQ415" s="490"/>
      <c r="ER415" s="490"/>
      <c r="ES415" s="490"/>
      <c r="ET415" s="490"/>
      <c r="EU415" s="490"/>
      <c r="EV415" s="490"/>
      <c r="EW415" s="490"/>
      <c r="EX415" s="490"/>
      <c r="EY415" s="490"/>
      <c r="EZ415" s="490"/>
      <c r="FA415" s="490"/>
      <c r="FB415" s="490"/>
      <c r="FC415" s="490"/>
      <c r="FD415" s="490"/>
      <c r="FE415" s="490"/>
      <c r="FF415" s="490"/>
      <c r="FG415" s="490"/>
      <c r="FH415" s="490"/>
      <c r="FI415" s="490"/>
      <c r="FJ415" s="490"/>
      <c r="FK415" s="490"/>
      <c r="FL415" s="490"/>
      <c r="FM415" s="490"/>
      <c r="FN415" s="490"/>
    </row>
    <row r="416" s="492" customFormat="1" spans="1:170">
      <c r="A416" s="540"/>
      <c r="B416" s="515"/>
      <c r="C416" s="541"/>
      <c r="D416" s="515"/>
      <c r="E416" s="515"/>
      <c r="F416" s="515" t="s">
        <v>75</v>
      </c>
      <c r="G416" s="541">
        <v>1</v>
      </c>
      <c r="H416" s="541">
        <v>0.3</v>
      </c>
      <c r="I416" s="541" t="s">
        <v>859</v>
      </c>
      <c r="J416" s="541">
        <v>1.77</v>
      </c>
      <c r="K416" s="515"/>
      <c r="L416" s="545"/>
      <c r="M416" s="490"/>
      <c r="N416" s="490"/>
      <c r="O416" s="490"/>
      <c r="P416" s="490"/>
      <c r="Q416" s="490"/>
      <c r="R416" s="490"/>
      <c r="S416" s="490"/>
      <c r="T416" s="490"/>
      <c r="U416" s="490"/>
      <c r="V416" s="490"/>
      <c r="W416" s="490"/>
      <c r="X416" s="490"/>
      <c r="Y416" s="490"/>
      <c r="Z416" s="490"/>
      <c r="AA416" s="490"/>
      <c r="AB416" s="490"/>
      <c r="AC416" s="490"/>
      <c r="AD416" s="490"/>
      <c r="AE416" s="490"/>
      <c r="AF416" s="490"/>
      <c r="AG416" s="490"/>
      <c r="AH416" s="490"/>
      <c r="AI416" s="490"/>
      <c r="AJ416" s="490"/>
      <c r="AK416" s="490"/>
      <c r="AL416" s="490"/>
      <c r="AM416" s="490"/>
      <c r="AN416" s="490"/>
      <c r="AO416" s="490"/>
      <c r="AP416" s="490"/>
      <c r="AQ416" s="490"/>
      <c r="AR416" s="490"/>
      <c r="AS416" s="490"/>
      <c r="AT416" s="490"/>
      <c r="AU416" s="490"/>
      <c r="AV416" s="490"/>
      <c r="AW416" s="490"/>
      <c r="AX416" s="490"/>
      <c r="AY416" s="490"/>
      <c r="AZ416" s="490"/>
      <c r="BA416" s="490"/>
      <c r="BB416" s="490"/>
      <c r="BC416" s="490"/>
      <c r="BD416" s="490"/>
      <c r="BE416" s="490"/>
      <c r="BF416" s="490"/>
      <c r="BG416" s="490"/>
      <c r="BH416" s="490"/>
      <c r="BI416" s="490"/>
      <c r="BJ416" s="490"/>
      <c r="BK416" s="490"/>
      <c r="BL416" s="490"/>
      <c r="BM416" s="490"/>
      <c r="BN416" s="490"/>
      <c r="BO416" s="490"/>
      <c r="BP416" s="490"/>
      <c r="BQ416" s="490"/>
      <c r="BR416" s="490"/>
      <c r="BS416" s="490"/>
      <c r="BT416" s="490"/>
      <c r="BU416" s="490"/>
      <c r="BV416" s="490"/>
      <c r="BW416" s="490"/>
      <c r="BX416" s="490"/>
      <c r="BY416" s="490"/>
      <c r="BZ416" s="490"/>
      <c r="CA416" s="490"/>
      <c r="CB416" s="490"/>
      <c r="CC416" s="490"/>
      <c r="CD416" s="490"/>
      <c r="CE416" s="490"/>
      <c r="CF416" s="490"/>
      <c r="CG416" s="490"/>
      <c r="CH416" s="490"/>
      <c r="CI416" s="490"/>
      <c r="CJ416" s="490"/>
      <c r="CK416" s="490"/>
      <c r="CL416" s="490"/>
      <c r="CM416" s="490"/>
      <c r="CN416" s="490"/>
      <c r="CO416" s="490"/>
      <c r="CP416" s="490"/>
      <c r="CQ416" s="490"/>
      <c r="CR416" s="490"/>
      <c r="CS416" s="490"/>
      <c r="CT416" s="490"/>
      <c r="CU416" s="490"/>
      <c r="CV416" s="490"/>
      <c r="CW416" s="490"/>
      <c r="CX416" s="490"/>
      <c r="CY416" s="490"/>
      <c r="CZ416" s="490"/>
      <c r="DA416" s="490"/>
      <c r="DB416" s="490"/>
      <c r="DC416" s="490"/>
      <c r="DD416" s="490"/>
      <c r="DE416" s="490"/>
      <c r="DF416" s="490"/>
      <c r="DG416" s="490"/>
      <c r="DH416" s="490"/>
      <c r="DI416" s="490"/>
      <c r="DJ416" s="490"/>
      <c r="DK416" s="490"/>
      <c r="DL416" s="490"/>
      <c r="DM416" s="490"/>
      <c r="DN416" s="490"/>
      <c r="DO416" s="490"/>
      <c r="DP416" s="490"/>
      <c r="DQ416" s="490"/>
      <c r="DR416" s="490"/>
      <c r="DS416" s="490"/>
      <c r="DT416" s="490"/>
      <c r="DU416" s="490"/>
      <c r="DV416" s="490"/>
      <c r="DW416" s="490"/>
      <c r="DX416" s="490"/>
      <c r="DY416" s="490"/>
      <c r="DZ416" s="490"/>
      <c r="EA416" s="490"/>
      <c r="EB416" s="490"/>
      <c r="EC416" s="490"/>
      <c r="ED416" s="490"/>
      <c r="EE416" s="490"/>
      <c r="EF416" s="490"/>
      <c r="EG416" s="490"/>
      <c r="EH416" s="490"/>
      <c r="EI416" s="490"/>
      <c r="EJ416" s="490"/>
      <c r="EK416" s="490"/>
      <c r="EL416" s="490"/>
      <c r="EM416" s="490"/>
      <c r="EN416" s="490"/>
      <c r="EO416" s="490"/>
      <c r="EP416" s="490"/>
      <c r="EQ416" s="490"/>
      <c r="ER416" s="490"/>
      <c r="ES416" s="490"/>
      <c r="ET416" s="490"/>
      <c r="EU416" s="490"/>
      <c r="EV416" s="490"/>
      <c r="EW416" s="490"/>
      <c r="EX416" s="490"/>
      <c r="EY416" s="490"/>
      <c r="EZ416" s="490"/>
      <c r="FA416" s="490"/>
      <c r="FB416" s="490"/>
      <c r="FC416" s="490"/>
      <c r="FD416" s="490"/>
      <c r="FE416" s="490"/>
      <c r="FF416" s="490"/>
      <c r="FG416" s="490"/>
      <c r="FH416" s="490"/>
      <c r="FI416" s="490"/>
      <c r="FJ416" s="490"/>
      <c r="FK416" s="490"/>
      <c r="FL416" s="490"/>
      <c r="FM416" s="490"/>
      <c r="FN416" s="490"/>
    </row>
    <row r="417" s="492" customFormat="1" spans="1:170">
      <c r="A417" s="540"/>
      <c r="B417" s="515"/>
      <c r="C417" s="541"/>
      <c r="D417" s="515"/>
      <c r="E417" s="515"/>
      <c r="F417" s="515" t="s">
        <v>99</v>
      </c>
      <c r="G417" s="541">
        <v>1</v>
      </c>
      <c r="H417" s="541">
        <v>0.2</v>
      </c>
      <c r="I417" s="541" t="s">
        <v>96</v>
      </c>
      <c r="J417" s="541">
        <v>3.1</v>
      </c>
      <c r="K417" s="515"/>
      <c r="L417" s="545"/>
      <c r="M417" s="490"/>
      <c r="N417" s="490"/>
      <c r="O417" s="490"/>
      <c r="P417" s="490"/>
      <c r="Q417" s="490"/>
      <c r="R417" s="490"/>
      <c r="S417" s="490"/>
      <c r="T417" s="490"/>
      <c r="U417" s="490"/>
      <c r="V417" s="490"/>
      <c r="W417" s="490"/>
      <c r="X417" s="490"/>
      <c r="Y417" s="490"/>
      <c r="Z417" s="490"/>
      <c r="AA417" s="490"/>
      <c r="AB417" s="490"/>
      <c r="AC417" s="490"/>
      <c r="AD417" s="490"/>
      <c r="AE417" s="490"/>
      <c r="AF417" s="490"/>
      <c r="AG417" s="490"/>
      <c r="AH417" s="490"/>
      <c r="AI417" s="490"/>
      <c r="AJ417" s="490"/>
      <c r="AK417" s="490"/>
      <c r="AL417" s="490"/>
      <c r="AM417" s="490"/>
      <c r="AN417" s="490"/>
      <c r="AO417" s="490"/>
      <c r="AP417" s="490"/>
      <c r="AQ417" s="490"/>
      <c r="AR417" s="490"/>
      <c r="AS417" s="490"/>
      <c r="AT417" s="490"/>
      <c r="AU417" s="490"/>
      <c r="AV417" s="490"/>
      <c r="AW417" s="490"/>
      <c r="AX417" s="490"/>
      <c r="AY417" s="490"/>
      <c r="AZ417" s="490"/>
      <c r="BA417" s="490"/>
      <c r="BB417" s="490"/>
      <c r="BC417" s="490"/>
      <c r="BD417" s="490"/>
      <c r="BE417" s="490"/>
      <c r="BF417" s="490"/>
      <c r="BG417" s="490"/>
      <c r="BH417" s="490"/>
      <c r="BI417" s="490"/>
      <c r="BJ417" s="490"/>
      <c r="BK417" s="490"/>
      <c r="BL417" s="490"/>
      <c r="BM417" s="490"/>
      <c r="BN417" s="490"/>
      <c r="BO417" s="490"/>
      <c r="BP417" s="490"/>
      <c r="BQ417" s="490"/>
      <c r="BR417" s="490"/>
      <c r="BS417" s="490"/>
      <c r="BT417" s="490"/>
      <c r="BU417" s="490"/>
      <c r="BV417" s="490"/>
      <c r="BW417" s="490"/>
      <c r="BX417" s="490"/>
      <c r="BY417" s="490"/>
      <c r="BZ417" s="490"/>
      <c r="CA417" s="490"/>
      <c r="CB417" s="490"/>
      <c r="CC417" s="490"/>
      <c r="CD417" s="490"/>
      <c r="CE417" s="490"/>
      <c r="CF417" s="490"/>
      <c r="CG417" s="490"/>
      <c r="CH417" s="490"/>
      <c r="CI417" s="490"/>
      <c r="CJ417" s="490"/>
      <c r="CK417" s="490"/>
      <c r="CL417" s="490"/>
      <c r="CM417" s="490"/>
      <c r="CN417" s="490"/>
      <c r="CO417" s="490"/>
      <c r="CP417" s="490"/>
      <c r="CQ417" s="490"/>
      <c r="CR417" s="490"/>
      <c r="CS417" s="490"/>
      <c r="CT417" s="490"/>
      <c r="CU417" s="490"/>
      <c r="CV417" s="490"/>
      <c r="CW417" s="490"/>
      <c r="CX417" s="490"/>
      <c r="CY417" s="490"/>
      <c r="CZ417" s="490"/>
      <c r="DA417" s="490"/>
      <c r="DB417" s="490"/>
      <c r="DC417" s="490"/>
      <c r="DD417" s="490"/>
      <c r="DE417" s="490"/>
      <c r="DF417" s="490"/>
      <c r="DG417" s="490"/>
      <c r="DH417" s="490"/>
      <c r="DI417" s="490"/>
      <c r="DJ417" s="490"/>
      <c r="DK417" s="490"/>
      <c r="DL417" s="490"/>
      <c r="DM417" s="490"/>
      <c r="DN417" s="490"/>
      <c r="DO417" s="490"/>
      <c r="DP417" s="490"/>
      <c r="DQ417" s="490"/>
      <c r="DR417" s="490"/>
      <c r="DS417" s="490"/>
      <c r="DT417" s="490"/>
      <c r="DU417" s="490"/>
      <c r="DV417" s="490"/>
      <c r="DW417" s="490"/>
      <c r="DX417" s="490"/>
      <c r="DY417" s="490"/>
      <c r="DZ417" s="490"/>
      <c r="EA417" s="490"/>
      <c r="EB417" s="490"/>
      <c r="EC417" s="490"/>
      <c r="ED417" s="490"/>
      <c r="EE417" s="490"/>
      <c r="EF417" s="490"/>
      <c r="EG417" s="490"/>
      <c r="EH417" s="490"/>
      <c r="EI417" s="490"/>
      <c r="EJ417" s="490"/>
      <c r="EK417" s="490"/>
      <c r="EL417" s="490"/>
      <c r="EM417" s="490"/>
      <c r="EN417" s="490"/>
      <c r="EO417" s="490"/>
      <c r="EP417" s="490"/>
      <c r="EQ417" s="490"/>
      <c r="ER417" s="490"/>
      <c r="ES417" s="490"/>
      <c r="ET417" s="490"/>
      <c r="EU417" s="490"/>
      <c r="EV417" s="490"/>
      <c r="EW417" s="490"/>
      <c r="EX417" s="490"/>
      <c r="EY417" s="490"/>
      <c r="EZ417" s="490"/>
      <c r="FA417" s="490"/>
      <c r="FB417" s="490"/>
      <c r="FC417" s="490"/>
      <c r="FD417" s="490"/>
      <c r="FE417" s="490"/>
      <c r="FF417" s="490"/>
      <c r="FG417" s="490"/>
      <c r="FH417" s="490"/>
      <c r="FI417" s="490"/>
      <c r="FJ417" s="490"/>
      <c r="FK417" s="490"/>
      <c r="FL417" s="490"/>
      <c r="FM417" s="490"/>
      <c r="FN417" s="490"/>
    </row>
    <row r="418" s="492" customFormat="1" spans="1:170">
      <c r="A418" s="540"/>
      <c r="B418" s="515"/>
      <c r="C418" s="541"/>
      <c r="D418" s="515"/>
      <c r="E418" s="515"/>
      <c r="F418" s="515" t="s">
        <v>91</v>
      </c>
      <c r="G418" s="541">
        <v>3</v>
      </c>
      <c r="H418" s="541">
        <v>0.5</v>
      </c>
      <c r="I418" s="541" t="s">
        <v>24</v>
      </c>
      <c r="J418" s="541" t="s">
        <v>24</v>
      </c>
      <c r="K418" s="515"/>
      <c r="L418" s="545"/>
      <c r="M418" s="490"/>
      <c r="N418" s="490"/>
      <c r="O418" s="490"/>
      <c r="P418" s="490"/>
      <c r="Q418" s="490"/>
      <c r="R418" s="490"/>
      <c r="S418" s="490"/>
      <c r="T418" s="490"/>
      <c r="U418" s="490"/>
      <c r="V418" s="490"/>
      <c r="W418" s="490"/>
      <c r="X418" s="490"/>
      <c r="Y418" s="490"/>
      <c r="Z418" s="490"/>
      <c r="AA418" s="490"/>
      <c r="AB418" s="490"/>
      <c r="AC418" s="490"/>
      <c r="AD418" s="490"/>
      <c r="AE418" s="490"/>
      <c r="AF418" s="490"/>
      <c r="AG418" s="490"/>
      <c r="AH418" s="490"/>
      <c r="AI418" s="490"/>
      <c r="AJ418" s="490"/>
      <c r="AK418" s="490"/>
      <c r="AL418" s="490"/>
      <c r="AM418" s="490"/>
      <c r="AN418" s="490"/>
      <c r="AO418" s="490"/>
      <c r="AP418" s="490"/>
      <c r="AQ418" s="490"/>
      <c r="AR418" s="490"/>
      <c r="AS418" s="490"/>
      <c r="AT418" s="490"/>
      <c r="AU418" s="490"/>
      <c r="AV418" s="490"/>
      <c r="AW418" s="490"/>
      <c r="AX418" s="490"/>
      <c r="AY418" s="490"/>
      <c r="AZ418" s="490"/>
      <c r="BA418" s="490"/>
      <c r="BB418" s="490"/>
      <c r="BC418" s="490"/>
      <c r="BD418" s="490"/>
      <c r="BE418" s="490"/>
      <c r="BF418" s="490"/>
      <c r="BG418" s="490"/>
      <c r="BH418" s="490"/>
      <c r="BI418" s="490"/>
      <c r="BJ418" s="490"/>
      <c r="BK418" s="490"/>
      <c r="BL418" s="490"/>
      <c r="BM418" s="490"/>
      <c r="BN418" s="490"/>
      <c r="BO418" s="490"/>
      <c r="BP418" s="490"/>
      <c r="BQ418" s="490"/>
      <c r="BR418" s="490"/>
      <c r="BS418" s="490"/>
      <c r="BT418" s="490"/>
      <c r="BU418" s="490"/>
      <c r="BV418" s="490"/>
      <c r="BW418" s="490"/>
      <c r="BX418" s="490"/>
      <c r="BY418" s="490"/>
      <c r="BZ418" s="490"/>
      <c r="CA418" s="490"/>
      <c r="CB418" s="490"/>
      <c r="CC418" s="490"/>
      <c r="CD418" s="490"/>
      <c r="CE418" s="490"/>
      <c r="CF418" s="490"/>
      <c r="CG418" s="490"/>
      <c r="CH418" s="490"/>
      <c r="CI418" s="490"/>
      <c r="CJ418" s="490"/>
      <c r="CK418" s="490"/>
      <c r="CL418" s="490"/>
      <c r="CM418" s="490"/>
      <c r="CN418" s="490"/>
      <c r="CO418" s="490"/>
      <c r="CP418" s="490"/>
      <c r="CQ418" s="490"/>
      <c r="CR418" s="490"/>
      <c r="CS418" s="490"/>
      <c r="CT418" s="490"/>
      <c r="CU418" s="490"/>
      <c r="CV418" s="490"/>
      <c r="CW418" s="490"/>
      <c r="CX418" s="490"/>
      <c r="CY418" s="490"/>
      <c r="CZ418" s="490"/>
      <c r="DA418" s="490"/>
      <c r="DB418" s="490"/>
      <c r="DC418" s="490"/>
      <c r="DD418" s="490"/>
      <c r="DE418" s="490"/>
      <c r="DF418" s="490"/>
      <c r="DG418" s="490"/>
      <c r="DH418" s="490"/>
      <c r="DI418" s="490"/>
      <c r="DJ418" s="490"/>
      <c r="DK418" s="490"/>
      <c r="DL418" s="490"/>
      <c r="DM418" s="490"/>
      <c r="DN418" s="490"/>
      <c r="DO418" s="490"/>
      <c r="DP418" s="490"/>
      <c r="DQ418" s="490"/>
      <c r="DR418" s="490"/>
      <c r="DS418" s="490"/>
      <c r="DT418" s="490"/>
      <c r="DU418" s="490"/>
      <c r="DV418" s="490"/>
      <c r="DW418" s="490"/>
      <c r="DX418" s="490"/>
      <c r="DY418" s="490"/>
      <c r="DZ418" s="490"/>
      <c r="EA418" s="490"/>
      <c r="EB418" s="490"/>
      <c r="EC418" s="490"/>
      <c r="ED418" s="490"/>
      <c r="EE418" s="490"/>
      <c r="EF418" s="490"/>
      <c r="EG418" s="490"/>
      <c r="EH418" s="490"/>
      <c r="EI418" s="490"/>
      <c r="EJ418" s="490"/>
      <c r="EK418" s="490"/>
      <c r="EL418" s="490"/>
      <c r="EM418" s="490"/>
      <c r="EN418" s="490"/>
      <c r="EO418" s="490"/>
      <c r="EP418" s="490"/>
      <c r="EQ418" s="490"/>
      <c r="ER418" s="490"/>
      <c r="ES418" s="490"/>
      <c r="ET418" s="490"/>
      <c r="EU418" s="490"/>
      <c r="EV418" s="490"/>
      <c r="EW418" s="490"/>
      <c r="EX418" s="490"/>
      <c r="EY418" s="490"/>
      <c r="EZ418" s="490"/>
      <c r="FA418" s="490"/>
      <c r="FB418" s="490"/>
      <c r="FC418" s="490"/>
      <c r="FD418" s="490"/>
      <c r="FE418" s="490"/>
      <c r="FF418" s="490"/>
      <c r="FG418" s="490"/>
      <c r="FH418" s="490"/>
      <c r="FI418" s="490"/>
      <c r="FJ418" s="490"/>
      <c r="FK418" s="490"/>
      <c r="FL418" s="490"/>
      <c r="FM418" s="490"/>
      <c r="FN418" s="490"/>
    </row>
    <row r="419" s="492" customFormat="1" spans="1:170">
      <c r="A419" s="540">
        <v>46202</v>
      </c>
      <c r="B419" s="515" t="s">
        <v>861</v>
      </c>
      <c r="C419" s="541">
        <v>10</v>
      </c>
      <c r="D419" s="515" t="s">
        <v>66</v>
      </c>
      <c r="E419" s="515" t="s">
        <v>712</v>
      </c>
      <c r="F419" s="515" t="s">
        <v>73</v>
      </c>
      <c r="G419" s="541">
        <v>0.95</v>
      </c>
      <c r="H419" s="541">
        <v>9</v>
      </c>
      <c r="I419" s="541" t="s">
        <v>17</v>
      </c>
      <c r="J419" s="541">
        <v>1.6</v>
      </c>
      <c r="K419" s="515" t="s">
        <v>713</v>
      </c>
      <c r="L419" s="515"/>
      <c r="M419" s="490"/>
      <c r="N419" s="490"/>
      <c r="O419" s="490"/>
      <c r="P419" s="490"/>
      <c r="Q419" s="490"/>
      <c r="R419" s="490"/>
      <c r="S419" s="490"/>
      <c r="T419" s="490"/>
      <c r="U419" s="490"/>
      <c r="V419" s="490"/>
      <c r="W419" s="490"/>
      <c r="X419" s="490"/>
      <c r="Y419" s="490"/>
      <c r="Z419" s="490"/>
      <c r="AA419" s="490"/>
      <c r="AB419" s="490"/>
      <c r="AC419" s="490"/>
      <c r="AD419" s="490"/>
      <c r="AE419" s="490"/>
      <c r="AF419" s="490"/>
      <c r="AG419" s="490"/>
      <c r="AH419" s="490"/>
      <c r="AI419" s="490"/>
      <c r="AJ419" s="490"/>
      <c r="AK419" s="490"/>
      <c r="AL419" s="490"/>
      <c r="AM419" s="490"/>
      <c r="AN419" s="490"/>
      <c r="AO419" s="490"/>
      <c r="AP419" s="490"/>
      <c r="AQ419" s="490"/>
      <c r="AR419" s="490"/>
      <c r="AS419" s="490"/>
      <c r="AT419" s="490"/>
      <c r="AU419" s="490"/>
      <c r="AV419" s="490"/>
      <c r="AW419" s="490"/>
      <c r="AX419" s="490"/>
      <c r="AY419" s="490"/>
      <c r="AZ419" s="490"/>
      <c r="BA419" s="490"/>
      <c r="BB419" s="490"/>
      <c r="BC419" s="490"/>
      <c r="BD419" s="490"/>
      <c r="BE419" s="490"/>
      <c r="BF419" s="490"/>
      <c r="BG419" s="490"/>
      <c r="BH419" s="490"/>
      <c r="BI419" s="490"/>
      <c r="BJ419" s="490"/>
      <c r="BK419" s="490"/>
      <c r="BL419" s="490"/>
      <c r="BM419" s="490"/>
      <c r="BN419" s="490"/>
      <c r="BO419" s="490"/>
      <c r="BP419" s="490"/>
      <c r="BQ419" s="490"/>
      <c r="BR419" s="490"/>
      <c r="BS419" s="490"/>
      <c r="BT419" s="490"/>
      <c r="BU419" s="490"/>
      <c r="BV419" s="490"/>
      <c r="BW419" s="490"/>
      <c r="BX419" s="490"/>
      <c r="BY419" s="490"/>
      <c r="BZ419" s="490"/>
      <c r="CA419" s="490"/>
      <c r="CB419" s="490"/>
      <c r="CC419" s="490"/>
      <c r="CD419" s="490"/>
      <c r="CE419" s="490"/>
      <c r="CF419" s="490"/>
      <c r="CG419" s="490"/>
      <c r="CH419" s="490"/>
      <c r="CI419" s="490"/>
      <c r="CJ419" s="490"/>
      <c r="CK419" s="490"/>
      <c r="CL419" s="490"/>
      <c r="CM419" s="490"/>
      <c r="CN419" s="490"/>
      <c r="CO419" s="490"/>
      <c r="CP419" s="490"/>
      <c r="CQ419" s="490"/>
      <c r="CR419" s="490"/>
      <c r="CS419" s="490"/>
      <c r="CT419" s="490"/>
      <c r="CU419" s="490"/>
      <c r="CV419" s="490"/>
      <c r="CW419" s="490"/>
      <c r="CX419" s="490"/>
      <c r="CY419" s="490"/>
      <c r="CZ419" s="490"/>
      <c r="DA419" s="490"/>
      <c r="DB419" s="490"/>
      <c r="DC419" s="490"/>
      <c r="DD419" s="490"/>
      <c r="DE419" s="490"/>
      <c r="DF419" s="490"/>
      <c r="DG419" s="490"/>
      <c r="DH419" s="490"/>
      <c r="DI419" s="490"/>
      <c r="DJ419" s="490"/>
      <c r="DK419" s="490"/>
      <c r="DL419" s="490"/>
      <c r="DM419" s="490"/>
      <c r="DN419" s="490"/>
      <c r="DO419" s="490"/>
      <c r="DP419" s="490"/>
      <c r="DQ419" s="490"/>
      <c r="DR419" s="490"/>
      <c r="DS419" s="490"/>
      <c r="DT419" s="490"/>
      <c r="DU419" s="490"/>
      <c r="DV419" s="490"/>
      <c r="DW419" s="490"/>
      <c r="DX419" s="490"/>
      <c r="DY419" s="490"/>
      <c r="DZ419" s="490"/>
      <c r="EA419" s="490"/>
      <c r="EB419" s="490"/>
      <c r="EC419" s="490"/>
      <c r="ED419" s="490"/>
      <c r="EE419" s="490"/>
      <c r="EF419" s="490"/>
      <c r="EG419" s="490"/>
      <c r="EH419" s="490"/>
      <c r="EI419" s="490"/>
      <c r="EJ419" s="490"/>
      <c r="EK419" s="490"/>
      <c r="EL419" s="490"/>
      <c r="EM419" s="490"/>
      <c r="EN419" s="490"/>
      <c r="EO419" s="490"/>
      <c r="EP419" s="490"/>
      <c r="EQ419" s="490"/>
      <c r="ER419" s="490"/>
      <c r="ES419" s="490"/>
      <c r="ET419" s="490"/>
      <c r="EU419" s="490"/>
      <c r="EV419" s="490"/>
      <c r="EW419" s="490"/>
      <c r="EX419" s="490"/>
      <c r="EY419" s="490"/>
      <c r="EZ419" s="490"/>
      <c r="FA419" s="490"/>
      <c r="FB419" s="490"/>
      <c r="FC419" s="490"/>
      <c r="FD419" s="490"/>
      <c r="FE419" s="490"/>
      <c r="FF419" s="490"/>
      <c r="FG419" s="490"/>
      <c r="FH419" s="490"/>
      <c r="FI419" s="490"/>
      <c r="FJ419" s="490"/>
      <c r="FK419" s="490"/>
      <c r="FL419" s="490"/>
      <c r="FM419" s="490"/>
      <c r="FN419" s="490"/>
    </row>
    <row r="420" s="492" customFormat="1" spans="1:170">
      <c r="A420" s="540"/>
      <c r="B420" s="515"/>
      <c r="C420" s="541"/>
      <c r="D420" s="515"/>
      <c r="E420" s="515"/>
      <c r="F420" s="515" t="s">
        <v>75</v>
      </c>
      <c r="G420" s="541">
        <v>1.19</v>
      </c>
      <c r="H420" s="541">
        <v>0.3</v>
      </c>
      <c r="I420" s="541" t="s">
        <v>22</v>
      </c>
      <c r="J420" s="541">
        <v>1.77</v>
      </c>
      <c r="K420" s="515"/>
      <c r="L420" s="515"/>
      <c r="M420" s="490"/>
      <c r="N420" s="490"/>
      <c r="O420" s="490"/>
      <c r="P420" s="490"/>
      <c r="Q420" s="490"/>
      <c r="R420" s="490"/>
      <c r="S420" s="490"/>
      <c r="T420" s="490"/>
      <c r="U420" s="490"/>
      <c r="V420" s="490"/>
      <c r="W420" s="490"/>
      <c r="X420" s="490"/>
      <c r="Y420" s="490"/>
      <c r="Z420" s="490"/>
      <c r="AA420" s="490"/>
      <c r="AB420" s="490"/>
      <c r="AC420" s="490"/>
      <c r="AD420" s="490"/>
      <c r="AE420" s="490"/>
      <c r="AF420" s="490"/>
      <c r="AG420" s="490"/>
      <c r="AH420" s="490"/>
      <c r="AI420" s="490"/>
      <c r="AJ420" s="490"/>
      <c r="AK420" s="490"/>
      <c r="AL420" s="490"/>
      <c r="AM420" s="490"/>
      <c r="AN420" s="490"/>
      <c r="AO420" s="490"/>
      <c r="AP420" s="490"/>
      <c r="AQ420" s="490"/>
      <c r="AR420" s="490"/>
      <c r="AS420" s="490"/>
      <c r="AT420" s="490"/>
      <c r="AU420" s="490"/>
      <c r="AV420" s="490"/>
      <c r="AW420" s="490"/>
      <c r="AX420" s="490"/>
      <c r="AY420" s="490"/>
      <c r="AZ420" s="490"/>
      <c r="BA420" s="490"/>
      <c r="BB420" s="490"/>
      <c r="BC420" s="490"/>
      <c r="BD420" s="490"/>
      <c r="BE420" s="490"/>
      <c r="BF420" s="490"/>
      <c r="BG420" s="490"/>
      <c r="BH420" s="490"/>
      <c r="BI420" s="490"/>
      <c r="BJ420" s="490"/>
      <c r="BK420" s="490"/>
      <c r="BL420" s="490"/>
      <c r="BM420" s="490"/>
      <c r="BN420" s="490"/>
      <c r="BO420" s="490"/>
      <c r="BP420" s="490"/>
      <c r="BQ420" s="490"/>
      <c r="BR420" s="490"/>
      <c r="BS420" s="490"/>
      <c r="BT420" s="490"/>
      <c r="BU420" s="490"/>
      <c r="BV420" s="490"/>
      <c r="BW420" s="490"/>
      <c r="BX420" s="490"/>
      <c r="BY420" s="490"/>
      <c r="BZ420" s="490"/>
      <c r="CA420" s="490"/>
      <c r="CB420" s="490"/>
      <c r="CC420" s="490"/>
      <c r="CD420" s="490"/>
      <c r="CE420" s="490"/>
      <c r="CF420" s="490"/>
      <c r="CG420" s="490"/>
      <c r="CH420" s="490"/>
      <c r="CI420" s="490"/>
      <c r="CJ420" s="490"/>
      <c r="CK420" s="490"/>
      <c r="CL420" s="490"/>
      <c r="CM420" s="490"/>
      <c r="CN420" s="490"/>
      <c r="CO420" s="490"/>
      <c r="CP420" s="490"/>
      <c r="CQ420" s="490"/>
      <c r="CR420" s="490"/>
      <c r="CS420" s="490"/>
      <c r="CT420" s="490"/>
      <c r="CU420" s="490"/>
      <c r="CV420" s="490"/>
      <c r="CW420" s="490"/>
      <c r="CX420" s="490"/>
      <c r="CY420" s="490"/>
      <c r="CZ420" s="490"/>
      <c r="DA420" s="490"/>
      <c r="DB420" s="490"/>
      <c r="DC420" s="490"/>
      <c r="DD420" s="490"/>
      <c r="DE420" s="490"/>
      <c r="DF420" s="490"/>
      <c r="DG420" s="490"/>
      <c r="DH420" s="490"/>
      <c r="DI420" s="490"/>
      <c r="DJ420" s="490"/>
      <c r="DK420" s="490"/>
      <c r="DL420" s="490"/>
      <c r="DM420" s="490"/>
      <c r="DN420" s="490"/>
      <c r="DO420" s="490"/>
      <c r="DP420" s="490"/>
      <c r="DQ420" s="490"/>
      <c r="DR420" s="490"/>
      <c r="DS420" s="490"/>
      <c r="DT420" s="490"/>
      <c r="DU420" s="490"/>
      <c r="DV420" s="490"/>
      <c r="DW420" s="490"/>
      <c r="DX420" s="490"/>
      <c r="DY420" s="490"/>
      <c r="DZ420" s="490"/>
      <c r="EA420" s="490"/>
      <c r="EB420" s="490"/>
      <c r="EC420" s="490"/>
      <c r="ED420" s="490"/>
      <c r="EE420" s="490"/>
      <c r="EF420" s="490"/>
      <c r="EG420" s="490"/>
      <c r="EH420" s="490"/>
      <c r="EI420" s="490"/>
      <c r="EJ420" s="490"/>
      <c r="EK420" s="490"/>
      <c r="EL420" s="490"/>
      <c r="EM420" s="490"/>
      <c r="EN420" s="490"/>
      <c r="EO420" s="490"/>
      <c r="EP420" s="490"/>
      <c r="EQ420" s="490"/>
      <c r="ER420" s="490"/>
      <c r="ES420" s="490"/>
      <c r="ET420" s="490"/>
      <c r="EU420" s="490"/>
      <c r="EV420" s="490"/>
      <c r="EW420" s="490"/>
      <c r="EX420" s="490"/>
      <c r="EY420" s="490"/>
      <c r="EZ420" s="490"/>
      <c r="FA420" s="490"/>
      <c r="FB420" s="490"/>
      <c r="FC420" s="490"/>
      <c r="FD420" s="490"/>
      <c r="FE420" s="490"/>
      <c r="FF420" s="490"/>
      <c r="FG420" s="490"/>
      <c r="FH420" s="490"/>
      <c r="FI420" s="490"/>
      <c r="FJ420" s="490"/>
      <c r="FK420" s="490"/>
      <c r="FL420" s="490"/>
      <c r="FM420" s="490"/>
      <c r="FN420" s="490"/>
    </row>
    <row r="421" s="492" customFormat="1" spans="1:170">
      <c r="A421" s="540"/>
      <c r="B421" s="515"/>
      <c r="C421" s="541"/>
      <c r="D421" s="515"/>
      <c r="E421" s="515"/>
      <c r="F421" s="515" t="s">
        <v>91</v>
      </c>
      <c r="G421" s="541">
        <v>1.69</v>
      </c>
      <c r="H421" s="541">
        <v>0.7</v>
      </c>
      <c r="I421" s="541" t="s">
        <v>24</v>
      </c>
      <c r="J421" s="541" t="s">
        <v>24</v>
      </c>
      <c r="K421" s="515"/>
      <c r="L421" s="515"/>
      <c r="M421" s="490"/>
      <c r="N421" s="490"/>
      <c r="O421" s="490"/>
      <c r="P421" s="490"/>
      <c r="Q421" s="490"/>
      <c r="R421" s="490"/>
      <c r="S421" s="490"/>
      <c r="T421" s="490"/>
      <c r="U421" s="490"/>
      <c r="V421" s="490"/>
      <c r="W421" s="490"/>
      <c r="X421" s="490"/>
      <c r="Y421" s="490"/>
      <c r="Z421" s="490"/>
      <c r="AA421" s="490"/>
      <c r="AB421" s="490"/>
      <c r="AC421" s="490"/>
      <c r="AD421" s="490"/>
      <c r="AE421" s="490"/>
      <c r="AF421" s="490"/>
      <c r="AG421" s="490"/>
      <c r="AH421" s="490"/>
      <c r="AI421" s="490"/>
      <c r="AJ421" s="490"/>
      <c r="AK421" s="490"/>
      <c r="AL421" s="490"/>
      <c r="AM421" s="490"/>
      <c r="AN421" s="490"/>
      <c r="AO421" s="490"/>
      <c r="AP421" s="490"/>
      <c r="AQ421" s="490"/>
      <c r="AR421" s="490"/>
      <c r="AS421" s="490"/>
      <c r="AT421" s="490"/>
      <c r="AU421" s="490"/>
      <c r="AV421" s="490"/>
      <c r="AW421" s="490"/>
      <c r="AX421" s="490"/>
      <c r="AY421" s="490"/>
      <c r="AZ421" s="490"/>
      <c r="BA421" s="490"/>
      <c r="BB421" s="490"/>
      <c r="BC421" s="490"/>
      <c r="BD421" s="490"/>
      <c r="BE421" s="490"/>
      <c r="BF421" s="490"/>
      <c r="BG421" s="490"/>
      <c r="BH421" s="490"/>
      <c r="BI421" s="490"/>
      <c r="BJ421" s="490"/>
      <c r="BK421" s="490"/>
      <c r="BL421" s="490"/>
      <c r="BM421" s="490"/>
      <c r="BN421" s="490"/>
      <c r="BO421" s="490"/>
      <c r="BP421" s="490"/>
      <c r="BQ421" s="490"/>
      <c r="BR421" s="490"/>
      <c r="BS421" s="490"/>
      <c r="BT421" s="490"/>
      <c r="BU421" s="490"/>
      <c r="BV421" s="490"/>
      <c r="BW421" s="490"/>
      <c r="BX421" s="490"/>
      <c r="BY421" s="490"/>
      <c r="BZ421" s="490"/>
      <c r="CA421" s="490"/>
      <c r="CB421" s="490"/>
      <c r="CC421" s="490"/>
      <c r="CD421" s="490"/>
      <c r="CE421" s="490"/>
      <c r="CF421" s="490"/>
      <c r="CG421" s="490"/>
      <c r="CH421" s="490"/>
      <c r="CI421" s="490"/>
      <c r="CJ421" s="490"/>
      <c r="CK421" s="490"/>
      <c r="CL421" s="490"/>
      <c r="CM421" s="490"/>
      <c r="CN421" s="490"/>
      <c r="CO421" s="490"/>
      <c r="CP421" s="490"/>
      <c r="CQ421" s="490"/>
      <c r="CR421" s="490"/>
      <c r="CS421" s="490"/>
      <c r="CT421" s="490"/>
      <c r="CU421" s="490"/>
      <c r="CV421" s="490"/>
      <c r="CW421" s="490"/>
      <c r="CX421" s="490"/>
      <c r="CY421" s="490"/>
      <c r="CZ421" s="490"/>
      <c r="DA421" s="490"/>
      <c r="DB421" s="490"/>
      <c r="DC421" s="490"/>
      <c r="DD421" s="490"/>
      <c r="DE421" s="490"/>
      <c r="DF421" s="490"/>
      <c r="DG421" s="490"/>
      <c r="DH421" s="490"/>
      <c r="DI421" s="490"/>
      <c r="DJ421" s="490"/>
      <c r="DK421" s="490"/>
      <c r="DL421" s="490"/>
      <c r="DM421" s="490"/>
      <c r="DN421" s="490"/>
      <c r="DO421" s="490"/>
      <c r="DP421" s="490"/>
      <c r="DQ421" s="490"/>
      <c r="DR421" s="490"/>
      <c r="DS421" s="490"/>
      <c r="DT421" s="490"/>
      <c r="DU421" s="490"/>
      <c r="DV421" s="490"/>
      <c r="DW421" s="490"/>
      <c r="DX421" s="490"/>
      <c r="DY421" s="490"/>
      <c r="DZ421" s="490"/>
      <c r="EA421" s="490"/>
      <c r="EB421" s="490"/>
      <c r="EC421" s="490"/>
      <c r="ED421" s="490"/>
      <c r="EE421" s="490"/>
      <c r="EF421" s="490"/>
      <c r="EG421" s="490"/>
      <c r="EH421" s="490"/>
      <c r="EI421" s="490"/>
      <c r="EJ421" s="490"/>
      <c r="EK421" s="490"/>
      <c r="EL421" s="490"/>
      <c r="EM421" s="490"/>
      <c r="EN421" s="490"/>
      <c r="EO421" s="490"/>
      <c r="EP421" s="490"/>
      <c r="EQ421" s="490"/>
      <c r="ER421" s="490"/>
      <c r="ES421" s="490"/>
      <c r="ET421" s="490"/>
      <c r="EU421" s="490"/>
      <c r="EV421" s="490"/>
      <c r="EW421" s="490"/>
      <c r="EX421" s="490"/>
      <c r="EY421" s="490"/>
      <c r="EZ421" s="490"/>
      <c r="FA421" s="490"/>
      <c r="FB421" s="490"/>
      <c r="FC421" s="490"/>
      <c r="FD421" s="490"/>
      <c r="FE421" s="490"/>
      <c r="FF421" s="490"/>
      <c r="FG421" s="490"/>
      <c r="FH421" s="490"/>
      <c r="FI421" s="490"/>
      <c r="FJ421" s="490"/>
      <c r="FK421" s="490"/>
      <c r="FL421" s="490"/>
      <c r="FM421" s="490"/>
      <c r="FN421" s="490"/>
    </row>
    <row r="422" s="492" customFormat="1" spans="1:170">
      <c r="A422" s="540">
        <v>46202</v>
      </c>
      <c r="B422" s="515" t="s">
        <v>862</v>
      </c>
      <c r="C422" s="541">
        <v>6</v>
      </c>
      <c r="D422" s="515" t="s">
        <v>33</v>
      </c>
      <c r="E422" s="515" t="s">
        <v>72</v>
      </c>
      <c r="F422" s="515" t="s">
        <v>73</v>
      </c>
      <c r="G422" s="541">
        <v>0.87</v>
      </c>
      <c r="H422" s="541">
        <v>5.4</v>
      </c>
      <c r="I422" s="541" t="s">
        <v>17</v>
      </c>
      <c r="J422" s="541">
        <v>1.6</v>
      </c>
      <c r="K422" s="515" t="s">
        <v>713</v>
      </c>
      <c r="L422" s="515"/>
      <c r="M422" s="490"/>
      <c r="N422" s="490"/>
      <c r="O422" s="490"/>
      <c r="P422" s="490"/>
      <c r="Q422" s="490"/>
      <c r="R422" s="490"/>
      <c r="S422" s="490"/>
      <c r="T422" s="490"/>
      <c r="U422" s="490"/>
      <c r="V422" s="490"/>
      <c r="W422" s="490"/>
      <c r="X422" s="490"/>
      <c r="Y422" s="490"/>
      <c r="Z422" s="490"/>
      <c r="AA422" s="490"/>
      <c r="AB422" s="490"/>
      <c r="AC422" s="490"/>
      <c r="AD422" s="490"/>
      <c r="AE422" s="490"/>
      <c r="AF422" s="490"/>
      <c r="AG422" s="490"/>
      <c r="AH422" s="490"/>
      <c r="AI422" s="490"/>
      <c r="AJ422" s="490"/>
      <c r="AK422" s="490"/>
      <c r="AL422" s="490"/>
      <c r="AM422" s="490"/>
      <c r="AN422" s="490"/>
      <c r="AO422" s="490"/>
      <c r="AP422" s="490"/>
      <c r="AQ422" s="490"/>
      <c r="AR422" s="490"/>
      <c r="AS422" s="490"/>
      <c r="AT422" s="490"/>
      <c r="AU422" s="490"/>
      <c r="AV422" s="490"/>
      <c r="AW422" s="490"/>
      <c r="AX422" s="490"/>
      <c r="AY422" s="490"/>
      <c r="AZ422" s="490"/>
      <c r="BA422" s="490"/>
      <c r="BB422" s="490"/>
      <c r="BC422" s="490"/>
      <c r="BD422" s="490"/>
      <c r="BE422" s="490"/>
      <c r="BF422" s="490"/>
      <c r="BG422" s="490"/>
      <c r="BH422" s="490"/>
      <c r="BI422" s="490"/>
      <c r="BJ422" s="490"/>
      <c r="BK422" s="490"/>
      <c r="BL422" s="490"/>
      <c r="BM422" s="490"/>
      <c r="BN422" s="490"/>
      <c r="BO422" s="490"/>
      <c r="BP422" s="490"/>
      <c r="BQ422" s="490"/>
      <c r="BR422" s="490"/>
      <c r="BS422" s="490"/>
      <c r="BT422" s="490"/>
      <c r="BU422" s="490"/>
      <c r="BV422" s="490"/>
      <c r="BW422" s="490"/>
      <c r="BX422" s="490"/>
      <c r="BY422" s="490"/>
      <c r="BZ422" s="490"/>
      <c r="CA422" s="490"/>
      <c r="CB422" s="490"/>
      <c r="CC422" s="490"/>
      <c r="CD422" s="490"/>
      <c r="CE422" s="490"/>
      <c r="CF422" s="490"/>
      <c r="CG422" s="490"/>
      <c r="CH422" s="490"/>
      <c r="CI422" s="490"/>
      <c r="CJ422" s="490"/>
      <c r="CK422" s="490"/>
      <c r="CL422" s="490"/>
      <c r="CM422" s="490"/>
      <c r="CN422" s="490"/>
      <c r="CO422" s="490"/>
      <c r="CP422" s="490"/>
      <c r="CQ422" s="490"/>
      <c r="CR422" s="490"/>
      <c r="CS422" s="490"/>
      <c r="CT422" s="490"/>
      <c r="CU422" s="490"/>
      <c r="CV422" s="490"/>
      <c r="CW422" s="490"/>
      <c r="CX422" s="490"/>
      <c r="CY422" s="490"/>
      <c r="CZ422" s="490"/>
      <c r="DA422" s="490"/>
      <c r="DB422" s="490"/>
      <c r="DC422" s="490"/>
      <c r="DD422" s="490"/>
      <c r="DE422" s="490"/>
      <c r="DF422" s="490"/>
      <c r="DG422" s="490"/>
      <c r="DH422" s="490"/>
      <c r="DI422" s="490"/>
      <c r="DJ422" s="490"/>
      <c r="DK422" s="490"/>
      <c r="DL422" s="490"/>
      <c r="DM422" s="490"/>
      <c r="DN422" s="490"/>
      <c r="DO422" s="490"/>
      <c r="DP422" s="490"/>
      <c r="DQ422" s="490"/>
      <c r="DR422" s="490"/>
      <c r="DS422" s="490"/>
      <c r="DT422" s="490"/>
      <c r="DU422" s="490"/>
      <c r="DV422" s="490"/>
      <c r="DW422" s="490"/>
      <c r="DX422" s="490"/>
      <c r="DY422" s="490"/>
      <c r="DZ422" s="490"/>
      <c r="EA422" s="490"/>
      <c r="EB422" s="490"/>
      <c r="EC422" s="490"/>
      <c r="ED422" s="490"/>
      <c r="EE422" s="490"/>
      <c r="EF422" s="490"/>
      <c r="EG422" s="490"/>
      <c r="EH422" s="490"/>
      <c r="EI422" s="490"/>
      <c r="EJ422" s="490"/>
      <c r="EK422" s="490"/>
      <c r="EL422" s="490"/>
      <c r="EM422" s="490"/>
      <c r="EN422" s="490"/>
      <c r="EO422" s="490"/>
      <c r="EP422" s="490"/>
      <c r="EQ422" s="490"/>
      <c r="ER422" s="490"/>
      <c r="ES422" s="490"/>
      <c r="ET422" s="490"/>
      <c r="EU422" s="490"/>
      <c r="EV422" s="490"/>
      <c r="EW422" s="490"/>
      <c r="EX422" s="490"/>
      <c r="EY422" s="490"/>
      <c r="EZ422" s="490"/>
      <c r="FA422" s="490"/>
      <c r="FB422" s="490"/>
      <c r="FC422" s="490"/>
      <c r="FD422" s="490"/>
      <c r="FE422" s="490"/>
      <c r="FF422" s="490"/>
      <c r="FG422" s="490"/>
      <c r="FH422" s="490"/>
      <c r="FI422" s="490"/>
      <c r="FJ422" s="490"/>
      <c r="FK422" s="490"/>
      <c r="FL422" s="490"/>
      <c r="FM422" s="490"/>
      <c r="FN422" s="490"/>
    </row>
    <row r="423" s="492" customFormat="1" spans="1:170">
      <c r="A423" s="540"/>
      <c r="B423" s="515"/>
      <c r="C423" s="541"/>
      <c r="D423" s="515"/>
      <c r="E423" s="515"/>
      <c r="F423" s="515" t="s">
        <v>75</v>
      </c>
      <c r="G423" s="541">
        <v>1.11</v>
      </c>
      <c r="H423" s="541">
        <v>0.18</v>
      </c>
      <c r="I423" s="541" t="s">
        <v>22</v>
      </c>
      <c r="J423" s="541">
        <v>1.77</v>
      </c>
      <c r="K423" s="515"/>
      <c r="L423" s="515"/>
      <c r="M423" s="490"/>
      <c r="N423" s="490"/>
      <c r="O423" s="490"/>
      <c r="P423" s="490"/>
      <c r="Q423" s="490"/>
      <c r="R423" s="490"/>
      <c r="S423" s="490"/>
      <c r="T423" s="490"/>
      <c r="U423" s="490"/>
      <c r="V423" s="490"/>
      <c r="W423" s="490"/>
      <c r="X423" s="490"/>
      <c r="Y423" s="490"/>
      <c r="Z423" s="490"/>
      <c r="AA423" s="490"/>
      <c r="AB423" s="490"/>
      <c r="AC423" s="490"/>
      <c r="AD423" s="490"/>
      <c r="AE423" s="490"/>
      <c r="AF423" s="490"/>
      <c r="AG423" s="490"/>
      <c r="AH423" s="490"/>
      <c r="AI423" s="490"/>
      <c r="AJ423" s="490"/>
      <c r="AK423" s="490"/>
      <c r="AL423" s="490"/>
      <c r="AM423" s="490"/>
      <c r="AN423" s="490"/>
      <c r="AO423" s="490"/>
      <c r="AP423" s="490"/>
      <c r="AQ423" s="490"/>
      <c r="AR423" s="490"/>
      <c r="AS423" s="490"/>
      <c r="AT423" s="490"/>
      <c r="AU423" s="490"/>
      <c r="AV423" s="490"/>
      <c r="AW423" s="490"/>
      <c r="AX423" s="490"/>
      <c r="AY423" s="490"/>
      <c r="AZ423" s="490"/>
      <c r="BA423" s="490"/>
      <c r="BB423" s="490"/>
      <c r="BC423" s="490"/>
      <c r="BD423" s="490"/>
      <c r="BE423" s="490"/>
      <c r="BF423" s="490"/>
      <c r="BG423" s="490"/>
      <c r="BH423" s="490"/>
      <c r="BI423" s="490"/>
      <c r="BJ423" s="490"/>
      <c r="BK423" s="490"/>
      <c r="BL423" s="490"/>
      <c r="BM423" s="490"/>
      <c r="BN423" s="490"/>
      <c r="BO423" s="490"/>
      <c r="BP423" s="490"/>
      <c r="BQ423" s="490"/>
      <c r="BR423" s="490"/>
      <c r="BS423" s="490"/>
      <c r="BT423" s="490"/>
      <c r="BU423" s="490"/>
      <c r="BV423" s="490"/>
      <c r="BW423" s="490"/>
      <c r="BX423" s="490"/>
      <c r="BY423" s="490"/>
      <c r="BZ423" s="490"/>
      <c r="CA423" s="490"/>
      <c r="CB423" s="490"/>
      <c r="CC423" s="490"/>
      <c r="CD423" s="490"/>
      <c r="CE423" s="490"/>
      <c r="CF423" s="490"/>
      <c r="CG423" s="490"/>
      <c r="CH423" s="490"/>
      <c r="CI423" s="490"/>
      <c r="CJ423" s="490"/>
      <c r="CK423" s="490"/>
      <c r="CL423" s="490"/>
      <c r="CM423" s="490"/>
      <c r="CN423" s="490"/>
      <c r="CO423" s="490"/>
      <c r="CP423" s="490"/>
      <c r="CQ423" s="490"/>
      <c r="CR423" s="490"/>
      <c r="CS423" s="490"/>
      <c r="CT423" s="490"/>
      <c r="CU423" s="490"/>
      <c r="CV423" s="490"/>
      <c r="CW423" s="490"/>
      <c r="CX423" s="490"/>
      <c r="CY423" s="490"/>
      <c r="CZ423" s="490"/>
      <c r="DA423" s="490"/>
      <c r="DB423" s="490"/>
      <c r="DC423" s="490"/>
      <c r="DD423" s="490"/>
      <c r="DE423" s="490"/>
      <c r="DF423" s="490"/>
      <c r="DG423" s="490"/>
      <c r="DH423" s="490"/>
      <c r="DI423" s="490"/>
      <c r="DJ423" s="490"/>
      <c r="DK423" s="490"/>
      <c r="DL423" s="490"/>
      <c r="DM423" s="490"/>
      <c r="DN423" s="490"/>
      <c r="DO423" s="490"/>
      <c r="DP423" s="490"/>
      <c r="DQ423" s="490"/>
      <c r="DR423" s="490"/>
      <c r="DS423" s="490"/>
      <c r="DT423" s="490"/>
      <c r="DU423" s="490"/>
      <c r="DV423" s="490"/>
      <c r="DW423" s="490"/>
      <c r="DX423" s="490"/>
      <c r="DY423" s="490"/>
      <c r="DZ423" s="490"/>
      <c r="EA423" s="490"/>
      <c r="EB423" s="490"/>
      <c r="EC423" s="490"/>
      <c r="ED423" s="490"/>
      <c r="EE423" s="490"/>
      <c r="EF423" s="490"/>
      <c r="EG423" s="490"/>
      <c r="EH423" s="490"/>
      <c r="EI423" s="490"/>
      <c r="EJ423" s="490"/>
      <c r="EK423" s="490"/>
      <c r="EL423" s="490"/>
      <c r="EM423" s="490"/>
      <c r="EN423" s="490"/>
      <c r="EO423" s="490"/>
      <c r="EP423" s="490"/>
      <c r="EQ423" s="490"/>
      <c r="ER423" s="490"/>
      <c r="ES423" s="490"/>
      <c r="ET423" s="490"/>
      <c r="EU423" s="490"/>
      <c r="EV423" s="490"/>
      <c r="EW423" s="490"/>
      <c r="EX423" s="490"/>
      <c r="EY423" s="490"/>
      <c r="EZ423" s="490"/>
      <c r="FA423" s="490"/>
      <c r="FB423" s="490"/>
      <c r="FC423" s="490"/>
      <c r="FD423" s="490"/>
      <c r="FE423" s="490"/>
      <c r="FF423" s="490"/>
      <c r="FG423" s="490"/>
      <c r="FH423" s="490"/>
      <c r="FI423" s="490"/>
      <c r="FJ423" s="490"/>
      <c r="FK423" s="490"/>
      <c r="FL423" s="490"/>
      <c r="FM423" s="490"/>
      <c r="FN423" s="490"/>
    </row>
    <row r="424" s="492" customFormat="1" spans="1:170">
      <c r="A424" s="540"/>
      <c r="B424" s="515"/>
      <c r="C424" s="541"/>
      <c r="D424" s="515"/>
      <c r="E424" s="515"/>
      <c r="F424" s="515" t="s">
        <v>91</v>
      </c>
      <c r="G424" s="541">
        <v>1.61</v>
      </c>
      <c r="H424" s="541">
        <v>0.42</v>
      </c>
      <c r="I424" s="541" t="s">
        <v>24</v>
      </c>
      <c r="J424" s="541" t="s">
        <v>24</v>
      </c>
      <c r="K424" s="515"/>
      <c r="L424" s="515"/>
      <c r="M424" s="490"/>
      <c r="N424" s="490"/>
      <c r="O424" s="490"/>
      <c r="P424" s="490"/>
      <c r="Q424" s="490"/>
      <c r="R424" s="490"/>
      <c r="S424" s="490"/>
      <c r="T424" s="490"/>
      <c r="U424" s="490"/>
      <c r="V424" s="490"/>
      <c r="W424" s="490"/>
      <c r="X424" s="490"/>
      <c r="Y424" s="490"/>
      <c r="Z424" s="490"/>
      <c r="AA424" s="490"/>
      <c r="AB424" s="490"/>
      <c r="AC424" s="490"/>
      <c r="AD424" s="490"/>
      <c r="AE424" s="490"/>
      <c r="AF424" s="490"/>
      <c r="AG424" s="490"/>
      <c r="AH424" s="490"/>
      <c r="AI424" s="490"/>
      <c r="AJ424" s="490"/>
      <c r="AK424" s="490"/>
      <c r="AL424" s="490"/>
      <c r="AM424" s="490"/>
      <c r="AN424" s="490"/>
      <c r="AO424" s="490"/>
      <c r="AP424" s="490"/>
      <c r="AQ424" s="490"/>
      <c r="AR424" s="490"/>
      <c r="AS424" s="490"/>
      <c r="AT424" s="490"/>
      <c r="AU424" s="490"/>
      <c r="AV424" s="490"/>
      <c r="AW424" s="490"/>
      <c r="AX424" s="490"/>
      <c r="AY424" s="490"/>
      <c r="AZ424" s="490"/>
      <c r="BA424" s="490"/>
      <c r="BB424" s="490"/>
      <c r="BC424" s="490"/>
      <c r="BD424" s="490"/>
      <c r="BE424" s="490"/>
      <c r="BF424" s="490"/>
      <c r="BG424" s="490"/>
      <c r="BH424" s="490"/>
      <c r="BI424" s="490"/>
      <c r="BJ424" s="490"/>
      <c r="BK424" s="490"/>
      <c r="BL424" s="490"/>
      <c r="BM424" s="490"/>
      <c r="BN424" s="490"/>
      <c r="BO424" s="490"/>
      <c r="BP424" s="490"/>
      <c r="BQ424" s="490"/>
      <c r="BR424" s="490"/>
      <c r="BS424" s="490"/>
      <c r="BT424" s="490"/>
      <c r="BU424" s="490"/>
      <c r="BV424" s="490"/>
      <c r="BW424" s="490"/>
      <c r="BX424" s="490"/>
      <c r="BY424" s="490"/>
      <c r="BZ424" s="490"/>
      <c r="CA424" s="490"/>
      <c r="CB424" s="490"/>
      <c r="CC424" s="490"/>
      <c r="CD424" s="490"/>
      <c r="CE424" s="490"/>
      <c r="CF424" s="490"/>
      <c r="CG424" s="490"/>
      <c r="CH424" s="490"/>
      <c r="CI424" s="490"/>
      <c r="CJ424" s="490"/>
      <c r="CK424" s="490"/>
      <c r="CL424" s="490"/>
      <c r="CM424" s="490"/>
      <c r="CN424" s="490"/>
      <c r="CO424" s="490"/>
      <c r="CP424" s="490"/>
      <c r="CQ424" s="490"/>
      <c r="CR424" s="490"/>
      <c r="CS424" s="490"/>
      <c r="CT424" s="490"/>
      <c r="CU424" s="490"/>
      <c r="CV424" s="490"/>
      <c r="CW424" s="490"/>
      <c r="CX424" s="490"/>
      <c r="CY424" s="490"/>
      <c r="CZ424" s="490"/>
      <c r="DA424" s="490"/>
      <c r="DB424" s="490"/>
      <c r="DC424" s="490"/>
      <c r="DD424" s="490"/>
      <c r="DE424" s="490"/>
      <c r="DF424" s="490"/>
      <c r="DG424" s="490"/>
      <c r="DH424" s="490"/>
      <c r="DI424" s="490"/>
      <c r="DJ424" s="490"/>
      <c r="DK424" s="490"/>
      <c r="DL424" s="490"/>
      <c r="DM424" s="490"/>
      <c r="DN424" s="490"/>
      <c r="DO424" s="490"/>
      <c r="DP424" s="490"/>
      <c r="DQ424" s="490"/>
      <c r="DR424" s="490"/>
      <c r="DS424" s="490"/>
      <c r="DT424" s="490"/>
      <c r="DU424" s="490"/>
      <c r="DV424" s="490"/>
      <c r="DW424" s="490"/>
      <c r="DX424" s="490"/>
      <c r="DY424" s="490"/>
      <c r="DZ424" s="490"/>
      <c r="EA424" s="490"/>
      <c r="EB424" s="490"/>
      <c r="EC424" s="490"/>
      <c r="ED424" s="490"/>
      <c r="EE424" s="490"/>
      <c r="EF424" s="490"/>
      <c r="EG424" s="490"/>
      <c r="EH424" s="490"/>
      <c r="EI424" s="490"/>
      <c r="EJ424" s="490"/>
      <c r="EK424" s="490"/>
      <c r="EL424" s="490"/>
      <c r="EM424" s="490"/>
      <c r="EN424" s="490"/>
      <c r="EO424" s="490"/>
      <c r="EP424" s="490"/>
      <c r="EQ424" s="490"/>
      <c r="ER424" s="490"/>
      <c r="ES424" s="490"/>
      <c r="ET424" s="490"/>
      <c r="EU424" s="490"/>
      <c r="EV424" s="490"/>
      <c r="EW424" s="490"/>
      <c r="EX424" s="490"/>
      <c r="EY424" s="490"/>
      <c r="EZ424" s="490"/>
      <c r="FA424" s="490"/>
      <c r="FB424" s="490"/>
      <c r="FC424" s="490"/>
      <c r="FD424" s="490"/>
      <c r="FE424" s="490"/>
      <c r="FF424" s="490"/>
      <c r="FG424" s="490"/>
      <c r="FH424" s="490"/>
      <c r="FI424" s="490"/>
      <c r="FJ424" s="490"/>
      <c r="FK424" s="490"/>
      <c r="FL424" s="490"/>
      <c r="FM424" s="490"/>
      <c r="FN424" s="490"/>
    </row>
    <row r="425" s="492" customFormat="1" spans="1:170">
      <c r="A425" s="540">
        <v>46203</v>
      </c>
      <c r="B425" s="515" t="s">
        <v>863</v>
      </c>
      <c r="C425" s="541">
        <v>15</v>
      </c>
      <c r="D425" s="515" t="s">
        <v>72</v>
      </c>
      <c r="E425" s="515" t="s">
        <v>208</v>
      </c>
      <c r="F425" s="515" t="s">
        <v>73</v>
      </c>
      <c r="G425" s="541">
        <v>1</v>
      </c>
      <c r="H425" s="541">
        <v>13.5</v>
      </c>
      <c r="I425" s="542" t="s">
        <v>17</v>
      </c>
      <c r="J425" s="541">
        <v>1.62</v>
      </c>
      <c r="K425" s="515" t="s">
        <v>607</v>
      </c>
      <c r="L425" s="509" t="s">
        <v>36</v>
      </c>
      <c r="M425" s="490"/>
      <c r="N425" s="490"/>
      <c r="O425" s="490"/>
      <c r="P425" s="490"/>
      <c r="Q425" s="490"/>
      <c r="R425" s="490"/>
      <c r="S425" s="490"/>
      <c r="T425" s="490"/>
      <c r="U425" s="490"/>
      <c r="V425" s="490"/>
      <c r="W425" s="490"/>
      <c r="X425" s="490"/>
      <c r="Y425" s="490"/>
      <c r="Z425" s="490"/>
      <c r="AA425" s="490"/>
      <c r="AB425" s="490"/>
      <c r="AC425" s="490"/>
      <c r="AD425" s="490"/>
      <c r="AE425" s="490"/>
      <c r="AF425" s="490"/>
      <c r="AG425" s="490"/>
      <c r="AH425" s="490"/>
      <c r="AI425" s="490"/>
      <c r="AJ425" s="490"/>
      <c r="AK425" s="490"/>
      <c r="AL425" s="490"/>
      <c r="AM425" s="490"/>
      <c r="AN425" s="490"/>
      <c r="AO425" s="490"/>
      <c r="AP425" s="490"/>
      <c r="AQ425" s="490"/>
      <c r="AR425" s="490"/>
      <c r="AS425" s="490"/>
      <c r="AT425" s="490"/>
      <c r="AU425" s="490"/>
      <c r="AV425" s="490"/>
      <c r="AW425" s="490"/>
      <c r="AX425" s="490"/>
      <c r="AY425" s="490"/>
      <c r="AZ425" s="490"/>
      <c r="BA425" s="490"/>
      <c r="BB425" s="490"/>
      <c r="BC425" s="490"/>
      <c r="BD425" s="490"/>
      <c r="BE425" s="490"/>
      <c r="BF425" s="490"/>
      <c r="BG425" s="490"/>
      <c r="BH425" s="490"/>
      <c r="BI425" s="490"/>
      <c r="BJ425" s="490"/>
      <c r="BK425" s="490"/>
      <c r="BL425" s="490"/>
      <c r="BM425" s="490"/>
      <c r="BN425" s="490"/>
      <c r="BO425" s="490"/>
      <c r="BP425" s="490"/>
      <c r="BQ425" s="490"/>
      <c r="BR425" s="490"/>
      <c r="BS425" s="490"/>
      <c r="BT425" s="490"/>
      <c r="BU425" s="490"/>
      <c r="BV425" s="490"/>
      <c r="BW425" s="490"/>
      <c r="BX425" s="490"/>
      <c r="BY425" s="490"/>
      <c r="BZ425" s="490"/>
      <c r="CA425" s="490"/>
      <c r="CB425" s="490"/>
      <c r="CC425" s="490"/>
      <c r="CD425" s="490"/>
      <c r="CE425" s="490"/>
      <c r="CF425" s="490"/>
      <c r="CG425" s="490"/>
      <c r="CH425" s="490"/>
      <c r="CI425" s="490"/>
      <c r="CJ425" s="490"/>
      <c r="CK425" s="490"/>
      <c r="CL425" s="490"/>
      <c r="CM425" s="490"/>
      <c r="CN425" s="490"/>
      <c r="CO425" s="490"/>
      <c r="CP425" s="490"/>
      <c r="CQ425" s="490"/>
      <c r="CR425" s="490"/>
      <c r="CS425" s="490"/>
      <c r="CT425" s="490"/>
      <c r="CU425" s="490"/>
      <c r="CV425" s="490"/>
      <c r="CW425" s="490"/>
      <c r="CX425" s="490"/>
      <c r="CY425" s="490"/>
      <c r="CZ425" s="490"/>
      <c r="DA425" s="490"/>
      <c r="DB425" s="490"/>
      <c r="DC425" s="490"/>
      <c r="DD425" s="490"/>
      <c r="DE425" s="490"/>
      <c r="DF425" s="490"/>
      <c r="DG425" s="490"/>
      <c r="DH425" s="490"/>
      <c r="DI425" s="490"/>
      <c r="DJ425" s="490"/>
      <c r="DK425" s="490"/>
      <c r="DL425" s="490"/>
      <c r="DM425" s="490"/>
      <c r="DN425" s="490"/>
      <c r="DO425" s="490"/>
      <c r="DP425" s="490"/>
      <c r="DQ425" s="490"/>
      <c r="DR425" s="490"/>
      <c r="DS425" s="490"/>
      <c r="DT425" s="490"/>
      <c r="DU425" s="490"/>
      <c r="DV425" s="490"/>
      <c r="DW425" s="490"/>
      <c r="DX425" s="490"/>
      <c r="DY425" s="490"/>
      <c r="DZ425" s="490"/>
      <c r="EA425" s="490"/>
      <c r="EB425" s="490"/>
      <c r="EC425" s="490"/>
      <c r="ED425" s="490"/>
      <c r="EE425" s="490"/>
      <c r="EF425" s="490"/>
      <c r="EG425" s="490"/>
      <c r="EH425" s="490"/>
      <c r="EI425" s="490"/>
      <c r="EJ425" s="490"/>
      <c r="EK425" s="490"/>
      <c r="EL425" s="490"/>
      <c r="EM425" s="490"/>
      <c r="EN425" s="490"/>
      <c r="EO425" s="490"/>
      <c r="EP425" s="490"/>
      <c r="EQ425" s="490"/>
      <c r="ER425" s="490"/>
      <c r="ES425" s="490"/>
      <c r="ET425" s="490"/>
      <c r="EU425" s="490"/>
      <c r="EV425" s="490"/>
      <c r="EW425" s="490"/>
      <c r="EX425" s="490"/>
      <c r="EY425" s="490"/>
      <c r="EZ425" s="490"/>
      <c r="FA425" s="490"/>
      <c r="FB425" s="490"/>
      <c r="FC425" s="490"/>
      <c r="FD425" s="490"/>
      <c r="FE425" s="490"/>
      <c r="FF425" s="490"/>
      <c r="FG425" s="490"/>
      <c r="FH425" s="490"/>
      <c r="FI425" s="490"/>
      <c r="FJ425" s="490"/>
      <c r="FK425" s="490"/>
      <c r="FL425" s="490"/>
      <c r="FM425" s="490"/>
      <c r="FN425" s="490"/>
    </row>
    <row r="426" s="492" customFormat="1" spans="1:170">
      <c r="A426" s="540"/>
      <c r="B426" s="515"/>
      <c r="C426" s="541"/>
      <c r="D426" s="515"/>
      <c r="E426" s="515"/>
      <c r="F426" s="515" t="s">
        <v>75</v>
      </c>
      <c r="G426" s="541">
        <v>1</v>
      </c>
      <c r="H426" s="541">
        <v>0.45</v>
      </c>
      <c r="I426" s="542" t="s">
        <v>22</v>
      </c>
      <c r="J426" s="541">
        <v>1.78</v>
      </c>
      <c r="K426" s="515"/>
      <c r="L426" s="509"/>
      <c r="M426" s="490"/>
      <c r="N426" s="490"/>
      <c r="O426" s="490"/>
      <c r="P426" s="490"/>
      <c r="Q426" s="490"/>
      <c r="R426" s="490"/>
      <c r="S426" s="490"/>
      <c r="T426" s="490"/>
      <c r="U426" s="490"/>
      <c r="V426" s="490"/>
      <c r="W426" s="490"/>
      <c r="X426" s="490"/>
      <c r="Y426" s="490"/>
      <c r="Z426" s="490"/>
      <c r="AA426" s="490"/>
      <c r="AB426" s="490"/>
      <c r="AC426" s="490"/>
      <c r="AD426" s="490"/>
      <c r="AE426" s="490"/>
      <c r="AF426" s="490"/>
      <c r="AG426" s="490"/>
      <c r="AH426" s="490"/>
      <c r="AI426" s="490"/>
      <c r="AJ426" s="490"/>
      <c r="AK426" s="490"/>
      <c r="AL426" s="490"/>
      <c r="AM426" s="490"/>
      <c r="AN426" s="490"/>
      <c r="AO426" s="490"/>
      <c r="AP426" s="490"/>
      <c r="AQ426" s="490"/>
      <c r="AR426" s="490"/>
      <c r="AS426" s="490"/>
      <c r="AT426" s="490"/>
      <c r="AU426" s="490"/>
      <c r="AV426" s="490"/>
      <c r="AW426" s="490"/>
      <c r="AX426" s="490"/>
      <c r="AY426" s="490"/>
      <c r="AZ426" s="490"/>
      <c r="BA426" s="490"/>
      <c r="BB426" s="490"/>
      <c r="BC426" s="490"/>
      <c r="BD426" s="490"/>
      <c r="BE426" s="490"/>
      <c r="BF426" s="490"/>
      <c r="BG426" s="490"/>
      <c r="BH426" s="490"/>
      <c r="BI426" s="490"/>
      <c r="BJ426" s="490"/>
      <c r="BK426" s="490"/>
      <c r="BL426" s="490"/>
      <c r="BM426" s="490"/>
      <c r="BN426" s="490"/>
      <c r="BO426" s="490"/>
      <c r="BP426" s="490"/>
      <c r="BQ426" s="490"/>
      <c r="BR426" s="490"/>
      <c r="BS426" s="490"/>
      <c r="BT426" s="490"/>
      <c r="BU426" s="490"/>
      <c r="BV426" s="490"/>
      <c r="BW426" s="490"/>
      <c r="BX426" s="490"/>
      <c r="BY426" s="490"/>
      <c r="BZ426" s="490"/>
      <c r="CA426" s="490"/>
      <c r="CB426" s="490"/>
      <c r="CC426" s="490"/>
      <c r="CD426" s="490"/>
      <c r="CE426" s="490"/>
      <c r="CF426" s="490"/>
      <c r="CG426" s="490"/>
      <c r="CH426" s="490"/>
      <c r="CI426" s="490"/>
      <c r="CJ426" s="490"/>
      <c r="CK426" s="490"/>
      <c r="CL426" s="490"/>
      <c r="CM426" s="490"/>
      <c r="CN426" s="490"/>
      <c r="CO426" s="490"/>
      <c r="CP426" s="490"/>
      <c r="CQ426" s="490"/>
      <c r="CR426" s="490"/>
      <c r="CS426" s="490"/>
      <c r="CT426" s="490"/>
      <c r="CU426" s="490"/>
      <c r="CV426" s="490"/>
      <c r="CW426" s="490"/>
      <c r="CX426" s="490"/>
      <c r="CY426" s="490"/>
      <c r="CZ426" s="490"/>
      <c r="DA426" s="490"/>
      <c r="DB426" s="490"/>
      <c r="DC426" s="490"/>
      <c r="DD426" s="490"/>
      <c r="DE426" s="490"/>
      <c r="DF426" s="490"/>
      <c r="DG426" s="490"/>
      <c r="DH426" s="490"/>
      <c r="DI426" s="490"/>
      <c r="DJ426" s="490"/>
      <c r="DK426" s="490"/>
      <c r="DL426" s="490"/>
      <c r="DM426" s="490"/>
      <c r="DN426" s="490"/>
      <c r="DO426" s="490"/>
      <c r="DP426" s="490"/>
      <c r="DQ426" s="490"/>
      <c r="DR426" s="490"/>
      <c r="DS426" s="490"/>
      <c r="DT426" s="490"/>
      <c r="DU426" s="490"/>
      <c r="DV426" s="490"/>
      <c r="DW426" s="490"/>
      <c r="DX426" s="490"/>
      <c r="DY426" s="490"/>
      <c r="DZ426" s="490"/>
      <c r="EA426" s="490"/>
      <c r="EB426" s="490"/>
      <c r="EC426" s="490"/>
      <c r="ED426" s="490"/>
      <c r="EE426" s="490"/>
      <c r="EF426" s="490"/>
      <c r="EG426" s="490"/>
      <c r="EH426" s="490"/>
      <c r="EI426" s="490"/>
      <c r="EJ426" s="490"/>
      <c r="EK426" s="490"/>
      <c r="EL426" s="490"/>
      <c r="EM426" s="490"/>
      <c r="EN426" s="490"/>
      <c r="EO426" s="490"/>
      <c r="EP426" s="490"/>
      <c r="EQ426" s="490"/>
      <c r="ER426" s="490"/>
      <c r="ES426" s="490"/>
      <c r="ET426" s="490"/>
      <c r="EU426" s="490"/>
      <c r="EV426" s="490"/>
      <c r="EW426" s="490"/>
      <c r="EX426" s="490"/>
      <c r="EY426" s="490"/>
      <c r="EZ426" s="490"/>
      <c r="FA426" s="490"/>
      <c r="FB426" s="490"/>
      <c r="FC426" s="490"/>
      <c r="FD426" s="490"/>
      <c r="FE426" s="490"/>
      <c r="FF426" s="490"/>
      <c r="FG426" s="490"/>
      <c r="FH426" s="490"/>
      <c r="FI426" s="490"/>
      <c r="FJ426" s="490"/>
      <c r="FK426" s="490"/>
      <c r="FL426" s="490"/>
      <c r="FM426" s="490"/>
      <c r="FN426" s="490"/>
    </row>
    <row r="427" s="492" customFormat="1" spans="1:170">
      <c r="A427" s="540"/>
      <c r="B427" s="515"/>
      <c r="C427" s="541"/>
      <c r="D427" s="515"/>
      <c r="E427" s="515"/>
      <c r="F427" s="515" t="s">
        <v>99</v>
      </c>
      <c r="G427" s="541">
        <v>1</v>
      </c>
      <c r="H427" s="541">
        <v>0.3</v>
      </c>
      <c r="I427" s="542" t="s">
        <v>64</v>
      </c>
      <c r="J427" s="541">
        <v>3.1</v>
      </c>
      <c r="K427" s="515"/>
      <c r="L427" s="509"/>
      <c r="M427" s="490"/>
      <c r="N427" s="490"/>
      <c r="O427" s="490"/>
      <c r="P427" s="490"/>
      <c r="Q427" s="490"/>
      <c r="R427" s="490"/>
      <c r="S427" s="490"/>
      <c r="T427" s="490"/>
      <c r="U427" s="490"/>
      <c r="V427" s="490"/>
      <c r="W427" s="490"/>
      <c r="X427" s="490"/>
      <c r="Y427" s="490"/>
      <c r="Z427" s="490"/>
      <c r="AA427" s="490"/>
      <c r="AB427" s="490"/>
      <c r="AC427" s="490"/>
      <c r="AD427" s="490"/>
      <c r="AE427" s="490"/>
      <c r="AF427" s="490"/>
      <c r="AG427" s="490"/>
      <c r="AH427" s="490"/>
      <c r="AI427" s="490"/>
      <c r="AJ427" s="490"/>
      <c r="AK427" s="490"/>
      <c r="AL427" s="490"/>
      <c r="AM427" s="490"/>
      <c r="AN427" s="490"/>
      <c r="AO427" s="490"/>
      <c r="AP427" s="490"/>
      <c r="AQ427" s="490"/>
      <c r="AR427" s="490"/>
      <c r="AS427" s="490"/>
      <c r="AT427" s="490"/>
      <c r="AU427" s="490"/>
      <c r="AV427" s="490"/>
      <c r="AW427" s="490"/>
      <c r="AX427" s="490"/>
      <c r="AY427" s="490"/>
      <c r="AZ427" s="490"/>
      <c r="BA427" s="490"/>
      <c r="BB427" s="490"/>
      <c r="BC427" s="490"/>
      <c r="BD427" s="490"/>
      <c r="BE427" s="490"/>
      <c r="BF427" s="490"/>
      <c r="BG427" s="490"/>
      <c r="BH427" s="490"/>
      <c r="BI427" s="490"/>
      <c r="BJ427" s="490"/>
      <c r="BK427" s="490"/>
      <c r="BL427" s="490"/>
      <c r="BM427" s="490"/>
      <c r="BN427" s="490"/>
      <c r="BO427" s="490"/>
      <c r="BP427" s="490"/>
      <c r="BQ427" s="490"/>
      <c r="BR427" s="490"/>
      <c r="BS427" s="490"/>
      <c r="BT427" s="490"/>
      <c r="BU427" s="490"/>
      <c r="BV427" s="490"/>
      <c r="BW427" s="490"/>
      <c r="BX427" s="490"/>
      <c r="BY427" s="490"/>
      <c r="BZ427" s="490"/>
      <c r="CA427" s="490"/>
      <c r="CB427" s="490"/>
      <c r="CC427" s="490"/>
      <c r="CD427" s="490"/>
      <c r="CE427" s="490"/>
      <c r="CF427" s="490"/>
      <c r="CG427" s="490"/>
      <c r="CH427" s="490"/>
      <c r="CI427" s="490"/>
      <c r="CJ427" s="490"/>
      <c r="CK427" s="490"/>
      <c r="CL427" s="490"/>
      <c r="CM427" s="490"/>
      <c r="CN427" s="490"/>
      <c r="CO427" s="490"/>
      <c r="CP427" s="490"/>
      <c r="CQ427" s="490"/>
      <c r="CR427" s="490"/>
      <c r="CS427" s="490"/>
      <c r="CT427" s="490"/>
      <c r="CU427" s="490"/>
      <c r="CV427" s="490"/>
      <c r="CW427" s="490"/>
      <c r="CX427" s="490"/>
      <c r="CY427" s="490"/>
      <c r="CZ427" s="490"/>
      <c r="DA427" s="490"/>
      <c r="DB427" s="490"/>
      <c r="DC427" s="490"/>
      <c r="DD427" s="490"/>
      <c r="DE427" s="490"/>
      <c r="DF427" s="490"/>
      <c r="DG427" s="490"/>
      <c r="DH427" s="490"/>
      <c r="DI427" s="490"/>
      <c r="DJ427" s="490"/>
      <c r="DK427" s="490"/>
      <c r="DL427" s="490"/>
      <c r="DM427" s="490"/>
      <c r="DN427" s="490"/>
      <c r="DO427" s="490"/>
      <c r="DP427" s="490"/>
      <c r="DQ427" s="490"/>
      <c r="DR427" s="490"/>
      <c r="DS427" s="490"/>
      <c r="DT427" s="490"/>
      <c r="DU427" s="490"/>
      <c r="DV427" s="490"/>
      <c r="DW427" s="490"/>
      <c r="DX427" s="490"/>
      <c r="DY427" s="490"/>
      <c r="DZ427" s="490"/>
      <c r="EA427" s="490"/>
      <c r="EB427" s="490"/>
      <c r="EC427" s="490"/>
      <c r="ED427" s="490"/>
      <c r="EE427" s="490"/>
      <c r="EF427" s="490"/>
      <c r="EG427" s="490"/>
      <c r="EH427" s="490"/>
      <c r="EI427" s="490"/>
      <c r="EJ427" s="490"/>
      <c r="EK427" s="490"/>
      <c r="EL427" s="490"/>
      <c r="EM427" s="490"/>
      <c r="EN427" s="490"/>
      <c r="EO427" s="490"/>
      <c r="EP427" s="490"/>
      <c r="EQ427" s="490"/>
      <c r="ER427" s="490"/>
      <c r="ES427" s="490"/>
      <c r="ET427" s="490"/>
      <c r="EU427" s="490"/>
      <c r="EV427" s="490"/>
      <c r="EW427" s="490"/>
      <c r="EX427" s="490"/>
      <c r="EY427" s="490"/>
      <c r="EZ427" s="490"/>
      <c r="FA427" s="490"/>
      <c r="FB427" s="490"/>
      <c r="FC427" s="490"/>
      <c r="FD427" s="490"/>
      <c r="FE427" s="490"/>
      <c r="FF427" s="490"/>
      <c r="FG427" s="490"/>
      <c r="FH427" s="490"/>
      <c r="FI427" s="490"/>
      <c r="FJ427" s="490"/>
      <c r="FK427" s="490"/>
      <c r="FL427" s="490"/>
      <c r="FM427" s="490"/>
      <c r="FN427" s="490"/>
    </row>
    <row r="428" s="492" customFormat="1" spans="1:170">
      <c r="A428" s="540"/>
      <c r="B428" s="515"/>
      <c r="C428" s="541"/>
      <c r="D428" s="515"/>
      <c r="E428" s="515"/>
      <c r="F428" s="515" t="s">
        <v>91</v>
      </c>
      <c r="G428" s="541">
        <v>2.83</v>
      </c>
      <c r="H428" s="541">
        <v>0.75</v>
      </c>
      <c r="I428" s="541" t="s">
        <v>24</v>
      </c>
      <c r="J428" s="541" t="s">
        <v>24</v>
      </c>
      <c r="K428" s="515"/>
      <c r="L428" s="509"/>
      <c r="M428" s="490"/>
      <c r="N428" s="490"/>
      <c r="O428" s="490"/>
      <c r="P428" s="490"/>
      <c r="Q428" s="490"/>
      <c r="R428" s="490"/>
      <c r="S428" s="490"/>
      <c r="T428" s="490"/>
      <c r="U428" s="490"/>
      <c r="V428" s="490"/>
      <c r="W428" s="490"/>
      <c r="X428" s="490"/>
      <c r="Y428" s="490"/>
      <c r="Z428" s="490"/>
      <c r="AA428" s="490"/>
      <c r="AB428" s="490"/>
      <c r="AC428" s="490"/>
      <c r="AD428" s="490"/>
      <c r="AE428" s="490"/>
      <c r="AF428" s="490"/>
      <c r="AG428" s="490"/>
      <c r="AH428" s="490"/>
      <c r="AI428" s="490"/>
      <c r="AJ428" s="490"/>
      <c r="AK428" s="490"/>
      <c r="AL428" s="490"/>
      <c r="AM428" s="490"/>
      <c r="AN428" s="490"/>
      <c r="AO428" s="490"/>
      <c r="AP428" s="490"/>
      <c r="AQ428" s="490"/>
      <c r="AR428" s="490"/>
      <c r="AS428" s="490"/>
      <c r="AT428" s="490"/>
      <c r="AU428" s="490"/>
      <c r="AV428" s="490"/>
      <c r="AW428" s="490"/>
      <c r="AX428" s="490"/>
      <c r="AY428" s="490"/>
      <c r="AZ428" s="490"/>
      <c r="BA428" s="490"/>
      <c r="BB428" s="490"/>
      <c r="BC428" s="490"/>
      <c r="BD428" s="490"/>
      <c r="BE428" s="490"/>
      <c r="BF428" s="490"/>
      <c r="BG428" s="490"/>
      <c r="BH428" s="490"/>
      <c r="BI428" s="490"/>
      <c r="BJ428" s="490"/>
      <c r="BK428" s="490"/>
      <c r="BL428" s="490"/>
      <c r="BM428" s="490"/>
      <c r="BN428" s="490"/>
      <c r="BO428" s="490"/>
      <c r="BP428" s="490"/>
      <c r="BQ428" s="490"/>
      <c r="BR428" s="490"/>
      <c r="BS428" s="490"/>
      <c r="BT428" s="490"/>
      <c r="BU428" s="490"/>
      <c r="BV428" s="490"/>
      <c r="BW428" s="490"/>
      <c r="BX428" s="490"/>
      <c r="BY428" s="490"/>
      <c r="BZ428" s="490"/>
      <c r="CA428" s="490"/>
      <c r="CB428" s="490"/>
      <c r="CC428" s="490"/>
      <c r="CD428" s="490"/>
      <c r="CE428" s="490"/>
      <c r="CF428" s="490"/>
      <c r="CG428" s="490"/>
      <c r="CH428" s="490"/>
      <c r="CI428" s="490"/>
      <c r="CJ428" s="490"/>
      <c r="CK428" s="490"/>
      <c r="CL428" s="490"/>
      <c r="CM428" s="490"/>
      <c r="CN428" s="490"/>
      <c r="CO428" s="490"/>
      <c r="CP428" s="490"/>
      <c r="CQ428" s="490"/>
      <c r="CR428" s="490"/>
      <c r="CS428" s="490"/>
      <c r="CT428" s="490"/>
      <c r="CU428" s="490"/>
      <c r="CV428" s="490"/>
      <c r="CW428" s="490"/>
      <c r="CX428" s="490"/>
      <c r="CY428" s="490"/>
      <c r="CZ428" s="490"/>
      <c r="DA428" s="490"/>
      <c r="DB428" s="490"/>
      <c r="DC428" s="490"/>
      <c r="DD428" s="490"/>
      <c r="DE428" s="490"/>
      <c r="DF428" s="490"/>
      <c r="DG428" s="490"/>
      <c r="DH428" s="490"/>
      <c r="DI428" s="490"/>
      <c r="DJ428" s="490"/>
      <c r="DK428" s="490"/>
      <c r="DL428" s="490"/>
      <c r="DM428" s="490"/>
      <c r="DN428" s="490"/>
      <c r="DO428" s="490"/>
      <c r="DP428" s="490"/>
      <c r="DQ428" s="490"/>
      <c r="DR428" s="490"/>
      <c r="DS428" s="490"/>
      <c r="DT428" s="490"/>
      <c r="DU428" s="490"/>
      <c r="DV428" s="490"/>
      <c r="DW428" s="490"/>
      <c r="DX428" s="490"/>
      <c r="DY428" s="490"/>
      <c r="DZ428" s="490"/>
      <c r="EA428" s="490"/>
      <c r="EB428" s="490"/>
      <c r="EC428" s="490"/>
      <c r="ED428" s="490"/>
      <c r="EE428" s="490"/>
      <c r="EF428" s="490"/>
      <c r="EG428" s="490"/>
      <c r="EH428" s="490"/>
      <c r="EI428" s="490"/>
      <c r="EJ428" s="490"/>
      <c r="EK428" s="490"/>
      <c r="EL428" s="490"/>
      <c r="EM428" s="490"/>
      <c r="EN428" s="490"/>
      <c r="EO428" s="490"/>
      <c r="EP428" s="490"/>
      <c r="EQ428" s="490"/>
      <c r="ER428" s="490"/>
      <c r="ES428" s="490"/>
      <c r="ET428" s="490"/>
      <c r="EU428" s="490"/>
      <c r="EV428" s="490"/>
      <c r="EW428" s="490"/>
      <c r="EX428" s="490"/>
      <c r="EY428" s="490"/>
      <c r="EZ428" s="490"/>
      <c r="FA428" s="490"/>
      <c r="FB428" s="490"/>
      <c r="FC428" s="490"/>
      <c r="FD428" s="490"/>
      <c r="FE428" s="490"/>
      <c r="FF428" s="490"/>
      <c r="FG428" s="490"/>
      <c r="FH428" s="490"/>
      <c r="FI428" s="490"/>
      <c r="FJ428" s="490"/>
      <c r="FK428" s="490"/>
      <c r="FL428" s="490"/>
      <c r="FM428" s="490"/>
      <c r="FN428" s="490"/>
    </row>
    <row r="429" s="492" customFormat="1" spans="1:170">
      <c r="A429" s="540">
        <v>46203</v>
      </c>
      <c r="B429" s="515" t="s">
        <v>864</v>
      </c>
      <c r="C429" s="541">
        <v>5</v>
      </c>
      <c r="D429" s="515" t="s">
        <v>14</v>
      </c>
      <c r="E429" s="515" t="s">
        <v>143</v>
      </c>
      <c r="F429" s="515" t="s">
        <v>220</v>
      </c>
      <c r="G429" s="541">
        <v>0.55</v>
      </c>
      <c r="H429" s="541">
        <v>1.5</v>
      </c>
      <c r="I429" s="541" t="s">
        <v>724</v>
      </c>
      <c r="J429" s="541">
        <v>2.5</v>
      </c>
      <c r="K429" s="515" t="s">
        <v>48</v>
      </c>
      <c r="L429" s="515"/>
      <c r="M429" s="490"/>
      <c r="N429" s="490"/>
      <c r="O429" s="490"/>
      <c r="P429" s="490"/>
      <c r="Q429" s="490"/>
      <c r="R429" s="490"/>
      <c r="S429" s="490"/>
      <c r="T429" s="490"/>
      <c r="U429" s="490"/>
      <c r="V429" s="490"/>
      <c r="W429" s="490"/>
      <c r="X429" s="490"/>
      <c r="Y429" s="490"/>
      <c r="Z429" s="490"/>
      <c r="AA429" s="490"/>
      <c r="AB429" s="490"/>
      <c r="AC429" s="490"/>
      <c r="AD429" s="490"/>
      <c r="AE429" s="490"/>
      <c r="AF429" s="490"/>
      <c r="AG429" s="490"/>
      <c r="AH429" s="490"/>
      <c r="AI429" s="490"/>
      <c r="AJ429" s="490"/>
      <c r="AK429" s="490"/>
      <c r="AL429" s="490"/>
      <c r="AM429" s="490"/>
      <c r="AN429" s="490"/>
      <c r="AO429" s="490"/>
      <c r="AP429" s="490"/>
      <c r="AQ429" s="490"/>
      <c r="AR429" s="490"/>
      <c r="AS429" s="490"/>
      <c r="AT429" s="490"/>
      <c r="AU429" s="490"/>
      <c r="AV429" s="490"/>
      <c r="AW429" s="490"/>
      <c r="AX429" s="490"/>
      <c r="AY429" s="490"/>
      <c r="AZ429" s="490"/>
      <c r="BA429" s="490"/>
      <c r="BB429" s="490"/>
      <c r="BC429" s="490"/>
      <c r="BD429" s="490"/>
      <c r="BE429" s="490"/>
      <c r="BF429" s="490"/>
      <c r="BG429" s="490"/>
      <c r="BH429" s="490"/>
      <c r="BI429" s="490"/>
      <c r="BJ429" s="490"/>
      <c r="BK429" s="490"/>
      <c r="BL429" s="490"/>
      <c r="BM429" s="490"/>
      <c r="BN429" s="490"/>
      <c r="BO429" s="490"/>
      <c r="BP429" s="490"/>
      <c r="BQ429" s="490"/>
      <c r="BR429" s="490"/>
      <c r="BS429" s="490"/>
      <c r="BT429" s="490"/>
      <c r="BU429" s="490"/>
      <c r="BV429" s="490"/>
      <c r="BW429" s="490"/>
      <c r="BX429" s="490"/>
      <c r="BY429" s="490"/>
      <c r="BZ429" s="490"/>
      <c r="CA429" s="490"/>
      <c r="CB429" s="490"/>
      <c r="CC429" s="490"/>
      <c r="CD429" s="490"/>
      <c r="CE429" s="490"/>
      <c r="CF429" s="490"/>
      <c r="CG429" s="490"/>
      <c r="CH429" s="490"/>
      <c r="CI429" s="490"/>
      <c r="CJ429" s="490"/>
      <c r="CK429" s="490"/>
      <c r="CL429" s="490"/>
      <c r="CM429" s="490"/>
      <c r="CN429" s="490"/>
      <c r="CO429" s="490"/>
      <c r="CP429" s="490"/>
      <c r="CQ429" s="490"/>
      <c r="CR429" s="490"/>
      <c r="CS429" s="490"/>
      <c r="CT429" s="490"/>
      <c r="CU429" s="490"/>
      <c r="CV429" s="490"/>
      <c r="CW429" s="490"/>
      <c r="CX429" s="490"/>
      <c r="CY429" s="490"/>
      <c r="CZ429" s="490"/>
      <c r="DA429" s="490"/>
      <c r="DB429" s="490"/>
      <c r="DC429" s="490"/>
      <c r="DD429" s="490"/>
      <c r="DE429" s="490"/>
      <c r="DF429" s="490"/>
      <c r="DG429" s="490"/>
      <c r="DH429" s="490"/>
      <c r="DI429" s="490"/>
      <c r="DJ429" s="490"/>
      <c r="DK429" s="490"/>
      <c r="DL429" s="490"/>
      <c r="DM429" s="490"/>
      <c r="DN429" s="490"/>
      <c r="DO429" s="490"/>
      <c r="DP429" s="490"/>
      <c r="DQ429" s="490"/>
      <c r="DR429" s="490"/>
      <c r="DS429" s="490"/>
      <c r="DT429" s="490"/>
      <c r="DU429" s="490"/>
      <c r="DV429" s="490"/>
      <c r="DW429" s="490"/>
      <c r="DX429" s="490"/>
      <c r="DY429" s="490"/>
      <c r="DZ429" s="490"/>
      <c r="EA429" s="490"/>
      <c r="EB429" s="490"/>
      <c r="EC429" s="490"/>
      <c r="ED429" s="490"/>
      <c r="EE429" s="490"/>
      <c r="EF429" s="490"/>
      <c r="EG429" s="490"/>
      <c r="EH429" s="490"/>
      <c r="EI429" s="490"/>
      <c r="EJ429" s="490"/>
      <c r="EK429" s="490"/>
      <c r="EL429" s="490"/>
      <c r="EM429" s="490"/>
      <c r="EN429" s="490"/>
      <c r="EO429" s="490"/>
      <c r="EP429" s="490"/>
      <c r="EQ429" s="490"/>
      <c r="ER429" s="490"/>
      <c r="ES429" s="490"/>
      <c r="ET429" s="490"/>
      <c r="EU429" s="490"/>
      <c r="EV429" s="490"/>
      <c r="EW429" s="490"/>
      <c r="EX429" s="490"/>
      <c r="EY429" s="490"/>
      <c r="EZ429" s="490"/>
      <c r="FA429" s="490"/>
      <c r="FB429" s="490"/>
      <c r="FC429" s="490"/>
      <c r="FD429" s="490"/>
      <c r="FE429" s="490"/>
      <c r="FF429" s="490"/>
      <c r="FG429" s="490"/>
      <c r="FH429" s="490"/>
      <c r="FI429" s="490"/>
      <c r="FJ429" s="490"/>
      <c r="FK429" s="490"/>
      <c r="FL429" s="490"/>
      <c r="FM429" s="490"/>
      <c r="FN429" s="490"/>
    </row>
    <row r="430" s="492" customFormat="1" spans="1:170">
      <c r="A430" s="540"/>
      <c r="B430" s="515"/>
      <c r="C430" s="541"/>
      <c r="D430" s="515"/>
      <c r="E430" s="515"/>
      <c r="F430" s="515" t="s">
        <v>221</v>
      </c>
      <c r="G430" s="541">
        <v>1.46</v>
      </c>
      <c r="H430" s="541">
        <v>2</v>
      </c>
      <c r="I430" s="541" t="s">
        <v>724</v>
      </c>
      <c r="J430" s="541">
        <v>2.7</v>
      </c>
      <c r="K430" s="515"/>
      <c r="L430" s="515"/>
      <c r="M430" s="490"/>
      <c r="N430" s="490"/>
      <c r="O430" s="490"/>
      <c r="P430" s="490"/>
      <c r="Q430" s="490"/>
      <c r="R430" s="490"/>
      <c r="S430" s="490"/>
      <c r="T430" s="490"/>
      <c r="U430" s="490"/>
      <c r="V430" s="490"/>
      <c r="W430" s="490"/>
      <c r="X430" s="490"/>
      <c r="Y430" s="490"/>
      <c r="Z430" s="490"/>
      <c r="AA430" s="490"/>
      <c r="AB430" s="490"/>
      <c r="AC430" s="490"/>
      <c r="AD430" s="490"/>
      <c r="AE430" s="490"/>
      <c r="AF430" s="490"/>
      <c r="AG430" s="490"/>
      <c r="AH430" s="490"/>
      <c r="AI430" s="490"/>
      <c r="AJ430" s="490"/>
      <c r="AK430" s="490"/>
      <c r="AL430" s="490"/>
      <c r="AM430" s="490"/>
      <c r="AN430" s="490"/>
      <c r="AO430" s="490"/>
      <c r="AP430" s="490"/>
      <c r="AQ430" s="490"/>
      <c r="AR430" s="490"/>
      <c r="AS430" s="490"/>
      <c r="AT430" s="490"/>
      <c r="AU430" s="490"/>
      <c r="AV430" s="490"/>
      <c r="AW430" s="490"/>
      <c r="AX430" s="490"/>
      <c r="AY430" s="490"/>
      <c r="AZ430" s="490"/>
      <c r="BA430" s="490"/>
      <c r="BB430" s="490"/>
      <c r="BC430" s="490"/>
      <c r="BD430" s="490"/>
      <c r="BE430" s="490"/>
      <c r="BF430" s="490"/>
      <c r="BG430" s="490"/>
      <c r="BH430" s="490"/>
      <c r="BI430" s="490"/>
      <c r="BJ430" s="490"/>
      <c r="BK430" s="490"/>
      <c r="BL430" s="490"/>
      <c r="BM430" s="490"/>
      <c r="BN430" s="490"/>
      <c r="BO430" s="490"/>
      <c r="BP430" s="490"/>
      <c r="BQ430" s="490"/>
      <c r="BR430" s="490"/>
      <c r="BS430" s="490"/>
      <c r="BT430" s="490"/>
      <c r="BU430" s="490"/>
      <c r="BV430" s="490"/>
      <c r="BW430" s="490"/>
      <c r="BX430" s="490"/>
      <c r="BY430" s="490"/>
      <c r="BZ430" s="490"/>
      <c r="CA430" s="490"/>
      <c r="CB430" s="490"/>
      <c r="CC430" s="490"/>
      <c r="CD430" s="490"/>
      <c r="CE430" s="490"/>
      <c r="CF430" s="490"/>
      <c r="CG430" s="490"/>
      <c r="CH430" s="490"/>
      <c r="CI430" s="490"/>
      <c r="CJ430" s="490"/>
      <c r="CK430" s="490"/>
      <c r="CL430" s="490"/>
      <c r="CM430" s="490"/>
      <c r="CN430" s="490"/>
      <c r="CO430" s="490"/>
      <c r="CP430" s="490"/>
      <c r="CQ430" s="490"/>
      <c r="CR430" s="490"/>
      <c r="CS430" s="490"/>
      <c r="CT430" s="490"/>
      <c r="CU430" s="490"/>
      <c r="CV430" s="490"/>
      <c r="CW430" s="490"/>
      <c r="CX430" s="490"/>
      <c r="CY430" s="490"/>
      <c r="CZ430" s="490"/>
      <c r="DA430" s="490"/>
      <c r="DB430" s="490"/>
      <c r="DC430" s="490"/>
      <c r="DD430" s="490"/>
      <c r="DE430" s="490"/>
      <c r="DF430" s="490"/>
      <c r="DG430" s="490"/>
      <c r="DH430" s="490"/>
      <c r="DI430" s="490"/>
      <c r="DJ430" s="490"/>
      <c r="DK430" s="490"/>
      <c r="DL430" s="490"/>
      <c r="DM430" s="490"/>
      <c r="DN430" s="490"/>
      <c r="DO430" s="490"/>
      <c r="DP430" s="490"/>
      <c r="DQ430" s="490"/>
      <c r="DR430" s="490"/>
      <c r="DS430" s="490"/>
      <c r="DT430" s="490"/>
      <c r="DU430" s="490"/>
      <c r="DV430" s="490"/>
      <c r="DW430" s="490"/>
      <c r="DX430" s="490"/>
      <c r="DY430" s="490"/>
      <c r="DZ430" s="490"/>
      <c r="EA430" s="490"/>
      <c r="EB430" s="490"/>
      <c r="EC430" s="490"/>
      <c r="ED430" s="490"/>
      <c r="EE430" s="490"/>
      <c r="EF430" s="490"/>
      <c r="EG430" s="490"/>
      <c r="EH430" s="490"/>
      <c r="EI430" s="490"/>
      <c r="EJ430" s="490"/>
      <c r="EK430" s="490"/>
      <c r="EL430" s="490"/>
      <c r="EM430" s="490"/>
      <c r="EN430" s="490"/>
      <c r="EO430" s="490"/>
      <c r="EP430" s="490"/>
      <c r="EQ430" s="490"/>
      <c r="ER430" s="490"/>
      <c r="ES430" s="490"/>
      <c r="ET430" s="490"/>
      <c r="EU430" s="490"/>
      <c r="EV430" s="490"/>
      <c r="EW430" s="490"/>
      <c r="EX430" s="490"/>
      <c r="EY430" s="490"/>
      <c r="EZ430" s="490"/>
      <c r="FA430" s="490"/>
      <c r="FB430" s="490"/>
      <c r="FC430" s="490"/>
      <c r="FD430" s="490"/>
      <c r="FE430" s="490"/>
      <c r="FF430" s="490"/>
      <c r="FG430" s="490"/>
      <c r="FH430" s="490"/>
      <c r="FI430" s="490"/>
      <c r="FJ430" s="490"/>
      <c r="FK430" s="490"/>
      <c r="FL430" s="490"/>
      <c r="FM430" s="490"/>
      <c r="FN430" s="490"/>
    </row>
    <row r="431" s="492" customFormat="1" spans="1:170">
      <c r="A431" s="540"/>
      <c r="B431" s="515"/>
      <c r="C431" s="541"/>
      <c r="D431" s="515"/>
      <c r="E431" s="515"/>
      <c r="F431" s="515" t="s">
        <v>865</v>
      </c>
      <c r="G431" s="541">
        <v>2.46</v>
      </c>
      <c r="H431" s="541">
        <v>1.425</v>
      </c>
      <c r="I431" s="541" t="s">
        <v>17</v>
      </c>
      <c r="J431" s="541">
        <v>3.4</v>
      </c>
      <c r="K431" s="515"/>
      <c r="L431" s="515"/>
      <c r="M431" s="490"/>
      <c r="N431" s="490"/>
      <c r="O431" s="490"/>
      <c r="P431" s="490"/>
      <c r="Q431" s="490"/>
      <c r="R431" s="490"/>
      <c r="S431" s="490"/>
      <c r="T431" s="490"/>
      <c r="U431" s="490"/>
      <c r="V431" s="490"/>
      <c r="W431" s="490"/>
      <c r="X431" s="490"/>
      <c r="Y431" s="490"/>
      <c r="Z431" s="490"/>
      <c r="AA431" s="490"/>
      <c r="AB431" s="490"/>
      <c r="AC431" s="490"/>
      <c r="AD431" s="490"/>
      <c r="AE431" s="490"/>
      <c r="AF431" s="490"/>
      <c r="AG431" s="490"/>
      <c r="AH431" s="490"/>
      <c r="AI431" s="490"/>
      <c r="AJ431" s="490"/>
      <c r="AK431" s="490"/>
      <c r="AL431" s="490"/>
      <c r="AM431" s="490"/>
      <c r="AN431" s="490"/>
      <c r="AO431" s="490"/>
      <c r="AP431" s="490"/>
      <c r="AQ431" s="490"/>
      <c r="AR431" s="490"/>
      <c r="AS431" s="490"/>
      <c r="AT431" s="490"/>
      <c r="AU431" s="490"/>
      <c r="AV431" s="490"/>
      <c r="AW431" s="490"/>
      <c r="AX431" s="490"/>
      <c r="AY431" s="490"/>
      <c r="AZ431" s="490"/>
      <c r="BA431" s="490"/>
      <c r="BB431" s="490"/>
      <c r="BC431" s="490"/>
      <c r="BD431" s="490"/>
      <c r="BE431" s="490"/>
      <c r="BF431" s="490"/>
      <c r="BG431" s="490"/>
      <c r="BH431" s="490"/>
      <c r="BI431" s="490"/>
      <c r="BJ431" s="490"/>
      <c r="BK431" s="490"/>
      <c r="BL431" s="490"/>
      <c r="BM431" s="490"/>
      <c r="BN431" s="490"/>
      <c r="BO431" s="490"/>
      <c r="BP431" s="490"/>
      <c r="BQ431" s="490"/>
      <c r="BR431" s="490"/>
      <c r="BS431" s="490"/>
      <c r="BT431" s="490"/>
      <c r="BU431" s="490"/>
      <c r="BV431" s="490"/>
      <c r="BW431" s="490"/>
      <c r="BX431" s="490"/>
      <c r="BY431" s="490"/>
      <c r="BZ431" s="490"/>
      <c r="CA431" s="490"/>
      <c r="CB431" s="490"/>
      <c r="CC431" s="490"/>
      <c r="CD431" s="490"/>
      <c r="CE431" s="490"/>
      <c r="CF431" s="490"/>
      <c r="CG431" s="490"/>
      <c r="CH431" s="490"/>
      <c r="CI431" s="490"/>
      <c r="CJ431" s="490"/>
      <c r="CK431" s="490"/>
      <c r="CL431" s="490"/>
      <c r="CM431" s="490"/>
      <c r="CN431" s="490"/>
      <c r="CO431" s="490"/>
      <c r="CP431" s="490"/>
      <c r="CQ431" s="490"/>
      <c r="CR431" s="490"/>
      <c r="CS431" s="490"/>
      <c r="CT431" s="490"/>
      <c r="CU431" s="490"/>
      <c r="CV431" s="490"/>
      <c r="CW431" s="490"/>
      <c r="CX431" s="490"/>
      <c r="CY431" s="490"/>
      <c r="CZ431" s="490"/>
      <c r="DA431" s="490"/>
      <c r="DB431" s="490"/>
      <c r="DC431" s="490"/>
      <c r="DD431" s="490"/>
      <c r="DE431" s="490"/>
      <c r="DF431" s="490"/>
      <c r="DG431" s="490"/>
      <c r="DH431" s="490"/>
      <c r="DI431" s="490"/>
      <c r="DJ431" s="490"/>
      <c r="DK431" s="490"/>
      <c r="DL431" s="490"/>
      <c r="DM431" s="490"/>
      <c r="DN431" s="490"/>
      <c r="DO431" s="490"/>
      <c r="DP431" s="490"/>
      <c r="DQ431" s="490"/>
      <c r="DR431" s="490"/>
      <c r="DS431" s="490"/>
      <c r="DT431" s="490"/>
      <c r="DU431" s="490"/>
      <c r="DV431" s="490"/>
      <c r="DW431" s="490"/>
      <c r="DX431" s="490"/>
      <c r="DY431" s="490"/>
      <c r="DZ431" s="490"/>
      <c r="EA431" s="490"/>
      <c r="EB431" s="490"/>
      <c r="EC431" s="490"/>
      <c r="ED431" s="490"/>
      <c r="EE431" s="490"/>
      <c r="EF431" s="490"/>
      <c r="EG431" s="490"/>
      <c r="EH431" s="490"/>
      <c r="EI431" s="490"/>
      <c r="EJ431" s="490"/>
      <c r="EK431" s="490"/>
      <c r="EL431" s="490"/>
      <c r="EM431" s="490"/>
      <c r="EN431" s="490"/>
      <c r="EO431" s="490"/>
      <c r="EP431" s="490"/>
      <c r="EQ431" s="490"/>
      <c r="ER431" s="490"/>
      <c r="ES431" s="490"/>
      <c r="ET431" s="490"/>
      <c r="EU431" s="490"/>
      <c r="EV431" s="490"/>
      <c r="EW431" s="490"/>
      <c r="EX431" s="490"/>
      <c r="EY431" s="490"/>
      <c r="EZ431" s="490"/>
      <c r="FA431" s="490"/>
      <c r="FB431" s="490"/>
      <c r="FC431" s="490"/>
      <c r="FD431" s="490"/>
      <c r="FE431" s="490"/>
      <c r="FF431" s="490"/>
      <c r="FG431" s="490"/>
      <c r="FH431" s="490"/>
      <c r="FI431" s="490"/>
      <c r="FJ431" s="490"/>
      <c r="FK431" s="490"/>
      <c r="FL431" s="490"/>
      <c r="FM431" s="490"/>
      <c r="FN431" s="490"/>
    </row>
    <row r="432" s="492" customFormat="1" spans="1:170">
      <c r="A432" s="540"/>
      <c r="B432" s="515"/>
      <c r="C432" s="541"/>
      <c r="D432" s="515"/>
      <c r="E432" s="515"/>
      <c r="F432" s="515" t="s">
        <v>91</v>
      </c>
      <c r="G432" s="541">
        <v>3.22</v>
      </c>
      <c r="H432" s="541">
        <v>0.075</v>
      </c>
      <c r="I432" s="541" t="s">
        <v>24</v>
      </c>
      <c r="J432" s="541" t="s">
        <v>24</v>
      </c>
      <c r="K432" s="515"/>
      <c r="L432" s="515"/>
      <c r="M432" s="490"/>
      <c r="N432" s="490"/>
      <c r="O432" s="490"/>
      <c r="P432" s="490"/>
      <c r="Q432" s="490"/>
      <c r="R432" s="490"/>
      <c r="S432" s="490"/>
      <c r="T432" s="490"/>
      <c r="U432" s="490"/>
      <c r="V432" s="490"/>
      <c r="W432" s="490"/>
      <c r="X432" s="490"/>
      <c r="Y432" s="490"/>
      <c r="Z432" s="490"/>
      <c r="AA432" s="490"/>
      <c r="AB432" s="490"/>
      <c r="AC432" s="490"/>
      <c r="AD432" s="490"/>
      <c r="AE432" s="490"/>
      <c r="AF432" s="490"/>
      <c r="AG432" s="490"/>
      <c r="AH432" s="490"/>
      <c r="AI432" s="490"/>
      <c r="AJ432" s="490"/>
      <c r="AK432" s="490"/>
      <c r="AL432" s="490"/>
      <c r="AM432" s="490"/>
      <c r="AN432" s="490"/>
      <c r="AO432" s="490"/>
      <c r="AP432" s="490"/>
      <c r="AQ432" s="490"/>
      <c r="AR432" s="490"/>
      <c r="AS432" s="490"/>
      <c r="AT432" s="490"/>
      <c r="AU432" s="490"/>
      <c r="AV432" s="490"/>
      <c r="AW432" s="490"/>
      <c r="AX432" s="490"/>
      <c r="AY432" s="490"/>
      <c r="AZ432" s="490"/>
      <c r="BA432" s="490"/>
      <c r="BB432" s="490"/>
      <c r="BC432" s="490"/>
      <c r="BD432" s="490"/>
      <c r="BE432" s="490"/>
      <c r="BF432" s="490"/>
      <c r="BG432" s="490"/>
      <c r="BH432" s="490"/>
      <c r="BI432" s="490"/>
      <c r="BJ432" s="490"/>
      <c r="BK432" s="490"/>
      <c r="BL432" s="490"/>
      <c r="BM432" s="490"/>
      <c r="BN432" s="490"/>
      <c r="BO432" s="490"/>
      <c r="BP432" s="490"/>
      <c r="BQ432" s="490"/>
      <c r="BR432" s="490"/>
      <c r="BS432" s="490"/>
      <c r="BT432" s="490"/>
      <c r="BU432" s="490"/>
      <c r="BV432" s="490"/>
      <c r="BW432" s="490"/>
      <c r="BX432" s="490"/>
      <c r="BY432" s="490"/>
      <c r="BZ432" s="490"/>
      <c r="CA432" s="490"/>
      <c r="CB432" s="490"/>
      <c r="CC432" s="490"/>
      <c r="CD432" s="490"/>
      <c r="CE432" s="490"/>
      <c r="CF432" s="490"/>
      <c r="CG432" s="490"/>
      <c r="CH432" s="490"/>
      <c r="CI432" s="490"/>
      <c r="CJ432" s="490"/>
      <c r="CK432" s="490"/>
      <c r="CL432" s="490"/>
      <c r="CM432" s="490"/>
      <c r="CN432" s="490"/>
      <c r="CO432" s="490"/>
      <c r="CP432" s="490"/>
      <c r="CQ432" s="490"/>
      <c r="CR432" s="490"/>
      <c r="CS432" s="490"/>
      <c r="CT432" s="490"/>
      <c r="CU432" s="490"/>
      <c r="CV432" s="490"/>
      <c r="CW432" s="490"/>
      <c r="CX432" s="490"/>
      <c r="CY432" s="490"/>
      <c r="CZ432" s="490"/>
      <c r="DA432" s="490"/>
      <c r="DB432" s="490"/>
      <c r="DC432" s="490"/>
      <c r="DD432" s="490"/>
      <c r="DE432" s="490"/>
      <c r="DF432" s="490"/>
      <c r="DG432" s="490"/>
      <c r="DH432" s="490"/>
      <c r="DI432" s="490"/>
      <c r="DJ432" s="490"/>
      <c r="DK432" s="490"/>
      <c r="DL432" s="490"/>
      <c r="DM432" s="490"/>
      <c r="DN432" s="490"/>
      <c r="DO432" s="490"/>
      <c r="DP432" s="490"/>
      <c r="DQ432" s="490"/>
      <c r="DR432" s="490"/>
      <c r="DS432" s="490"/>
      <c r="DT432" s="490"/>
      <c r="DU432" s="490"/>
      <c r="DV432" s="490"/>
      <c r="DW432" s="490"/>
      <c r="DX432" s="490"/>
      <c r="DY432" s="490"/>
      <c r="DZ432" s="490"/>
      <c r="EA432" s="490"/>
      <c r="EB432" s="490"/>
      <c r="EC432" s="490"/>
      <c r="ED432" s="490"/>
      <c r="EE432" s="490"/>
      <c r="EF432" s="490"/>
      <c r="EG432" s="490"/>
      <c r="EH432" s="490"/>
      <c r="EI432" s="490"/>
      <c r="EJ432" s="490"/>
      <c r="EK432" s="490"/>
      <c r="EL432" s="490"/>
      <c r="EM432" s="490"/>
      <c r="EN432" s="490"/>
      <c r="EO432" s="490"/>
      <c r="EP432" s="490"/>
      <c r="EQ432" s="490"/>
      <c r="ER432" s="490"/>
      <c r="ES432" s="490"/>
      <c r="ET432" s="490"/>
      <c r="EU432" s="490"/>
      <c r="EV432" s="490"/>
      <c r="EW432" s="490"/>
      <c r="EX432" s="490"/>
      <c r="EY432" s="490"/>
      <c r="EZ432" s="490"/>
      <c r="FA432" s="490"/>
      <c r="FB432" s="490"/>
      <c r="FC432" s="490"/>
      <c r="FD432" s="490"/>
      <c r="FE432" s="490"/>
      <c r="FF432" s="490"/>
      <c r="FG432" s="490"/>
      <c r="FH432" s="490"/>
      <c r="FI432" s="490"/>
      <c r="FJ432" s="490"/>
      <c r="FK432" s="490"/>
      <c r="FL432" s="490"/>
      <c r="FM432" s="490"/>
      <c r="FN432" s="490"/>
    </row>
    <row r="433" s="492" customFormat="1" spans="1:170">
      <c r="A433" s="540">
        <v>46204</v>
      </c>
      <c r="B433" s="515" t="s">
        <v>866</v>
      </c>
      <c r="C433" s="541">
        <v>10</v>
      </c>
      <c r="D433" s="515" t="s">
        <v>72</v>
      </c>
      <c r="E433" s="515" t="s">
        <v>72</v>
      </c>
      <c r="F433" s="515" t="s">
        <v>73</v>
      </c>
      <c r="G433" s="541">
        <v>1</v>
      </c>
      <c r="H433" s="541">
        <v>9</v>
      </c>
      <c r="I433" s="541" t="s">
        <v>724</v>
      </c>
      <c r="J433" s="541">
        <v>1.65</v>
      </c>
      <c r="K433" s="515" t="s">
        <v>607</v>
      </c>
      <c r="L433" s="509" t="s">
        <v>36</v>
      </c>
      <c r="M433" s="490"/>
      <c r="N433" s="490"/>
      <c r="O433" s="490"/>
      <c r="P433" s="490"/>
      <c r="Q433" s="490"/>
      <c r="R433" s="490"/>
      <c r="S433" s="490"/>
      <c r="T433" s="490"/>
      <c r="U433" s="490"/>
      <c r="V433" s="490"/>
      <c r="W433" s="490"/>
      <c r="X433" s="490"/>
      <c r="Y433" s="490"/>
      <c r="Z433" s="490"/>
      <c r="AA433" s="490"/>
      <c r="AB433" s="490"/>
      <c r="AC433" s="490"/>
      <c r="AD433" s="490"/>
      <c r="AE433" s="490"/>
      <c r="AF433" s="490"/>
      <c r="AG433" s="490"/>
      <c r="AH433" s="490"/>
      <c r="AI433" s="490"/>
      <c r="AJ433" s="490"/>
      <c r="AK433" s="490"/>
      <c r="AL433" s="490"/>
      <c r="AM433" s="490"/>
      <c r="AN433" s="490"/>
      <c r="AO433" s="490"/>
      <c r="AP433" s="490"/>
      <c r="AQ433" s="490"/>
      <c r="AR433" s="490"/>
      <c r="AS433" s="490"/>
      <c r="AT433" s="490"/>
      <c r="AU433" s="490"/>
      <c r="AV433" s="490"/>
      <c r="AW433" s="490"/>
      <c r="AX433" s="490"/>
      <c r="AY433" s="490"/>
      <c r="AZ433" s="490"/>
      <c r="BA433" s="490"/>
      <c r="BB433" s="490"/>
      <c r="BC433" s="490"/>
      <c r="BD433" s="490"/>
      <c r="BE433" s="490"/>
      <c r="BF433" s="490"/>
      <c r="BG433" s="490"/>
      <c r="BH433" s="490"/>
      <c r="BI433" s="490"/>
      <c r="BJ433" s="490"/>
      <c r="BK433" s="490"/>
      <c r="BL433" s="490"/>
      <c r="BM433" s="490"/>
      <c r="BN433" s="490"/>
      <c r="BO433" s="490"/>
      <c r="BP433" s="490"/>
      <c r="BQ433" s="490"/>
      <c r="BR433" s="490"/>
      <c r="BS433" s="490"/>
      <c r="BT433" s="490"/>
      <c r="BU433" s="490"/>
      <c r="BV433" s="490"/>
      <c r="BW433" s="490"/>
      <c r="BX433" s="490"/>
      <c r="BY433" s="490"/>
      <c r="BZ433" s="490"/>
      <c r="CA433" s="490"/>
      <c r="CB433" s="490"/>
      <c r="CC433" s="490"/>
      <c r="CD433" s="490"/>
      <c r="CE433" s="490"/>
      <c r="CF433" s="490"/>
      <c r="CG433" s="490"/>
      <c r="CH433" s="490"/>
      <c r="CI433" s="490"/>
      <c r="CJ433" s="490"/>
      <c r="CK433" s="490"/>
      <c r="CL433" s="490"/>
      <c r="CM433" s="490"/>
      <c r="CN433" s="490"/>
      <c r="CO433" s="490"/>
      <c r="CP433" s="490"/>
      <c r="CQ433" s="490"/>
      <c r="CR433" s="490"/>
      <c r="CS433" s="490"/>
      <c r="CT433" s="490"/>
      <c r="CU433" s="490"/>
      <c r="CV433" s="490"/>
      <c r="CW433" s="490"/>
      <c r="CX433" s="490"/>
      <c r="CY433" s="490"/>
      <c r="CZ433" s="490"/>
      <c r="DA433" s="490"/>
      <c r="DB433" s="490"/>
      <c r="DC433" s="490"/>
      <c r="DD433" s="490"/>
      <c r="DE433" s="490"/>
      <c r="DF433" s="490"/>
      <c r="DG433" s="490"/>
      <c r="DH433" s="490"/>
      <c r="DI433" s="490"/>
      <c r="DJ433" s="490"/>
      <c r="DK433" s="490"/>
      <c r="DL433" s="490"/>
      <c r="DM433" s="490"/>
      <c r="DN433" s="490"/>
      <c r="DO433" s="490"/>
      <c r="DP433" s="490"/>
      <c r="DQ433" s="490"/>
      <c r="DR433" s="490"/>
      <c r="DS433" s="490"/>
      <c r="DT433" s="490"/>
      <c r="DU433" s="490"/>
      <c r="DV433" s="490"/>
      <c r="DW433" s="490"/>
      <c r="DX433" s="490"/>
      <c r="DY433" s="490"/>
      <c r="DZ433" s="490"/>
      <c r="EA433" s="490"/>
      <c r="EB433" s="490"/>
      <c r="EC433" s="490"/>
      <c r="ED433" s="490"/>
      <c r="EE433" s="490"/>
      <c r="EF433" s="490"/>
      <c r="EG433" s="490"/>
      <c r="EH433" s="490"/>
      <c r="EI433" s="490"/>
      <c r="EJ433" s="490"/>
      <c r="EK433" s="490"/>
      <c r="EL433" s="490"/>
      <c r="EM433" s="490"/>
      <c r="EN433" s="490"/>
      <c r="EO433" s="490"/>
      <c r="EP433" s="490"/>
      <c r="EQ433" s="490"/>
      <c r="ER433" s="490"/>
      <c r="ES433" s="490"/>
      <c r="ET433" s="490"/>
      <c r="EU433" s="490"/>
      <c r="EV433" s="490"/>
      <c r="EW433" s="490"/>
      <c r="EX433" s="490"/>
      <c r="EY433" s="490"/>
      <c r="EZ433" s="490"/>
      <c r="FA433" s="490"/>
      <c r="FB433" s="490"/>
      <c r="FC433" s="490"/>
      <c r="FD433" s="490"/>
      <c r="FE433" s="490"/>
      <c r="FF433" s="490"/>
      <c r="FG433" s="490"/>
      <c r="FH433" s="490"/>
      <c r="FI433" s="490"/>
      <c r="FJ433" s="490"/>
      <c r="FK433" s="490"/>
      <c r="FL433" s="490"/>
      <c r="FM433" s="490"/>
      <c r="FN433" s="490"/>
    </row>
    <row r="434" s="492" customFormat="1" spans="1:170">
      <c r="A434" s="540"/>
      <c r="B434" s="515"/>
      <c r="C434" s="541"/>
      <c r="D434" s="515"/>
      <c r="E434" s="515"/>
      <c r="F434" s="515" t="s">
        <v>75</v>
      </c>
      <c r="G434" s="541">
        <v>1</v>
      </c>
      <c r="H434" s="541">
        <v>0.3</v>
      </c>
      <c r="I434" s="541" t="s">
        <v>859</v>
      </c>
      <c r="J434" s="541">
        <v>1.75</v>
      </c>
      <c r="K434" s="515"/>
      <c r="L434" s="509"/>
      <c r="M434" s="490"/>
      <c r="N434" s="490"/>
      <c r="O434" s="490"/>
      <c r="P434" s="490"/>
      <c r="Q434" s="490"/>
      <c r="R434" s="490"/>
      <c r="S434" s="490"/>
      <c r="T434" s="490"/>
      <c r="U434" s="490"/>
      <c r="V434" s="490"/>
      <c r="W434" s="490"/>
      <c r="X434" s="490"/>
      <c r="Y434" s="490"/>
      <c r="Z434" s="490"/>
      <c r="AA434" s="490"/>
      <c r="AB434" s="490"/>
      <c r="AC434" s="490"/>
      <c r="AD434" s="490"/>
      <c r="AE434" s="490"/>
      <c r="AF434" s="490"/>
      <c r="AG434" s="490"/>
      <c r="AH434" s="490"/>
      <c r="AI434" s="490"/>
      <c r="AJ434" s="490"/>
      <c r="AK434" s="490"/>
      <c r="AL434" s="490"/>
      <c r="AM434" s="490"/>
      <c r="AN434" s="490"/>
      <c r="AO434" s="490"/>
      <c r="AP434" s="490"/>
      <c r="AQ434" s="490"/>
      <c r="AR434" s="490"/>
      <c r="AS434" s="490"/>
      <c r="AT434" s="490"/>
      <c r="AU434" s="490"/>
      <c r="AV434" s="490"/>
      <c r="AW434" s="490"/>
      <c r="AX434" s="490"/>
      <c r="AY434" s="490"/>
      <c r="AZ434" s="490"/>
      <c r="BA434" s="490"/>
      <c r="BB434" s="490"/>
      <c r="BC434" s="490"/>
      <c r="BD434" s="490"/>
      <c r="BE434" s="490"/>
      <c r="BF434" s="490"/>
      <c r="BG434" s="490"/>
      <c r="BH434" s="490"/>
      <c r="BI434" s="490"/>
      <c r="BJ434" s="490"/>
      <c r="BK434" s="490"/>
      <c r="BL434" s="490"/>
      <c r="BM434" s="490"/>
      <c r="BN434" s="490"/>
      <c r="BO434" s="490"/>
      <c r="BP434" s="490"/>
      <c r="BQ434" s="490"/>
      <c r="BR434" s="490"/>
      <c r="BS434" s="490"/>
      <c r="BT434" s="490"/>
      <c r="BU434" s="490"/>
      <c r="BV434" s="490"/>
      <c r="BW434" s="490"/>
      <c r="BX434" s="490"/>
      <c r="BY434" s="490"/>
      <c r="BZ434" s="490"/>
      <c r="CA434" s="490"/>
      <c r="CB434" s="490"/>
      <c r="CC434" s="490"/>
      <c r="CD434" s="490"/>
      <c r="CE434" s="490"/>
      <c r="CF434" s="490"/>
      <c r="CG434" s="490"/>
      <c r="CH434" s="490"/>
      <c r="CI434" s="490"/>
      <c r="CJ434" s="490"/>
      <c r="CK434" s="490"/>
      <c r="CL434" s="490"/>
      <c r="CM434" s="490"/>
      <c r="CN434" s="490"/>
      <c r="CO434" s="490"/>
      <c r="CP434" s="490"/>
      <c r="CQ434" s="490"/>
      <c r="CR434" s="490"/>
      <c r="CS434" s="490"/>
      <c r="CT434" s="490"/>
      <c r="CU434" s="490"/>
      <c r="CV434" s="490"/>
      <c r="CW434" s="490"/>
      <c r="CX434" s="490"/>
      <c r="CY434" s="490"/>
      <c r="CZ434" s="490"/>
      <c r="DA434" s="490"/>
      <c r="DB434" s="490"/>
      <c r="DC434" s="490"/>
      <c r="DD434" s="490"/>
      <c r="DE434" s="490"/>
      <c r="DF434" s="490"/>
      <c r="DG434" s="490"/>
      <c r="DH434" s="490"/>
      <c r="DI434" s="490"/>
      <c r="DJ434" s="490"/>
      <c r="DK434" s="490"/>
      <c r="DL434" s="490"/>
      <c r="DM434" s="490"/>
      <c r="DN434" s="490"/>
      <c r="DO434" s="490"/>
      <c r="DP434" s="490"/>
      <c r="DQ434" s="490"/>
      <c r="DR434" s="490"/>
      <c r="DS434" s="490"/>
      <c r="DT434" s="490"/>
      <c r="DU434" s="490"/>
      <c r="DV434" s="490"/>
      <c r="DW434" s="490"/>
      <c r="DX434" s="490"/>
      <c r="DY434" s="490"/>
      <c r="DZ434" s="490"/>
      <c r="EA434" s="490"/>
      <c r="EB434" s="490"/>
      <c r="EC434" s="490"/>
      <c r="ED434" s="490"/>
      <c r="EE434" s="490"/>
      <c r="EF434" s="490"/>
      <c r="EG434" s="490"/>
      <c r="EH434" s="490"/>
      <c r="EI434" s="490"/>
      <c r="EJ434" s="490"/>
      <c r="EK434" s="490"/>
      <c r="EL434" s="490"/>
      <c r="EM434" s="490"/>
      <c r="EN434" s="490"/>
      <c r="EO434" s="490"/>
      <c r="EP434" s="490"/>
      <c r="EQ434" s="490"/>
      <c r="ER434" s="490"/>
      <c r="ES434" s="490"/>
      <c r="ET434" s="490"/>
      <c r="EU434" s="490"/>
      <c r="EV434" s="490"/>
      <c r="EW434" s="490"/>
      <c r="EX434" s="490"/>
      <c r="EY434" s="490"/>
      <c r="EZ434" s="490"/>
      <c r="FA434" s="490"/>
      <c r="FB434" s="490"/>
      <c r="FC434" s="490"/>
      <c r="FD434" s="490"/>
      <c r="FE434" s="490"/>
      <c r="FF434" s="490"/>
      <c r="FG434" s="490"/>
      <c r="FH434" s="490"/>
      <c r="FI434" s="490"/>
      <c r="FJ434" s="490"/>
      <c r="FK434" s="490"/>
      <c r="FL434" s="490"/>
      <c r="FM434" s="490"/>
      <c r="FN434" s="490"/>
    </row>
    <row r="435" s="492" customFormat="1" spans="1:170">
      <c r="A435" s="540"/>
      <c r="B435" s="515"/>
      <c r="C435" s="541"/>
      <c r="D435" s="515"/>
      <c r="E435" s="515"/>
      <c r="F435" s="515" t="s">
        <v>99</v>
      </c>
      <c r="G435" s="541">
        <v>1</v>
      </c>
      <c r="H435" s="541">
        <v>0.2</v>
      </c>
      <c r="I435" s="541" t="s">
        <v>64</v>
      </c>
      <c r="J435" s="541">
        <v>3.1</v>
      </c>
      <c r="K435" s="515"/>
      <c r="L435" s="509"/>
      <c r="M435" s="490"/>
      <c r="N435" s="490"/>
      <c r="O435" s="490"/>
      <c r="P435" s="490"/>
      <c r="Q435" s="490"/>
      <c r="R435" s="490"/>
      <c r="S435" s="490"/>
      <c r="T435" s="490"/>
      <c r="U435" s="490"/>
      <c r="V435" s="490"/>
      <c r="W435" s="490"/>
      <c r="X435" s="490"/>
      <c r="Y435" s="490"/>
      <c r="Z435" s="490"/>
      <c r="AA435" s="490"/>
      <c r="AB435" s="490"/>
      <c r="AC435" s="490"/>
      <c r="AD435" s="490"/>
      <c r="AE435" s="490"/>
      <c r="AF435" s="490"/>
      <c r="AG435" s="490"/>
      <c r="AH435" s="490"/>
      <c r="AI435" s="490"/>
      <c r="AJ435" s="490"/>
      <c r="AK435" s="490"/>
      <c r="AL435" s="490"/>
      <c r="AM435" s="490"/>
      <c r="AN435" s="490"/>
      <c r="AO435" s="490"/>
      <c r="AP435" s="490"/>
      <c r="AQ435" s="490"/>
      <c r="AR435" s="490"/>
      <c r="AS435" s="490"/>
      <c r="AT435" s="490"/>
      <c r="AU435" s="490"/>
      <c r="AV435" s="490"/>
      <c r="AW435" s="490"/>
      <c r="AX435" s="490"/>
      <c r="AY435" s="490"/>
      <c r="AZ435" s="490"/>
      <c r="BA435" s="490"/>
      <c r="BB435" s="490"/>
      <c r="BC435" s="490"/>
      <c r="BD435" s="490"/>
      <c r="BE435" s="490"/>
      <c r="BF435" s="490"/>
      <c r="BG435" s="490"/>
      <c r="BH435" s="490"/>
      <c r="BI435" s="490"/>
      <c r="BJ435" s="490"/>
      <c r="BK435" s="490"/>
      <c r="BL435" s="490"/>
      <c r="BM435" s="490"/>
      <c r="BN435" s="490"/>
      <c r="BO435" s="490"/>
      <c r="BP435" s="490"/>
      <c r="BQ435" s="490"/>
      <c r="BR435" s="490"/>
      <c r="BS435" s="490"/>
      <c r="BT435" s="490"/>
      <c r="BU435" s="490"/>
      <c r="BV435" s="490"/>
      <c r="BW435" s="490"/>
      <c r="BX435" s="490"/>
      <c r="BY435" s="490"/>
      <c r="BZ435" s="490"/>
      <c r="CA435" s="490"/>
      <c r="CB435" s="490"/>
      <c r="CC435" s="490"/>
      <c r="CD435" s="490"/>
      <c r="CE435" s="490"/>
      <c r="CF435" s="490"/>
      <c r="CG435" s="490"/>
      <c r="CH435" s="490"/>
      <c r="CI435" s="490"/>
      <c r="CJ435" s="490"/>
      <c r="CK435" s="490"/>
      <c r="CL435" s="490"/>
      <c r="CM435" s="490"/>
      <c r="CN435" s="490"/>
      <c r="CO435" s="490"/>
      <c r="CP435" s="490"/>
      <c r="CQ435" s="490"/>
      <c r="CR435" s="490"/>
      <c r="CS435" s="490"/>
      <c r="CT435" s="490"/>
      <c r="CU435" s="490"/>
      <c r="CV435" s="490"/>
      <c r="CW435" s="490"/>
      <c r="CX435" s="490"/>
      <c r="CY435" s="490"/>
      <c r="CZ435" s="490"/>
      <c r="DA435" s="490"/>
      <c r="DB435" s="490"/>
      <c r="DC435" s="490"/>
      <c r="DD435" s="490"/>
      <c r="DE435" s="490"/>
      <c r="DF435" s="490"/>
      <c r="DG435" s="490"/>
      <c r="DH435" s="490"/>
      <c r="DI435" s="490"/>
      <c r="DJ435" s="490"/>
      <c r="DK435" s="490"/>
      <c r="DL435" s="490"/>
      <c r="DM435" s="490"/>
      <c r="DN435" s="490"/>
      <c r="DO435" s="490"/>
      <c r="DP435" s="490"/>
      <c r="DQ435" s="490"/>
      <c r="DR435" s="490"/>
      <c r="DS435" s="490"/>
      <c r="DT435" s="490"/>
      <c r="DU435" s="490"/>
      <c r="DV435" s="490"/>
      <c r="DW435" s="490"/>
      <c r="DX435" s="490"/>
      <c r="DY435" s="490"/>
      <c r="DZ435" s="490"/>
      <c r="EA435" s="490"/>
      <c r="EB435" s="490"/>
      <c r="EC435" s="490"/>
      <c r="ED435" s="490"/>
      <c r="EE435" s="490"/>
      <c r="EF435" s="490"/>
      <c r="EG435" s="490"/>
      <c r="EH435" s="490"/>
      <c r="EI435" s="490"/>
      <c r="EJ435" s="490"/>
      <c r="EK435" s="490"/>
      <c r="EL435" s="490"/>
      <c r="EM435" s="490"/>
      <c r="EN435" s="490"/>
      <c r="EO435" s="490"/>
      <c r="EP435" s="490"/>
      <c r="EQ435" s="490"/>
      <c r="ER435" s="490"/>
      <c r="ES435" s="490"/>
      <c r="ET435" s="490"/>
      <c r="EU435" s="490"/>
      <c r="EV435" s="490"/>
      <c r="EW435" s="490"/>
      <c r="EX435" s="490"/>
      <c r="EY435" s="490"/>
      <c r="EZ435" s="490"/>
      <c r="FA435" s="490"/>
      <c r="FB435" s="490"/>
      <c r="FC435" s="490"/>
      <c r="FD435" s="490"/>
      <c r="FE435" s="490"/>
      <c r="FF435" s="490"/>
      <c r="FG435" s="490"/>
      <c r="FH435" s="490"/>
      <c r="FI435" s="490"/>
      <c r="FJ435" s="490"/>
      <c r="FK435" s="490"/>
      <c r="FL435" s="490"/>
      <c r="FM435" s="490"/>
      <c r="FN435" s="490"/>
    </row>
    <row r="436" s="492" customFormat="1" spans="1:170">
      <c r="A436" s="540"/>
      <c r="B436" s="515"/>
      <c r="C436" s="541"/>
      <c r="D436" s="515"/>
      <c r="E436" s="515"/>
      <c r="F436" s="515" t="s">
        <v>91</v>
      </c>
      <c r="G436" s="541">
        <v>2.83</v>
      </c>
      <c r="H436" s="541">
        <v>0.5</v>
      </c>
      <c r="I436" s="541" t="s">
        <v>24</v>
      </c>
      <c r="J436" s="541" t="s">
        <v>24</v>
      </c>
      <c r="K436" s="515"/>
      <c r="L436" s="509"/>
      <c r="M436" s="490"/>
      <c r="N436" s="490"/>
      <c r="O436" s="490"/>
      <c r="P436" s="490"/>
      <c r="Q436" s="490"/>
      <c r="R436" s="490"/>
      <c r="S436" s="490"/>
      <c r="T436" s="490"/>
      <c r="U436" s="490"/>
      <c r="V436" s="490"/>
      <c r="W436" s="490"/>
      <c r="X436" s="490"/>
      <c r="Y436" s="490"/>
      <c r="Z436" s="490"/>
      <c r="AA436" s="490"/>
      <c r="AB436" s="490"/>
      <c r="AC436" s="490"/>
      <c r="AD436" s="490"/>
      <c r="AE436" s="490"/>
      <c r="AF436" s="490"/>
      <c r="AG436" s="490"/>
      <c r="AH436" s="490"/>
      <c r="AI436" s="490"/>
      <c r="AJ436" s="490"/>
      <c r="AK436" s="490"/>
      <c r="AL436" s="490"/>
      <c r="AM436" s="490"/>
      <c r="AN436" s="490"/>
      <c r="AO436" s="490"/>
      <c r="AP436" s="490"/>
      <c r="AQ436" s="490"/>
      <c r="AR436" s="490"/>
      <c r="AS436" s="490"/>
      <c r="AT436" s="490"/>
      <c r="AU436" s="490"/>
      <c r="AV436" s="490"/>
      <c r="AW436" s="490"/>
      <c r="AX436" s="490"/>
      <c r="AY436" s="490"/>
      <c r="AZ436" s="490"/>
      <c r="BA436" s="490"/>
      <c r="BB436" s="490"/>
      <c r="BC436" s="490"/>
      <c r="BD436" s="490"/>
      <c r="BE436" s="490"/>
      <c r="BF436" s="490"/>
      <c r="BG436" s="490"/>
      <c r="BH436" s="490"/>
      <c r="BI436" s="490"/>
      <c r="BJ436" s="490"/>
      <c r="BK436" s="490"/>
      <c r="BL436" s="490"/>
      <c r="BM436" s="490"/>
      <c r="BN436" s="490"/>
      <c r="BO436" s="490"/>
      <c r="BP436" s="490"/>
      <c r="BQ436" s="490"/>
      <c r="BR436" s="490"/>
      <c r="BS436" s="490"/>
      <c r="BT436" s="490"/>
      <c r="BU436" s="490"/>
      <c r="BV436" s="490"/>
      <c r="BW436" s="490"/>
      <c r="BX436" s="490"/>
      <c r="BY436" s="490"/>
      <c r="BZ436" s="490"/>
      <c r="CA436" s="490"/>
      <c r="CB436" s="490"/>
      <c r="CC436" s="490"/>
      <c r="CD436" s="490"/>
      <c r="CE436" s="490"/>
      <c r="CF436" s="490"/>
      <c r="CG436" s="490"/>
      <c r="CH436" s="490"/>
      <c r="CI436" s="490"/>
      <c r="CJ436" s="490"/>
      <c r="CK436" s="490"/>
      <c r="CL436" s="490"/>
      <c r="CM436" s="490"/>
      <c r="CN436" s="490"/>
      <c r="CO436" s="490"/>
      <c r="CP436" s="490"/>
      <c r="CQ436" s="490"/>
      <c r="CR436" s="490"/>
      <c r="CS436" s="490"/>
      <c r="CT436" s="490"/>
      <c r="CU436" s="490"/>
      <c r="CV436" s="490"/>
      <c r="CW436" s="490"/>
      <c r="CX436" s="490"/>
      <c r="CY436" s="490"/>
      <c r="CZ436" s="490"/>
      <c r="DA436" s="490"/>
      <c r="DB436" s="490"/>
      <c r="DC436" s="490"/>
      <c r="DD436" s="490"/>
      <c r="DE436" s="490"/>
      <c r="DF436" s="490"/>
      <c r="DG436" s="490"/>
      <c r="DH436" s="490"/>
      <c r="DI436" s="490"/>
      <c r="DJ436" s="490"/>
      <c r="DK436" s="490"/>
      <c r="DL436" s="490"/>
      <c r="DM436" s="490"/>
      <c r="DN436" s="490"/>
      <c r="DO436" s="490"/>
      <c r="DP436" s="490"/>
      <c r="DQ436" s="490"/>
      <c r="DR436" s="490"/>
      <c r="DS436" s="490"/>
      <c r="DT436" s="490"/>
      <c r="DU436" s="490"/>
      <c r="DV436" s="490"/>
      <c r="DW436" s="490"/>
      <c r="DX436" s="490"/>
      <c r="DY436" s="490"/>
      <c r="DZ436" s="490"/>
      <c r="EA436" s="490"/>
      <c r="EB436" s="490"/>
      <c r="EC436" s="490"/>
      <c r="ED436" s="490"/>
      <c r="EE436" s="490"/>
      <c r="EF436" s="490"/>
      <c r="EG436" s="490"/>
      <c r="EH436" s="490"/>
      <c r="EI436" s="490"/>
      <c r="EJ436" s="490"/>
      <c r="EK436" s="490"/>
      <c r="EL436" s="490"/>
      <c r="EM436" s="490"/>
      <c r="EN436" s="490"/>
      <c r="EO436" s="490"/>
      <c r="EP436" s="490"/>
      <c r="EQ436" s="490"/>
      <c r="ER436" s="490"/>
      <c r="ES436" s="490"/>
      <c r="ET436" s="490"/>
      <c r="EU436" s="490"/>
      <c r="EV436" s="490"/>
      <c r="EW436" s="490"/>
      <c r="EX436" s="490"/>
      <c r="EY436" s="490"/>
      <c r="EZ436" s="490"/>
      <c r="FA436" s="490"/>
      <c r="FB436" s="490"/>
      <c r="FC436" s="490"/>
      <c r="FD436" s="490"/>
      <c r="FE436" s="490"/>
      <c r="FF436" s="490"/>
      <c r="FG436" s="490"/>
      <c r="FH436" s="490"/>
      <c r="FI436" s="490"/>
      <c r="FJ436" s="490"/>
      <c r="FK436" s="490"/>
      <c r="FL436" s="490"/>
      <c r="FM436" s="490"/>
      <c r="FN436" s="490"/>
    </row>
    <row r="437" s="492" customFormat="1" spans="1:170">
      <c r="A437" s="540">
        <v>46205</v>
      </c>
      <c r="B437" s="515" t="s">
        <v>867</v>
      </c>
      <c r="C437" s="541">
        <v>10</v>
      </c>
      <c r="D437" s="515" t="s">
        <v>649</v>
      </c>
      <c r="E437" s="515" t="s">
        <v>649</v>
      </c>
      <c r="F437" s="515" t="s">
        <v>128</v>
      </c>
      <c r="G437" s="541">
        <v>1</v>
      </c>
      <c r="H437" s="541">
        <v>8.9</v>
      </c>
      <c r="I437" s="541" t="s">
        <v>724</v>
      </c>
      <c r="J437" s="541">
        <v>1.58</v>
      </c>
      <c r="K437" s="515" t="s">
        <v>603</v>
      </c>
      <c r="L437" s="509" t="s">
        <v>130</v>
      </c>
      <c r="M437" s="490"/>
      <c r="N437" s="490"/>
      <c r="O437" s="490"/>
      <c r="P437" s="490"/>
      <c r="Q437" s="490"/>
      <c r="R437" s="490"/>
      <c r="S437" s="490"/>
      <c r="T437" s="490"/>
      <c r="U437" s="490"/>
      <c r="V437" s="490"/>
      <c r="W437" s="490"/>
      <c r="X437" s="490"/>
      <c r="Y437" s="490"/>
      <c r="Z437" s="490"/>
      <c r="AA437" s="490"/>
      <c r="AB437" s="490"/>
      <c r="AC437" s="490"/>
      <c r="AD437" s="490"/>
      <c r="AE437" s="490"/>
      <c r="AF437" s="490"/>
      <c r="AG437" s="490"/>
      <c r="AH437" s="490"/>
      <c r="AI437" s="490"/>
      <c r="AJ437" s="490"/>
      <c r="AK437" s="490"/>
      <c r="AL437" s="490"/>
      <c r="AM437" s="490"/>
      <c r="AN437" s="490"/>
      <c r="AO437" s="490"/>
      <c r="AP437" s="490"/>
      <c r="AQ437" s="490"/>
      <c r="AR437" s="490"/>
      <c r="AS437" s="490"/>
      <c r="AT437" s="490"/>
      <c r="AU437" s="490"/>
      <c r="AV437" s="490"/>
      <c r="AW437" s="490"/>
      <c r="AX437" s="490"/>
      <c r="AY437" s="490"/>
      <c r="AZ437" s="490"/>
      <c r="BA437" s="490"/>
      <c r="BB437" s="490"/>
      <c r="BC437" s="490"/>
      <c r="BD437" s="490"/>
      <c r="BE437" s="490"/>
      <c r="BF437" s="490"/>
      <c r="BG437" s="490"/>
      <c r="BH437" s="490"/>
      <c r="BI437" s="490"/>
      <c r="BJ437" s="490"/>
      <c r="BK437" s="490"/>
      <c r="BL437" s="490"/>
      <c r="BM437" s="490"/>
      <c r="BN437" s="490"/>
      <c r="BO437" s="490"/>
      <c r="BP437" s="490"/>
      <c r="BQ437" s="490"/>
      <c r="BR437" s="490"/>
      <c r="BS437" s="490"/>
      <c r="BT437" s="490"/>
      <c r="BU437" s="490"/>
      <c r="BV437" s="490"/>
      <c r="BW437" s="490"/>
      <c r="BX437" s="490"/>
      <c r="BY437" s="490"/>
      <c r="BZ437" s="490"/>
      <c r="CA437" s="490"/>
      <c r="CB437" s="490"/>
      <c r="CC437" s="490"/>
      <c r="CD437" s="490"/>
      <c r="CE437" s="490"/>
      <c r="CF437" s="490"/>
      <c r="CG437" s="490"/>
      <c r="CH437" s="490"/>
      <c r="CI437" s="490"/>
      <c r="CJ437" s="490"/>
      <c r="CK437" s="490"/>
      <c r="CL437" s="490"/>
      <c r="CM437" s="490"/>
      <c r="CN437" s="490"/>
      <c r="CO437" s="490"/>
      <c r="CP437" s="490"/>
      <c r="CQ437" s="490"/>
      <c r="CR437" s="490"/>
      <c r="CS437" s="490"/>
      <c r="CT437" s="490"/>
      <c r="CU437" s="490"/>
      <c r="CV437" s="490"/>
      <c r="CW437" s="490"/>
      <c r="CX437" s="490"/>
      <c r="CY437" s="490"/>
      <c r="CZ437" s="490"/>
      <c r="DA437" s="490"/>
      <c r="DB437" s="490"/>
      <c r="DC437" s="490"/>
      <c r="DD437" s="490"/>
      <c r="DE437" s="490"/>
      <c r="DF437" s="490"/>
      <c r="DG437" s="490"/>
      <c r="DH437" s="490"/>
      <c r="DI437" s="490"/>
      <c r="DJ437" s="490"/>
      <c r="DK437" s="490"/>
      <c r="DL437" s="490"/>
      <c r="DM437" s="490"/>
      <c r="DN437" s="490"/>
      <c r="DO437" s="490"/>
      <c r="DP437" s="490"/>
      <c r="DQ437" s="490"/>
      <c r="DR437" s="490"/>
      <c r="DS437" s="490"/>
      <c r="DT437" s="490"/>
      <c r="DU437" s="490"/>
      <c r="DV437" s="490"/>
      <c r="DW437" s="490"/>
      <c r="DX437" s="490"/>
      <c r="DY437" s="490"/>
      <c r="DZ437" s="490"/>
      <c r="EA437" s="490"/>
      <c r="EB437" s="490"/>
      <c r="EC437" s="490"/>
      <c r="ED437" s="490"/>
      <c r="EE437" s="490"/>
      <c r="EF437" s="490"/>
      <c r="EG437" s="490"/>
      <c r="EH437" s="490"/>
      <c r="EI437" s="490"/>
      <c r="EJ437" s="490"/>
      <c r="EK437" s="490"/>
      <c r="EL437" s="490"/>
      <c r="EM437" s="490"/>
      <c r="EN437" s="490"/>
      <c r="EO437" s="490"/>
      <c r="EP437" s="490"/>
      <c r="EQ437" s="490"/>
      <c r="ER437" s="490"/>
      <c r="ES437" s="490"/>
      <c r="ET437" s="490"/>
      <c r="EU437" s="490"/>
      <c r="EV437" s="490"/>
      <c r="EW437" s="490"/>
      <c r="EX437" s="490"/>
      <c r="EY437" s="490"/>
      <c r="EZ437" s="490"/>
      <c r="FA437" s="490"/>
      <c r="FB437" s="490"/>
      <c r="FC437" s="490"/>
      <c r="FD437" s="490"/>
      <c r="FE437" s="490"/>
      <c r="FF437" s="490"/>
      <c r="FG437" s="490"/>
      <c r="FH437" s="490"/>
      <c r="FI437" s="490"/>
      <c r="FJ437" s="490"/>
      <c r="FK437" s="490"/>
      <c r="FL437" s="490"/>
      <c r="FM437" s="490"/>
      <c r="FN437" s="490"/>
    </row>
    <row r="438" s="492" customFormat="1" spans="1:170">
      <c r="A438" s="540"/>
      <c r="B438" s="515"/>
      <c r="C438" s="541"/>
      <c r="D438" s="515"/>
      <c r="E438" s="515"/>
      <c r="F438" s="515" t="s">
        <v>131</v>
      </c>
      <c r="G438" s="541">
        <v>1.17</v>
      </c>
      <c r="H438" s="541">
        <v>0.5</v>
      </c>
      <c r="I438" s="541" t="s">
        <v>859</v>
      </c>
      <c r="J438" s="541">
        <v>1.77</v>
      </c>
      <c r="K438" s="515"/>
      <c r="L438" s="509"/>
      <c r="M438" s="490"/>
      <c r="N438" s="490"/>
      <c r="O438" s="490"/>
      <c r="P438" s="490"/>
      <c r="Q438" s="490"/>
      <c r="R438" s="490"/>
      <c r="S438" s="490"/>
      <c r="T438" s="490"/>
      <c r="U438" s="490"/>
      <c r="V438" s="490"/>
      <c r="W438" s="490"/>
      <c r="X438" s="490"/>
      <c r="Y438" s="490"/>
      <c r="Z438" s="490"/>
      <c r="AA438" s="490"/>
      <c r="AB438" s="490"/>
      <c r="AC438" s="490"/>
      <c r="AD438" s="490"/>
      <c r="AE438" s="490"/>
      <c r="AF438" s="490"/>
      <c r="AG438" s="490"/>
      <c r="AH438" s="490"/>
      <c r="AI438" s="490"/>
      <c r="AJ438" s="490"/>
      <c r="AK438" s="490"/>
      <c r="AL438" s="490"/>
      <c r="AM438" s="490"/>
      <c r="AN438" s="490"/>
      <c r="AO438" s="490"/>
      <c r="AP438" s="490"/>
      <c r="AQ438" s="490"/>
      <c r="AR438" s="490"/>
      <c r="AS438" s="490"/>
      <c r="AT438" s="490"/>
      <c r="AU438" s="490"/>
      <c r="AV438" s="490"/>
      <c r="AW438" s="490"/>
      <c r="AX438" s="490"/>
      <c r="AY438" s="490"/>
      <c r="AZ438" s="490"/>
      <c r="BA438" s="490"/>
      <c r="BB438" s="490"/>
      <c r="BC438" s="490"/>
      <c r="BD438" s="490"/>
      <c r="BE438" s="490"/>
      <c r="BF438" s="490"/>
      <c r="BG438" s="490"/>
      <c r="BH438" s="490"/>
      <c r="BI438" s="490"/>
      <c r="BJ438" s="490"/>
      <c r="BK438" s="490"/>
      <c r="BL438" s="490"/>
      <c r="BM438" s="490"/>
      <c r="BN438" s="490"/>
      <c r="BO438" s="490"/>
      <c r="BP438" s="490"/>
      <c r="BQ438" s="490"/>
      <c r="BR438" s="490"/>
      <c r="BS438" s="490"/>
      <c r="BT438" s="490"/>
      <c r="BU438" s="490"/>
      <c r="BV438" s="490"/>
      <c r="BW438" s="490"/>
      <c r="BX438" s="490"/>
      <c r="BY438" s="490"/>
      <c r="BZ438" s="490"/>
      <c r="CA438" s="490"/>
      <c r="CB438" s="490"/>
      <c r="CC438" s="490"/>
      <c r="CD438" s="490"/>
      <c r="CE438" s="490"/>
      <c r="CF438" s="490"/>
      <c r="CG438" s="490"/>
      <c r="CH438" s="490"/>
      <c r="CI438" s="490"/>
      <c r="CJ438" s="490"/>
      <c r="CK438" s="490"/>
      <c r="CL438" s="490"/>
      <c r="CM438" s="490"/>
      <c r="CN438" s="490"/>
      <c r="CO438" s="490"/>
      <c r="CP438" s="490"/>
      <c r="CQ438" s="490"/>
      <c r="CR438" s="490"/>
      <c r="CS438" s="490"/>
      <c r="CT438" s="490"/>
      <c r="CU438" s="490"/>
      <c r="CV438" s="490"/>
      <c r="CW438" s="490"/>
      <c r="CX438" s="490"/>
      <c r="CY438" s="490"/>
      <c r="CZ438" s="490"/>
      <c r="DA438" s="490"/>
      <c r="DB438" s="490"/>
      <c r="DC438" s="490"/>
      <c r="DD438" s="490"/>
      <c r="DE438" s="490"/>
      <c r="DF438" s="490"/>
      <c r="DG438" s="490"/>
      <c r="DH438" s="490"/>
      <c r="DI438" s="490"/>
      <c r="DJ438" s="490"/>
      <c r="DK438" s="490"/>
      <c r="DL438" s="490"/>
      <c r="DM438" s="490"/>
      <c r="DN438" s="490"/>
      <c r="DO438" s="490"/>
      <c r="DP438" s="490"/>
      <c r="DQ438" s="490"/>
      <c r="DR438" s="490"/>
      <c r="DS438" s="490"/>
      <c r="DT438" s="490"/>
      <c r="DU438" s="490"/>
      <c r="DV438" s="490"/>
      <c r="DW438" s="490"/>
      <c r="DX438" s="490"/>
      <c r="DY438" s="490"/>
      <c r="DZ438" s="490"/>
      <c r="EA438" s="490"/>
      <c r="EB438" s="490"/>
      <c r="EC438" s="490"/>
      <c r="ED438" s="490"/>
      <c r="EE438" s="490"/>
      <c r="EF438" s="490"/>
      <c r="EG438" s="490"/>
      <c r="EH438" s="490"/>
      <c r="EI438" s="490"/>
      <c r="EJ438" s="490"/>
      <c r="EK438" s="490"/>
      <c r="EL438" s="490"/>
      <c r="EM438" s="490"/>
      <c r="EN438" s="490"/>
      <c r="EO438" s="490"/>
      <c r="EP438" s="490"/>
      <c r="EQ438" s="490"/>
      <c r="ER438" s="490"/>
      <c r="ES438" s="490"/>
      <c r="ET438" s="490"/>
      <c r="EU438" s="490"/>
      <c r="EV438" s="490"/>
      <c r="EW438" s="490"/>
      <c r="EX438" s="490"/>
      <c r="EY438" s="490"/>
      <c r="EZ438" s="490"/>
      <c r="FA438" s="490"/>
      <c r="FB438" s="490"/>
      <c r="FC438" s="490"/>
      <c r="FD438" s="490"/>
      <c r="FE438" s="490"/>
      <c r="FF438" s="490"/>
      <c r="FG438" s="490"/>
      <c r="FH438" s="490"/>
      <c r="FI438" s="490"/>
      <c r="FJ438" s="490"/>
      <c r="FK438" s="490"/>
      <c r="FL438" s="490"/>
      <c r="FM438" s="490"/>
      <c r="FN438" s="490"/>
    </row>
    <row r="439" s="492" customFormat="1" spans="1:170">
      <c r="A439" s="540"/>
      <c r="B439" s="515"/>
      <c r="C439" s="541"/>
      <c r="D439" s="515"/>
      <c r="E439" s="515"/>
      <c r="F439" s="515" t="s">
        <v>91</v>
      </c>
      <c r="G439" s="541">
        <v>1.75</v>
      </c>
      <c r="H439" s="541">
        <v>0.6</v>
      </c>
      <c r="I439" s="541" t="s">
        <v>868</v>
      </c>
      <c r="J439" s="541" t="s">
        <v>24</v>
      </c>
      <c r="K439" s="515"/>
      <c r="L439" s="509"/>
      <c r="M439" s="490"/>
      <c r="N439" s="490"/>
      <c r="O439" s="490"/>
      <c r="P439" s="490"/>
      <c r="Q439" s="490"/>
      <c r="R439" s="490"/>
      <c r="S439" s="490"/>
      <c r="T439" s="490"/>
      <c r="U439" s="490"/>
      <c r="V439" s="490"/>
      <c r="W439" s="490"/>
      <c r="X439" s="490"/>
      <c r="Y439" s="490"/>
      <c r="Z439" s="490"/>
      <c r="AA439" s="490"/>
      <c r="AB439" s="490"/>
      <c r="AC439" s="490"/>
      <c r="AD439" s="490"/>
      <c r="AE439" s="490"/>
      <c r="AF439" s="490"/>
      <c r="AG439" s="490"/>
      <c r="AH439" s="490"/>
      <c r="AI439" s="490"/>
      <c r="AJ439" s="490"/>
      <c r="AK439" s="490"/>
      <c r="AL439" s="490"/>
      <c r="AM439" s="490"/>
      <c r="AN439" s="490"/>
      <c r="AO439" s="490"/>
      <c r="AP439" s="490"/>
      <c r="AQ439" s="490"/>
      <c r="AR439" s="490"/>
      <c r="AS439" s="490"/>
      <c r="AT439" s="490"/>
      <c r="AU439" s="490"/>
      <c r="AV439" s="490"/>
      <c r="AW439" s="490"/>
      <c r="AX439" s="490"/>
      <c r="AY439" s="490"/>
      <c r="AZ439" s="490"/>
      <c r="BA439" s="490"/>
      <c r="BB439" s="490"/>
      <c r="BC439" s="490"/>
      <c r="BD439" s="490"/>
      <c r="BE439" s="490"/>
      <c r="BF439" s="490"/>
      <c r="BG439" s="490"/>
      <c r="BH439" s="490"/>
      <c r="BI439" s="490"/>
      <c r="BJ439" s="490"/>
      <c r="BK439" s="490"/>
      <c r="BL439" s="490"/>
      <c r="BM439" s="490"/>
      <c r="BN439" s="490"/>
      <c r="BO439" s="490"/>
      <c r="BP439" s="490"/>
      <c r="BQ439" s="490"/>
      <c r="BR439" s="490"/>
      <c r="BS439" s="490"/>
      <c r="BT439" s="490"/>
      <c r="BU439" s="490"/>
      <c r="BV439" s="490"/>
      <c r="BW439" s="490"/>
      <c r="BX439" s="490"/>
      <c r="BY439" s="490"/>
      <c r="BZ439" s="490"/>
      <c r="CA439" s="490"/>
      <c r="CB439" s="490"/>
      <c r="CC439" s="490"/>
      <c r="CD439" s="490"/>
      <c r="CE439" s="490"/>
      <c r="CF439" s="490"/>
      <c r="CG439" s="490"/>
      <c r="CH439" s="490"/>
      <c r="CI439" s="490"/>
      <c r="CJ439" s="490"/>
      <c r="CK439" s="490"/>
      <c r="CL439" s="490"/>
      <c r="CM439" s="490"/>
      <c r="CN439" s="490"/>
      <c r="CO439" s="490"/>
      <c r="CP439" s="490"/>
      <c r="CQ439" s="490"/>
      <c r="CR439" s="490"/>
      <c r="CS439" s="490"/>
      <c r="CT439" s="490"/>
      <c r="CU439" s="490"/>
      <c r="CV439" s="490"/>
      <c r="CW439" s="490"/>
      <c r="CX439" s="490"/>
      <c r="CY439" s="490"/>
      <c r="CZ439" s="490"/>
      <c r="DA439" s="490"/>
      <c r="DB439" s="490"/>
      <c r="DC439" s="490"/>
      <c r="DD439" s="490"/>
      <c r="DE439" s="490"/>
      <c r="DF439" s="490"/>
      <c r="DG439" s="490"/>
      <c r="DH439" s="490"/>
      <c r="DI439" s="490"/>
      <c r="DJ439" s="490"/>
      <c r="DK439" s="490"/>
      <c r="DL439" s="490"/>
      <c r="DM439" s="490"/>
      <c r="DN439" s="490"/>
      <c r="DO439" s="490"/>
      <c r="DP439" s="490"/>
      <c r="DQ439" s="490"/>
      <c r="DR439" s="490"/>
      <c r="DS439" s="490"/>
      <c r="DT439" s="490"/>
      <c r="DU439" s="490"/>
      <c r="DV439" s="490"/>
      <c r="DW439" s="490"/>
      <c r="DX439" s="490"/>
      <c r="DY439" s="490"/>
      <c r="DZ439" s="490"/>
      <c r="EA439" s="490"/>
      <c r="EB439" s="490"/>
      <c r="EC439" s="490"/>
      <c r="ED439" s="490"/>
      <c r="EE439" s="490"/>
      <c r="EF439" s="490"/>
      <c r="EG439" s="490"/>
      <c r="EH439" s="490"/>
      <c r="EI439" s="490"/>
      <c r="EJ439" s="490"/>
      <c r="EK439" s="490"/>
      <c r="EL439" s="490"/>
      <c r="EM439" s="490"/>
      <c r="EN439" s="490"/>
      <c r="EO439" s="490"/>
      <c r="EP439" s="490"/>
      <c r="EQ439" s="490"/>
      <c r="ER439" s="490"/>
      <c r="ES439" s="490"/>
      <c r="ET439" s="490"/>
      <c r="EU439" s="490"/>
      <c r="EV439" s="490"/>
      <c r="EW439" s="490"/>
      <c r="EX439" s="490"/>
      <c r="EY439" s="490"/>
      <c r="EZ439" s="490"/>
      <c r="FA439" s="490"/>
      <c r="FB439" s="490"/>
      <c r="FC439" s="490"/>
      <c r="FD439" s="490"/>
      <c r="FE439" s="490"/>
      <c r="FF439" s="490"/>
      <c r="FG439" s="490"/>
      <c r="FH439" s="490"/>
      <c r="FI439" s="490"/>
      <c r="FJ439" s="490"/>
      <c r="FK439" s="490"/>
      <c r="FL439" s="490"/>
      <c r="FM439" s="490"/>
      <c r="FN439" s="490"/>
    </row>
    <row r="440" s="490" customFormat="1" spans="1:170">
      <c r="A440" s="583">
        <v>46205</v>
      </c>
      <c r="B440" s="565" t="s">
        <v>869</v>
      </c>
      <c r="C440" s="546">
        <v>10</v>
      </c>
      <c r="D440" s="565" t="s">
        <v>447</v>
      </c>
      <c r="E440" s="565" t="s">
        <v>447</v>
      </c>
      <c r="F440" s="515" t="s">
        <v>128</v>
      </c>
      <c r="G440" s="541">
        <v>1</v>
      </c>
      <c r="H440" s="541">
        <v>8.8</v>
      </c>
      <c r="I440" s="541" t="s">
        <v>17</v>
      </c>
      <c r="J440" s="541">
        <v>1.6</v>
      </c>
      <c r="K440" s="545" t="s">
        <v>829</v>
      </c>
      <c r="L440" s="545" t="s">
        <v>770</v>
      </c>
    </row>
    <row r="441" s="490" customFormat="1" spans="1:170">
      <c r="A441" s="583"/>
      <c r="B441" s="565"/>
      <c r="C441" s="546"/>
      <c r="D441" s="565"/>
      <c r="E441" s="565"/>
      <c r="F441" s="515" t="s">
        <v>131</v>
      </c>
      <c r="G441" s="541">
        <v>1.0847</v>
      </c>
      <c r="H441" s="541">
        <v>0.6</v>
      </c>
      <c r="I441" s="541" t="s">
        <v>22</v>
      </c>
      <c r="J441" s="541">
        <v>1.77</v>
      </c>
      <c r="K441" s="545"/>
      <c r="L441" s="545"/>
    </row>
    <row r="442" s="490" customFormat="1" spans="1:170">
      <c r="A442" s="583"/>
      <c r="B442" s="565"/>
      <c r="C442" s="546"/>
      <c r="D442" s="565"/>
      <c r="E442" s="565"/>
      <c r="F442" s="515" t="s">
        <v>91</v>
      </c>
      <c r="G442" s="541">
        <v>1.6667</v>
      </c>
      <c r="H442" s="541">
        <v>0.6</v>
      </c>
      <c r="I442" s="541" t="s">
        <v>24</v>
      </c>
      <c r="J442" s="541" t="s">
        <v>24</v>
      </c>
      <c r="K442" s="545"/>
      <c r="L442" s="545"/>
    </row>
    <row r="443" s="490" customFormat="1" spans="1:170">
      <c r="A443" s="583">
        <v>46206</v>
      </c>
      <c r="B443" s="565" t="s">
        <v>870</v>
      </c>
      <c r="C443" s="546">
        <v>10</v>
      </c>
      <c r="D443" s="565" t="s">
        <v>831</v>
      </c>
      <c r="E443" s="565" t="s">
        <v>447</v>
      </c>
      <c r="F443" s="515" t="s">
        <v>128</v>
      </c>
      <c r="G443" s="541">
        <v>1.0055</v>
      </c>
      <c r="H443" s="541">
        <v>8.9</v>
      </c>
      <c r="I443" s="541" t="s">
        <v>17</v>
      </c>
      <c r="J443" s="541">
        <v>1.58</v>
      </c>
      <c r="K443" s="545" t="s">
        <v>829</v>
      </c>
      <c r="L443" s="509" t="s">
        <v>130</v>
      </c>
    </row>
    <row r="444" s="490" customFormat="1" spans="1:170">
      <c r="A444" s="583"/>
      <c r="B444" s="565"/>
      <c r="C444" s="546"/>
      <c r="D444" s="565"/>
      <c r="E444" s="565"/>
      <c r="F444" s="515" t="s">
        <v>131</v>
      </c>
      <c r="G444" s="541">
        <v>1.1694</v>
      </c>
      <c r="H444" s="541">
        <v>0.5</v>
      </c>
      <c r="I444" s="541" t="s">
        <v>22</v>
      </c>
      <c r="J444" s="541">
        <v>1.77</v>
      </c>
      <c r="K444" s="545"/>
      <c r="L444" s="509"/>
    </row>
    <row r="445" s="490" customFormat="1" spans="1:170">
      <c r="A445" s="583"/>
      <c r="B445" s="565"/>
      <c r="C445" s="546"/>
      <c r="D445" s="565"/>
      <c r="E445" s="565"/>
      <c r="F445" s="515" t="s">
        <v>91</v>
      </c>
      <c r="G445" s="541">
        <v>1.7568</v>
      </c>
      <c r="H445" s="541">
        <v>0.6</v>
      </c>
      <c r="I445" s="541" t="s">
        <v>24</v>
      </c>
      <c r="J445" s="541" t="s">
        <v>24</v>
      </c>
      <c r="K445" s="545"/>
      <c r="L445" s="509"/>
    </row>
    <row r="446" s="490" customFormat="1" spans="1:170">
      <c r="A446" s="583">
        <v>46210</v>
      </c>
      <c r="B446" s="565" t="s">
        <v>871</v>
      </c>
      <c r="C446" s="546">
        <v>10</v>
      </c>
      <c r="D446" s="565" t="s">
        <v>279</v>
      </c>
      <c r="E446" s="565" t="s">
        <v>831</v>
      </c>
      <c r="F446" s="515" t="s">
        <v>73</v>
      </c>
      <c r="G446" s="541">
        <v>1.694</v>
      </c>
      <c r="H446" s="541">
        <v>8.9</v>
      </c>
      <c r="I446" s="541" t="s">
        <v>17</v>
      </c>
      <c r="J446" s="541">
        <v>1.78</v>
      </c>
      <c r="K446" s="545" t="s">
        <v>827</v>
      </c>
      <c r="L446" s="545"/>
    </row>
    <row r="447" s="490" customFormat="1" spans="1:170">
      <c r="A447" s="583"/>
      <c r="B447" s="565"/>
      <c r="C447" s="546"/>
      <c r="D447" s="565"/>
      <c r="E447" s="565"/>
      <c r="F447" s="515" t="s">
        <v>75</v>
      </c>
      <c r="G447" s="541">
        <v>1.9508</v>
      </c>
      <c r="H447" s="541">
        <v>0.35</v>
      </c>
      <c r="I447" s="541" t="s">
        <v>22</v>
      </c>
      <c r="J447" s="541">
        <v>1.89</v>
      </c>
      <c r="K447" s="545"/>
      <c r="L447" s="545"/>
    </row>
    <row r="448" s="490" customFormat="1" spans="1:170">
      <c r="A448" s="583"/>
      <c r="B448" s="565"/>
      <c r="C448" s="546"/>
      <c r="D448" s="565"/>
      <c r="E448" s="565"/>
      <c r="F448" s="515" t="s">
        <v>91</v>
      </c>
      <c r="G448" s="541">
        <v>2.4521</v>
      </c>
      <c r="H448" s="541">
        <v>0.75</v>
      </c>
      <c r="I448" s="541" t="s">
        <v>24</v>
      </c>
      <c r="J448" s="541" t="s">
        <v>24</v>
      </c>
      <c r="K448" s="545"/>
      <c r="L448" s="545"/>
    </row>
    <row r="449" s="490" customFormat="1" spans="1:12">
      <c r="A449" s="583">
        <v>46210</v>
      </c>
      <c r="B449" s="565" t="s">
        <v>872</v>
      </c>
      <c r="C449" s="546">
        <v>10</v>
      </c>
      <c r="D449" s="565" t="s">
        <v>282</v>
      </c>
      <c r="E449" s="565" t="s">
        <v>831</v>
      </c>
      <c r="F449" s="515" t="s">
        <v>128</v>
      </c>
      <c r="G449" s="541">
        <v>1</v>
      </c>
      <c r="H449" s="541">
        <v>8.9</v>
      </c>
      <c r="I449" s="541" t="s">
        <v>17</v>
      </c>
      <c r="J449" s="541">
        <v>1.58</v>
      </c>
      <c r="K449" s="545" t="s">
        <v>829</v>
      </c>
      <c r="L449" s="509" t="s">
        <v>130</v>
      </c>
    </row>
    <row r="450" s="490" customFormat="1" spans="1:12">
      <c r="A450" s="583"/>
      <c r="B450" s="565"/>
      <c r="C450" s="546"/>
      <c r="D450" s="565"/>
      <c r="E450" s="565"/>
      <c r="F450" s="515" t="s">
        <v>131</v>
      </c>
      <c r="G450" s="541">
        <v>1.1694</v>
      </c>
      <c r="H450" s="541">
        <v>0.5</v>
      </c>
      <c r="I450" s="541" t="s">
        <v>22</v>
      </c>
      <c r="J450" s="541">
        <v>1.77</v>
      </c>
      <c r="K450" s="545"/>
      <c r="L450" s="509"/>
    </row>
    <row r="451" s="490" customFormat="1" spans="1:12">
      <c r="A451" s="583"/>
      <c r="B451" s="565"/>
      <c r="C451" s="546"/>
      <c r="D451" s="565"/>
      <c r="E451" s="565"/>
      <c r="F451" s="515" t="s">
        <v>91</v>
      </c>
      <c r="G451" s="541">
        <v>1.7514</v>
      </c>
      <c r="H451" s="541">
        <v>0.6</v>
      </c>
      <c r="I451" s="541" t="s">
        <v>24</v>
      </c>
      <c r="J451" s="541" t="s">
        <v>24</v>
      </c>
      <c r="K451" s="545"/>
      <c r="L451" s="509"/>
    </row>
    <row r="452" s="490" customFormat="1" spans="1:12">
      <c r="A452" s="583">
        <v>46211</v>
      </c>
      <c r="B452" s="565" t="s">
        <v>873</v>
      </c>
      <c r="C452" s="546">
        <v>10</v>
      </c>
      <c r="D452" s="565" t="s">
        <v>447</v>
      </c>
      <c r="E452" s="565" t="s">
        <v>826</v>
      </c>
      <c r="F452" s="515" t="s">
        <v>73</v>
      </c>
      <c r="G452" s="541">
        <v>1.4508</v>
      </c>
      <c r="H452" s="541">
        <v>8.9</v>
      </c>
      <c r="I452" s="541" t="s">
        <v>17</v>
      </c>
      <c r="J452" s="541">
        <v>1.78</v>
      </c>
      <c r="K452" s="545" t="s">
        <v>827</v>
      </c>
      <c r="L452" s="545"/>
    </row>
    <row r="453" s="490" customFormat="1" spans="1:12">
      <c r="A453" s="583"/>
      <c r="B453" s="565"/>
      <c r="C453" s="546"/>
      <c r="D453" s="565"/>
      <c r="E453" s="565"/>
      <c r="F453" s="515" t="s">
        <v>75</v>
      </c>
      <c r="G453" s="541">
        <v>1.6885</v>
      </c>
      <c r="H453" s="541">
        <v>0.35</v>
      </c>
      <c r="I453" s="541" t="s">
        <v>22</v>
      </c>
      <c r="J453" s="541">
        <v>1.89</v>
      </c>
      <c r="K453" s="545"/>
      <c r="L453" s="545"/>
    </row>
    <row r="454" s="490" customFormat="1" spans="1:12">
      <c r="A454" s="583"/>
      <c r="B454" s="565"/>
      <c r="C454" s="546"/>
      <c r="D454" s="565"/>
      <c r="E454" s="565"/>
      <c r="F454" s="515" t="s">
        <v>91</v>
      </c>
      <c r="G454" s="541">
        <v>2.2027</v>
      </c>
      <c r="H454" s="541">
        <v>0.75</v>
      </c>
      <c r="I454" s="541" t="s">
        <v>24</v>
      </c>
      <c r="J454" s="541" t="s">
        <v>24</v>
      </c>
      <c r="K454" s="545"/>
      <c r="L454" s="545"/>
    </row>
    <row r="455" s="490" customFormat="1" spans="1:12">
      <c r="A455" s="583">
        <v>46211</v>
      </c>
      <c r="B455" s="565" t="s">
        <v>874</v>
      </c>
      <c r="C455" s="546">
        <v>10</v>
      </c>
      <c r="D455" s="565" t="s">
        <v>447</v>
      </c>
      <c r="E455" s="565" t="s">
        <v>826</v>
      </c>
      <c r="F455" s="515" t="s">
        <v>73</v>
      </c>
      <c r="G455" s="541">
        <v>1.4508</v>
      </c>
      <c r="H455" s="541">
        <v>8.9</v>
      </c>
      <c r="I455" s="541" t="s">
        <v>17</v>
      </c>
      <c r="J455" s="541">
        <v>1.78</v>
      </c>
      <c r="K455" s="545" t="s">
        <v>827</v>
      </c>
      <c r="L455" s="545"/>
    </row>
    <row r="456" s="490" customFormat="1" spans="1:12">
      <c r="A456" s="583"/>
      <c r="B456" s="565"/>
      <c r="C456" s="546"/>
      <c r="D456" s="565"/>
      <c r="E456" s="565"/>
      <c r="F456" s="515" t="s">
        <v>75</v>
      </c>
      <c r="G456" s="541">
        <v>1.6885</v>
      </c>
      <c r="H456" s="541">
        <v>0.35</v>
      </c>
      <c r="I456" s="541" t="s">
        <v>22</v>
      </c>
      <c r="J456" s="541">
        <v>1.89</v>
      </c>
      <c r="K456" s="545"/>
      <c r="L456" s="545"/>
    </row>
    <row r="457" s="490" customFormat="1" spans="1:12">
      <c r="A457" s="583"/>
      <c r="B457" s="565"/>
      <c r="C457" s="546"/>
      <c r="D457" s="565"/>
      <c r="E457" s="565"/>
      <c r="F457" s="515" t="s">
        <v>91</v>
      </c>
      <c r="G457" s="541">
        <v>2.2027</v>
      </c>
      <c r="H457" s="541">
        <v>0.75</v>
      </c>
      <c r="I457" s="541" t="s">
        <v>24</v>
      </c>
      <c r="J457" s="541" t="s">
        <v>24</v>
      </c>
      <c r="K457" s="545"/>
      <c r="L457" s="545"/>
    </row>
    <row r="458" s="490" customFormat="1" spans="1:12">
      <c r="A458" s="583">
        <v>46212</v>
      </c>
      <c r="B458" s="565" t="s">
        <v>875</v>
      </c>
      <c r="C458" s="546">
        <v>10</v>
      </c>
      <c r="D458" s="565" t="s">
        <v>447</v>
      </c>
      <c r="E458" s="565" t="s">
        <v>826</v>
      </c>
      <c r="F458" s="515" t="s">
        <v>73</v>
      </c>
      <c r="G458" s="541">
        <v>1.6995</v>
      </c>
      <c r="H458" s="541">
        <v>8.9</v>
      </c>
      <c r="I458" s="541" t="s">
        <v>17</v>
      </c>
      <c r="J458" s="541">
        <v>1.78</v>
      </c>
      <c r="K458" s="545" t="s">
        <v>827</v>
      </c>
      <c r="L458" s="545"/>
    </row>
    <row r="459" s="490" customFormat="1" spans="1:12">
      <c r="A459" s="583"/>
      <c r="B459" s="565"/>
      <c r="C459" s="546"/>
      <c r="D459" s="565"/>
      <c r="E459" s="565"/>
      <c r="F459" s="515" t="s">
        <v>75</v>
      </c>
      <c r="G459" s="541">
        <v>1.9508</v>
      </c>
      <c r="H459" s="541">
        <v>0.35</v>
      </c>
      <c r="I459" s="541" t="s">
        <v>22</v>
      </c>
      <c r="J459" s="541">
        <v>1.89</v>
      </c>
      <c r="K459" s="545"/>
      <c r="L459" s="545"/>
    </row>
    <row r="460" s="490" customFormat="1" spans="1:12">
      <c r="A460" s="583"/>
      <c r="B460" s="565"/>
      <c r="C460" s="546"/>
      <c r="D460" s="565"/>
      <c r="E460" s="565"/>
      <c r="F460" s="515" t="s">
        <v>91</v>
      </c>
      <c r="G460" s="541">
        <v>2.4493</v>
      </c>
      <c r="H460" s="541">
        <v>0.75</v>
      </c>
      <c r="I460" s="541" t="s">
        <v>24</v>
      </c>
      <c r="J460" s="541" t="s">
        <v>24</v>
      </c>
      <c r="K460" s="545"/>
      <c r="L460" s="545"/>
    </row>
    <row r="461" s="490" customFormat="1" spans="1:12">
      <c r="A461" s="583">
        <v>46212</v>
      </c>
      <c r="B461" s="565" t="s">
        <v>876</v>
      </c>
      <c r="C461" s="546">
        <v>10</v>
      </c>
      <c r="D461" s="565" t="s">
        <v>447</v>
      </c>
      <c r="E461" s="565" t="s">
        <v>826</v>
      </c>
      <c r="F461" s="515" t="s">
        <v>73</v>
      </c>
      <c r="G461" s="541">
        <v>1.6995</v>
      </c>
      <c r="H461" s="541">
        <v>8.9</v>
      </c>
      <c r="I461" s="541" t="s">
        <v>17</v>
      </c>
      <c r="J461" s="541">
        <v>1.78</v>
      </c>
      <c r="K461" s="545" t="s">
        <v>827</v>
      </c>
      <c r="L461" s="545"/>
    </row>
    <row r="462" s="490" customFormat="1" spans="1:12">
      <c r="A462" s="583"/>
      <c r="B462" s="565"/>
      <c r="C462" s="546"/>
      <c r="D462" s="565"/>
      <c r="E462" s="565"/>
      <c r="F462" s="515" t="s">
        <v>75</v>
      </c>
      <c r="G462" s="541">
        <v>1.9508</v>
      </c>
      <c r="H462" s="541">
        <v>0.35</v>
      </c>
      <c r="I462" s="541" t="s">
        <v>22</v>
      </c>
      <c r="J462" s="541">
        <v>1.89</v>
      </c>
      <c r="K462" s="545"/>
      <c r="L462" s="545"/>
    </row>
    <row r="463" s="490" customFormat="1" spans="1:12">
      <c r="A463" s="583"/>
      <c r="B463" s="565"/>
      <c r="C463" s="546"/>
      <c r="D463" s="565"/>
      <c r="E463" s="565"/>
      <c r="F463" s="515" t="s">
        <v>91</v>
      </c>
      <c r="G463" s="541">
        <v>2.4493</v>
      </c>
      <c r="H463" s="541">
        <v>0.75</v>
      </c>
      <c r="I463" s="541" t="s">
        <v>24</v>
      </c>
      <c r="J463" s="541" t="s">
        <v>24</v>
      </c>
      <c r="K463" s="545"/>
      <c r="L463" s="545"/>
    </row>
    <row r="464" spans="1:12">
      <c r="A464" s="539">
        <v>46212</v>
      </c>
      <c r="B464" s="509" t="s">
        <v>877</v>
      </c>
      <c r="C464" s="520">
        <v>10</v>
      </c>
      <c r="D464" s="509" t="s">
        <v>66</v>
      </c>
      <c r="E464" s="509" t="s">
        <v>208</v>
      </c>
      <c r="F464" s="515" t="s">
        <v>128</v>
      </c>
      <c r="G464" s="541">
        <v>1</v>
      </c>
      <c r="H464" s="541">
        <v>8.8</v>
      </c>
      <c r="I464" s="541" t="s">
        <v>17</v>
      </c>
      <c r="J464" s="541">
        <v>1.6</v>
      </c>
      <c r="K464" s="526" t="s">
        <v>603</v>
      </c>
      <c r="L464" s="545" t="s">
        <v>770</v>
      </c>
    </row>
    <row r="465" spans="1:170">
      <c r="A465" s="539"/>
      <c r="B465" s="509"/>
      <c r="C465" s="520"/>
      <c r="D465" s="509"/>
      <c r="E465" s="509"/>
      <c r="F465" s="515" t="s">
        <v>131</v>
      </c>
      <c r="G465" s="541">
        <v>1.08</v>
      </c>
      <c r="H465" s="541">
        <v>0.6</v>
      </c>
      <c r="I465" s="541" t="s">
        <v>22</v>
      </c>
      <c r="J465" s="541">
        <v>1.75</v>
      </c>
      <c r="K465" s="531"/>
      <c r="L465" s="545"/>
    </row>
    <row r="466" spans="1:170">
      <c r="A466" s="539"/>
      <c r="B466" s="509"/>
      <c r="C466" s="520"/>
      <c r="D466" s="509"/>
      <c r="E466" s="509"/>
      <c r="F466" s="515" t="s">
        <v>91</v>
      </c>
      <c r="G466" s="541">
        <v>1.67</v>
      </c>
      <c r="H466" s="541">
        <v>0.6</v>
      </c>
      <c r="I466" s="541" t="s">
        <v>24</v>
      </c>
      <c r="J466" s="541" t="s">
        <v>24</v>
      </c>
      <c r="K466" s="534"/>
      <c r="L466" s="545"/>
    </row>
    <row r="467" spans="1:170">
      <c r="A467" s="539">
        <v>46213</v>
      </c>
      <c r="B467" s="509" t="s">
        <v>878</v>
      </c>
      <c r="C467" s="520">
        <v>4</v>
      </c>
      <c r="D467" s="509" t="s">
        <v>33</v>
      </c>
      <c r="E467" s="509" t="s">
        <v>14</v>
      </c>
      <c r="F467" s="515" t="s">
        <v>73</v>
      </c>
      <c r="G467" s="541">
        <v>1.34</v>
      </c>
      <c r="H467" s="541">
        <v>3.36</v>
      </c>
      <c r="I467" s="541" t="s">
        <v>17</v>
      </c>
      <c r="J467" s="541">
        <v>2.15</v>
      </c>
      <c r="K467" s="526" t="s">
        <v>633</v>
      </c>
      <c r="L467" s="559"/>
    </row>
    <row r="468" spans="1:170">
      <c r="A468" s="539"/>
      <c r="B468" s="509"/>
      <c r="C468" s="520"/>
      <c r="D468" s="509"/>
      <c r="E468" s="509"/>
      <c r="F468" s="515" t="s">
        <v>75</v>
      </c>
      <c r="G468" s="541">
        <v>1.5</v>
      </c>
      <c r="H468" s="541">
        <v>0.24</v>
      </c>
      <c r="I468" s="541" t="s">
        <v>22</v>
      </c>
      <c r="J468" s="541">
        <v>2.6</v>
      </c>
      <c r="K468" s="531"/>
      <c r="L468" s="569"/>
    </row>
    <row r="469" spans="1:170">
      <c r="A469" s="539"/>
      <c r="B469" s="509"/>
      <c r="C469" s="520"/>
      <c r="D469" s="509"/>
      <c r="E469" s="509"/>
      <c r="F469" s="515" t="s">
        <v>91</v>
      </c>
      <c r="G469" s="541">
        <v>2.42</v>
      </c>
      <c r="H469" s="541">
        <v>0.4</v>
      </c>
      <c r="I469" s="541" t="s">
        <v>24</v>
      </c>
      <c r="J469" s="541" t="s">
        <v>24</v>
      </c>
      <c r="K469" s="534"/>
      <c r="L469" s="570"/>
    </row>
    <row r="470" s="490" customFormat="1" spans="1:170">
      <c r="A470" s="583">
        <v>46213</v>
      </c>
      <c r="B470" s="565" t="s">
        <v>879</v>
      </c>
      <c r="C470" s="546">
        <v>9.45</v>
      </c>
      <c r="D470" s="565" t="s">
        <v>275</v>
      </c>
      <c r="E470" s="565" t="s">
        <v>880</v>
      </c>
      <c r="F470" s="545" t="s">
        <v>144</v>
      </c>
      <c r="G470" s="541">
        <v>0.9973</v>
      </c>
      <c r="H470" s="541">
        <v>9</v>
      </c>
      <c r="I470" s="541" t="s">
        <v>17</v>
      </c>
      <c r="J470" s="541">
        <v>1.59</v>
      </c>
      <c r="K470" s="545" t="s">
        <v>850</v>
      </c>
      <c r="L470" s="515" t="s">
        <v>53</v>
      </c>
    </row>
    <row r="471" s="490" customFormat="1" spans="1:170">
      <c r="A471" s="583"/>
      <c r="B471" s="565"/>
      <c r="C471" s="546"/>
      <c r="D471" s="565"/>
      <c r="E471" s="565"/>
      <c r="F471" s="545" t="s">
        <v>175</v>
      </c>
      <c r="G471" s="541">
        <v>0.9973</v>
      </c>
      <c r="H471" s="541">
        <v>0.45</v>
      </c>
      <c r="I471" s="541" t="s">
        <v>22</v>
      </c>
      <c r="J471" s="541">
        <v>3.1</v>
      </c>
      <c r="K471" s="545"/>
      <c r="L471" s="515"/>
    </row>
    <row r="472" s="490" customFormat="1" spans="1:170">
      <c r="A472" s="539">
        <v>46218</v>
      </c>
      <c r="B472" s="509" t="s">
        <v>881</v>
      </c>
      <c r="C472" s="520">
        <v>5</v>
      </c>
      <c r="D472" s="509" t="s">
        <v>14</v>
      </c>
      <c r="E472" s="509" t="s">
        <v>14</v>
      </c>
      <c r="F472" s="515" t="s">
        <v>73</v>
      </c>
      <c r="G472" s="541">
        <v>1.03</v>
      </c>
      <c r="H472" s="541">
        <v>4.08</v>
      </c>
      <c r="I472" s="541" t="s">
        <v>17</v>
      </c>
      <c r="J472" s="541">
        <v>1.7</v>
      </c>
      <c r="K472" s="526" t="s">
        <v>601</v>
      </c>
      <c r="L472" s="559" t="s">
        <v>882</v>
      </c>
    </row>
    <row r="473" spans="1:170">
      <c r="A473" s="539"/>
      <c r="B473" s="509"/>
      <c r="C473" s="520"/>
      <c r="D473" s="509"/>
      <c r="E473" s="509"/>
      <c r="F473" s="515" t="s">
        <v>75</v>
      </c>
      <c r="G473" s="541">
        <v>1.03</v>
      </c>
      <c r="H473" s="541">
        <v>0.2</v>
      </c>
      <c r="I473" s="541" t="s">
        <v>17</v>
      </c>
      <c r="J473" s="541">
        <v>1.7</v>
      </c>
      <c r="K473" s="531"/>
      <c r="L473" s="569"/>
    </row>
    <row r="474" spans="1:170">
      <c r="A474" s="539"/>
      <c r="B474" s="509"/>
      <c r="C474" s="520"/>
      <c r="D474" s="509"/>
      <c r="E474" s="509"/>
      <c r="F474" s="515" t="s">
        <v>90</v>
      </c>
      <c r="G474" s="541">
        <v>1.53</v>
      </c>
      <c r="H474" s="541">
        <v>0.47</v>
      </c>
      <c r="I474" s="541" t="s">
        <v>351</v>
      </c>
      <c r="J474" s="541">
        <v>3</v>
      </c>
      <c r="K474" s="531"/>
      <c r="L474" s="569"/>
    </row>
    <row r="475" spans="1:170">
      <c r="A475" s="539"/>
      <c r="B475" s="509"/>
      <c r="C475" s="520"/>
      <c r="D475" s="509"/>
      <c r="E475" s="509"/>
      <c r="F475" s="515" t="s">
        <v>91</v>
      </c>
      <c r="G475" s="541">
        <v>2.86</v>
      </c>
      <c r="H475" s="541">
        <v>0.25</v>
      </c>
      <c r="I475" s="541" t="s">
        <v>24</v>
      </c>
      <c r="J475" s="541" t="s">
        <v>24</v>
      </c>
      <c r="K475" s="534"/>
      <c r="L475" s="570"/>
    </row>
    <row r="476" spans="1:170">
      <c r="A476" s="539">
        <v>46220</v>
      </c>
      <c r="B476" s="509" t="s">
        <v>883</v>
      </c>
      <c r="C476" s="520">
        <v>10</v>
      </c>
      <c r="D476" s="509" t="s">
        <v>85</v>
      </c>
      <c r="E476" s="509" t="s">
        <v>66</v>
      </c>
      <c r="F476" s="515" t="s">
        <v>220</v>
      </c>
      <c r="G476" s="541">
        <v>1</v>
      </c>
      <c r="H476" s="541">
        <v>3</v>
      </c>
      <c r="I476" s="541" t="s">
        <v>17</v>
      </c>
      <c r="J476" s="541">
        <v>1.57</v>
      </c>
      <c r="K476" s="526" t="s">
        <v>630</v>
      </c>
      <c r="L476" s="545" t="s">
        <v>256</v>
      </c>
    </row>
    <row r="477" spans="1:170">
      <c r="A477" s="539"/>
      <c r="B477" s="509"/>
      <c r="C477" s="520"/>
      <c r="D477" s="509"/>
      <c r="E477" s="509"/>
      <c r="F477" s="515" t="s">
        <v>221</v>
      </c>
      <c r="G477" s="541">
        <v>1</v>
      </c>
      <c r="H477" s="541">
        <v>5.8</v>
      </c>
      <c r="I477" s="541" t="s">
        <v>17</v>
      </c>
      <c r="J477" s="541">
        <v>1.59</v>
      </c>
      <c r="K477" s="531"/>
      <c r="L477" s="545"/>
    </row>
    <row r="478" spans="1:170">
      <c r="A478" s="539"/>
      <c r="B478" s="509"/>
      <c r="C478" s="520"/>
      <c r="D478" s="509"/>
      <c r="E478" s="509"/>
      <c r="F478" s="515" t="s">
        <v>75</v>
      </c>
      <c r="G478" s="541">
        <v>1</v>
      </c>
      <c r="H478" s="541">
        <v>0.6</v>
      </c>
      <c r="I478" s="541" t="s">
        <v>22</v>
      </c>
      <c r="J478" s="541">
        <v>1.85</v>
      </c>
      <c r="K478" s="531"/>
      <c r="L478" s="545"/>
    </row>
    <row r="479" spans="1:170">
      <c r="A479" s="539"/>
      <c r="B479" s="509"/>
      <c r="C479" s="520"/>
      <c r="D479" s="509"/>
      <c r="E479" s="509"/>
      <c r="F479" s="515" t="s">
        <v>91</v>
      </c>
      <c r="G479" s="541">
        <v>3</v>
      </c>
      <c r="H479" s="541">
        <v>0.6</v>
      </c>
      <c r="I479" s="541" t="s">
        <v>24</v>
      </c>
      <c r="J479" s="541" t="s">
        <v>24</v>
      </c>
      <c r="K479" s="534"/>
      <c r="L479" s="545"/>
    </row>
    <row r="480" s="493" customFormat="1" spans="1:170">
      <c r="A480" s="584">
        <v>46224</v>
      </c>
      <c r="B480" s="500" t="s">
        <v>884</v>
      </c>
      <c r="C480" s="501">
        <v>10</v>
      </c>
      <c r="D480" s="500" t="s">
        <v>359</v>
      </c>
      <c r="E480" s="500" t="s">
        <v>359</v>
      </c>
      <c r="F480" s="510" t="s">
        <v>47</v>
      </c>
      <c r="G480" s="585">
        <v>1.92</v>
      </c>
      <c r="H480" s="585">
        <v>8.9</v>
      </c>
      <c r="I480" s="585" t="s">
        <v>17</v>
      </c>
      <c r="J480" s="585">
        <v>1.78</v>
      </c>
      <c r="K480" s="586" t="s">
        <v>780</v>
      </c>
      <c r="L480" s="500" t="s">
        <v>405</v>
      </c>
      <c r="M480" s="587"/>
      <c r="N480" s="587"/>
      <c r="O480" s="587"/>
      <c r="P480" s="587"/>
      <c r="Q480" s="587"/>
      <c r="R480" s="587"/>
      <c r="S480" s="587"/>
      <c r="T480" s="587"/>
      <c r="U480" s="587"/>
      <c r="V480" s="587"/>
      <c r="W480" s="587"/>
      <c r="X480" s="587"/>
      <c r="Y480" s="587"/>
      <c r="Z480" s="587"/>
      <c r="AA480" s="587"/>
      <c r="AB480" s="587"/>
      <c r="AC480" s="587"/>
      <c r="AD480" s="587"/>
      <c r="AE480" s="587"/>
      <c r="AF480" s="587"/>
      <c r="AG480" s="587"/>
      <c r="AH480" s="587"/>
      <c r="AI480" s="587"/>
      <c r="AJ480" s="587"/>
      <c r="AK480" s="587"/>
      <c r="AL480" s="587"/>
      <c r="AM480" s="587"/>
      <c r="AN480" s="587"/>
      <c r="AO480" s="587"/>
      <c r="AP480" s="587"/>
      <c r="AQ480" s="587"/>
      <c r="AR480" s="587"/>
      <c r="AS480" s="587"/>
      <c r="AT480" s="587"/>
      <c r="AU480" s="587"/>
      <c r="AV480" s="587"/>
      <c r="AW480" s="587"/>
      <c r="AX480" s="587"/>
      <c r="AY480" s="587"/>
      <c r="AZ480" s="587"/>
      <c r="BA480" s="587"/>
      <c r="BB480" s="587"/>
      <c r="BC480" s="587"/>
      <c r="BD480" s="587"/>
      <c r="BE480" s="587"/>
      <c r="BF480" s="587"/>
      <c r="BG480" s="587"/>
      <c r="BH480" s="587"/>
      <c r="BI480" s="587"/>
      <c r="BJ480" s="587"/>
      <c r="BK480" s="587"/>
      <c r="BL480" s="587"/>
      <c r="BM480" s="587"/>
      <c r="BN480" s="587"/>
      <c r="BO480" s="587"/>
      <c r="BP480" s="587"/>
      <c r="BQ480" s="587"/>
      <c r="BR480" s="587"/>
      <c r="BS480" s="587"/>
      <c r="BT480" s="587"/>
      <c r="BU480" s="587"/>
      <c r="BV480" s="587"/>
      <c r="BW480" s="587"/>
      <c r="BX480" s="587"/>
      <c r="BY480" s="587"/>
      <c r="BZ480" s="587"/>
      <c r="CA480" s="587"/>
      <c r="CB480" s="587"/>
      <c r="CC480" s="587"/>
      <c r="CD480" s="587"/>
      <c r="CE480" s="587"/>
      <c r="CF480" s="587"/>
      <c r="CG480" s="587"/>
      <c r="CH480" s="587"/>
      <c r="CI480" s="587"/>
      <c r="CJ480" s="587"/>
      <c r="CK480" s="587"/>
      <c r="CL480" s="587"/>
      <c r="CM480" s="587"/>
      <c r="CN480" s="587"/>
      <c r="CO480" s="587"/>
      <c r="CP480" s="587"/>
      <c r="CQ480" s="587"/>
      <c r="CR480" s="587"/>
      <c r="CS480" s="587"/>
      <c r="CT480" s="587"/>
      <c r="CU480" s="587"/>
      <c r="CV480" s="587"/>
      <c r="CW480" s="587"/>
      <c r="CX480" s="587"/>
      <c r="CY480" s="587"/>
      <c r="CZ480" s="587"/>
      <c r="DA480" s="587"/>
      <c r="DB480" s="587"/>
      <c r="DC480" s="587"/>
      <c r="DD480" s="587"/>
      <c r="DE480" s="587"/>
      <c r="DF480" s="587"/>
      <c r="DG480" s="587"/>
      <c r="DH480" s="587"/>
      <c r="DI480" s="587"/>
      <c r="DJ480" s="587"/>
      <c r="DK480" s="587"/>
      <c r="DL480" s="587"/>
      <c r="DM480" s="587"/>
      <c r="DN480" s="587"/>
      <c r="DO480" s="587"/>
      <c r="DP480" s="587"/>
      <c r="DQ480" s="587"/>
      <c r="DR480" s="587"/>
      <c r="DS480" s="587"/>
      <c r="DT480" s="587"/>
      <c r="DU480" s="587"/>
      <c r="DV480" s="587"/>
      <c r="DW480" s="587"/>
      <c r="DX480" s="587"/>
      <c r="DY480" s="587"/>
      <c r="DZ480" s="587"/>
      <c r="EA480" s="587"/>
      <c r="EB480" s="587"/>
      <c r="EC480" s="587"/>
      <c r="ED480" s="587"/>
      <c r="EE480" s="587"/>
      <c r="EF480" s="587"/>
      <c r="EG480" s="587"/>
      <c r="EH480" s="587"/>
      <c r="EI480" s="587"/>
      <c r="EJ480" s="587"/>
      <c r="EK480" s="587"/>
      <c r="EL480" s="587"/>
      <c r="EM480" s="587"/>
      <c r="EN480" s="587"/>
      <c r="EO480" s="587"/>
      <c r="EP480" s="587"/>
      <c r="EQ480" s="587"/>
      <c r="ER480" s="587"/>
      <c r="ES480" s="587"/>
      <c r="ET480" s="587"/>
      <c r="EU480" s="587"/>
      <c r="EV480" s="587"/>
      <c r="EW480" s="587"/>
      <c r="EX480" s="587"/>
      <c r="EY480" s="587"/>
      <c r="EZ480" s="587"/>
      <c r="FA480" s="587"/>
      <c r="FB480" s="587"/>
      <c r="FC480" s="587"/>
      <c r="FD480" s="587"/>
      <c r="FE480" s="587"/>
      <c r="FF480" s="587"/>
      <c r="FG480" s="587"/>
      <c r="FH480" s="587"/>
      <c r="FI480" s="587"/>
      <c r="FJ480" s="587"/>
      <c r="FK480" s="587"/>
      <c r="FL480" s="587"/>
      <c r="FM480" s="587"/>
      <c r="FN480" s="587"/>
    </row>
    <row r="481" s="493" customFormat="1" spans="1:170">
      <c r="A481" s="584"/>
      <c r="B481" s="500"/>
      <c r="C481" s="501"/>
      <c r="D481" s="500"/>
      <c r="E481" s="500"/>
      <c r="F481" s="510" t="s">
        <v>493</v>
      </c>
      <c r="G481" s="585">
        <v>2</v>
      </c>
      <c r="H481" s="585">
        <v>0.4</v>
      </c>
      <c r="I481" s="585" t="s">
        <v>22</v>
      </c>
      <c r="J481" s="585">
        <v>1.89</v>
      </c>
      <c r="K481" s="588"/>
      <c r="L481" s="500"/>
      <c r="M481" s="587"/>
      <c r="N481" s="587"/>
      <c r="O481" s="587"/>
      <c r="P481" s="587"/>
      <c r="Q481" s="587"/>
      <c r="R481" s="587"/>
      <c r="S481" s="587"/>
      <c r="T481" s="587"/>
      <c r="U481" s="587"/>
      <c r="V481" s="587"/>
      <c r="W481" s="587"/>
      <c r="X481" s="587"/>
      <c r="Y481" s="587"/>
      <c r="Z481" s="587"/>
      <c r="AA481" s="587"/>
      <c r="AB481" s="587"/>
      <c r="AC481" s="587"/>
      <c r="AD481" s="587"/>
      <c r="AE481" s="587"/>
      <c r="AF481" s="587"/>
      <c r="AG481" s="587"/>
      <c r="AH481" s="587"/>
      <c r="AI481" s="587"/>
      <c r="AJ481" s="587"/>
      <c r="AK481" s="587"/>
      <c r="AL481" s="587"/>
      <c r="AM481" s="587"/>
      <c r="AN481" s="587"/>
      <c r="AO481" s="587"/>
      <c r="AP481" s="587"/>
      <c r="AQ481" s="587"/>
      <c r="AR481" s="587"/>
      <c r="AS481" s="587"/>
      <c r="AT481" s="587"/>
      <c r="AU481" s="587"/>
      <c r="AV481" s="587"/>
      <c r="AW481" s="587"/>
      <c r="AX481" s="587"/>
      <c r="AY481" s="587"/>
      <c r="AZ481" s="587"/>
      <c r="BA481" s="587"/>
      <c r="BB481" s="587"/>
      <c r="BC481" s="587"/>
      <c r="BD481" s="587"/>
      <c r="BE481" s="587"/>
      <c r="BF481" s="587"/>
      <c r="BG481" s="587"/>
      <c r="BH481" s="587"/>
      <c r="BI481" s="587"/>
      <c r="BJ481" s="587"/>
      <c r="BK481" s="587"/>
      <c r="BL481" s="587"/>
      <c r="BM481" s="587"/>
      <c r="BN481" s="587"/>
      <c r="BO481" s="587"/>
      <c r="BP481" s="587"/>
      <c r="BQ481" s="587"/>
      <c r="BR481" s="587"/>
      <c r="BS481" s="587"/>
      <c r="BT481" s="587"/>
      <c r="BU481" s="587"/>
      <c r="BV481" s="587"/>
      <c r="BW481" s="587"/>
      <c r="BX481" s="587"/>
      <c r="BY481" s="587"/>
      <c r="BZ481" s="587"/>
      <c r="CA481" s="587"/>
      <c r="CB481" s="587"/>
      <c r="CC481" s="587"/>
      <c r="CD481" s="587"/>
      <c r="CE481" s="587"/>
      <c r="CF481" s="587"/>
      <c r="CG481" s="587"/>
      <c r="CH481" s="587"/>
      <c r="CI481" s="587"/>
      <c r="CJ481" s="587"/>
      <c r="CK481" s="587"/>
      <c r="CL481" s="587"/>
      <c r="CM481" s="587"/>
      <c r="CN481" s="587"/>
      <c r="CO481" s="587"/>
      <c r="CP481" s="587"/>
      <c r="CQ481" s="587"/>
      <c r="CR481" s="587"/>
      <c r="CS481" s="587"/>
      <c r="CT481" s="587"/>
      <c r="CU481" s="587"/>
      <c r="CV481" s="587"/>
      <c r="CW481" s="587"/>
      <c r="CX481" s="587"/>
      <c r="CY481" s="587"/>
      <c r="CZ481" s="587"/>
      <c r="DA481" s="587"/>
      <c r="DB481" s="587"/>
      <c r="DC481" s="587"/>
      <c r="DD481" s="587"/>
      <c r="DE481" s="587"/>
      <c r="DF481" s="587"/>
      <c r="DG481" s="587"/>
      <c r="DH481" s="587"/>
      <c r="DI481" s="587"/>
      <c r="DJ481" s="587"/>
      <c r="DK481" s="587"/>
      <c r="DL481" s="587"/>
      <c r="DM481" s="587"/>
      <c r="DN481" s="587"/>
      <c r="DO481" s="587"/>
      <c r="DP481" s="587"/>
      <c r="DQ481" s="587"/>
      <c r="DR481" s="587"/>
      <c r="DS481" s="587"/>
      <c r="DT481" s="587"/>
      <c r="DU481" s="587"/>
      <c r="DV481" s="587"/>
      <c r="DW481" s="587"/>
      <c r="DX481" s="587"/>
      <c r="DY481" s="587"/>
      <c r="DZ481" s="587"/>
      <c r="EA481" s="587"/>
      <c r="EB481" s="587"/>
      <c r="EC481" s="587"/>
      <c r="ED481" s="587"/>
      <c r="EE481" s="587"/>
      <c r="EF481" s="587"/>
      <c r="EG481" s="587"/>
      <c r="EH481" s="587"/>
      <c r="EI481" s="587"/>
      <c r="EJ481" s="587"/>
      <c r="EK481" s="587"/>
      <c r="EL481" s="587"/>
      <c r="EM481" s="587"/>
      <c r="EN481" s="587"/>
      <c r="EO481" s="587"/>
      <c r="EP481" s="587"/>
      <c r="EQ481" s="587"/>
      <c r="ER481" s="587"/>
      <c r="ES481" s="587"/>
      <c r="ET481" s="587"/>
      <c r="EU481" s="587"/>
      <c r="EV481" s="587"/>
      <c r="EW481" s="587"/>
      <c r="EX481" s="587"/>
      <c r="EY481" s="587"/>
      <c r="EZ481" s="587"/>
      <c r="FA481" s="587"/>
      <c r="FB481" s="587"/>
      <c r="FC481" s="587"/>
      <c r="FD481" s="587"/>
      <c r="FE481" s="587"/>
      <c r="FF481" s="587"/>
      <c r="FG481" s="587"/>
      <c r="FH481" s="587"/>
      <c r="FI481" s="587"/>
      <c r="FJ481" s="587"/>
      <c r="FK481" s="587"/>
      <c r="FL481" s="587"/>
      <c r="FM481" s="587"/>
      <c r="FN481" s="587"/>
    </row>
    <row r="482" s="493" customFormat="1" spans="1:170">
      <c r="A482" s="584"/>
      <c r="B482" s="500"/>
      <c r="C482" s="501"/>
      <c r="D482" s="500"/>
      <c r="E482" s="500"/>
      <c r="F482" s="510" t="s">
        <v>23</v>
      </c>
      <c r="G482" s="585">
        <v>2.67</v>
      </c>
      <c r="H482" s="585">
        <v>0.7</v>
      </c>
      <c r="I482" s="585" t="s">
        <v>24</v>
      </c>
      <c r="J482" s="585" t="s">
        <v>24</v>
      </c>
      <c r="K482" s="589"/>
      <c r="L482" s="500"/>
      <c r="M482" s="587"/>
      <c r="N482" s="587"/>
      <c r="O482" s="587"/>
      <c r="P482" s="587"/>
      <c r="Q482" s="587"/>
      <c r="R482" s="587"/>
      <c r="S482" s="587"/>
      <c r="T482" s="587"/>
      <c r="U482" s="587"/>
      <c r="V482" s="587"/>
      <c r="W482" s="587"/>
      <c r="X482" s="587"/>
      <c r="Y482" s="587"/>
      <c r="Z482" s="587"/>
      <c r="AA482" s="587"/>
      <c r="AB482" s="587"/>
      <c r="AC482" s="587"/>
      <c r="AD482" s="587"/>
      <c r="AE482" s="587"/>
      <c r="AF482" s="587"/>
      <c r="AG482" s="587"/>
      <c r="AH482" s="587"/>
      <c r="AI482" s="587"/>
      <c r="AJ482" s="587"/>
      <c r="AK482" s="587"/>
      <c r="AL482" s="587"/>
      <c r="AM482" s="587"/>
      <c r="AN482" s="587"/>
      <c r="AO482" s="587"/>
      <c r="AP482" s="587"/>
      <c r="AQ482" s="587"/>
      <c r="AR482" s="587"/>
      <c r="AS482" s="587"/>
      <c r="AT482" s="587"/>
      <c r="AU482" s="587"/>
      <c r="AV482" s="587"/>
      <c r="AW482" s="587"/>
      <c r="AX482" s="587"/>
      <c r="AY482" s="587"/>
      <c r="AZ482" s="587"/>
      <c r="BA482" s="587"/>
      <c r="BB482" s="587"/>
      <c r="BC482" s="587"/>
      <c r="BD482" s="587"/>
      <c r="BE482" s="587"/>
      <c r="BF482" s="587"/>
      <c r="BG482" s="587"/>
      <c r="BH482" s="587"/>
      <c r="BI482" s="587"/>
      <c r="BJ482" s="587"/>
      <c r="BK482" s="587"/>
      <c r="BL482" s="587"/>
      <c r="BM482" s="587"/>
      <c r="BN482" s="587"/>
      <c r="BO482" s="587"/>
      <c r="BP482" s="587"/>
      <c r="BQ482" s="587"/>
      <c r="BR482" s="587"/>
      <c r="BS482" s="587"/>
      <c r="BT482" s="587"/>
      <c r="BU482" s="587"/>
      <c r="BV482" s="587"/>
      <c r="BW482" s="587"/>
      <c r="BX482" s="587"/>
      <c r="BY482" s="587"/>
      <c r="BZ482" s="587"/>
      <c r="CA482" s="587"/>
      <c r="CB482" s="587"/>
      <c r="CC482" s="587"/>
      <c r="CD482" s="587"/>
      <c r="CE482" s="587"/>
      <c r="CF482" s="587"/>
      <c r="CG482" s="587"/>
      <c r="CH482" s="587"/>
      <c r="CI482" s="587"/>
      <c r="CJ482" s="587"/>
      <c r="CK482" s="587"/>
      <c r="CL482" s="587"/>
      <c r="CM482" s="587"/>
      <c r="CN482" s="587"/>
      <c r="CO482" s="587"/>
      <c r="CP482" s="587"/>
      <c r="CQ482" s="587"/>
      <c r="CR482" s="587"/>
      <c r="CS482" s="587"/>
      <c r="CT482" s="587"/>
      <c r="CU482" s="587"/>
      <c r="CV482" s="587"/>
      <c r="CW482" s="587"/>
      <c r="CX482" s="587"/>
      <c r="CY482" s="587"/>
      <c r="CZ482" s="587"/>
      <c r="DA482" s="587"/>
      <c r="DB482" s="587"/>
      <c r="DC482" s="587"/>
      <c r="DD482" s="587"/>
      <c r="DE482" s="587"/>
      <c r="DF482" s="587"/>
      <c r="DG482" s="587"/>
      <c r="DH482" s="587"/>
      <c r="DI482" s="587"/>
      <c r="DJ482" s="587"/>
      <c r="DK482" s="587"/>
      <c r="DL482" s="587"/>
      <c r="DM482" s="587"/>
      <c r="DN482" s="587"/>
      <c r="DO482" s="587"/>
      <c r="DP482" s="587"/>
      <c r="DQ482" s="587"/>
      <c r="DR482" s="587"/>
      <c r="DS482" s="587"/>
      <c r="DT482" s="587"/>
      <c r="DU482" s="587"/>
      <c r="DV482" s="587"/>
      <c r="DW482" s="587"/>
      <c r="DX482" s="587"/>
      <c r="DY482" s="587"/>
      <c r="DZ482" s="587"/>
      <c r="EA482" s="587"/>
      <c r="EB482" s="587"/>
      <c r="EC482" s="587"/>
      <c r="ED482" s="587"/>
      <c r="EE482" s="587"/>
      <c r="EF482" s="587"/>
      <c r="EG482" s="587"/>
      <c r="EH482" s="587"/>
      <c r="EI482" s="587"/>
      <c r="EJ482" s="587"/>
      <c r="EK482" s="587"/>
      <c r="EL482" s="587"/>
      <c r="EM482" s="587"/>
      <c r="EN482" s="587"/>
      <c r="EO482" s="587"/>
      <c r="EP482" s="587"/>
      <c r="EQ482" s="587"/>
      <c r="ER482" s="587"/>
      <c r="ES482" s="587"/>
      <c r="ET482" s="587"/>
      <c r="EU482" s="587"/>
      <c r="EV482" s="587"/>
      <c r="EW482" s="587"/>
      <c r="EX482" s="587"/>
      <c r="EY482" s="587"/>
      <c r="EZ482" s="587"/>
      <c r="FA482" s="587"/>
      <c r="FB482" s="587"/>
      <c r="FC482" s="587"/>
      <c r="FD482" s="587"/>
      <c r="FE482" s="587"/>
      <c r="FF482" s="587"/>
      <c r="FG482" s="587"/>
      <c r="FH482" s="587"/>
      <c r="FI482" s="587"/>
      <c r="FJ482" s="587"/>
      <c r="FK482" s="587"/>
      <c r="FL482" s="587"/>
      <c r="FM482" s="587"/>
      <c r="FN482" s="587"/>
    </row>
    <row r="483" s="493" customFormat="1" spans="1:170">
      <c r="A483" s="584">
        <v>46224</v>
      </c>
      <c r="B483" s="500" t="s">
        <v>885</v>
      </c>
      <c r="C483" s="501">
        <v>5</v>
      </c>
      <c r="D483" s="590" t="s">
        <v>536</v>
      </c>
      <c r="E483" s="590" t="s">
        <v>484</v>
      </c>
      <c r="F483" s="510" t="s">
        <v>47</v>
      </c>
      <c r="G483" s="585">
        <v>1.92</v>
      </c>
      <c r="H483" s="585">
        <v>4.45</v>
      </c>
      <c r="I483" s="585" t="s">
        <v>17</v>
      </c>
      <c r="J483" s="585">
        <v>1.78</v>
      </c>
      <c r="K483" s="586" t="s">
        <v>780</v>
      </c>
      <c r="L483" s="586" t="s">
        <v>519</v>
      </c>
      <c r="M483" s="587"/>
      <c r="N483" s="587"/>
      <c r="O483" s="587"/>
      <c r="P483" s="587"/>
      <c r="Q483" s="587"/>
      <c r="R483" s="587"/>
      <c r="S483" s="587"/>
      <c r="T483" s="587"/>
      <c r="U483" s="587"/>
      <c r="V483" s="587"/>
      <c r="W483" s="587"/>
      <c r="X483" s="587"/>
      <c r="Y483" s="587"/>
      <c r="Z483" s="587"/>
      <c r="AA483" s="587"/>
      <c r="AB483" s="587"/>
      <c r="AC483" s="587"/>
      <c r="AD483" s="587"/>
      <c r="AE483" s="587"/>
      <c r="AF483" s="587"/>
      <c r="AG483" s="587"/>
      <c r="AH483" s="587"/>
      <c r="AI483" s="587"/>
      <c r="AJ483" s="587"/>
      <c r="AK483" s="587"/>
      <c r="AL483" s="587"/>
      <c r="AM483" s="587"/>
      <c r="AN483" s="587"/>
      <c r="AO483" s="587"/>
      <c r="AP483" s="587"/>
      <c r="AQ483" s="587"/>
      <c r="AR483" s="587"/>
      <c r="AS483" s="587"/>
      <c r="AT483" s="587"/>
      <c r="AU483" s="587"/>
      <c r="AV483" s="587"/>
      <c r="AW483" s="587"/>
      <c r="AX483" s="587"/>
      <c r="AY483" s="587"/>
      <c r="AZ483" s="587"/>
      <c r="BA483" s="587"/>
      <c r="BB483" s="587"/>
      <c r="BC483" s="587"/>
      <c r="BD483" s="587"/>
      <c r="BE483" s="587"/>
      <c r="BF483" s="587"/>
      <c r="BG483" s="587"/>
      <c r="BH483" s="587"/>
      <c r="BI483" s="587"/>
      <c r="BJ483" s="587"/>
      <c r="BK483" s="587"/>
      <c r="BL483" s="587"/>
      <c r="BM483" s="587"/>
      <c r="BN483" s="587"/>
      <c r="BO483" s="587"/>
      <c r="BP483" s="587"/>
      <c r="BQ483" s="587"/>
      <c r="BR483" s="587"/>
      <c r="BS483" s="587"/>
      <c r="BT483" s="587"/>
      <c r="BU483" s="587"/>
      <c r="BV483" s="587"/>
      <c r="BW483" s="587"/>
      <c r="BX483" s="587"/>
      <c r="BY483" s="587"/>
      <c r="BZ483" s="587"/>
      <c r="CA483" s="587"/>
      <c r="CB483" s="587"/>
      <c r="CC483" s="587"/>
      <c r="CD483" s="587"/>
      <c r="CE483" s="587"/>
      <c r="CF483" s="587"/>
      <c r="CG483" s="587"/>
      <c r="CH483" s="587"/>
      <c r="CI483" s="587"/>
      <c r="CJ483" s="587"/>
      <c r="CK483" s="587"/>
      <c r="CL483" s="587"/>
      <c r="CM483" s="587"/>
      <c r="CN483" s="587"/>
      <c r="CO483" s="587"/>
      <c r="CP483" s="587"/>
      <c r="CQ483" s="587"/>
      <c r="CR483" s="587"/>
      <c r="CS483" s="587"/>
      <c r="CT483" s="587"/>
      <c r="CU483" s="587"/>
      <c r="CV483" s="587"/>
      <c r="CW483" s="587"/>
      <c r="CX483" s="587"/>
      <c r="CY483" s="587"/>
      <c r="CZ483" s="587"/>
      <c r="DA483" s="587"/>
      <c r="DB483" s="587"/>
      <c r="DC483" s="587"/>
      <c r="DD483" s="587"/>
      <c r="DE483" s="587"/>
      <c r="DF483" s="587"/>
      <c r="DG483" s="587"/>
      <c r="DH483" s="587"/>
      <c r="DI483" s="587"/>
      <c r="DJ483" s="587"/>
      <c r="DK483" s="587"/>
      <c r="DL483" s="587"/>
      <c r="DM483" s="587"/>
      <c r="DN483" s="587"/>
      <c r="DO483" s="587"/>
      <c r="DP483" s="587"/>
      <c r="DQ483" s="587"/>
      <c r="DR483" s="587"/>
      <c r="DS483" s="587"/>
      <c r="DT483" s="587"/>
      <c r="DU483" s="587"/>
      <c r="DV483" s="587"/>
      <c r="DW483" s="587"/>
      <c r="DX483" s="587"/>
      <c r="DY483" s="587"/>
      <c r="DZ483" s="587"/>
      <c r="EA483" s="587"/>
      <c r="EB483" s="587"/>
      <c r="EC483" s="587"/>
      <c r="ED483" s="587"/>
      <c r="EE483" s="587"/>
      <c r="EF483" s="587"/>
      <c r="EG483" s="587"/>
      <c r="EH483" s="587"/>
      <c r="EI483" s="587"/>
      <c r="EJ483" s="587"/>
      <c r="EK483" s="587"/>
      <c r="EL483" s="587"/>
      <c r="EM483" s="587"/>
      <c r="EN483" s="587"/>
      <c r="EO483" s="587"/>
      <c r="EP483" s="587"/>
      <c r="EQ483" s="587"/>
      <c r="ER483" s="587"/>
      <c r="ES483" s="587"/>
      <c r="ET483" s="587"/>
      <c r="EU483" s="587"/>
      <c r="EV483" s="587"/>
      <c r="EW483" s="587"/>
      <c r="EX483" s="587"/>
      <c r="EY483" s="587"/>
      <c r="EZ483" s="587"/>
      <c r="FA483" s="587"/>
      <c r="FB483" s="587"/>
      <c r="FC483" s="587"/>
      <c r="FD483" s="587"/>
      <c r="FE483" s="587"/>
      <c r="FF483" s="587"/>
      <c r="FG483" s="587"/>
      <c r="FH483" s="587"/>
      <c r="FI483" s="587"/>
      <c r="FJ483" s="587"/>
      <c r="FK483" s="587"/>
      <c r="FL483" s="587"/>
      <c r="FM483" s="587"/>
      <c r="FN483" s="587"/>
    </row>
    <row r="484" s="493" customFormat="1" spans="1:170">
      <c r="A484" s="584"/>
      <c r="B484" s="500"/>
      <c r="C484" s="501"/>
      <c r="D484" s="500"/>
      <c r="E484" s="500"/>
      <c r="F484" s="510" t="s">
        <v>493</v>
      </c>
      <c r="G484" s="585">
        <v>2</v>
      </c>
      <c r="H484" s="585">
        <v>0.2</v>
      </c>
      <c r="I484" s="585" t="s">
        <v>22</v>
      </c>
      <c r="J484" s="585">
        <v>1.89</v>
      </c>
      <c r="K484" s="588"/>
      <c r="L484" s="588"/>
      <c r="M484" s="587"/>
      <c r="N484" s="587"/>
      <c r="O484" s="587"/>
      <c r="P484" s="587"/>
      <c r="Q484" s="587"/>
      <c r="R484" s="587"/>
      <c r="S484" s="587"/>
      <c r="T484" s="587"/>
      <c r="U484" s="587"/>
      <c r="V484" s="587"/>
      <c r="W484" s="587"/>
      <c r="X484" s="587"/>
      <c r="Y484" s="587"/>
      <c r="Z484" s="587"/>
      <c r="AA484" s="587"/>
      <c r="AB484" s="587"/>
      <c r="AC484" s="587"/>
      <c r="AD484" s="587"/>
      <c r="AE484" s="587"/>
      <c r="AF484" s="587"/>
      <c r="AG484" s="587"/>
      <c r="AH484" s="587"/>
      <c r="AI484" s="587"/>
      <c r="AJ484" s="587"/>
      <c r="AK484" s="587"/>
      <c r="AL484" s="587"/>
      <c r="AM484" s="587"/>
      <c r="AN484" s="587"/>
      <c r="AO484" s="587"/>
      <c r="AP484" s="587"/>
      <c r="AQ484" s="587"/>
      <c r="AR484" s="587"/>
      <c r="AS484" s="587"/>
      <c r="AT484" s="587"/>
      <c r="AU484" s="587"/>
      <c r="AV484" s="587"/>
      <c r="AW484" s="587"/>
      <c r="AX484" s="587"/>
      <c r="AY484" s="587"/>
      <c r="AZ484" s="587"/>
      <c r="BA484" s="587"/>
      <c r="BB484" s="587"/>
      <c r="BC484" s="587"/>
      <c r="BD484" s="587"/>
      <c r="BE484" s="587"/>
      <c r="BF484" s="587"/>
      <c r="BG484" s="587"/>
      <c r="BH484" s="587"/>
      <c r="BI484" s="587"/>
      <c r="BJ484" s="587"/>
      <c r="BK484" s="587"/>
      <c r="BL484" s="587"/>
      <c r="BM484" s="587"/>
      <c r="BN484" s="587"/>
      <c r="BO484" s="587"/>
      <c r="BP484" s="587"/>
      <c r="BQ484" s="587"/>
      <c r="BR484" s="587"/>
      <c r="BS484" s="587"/>
      <c r="BT484" s="587"/>
      <c r="BU484" s="587"/>
      <c r="BV484" s="587"/>
      <c r="BW484" s="587"/>
      <c r="BX484" s="587"/>
      <c r="BY484" s="587"/>
      <c r="BZ484" s="587"/>
      <c r="CA484" s="587"/>
      <c r="CB484" s="587"/>
      <c r="CC484" s="587"/>
      <c r="CD484" s="587"/>
      <c r="CE484" s="587"/>
      <c r="CF484" s="587"/>
      <c r="CG484" s="587"/>
      <c r="CH484" s="587"/>
      <c r="CI484" s="587"/>
      <c r="CJ484" s="587"/>
      <c r="CK484" s="587"/>
      <c r="CL484" s="587"/>
      <c r="CM484" s="587"/>
      <c r="CN484" s="587"/>
      <c r="CO484" s="587"/>
      <c r="CP484" s="587"/>
      <c r="CQ484" s="587"/>
      <c r="CR484" s="587"/>
      <c r="CS484" s="587"/>
      <c r="CT484" s="587"/>
      <c r="CU484" s="587"/>
      <c r="CV484" s="587"/>
      <c r="CW484" s="587"/>
      <c r="CX484" s="587"/>
      <c r="CY484" s="587"/>
      <c r="CZ484" s="587"/>
      <c r="DA484" s="587"/>
      <c r="DB484" s="587"/>
      <c r="DC484" s="587"/>
      <c r="DD484" s="587"/>
      <c r="DE484" s="587"/>
      <c r="DF484" s="587"/>
      <c r="DG484" s="587"/>
      <c r="DH484" s="587"/>
      <c r="DI484" s="587"/>
      <c r="DJ484" s="587"/>
      <c r="DK484" s="587"/>
      <c r="DL484" s="587"/>
      <c r="DM484" s="587"/>
      <c r="DN484" s="587"/>
      <c r="DO484" s="587"/>
      <c r="DP484" s="587"/>
      <c r="DQ484" s="587"/>
      <c r="DR484" s="587"/>
      <c r="DS484" s="587"/>
      <c r="DT484" s="587"/>
      <c r="DU484" s="587"/>
      <c r="DV484" s="587"/>
      <c r="DW484" s="587"/>
      <c r="DX484" s="587"/>
      <c r="DY484" s="587"/>
      <c r="DZ484" s="587"/>
      <c r="EA484" s="587"/>
      <c r="EB484" s="587"/>
      <c r="EC484" s="587"/>
      <c r="ED484" s="587"/>
      <c r="EE484" s="587"/>
      <c r="EF484" s="587"/>
      <c r="EG484" s="587"/>
      <c r="EH484" s="587"/>
      <c r="EI484" s="587"/>
      <c r="EJ484" s="587"/>
      <c r="EK484" s="587"/>
      <c r="EL484" s="587"/>
      <c r="EM484" s="587"/>
      <c r="EN484" s="587"/>
      <c r="EO484" s="587"/>
      <c r="EP484" s="587"/>
      <c r="EQ484" s="587"/>
      <c r="ER484" s="587"/>
      <c r="ES484" s="587"/>
      <c r="ET484" s="587"/>
      <c r="EU484" s="587"/>
      <c r="EV484" s="587"/>
      <c r="EW484" s="587"/>
      <c r="EX484" s="587"/>
      <c r="EY484" s="587"/>
      <c r="EZ484" s="587"/>
      <c r="FA484" s="587"/>
      <c r="FB484" s="587"/>
      <c r="FC484" s="587"/>
      <c r="FD484" s="587"/>
      <c r="FE484" s="587"/>
      <c r="FF484" s="587"/>
      <c r="FG484" s="587"/>
      <c r="FH484" s="587"/>
      <c r="FI484" s="587"/>
      <c r="FJ484" s="587"/>
      <c r="FK484" s="587"/>
      <c r="FL484" s="587"/>
      <c r="FM484" s="587"/>
      <c r="FN484" s="587"/>
    </row>
    <row r="485" s="493" customFormat="1" spans="1:170">
      <c r="A485" s="584"/>
      <c r="B485" s="500"/>
      <c r="C485" s="501"/>
      <c r="D485" s="500"/>
      <c r="E485" s="500"/>
      <c r="F485" s="510" t="s">
        <v>23</v>
      </c>
      <c r="G485" s="585">
        <v>2.67</v>
      </c>
      <c r="H485" s="585">
        <v>0.35</v>
      </c>
      <c r="I485" s="585" t="s">
        <v>24</v>
      </c>
      <c r="J485" s="585" t="s">
        <v>24</v>
      </c>
      <c r="K485" s="589"/>
      <c r="L485" s="589"/>
      <c r="M485" s="587"/>
      <c r="N485" s="587"/>
      <c r="O485" s="587"/>
      <c r="P485" s="587"/>
      <c r="Q485" s="587"/>
      <c r="R485" s="587"/>
      <c r="S485" s="587"/>
      <c r="T485" s="587"/>
      <c r="U485" s="587"/>
      <c r="V485" s="587"/>
      <c r="W485" s="587"/>
      <c r="X485" s="587"/>
      <c r="Y485" s="587"/>
      <c r="Z485" s="587"/>
      <c r="AA485" s="587"/>
      <c r="AB485" s="587"/>
      <c r="AC485" s="587"/>
      <c r="AD485" s="587"/>
      <c r="AE485" s="587"/>
      <c r="AF485" s="587"/>
      <c r="AG485" s="587"/>
      <c r="AH485" s="587"/>
      <c r="AI485" s="587"/>
      <c r="AJ485" s="587"/>
      <c r="AK485" s="587"/>
      <c r="AL485" s="587"/>
      <c r="AM485" s="587"/>
      <c r="AN485" s="587"/>
      <c r="AO485" s="587"/>
      <c r="AP485" s="587"/>
      <c r="AQ485" s="587"/>
      <c r="AR485" s="587"/>
      <c r="AS485" s="587"/>
      <c r="AT485" s="587"/>
      <c r="AU485" s="587"/>
      <c r="AV485" s="587"/>
      <c r="AW485" s="587"/>
      <c r="AX485" s="587"/>
      <c r="AY485" s="587"/>
      <c r="AZ485" s="587"/>
      <c r="BA485" s="587"/>
      <c r="BB485" s="587"/>
      <c r="BC485" s="587"/>
      <c r="BD485" s="587"/>
      <c r="BE485" s="587"/>
      <c r="BF485" s="587"/>
      <c r="BG485" s="587"/>
      <c r="BH485" s="587"/>
      <c r="BI485" s="587"/>
      <c r="BJ485" s="587"/>
      <c r="BK485" s="587"/>
      <c r="BL485" s="587"/>
      <c r="BM485" s="587"/>
      <c r="BN485" s="587"/>
      <c r="BO485" s="587"/>
      <c r="BP485" s="587"/>
      <c r="BQ485" s="587"/>
      <c r="BR485" s="587"/>
      <c r="BS485" s="587"/>
      <c r="BT485" s="587"/>
      <c r="BU485" s="587"/>
      <c r="BV485" s="587"/>
      <c r="BW485" s="587"/>
      <c r="BX485" s="587"/>
      <c r="BY485" s="587"/>
      <c r="BZ485" s="587"/>
      <c r="CA485" s="587"/>
      <c r="CB485" s="587"/>
      <c r="CC485" s="587"/>
      <c r="CD485" s="587"/>
      <c r="CE485" s="587"/>
      <c r="CF485" s="587"/>
      <c r="CG485" s="587"/>
      <c r="CH485" s="587"/>
      <c r="CI485" s="587"/>
      <c r="CJ485" s="587"/>
      <c r="CK485" s="587"/>
      <c r="CL485" s="587"/>
      <c r="CM485" s="587"/>
      <c r="CN485" s="587"/>
      <c r="CO485" s="587"/>
      <c r="CP485" s="587"/>
      <c r="CQ485" s="587"/>
      <c r="CR485" s="587"/>
      <c r="CS485" s="587"/>
      <c r="CT485" s="587"/>
      <c r="CU485" s="587"/>
      <c r="CV485" s="587"/>
      <c r="CW485" s="587"/>
      <c r="CX485" s="587"/>
      <c r="CY485" s="587"/>
      <c r="CZ485" s="587"/>
      <c r="DA485" s="587"/>
      <c r="DB485" s="587"/>
      <c r="DC485" s="587"/>
      <c r="DD485" s="587"/>
      <c r="DE485" s="587"/>
      <c r="DF485" s="587"/>
      <c r="DG485" s="587"/>
      <c r="DH485" s="587"/>
      <c r="DI485" s="587"/>
      <c r="DJ485" s="587"/>
      <c r="DK485" s="587"/>
      <c r="DL485" s="587"/>
      <c r="DM485" s="587"/>
      <c r="DN485" s="587"/>
      <c r="DO485" s="587"/>
      <c r="DP485" s="587"/>
      <c r="DQ485" s="587"/>
      <c r="DR485" s="587"/>
      <c r="DS485" s="587"/>
      <c r="DT485" s="587"/>
      <c r="DU485" s="587"/>
      <c r="DV485" s="587"/>
      <c r="DW485" s="587"/>
      <c r="DX485" s="587"/>
      <c r="DY485" s="587"/>
      <c r="DZ485" s="587"/>
      <c r="EA485" s="587"/>
      <c r="EB485" s="587"/>
      <c r="EC485" s="587"/>
      <c r="ED485" s="587"/>
      <c r="EE485" s="587"/>
      <c r="EF485" s="587"/>
      <c r="EG485" s="587"/>
      <c r="EH485" s="587"/>
      <c r="EI485" s="587"/>
      <c r="EJ485" s="587"/>
      <c r="EK485" s="587"/>
      <c r="EL485" s="587"/>
      <c r="EM485" s="587"/>
      <c r="EN485" s="587"/>
      <c r="EO485" s="587"/>
      <c r="EP485" s="587"/>
      <c r="EQ485" s="587"/>
      <c r="ER485" s="587"/>
      <c r="ES485" s="587"/>
      <c r="ET485" s="587"/>
      <c r="EU485" s="587"/>
      <c r="EV485" s="587"/>
      <c r="EW485" s="587"/>
      <c r="EX485" s="587"/>
      <c r="EY485" s="587"/>
      <c r="EZ485" s="587"/>
      <c r="FA485" s="587"/>
      <c r="FB485" s="587"/>
      <c r="FC485" s="587"/>
      <c r="FD485" s="587"/>
      <c r="FE485" s="587"/>
      <c r="FF485" s="587"/>
      <c r="FG485" s="587"/>
      <c r="FH485" s="587"/>
      <c r="FI485" s="587"/>
      <c r="FJ485" s="587"/>
      <c r="FK485" s="587"/>
      <c r="FL485" s="587"/>
      <c r="FM485" s="587"/>
      <c r="FN485" s="587"/>
    </row>
    <row r="486" s="493" customFormat="1" spans="1:170">
      <c r="A486" s="584">
        <v>46224</v>
      </c>
      <c r="B486" s="500" t="s">
        <v>886</v>
      </c>
      <c r="C486" s="501">
        <v>10</v>
      </c>
      <c r="D486" s="500" t="s">
        <v>82</v>
      </c>
      <c r="E486" s="500" t="s">
        <v>82</v>
      </c>
      <c r="F486" s="510" t="s">
        <v>26</v>
      </c>
      <c r="G486" s="585">
        <v>1.83</v>
      </c>
      <c r="H486" s="585">
        <v>8.4</v>
      </c>
      <c r="I486" s="585" t="s">
        <v>17</v>
      </c>
      <c r="J486" s="585">
        <v>1.66</v>
      </c>
      <c r="K486" s="586" t="s">
        <v>887</v>
      </c>
      <c r="L486" s="564" t="s">
        <v>888</v>
      </c>
      <c r="M486" s="587"/>
      <c r="N486" s="587"/>
      <c r="O486" s="587"/>
      <c r="P486" s="587"/>
      <c r="Q486" s="587"/>
      <c r="R486" s="587"/>
      <c r="S486" s="587"/>
      <c r="T486" s="587"/>
      <c r="U486" s="587"/>
      <c r="V486" s="587"/>
      <c r="W486" s="587"/>
      <c r="X486" s="587"/>
      <c r="Y486" s="587"/>
      <c r="Z486" s="587"/>
      <c r="AA486" s="587"/>
      <c r="AB486" s="587"/>
      <c r="AC486" s="587"/>
      <c r="AD486" s="587"/>
      <c r="AE486" s="587"/>
      <c r="AF486" s="587"/>
      <c r="AG486" s="587"/>
      <c r="AH486" s="587"/>
      <c r="AI486" s="587"/>
      <c r="AJ486" s="587"/>
      <c r="AK486" s="587"/>
      <c r="AL486" s="587"/>
      <c r="AM486" s="587"/>
      <c r="AN486" s="587"/>
      <c r="AO486" s="587"/>
      <c r="AP486" s="587"/>
      <c r="AQ486" s="587"/>
      <c r="AR486" s="587"/>
      <c r="AS486" s="587"/>
      <c r="AT486" s="587"/>
      <c r="AU486" s="587"/>
      <c r="AV486" s="587"/>
      <c r="AW486" s="587"/>
      <c r="AX486" s="587"/>
      <c r="AY486" s="587"/>
      <c r="AZ486" s="587"/>
      <c r="BA486" s="587"/>
      <c r="BB486" s="587"/>
      <c r="BC486" s="587"/>
      <c r="BD486" s="587"/>
      <c r="BE486" s="587"/>
      <c r="BF486" s="587"/>
      <c r="BG486" s="587"/>
      <c r="BH486" s="587"/>
      <c r="BI486" s="587"/>
      <c r="BJ486" s="587"/>
      <c r="BK486" s="587"/>
      <c r="BL486" s="587"/>
      <c r="BM486" s="587"/>
      <c r="BN486" s="587"/>
      <c r="BO486" s="587"/>
      <c r="BP486" s="587"/>
      <c r="BQ486" s="587"/>
      <c r="BR486" s="587"/>
      <c r="BS486" s="587"/>
      <c r="BT486" s="587"/>
      <c r="BU486" s="587"/>
      <c r="BV486" s="587"/>
      <c r="BW486" s="587"/>
      <c r="BX486" s="587"/>
      <c r="BY486" s="587"/>
      <c r="BZ486" s="587"/>
      <c r="CA486" s="587"/>
      <c r="CB486" s="587"/>
      <c r="CC486" s="587"/>
      <c r="CD486" s="587"/>
      <c r="CE486" s="587"/>
      <c r="CF486" s="587"/>
      <c r="CG486" s="587"/>
      <c r="CH486" s="587"/>
      <c r="CI486" s="587"/>
      <c r="CJ486" s="587"/>
      <c r="CK486" s="587"/>
      <c r="CL486" s="587"/>
      <c r="CM486" s="587"/>
      <c r="CN486" s="587"/>
      <c r="CO486" s="587"/>
      <c r="CP486" s="587"/>
      <c r="CQ486" s="587"/>
      <c r="CR486" s="587"/>
      <c r="CS486" s="587"/>
      <c r="CT486" s="587"/>
      <c r="CU486" s="587"/>
      <c r="CV486" s="587"/>
      <c r="CW486" s="587"/>
      <c r="CX486" s="587"/>
      <c r="CY486" s="587"/>
      <c r="CZ486" s="587"/>
      <c r="DA486" s="587"/>
      <c r="DB486" s="587"/>
      <c r="DC486" s="587"/>
      <c r="DD486" s="587"/>
      <c r="DE486" s="587"/>
      <c r="DF486" s="587"/>
      <c r="DG486" s="587"/>
      <c r="DH486" s="587"/>
      <c r="DI486" s="587"/>
      <c r="DJ486" s="587"/>
      <c r="DK486" s="587"/>
      <c r="DL486" s="587"/>
      <c r="DM486" s="587"/>
      <c r="DN486" s="587"/>
      <c r="DO486" s="587"/>
      <c r="DP486" s="587"/>
      <c r="DQ486" s="587"/>
      <c r="DR486" s="587"/>
      <c r="DS486" s="587"/>
      <c r="DT486" s="587"/>
      <c r="DU486" s="587"/>
      <c r="DV486" s="587"/>
      <c r="DW486" s="587"/>
      <c r="DX486" s="587"/>
      <c r="DY486" s="587"/>
      <c r="DZ486" s="587"/>
      <c r="EA486" s="587"/>
      <c r="EB486" s="587"/>
      <c r="EC486" s="587"/>
      <c r="ED486" s="587"/>
      <c r="EE486" s="587"/>
      <c r="EF486" s="587"/>
      <c r="EG486" s="587"/>
      <c r="EH486" s="587"/>
      <c r="EI486" s="587"/>
      <c r="EJ486" s="587"/>
      <c r="EK486" s="587"/>
      <c r="EL486" s="587"/>
      <c r="EM486" s="587"/>
      <c r="EN486" s="587"/>
      <c r="EO486" s="587"/>
      <c r="EP486" s="587"/>
      <c r="EQ486" s="587"/>
      <c r="ER486" s="587"/>
      <c r="ES486" s="587"/>
      <c r="ET486" s="587"/>
      <c r="EU486" s="587"/>
      <c r="EV486" s="587"/>
      <c r="EW486" s="587"/>
      <c r="EX486" s="587"/>
      <c r="EY486" s="587"/>
      <c r="EZ486" s="587"/>
      <c r="FA486" s="587"/>
      <c r="FB486" s="587"/>
      <c r="FC486" s="587"/>
      <c r="FD486" s="587"/>
      <c r="FE486" s="587"/>
      <c r="FF486" s="587"/>
      <c r="FG486" s="587"/>
      <c r="FH486" s="587"/>
      <c r="FI486" s="587"/>
      <c r="FJ486" s="587"/>
      <c r="FK486" s="587"/>
      <c r="FL486" s="587"/>
      <c r="FM486" s="587"/>
      <c r="FN486" s="587"/>
    </row>
    <row r="487" s="493" customFormat="1" spans="1:170">
      <c r="A487" s="584"/>
      <c r="B487" s="500"/>
      <c r="C487" s="501"/>
      <c r="D487" s="500"/>
      <c r="E487" s="500"/>
      <c r="F487" s="510" t="s">
        <v>21</v>
      </c>
      <c r="G487" s="585">
        <v>1.91</v>
      </c>
      <c r="H487" s="585">
        <v>0.5</v>
      </c>
      <c r="I487" s="585" t="s">
        <v>22</v>
      </c>
      <c r="J487" s="585">
        <v>1.75</v>
      </c>
      <c r="K487" s="588"/>
      <c r="L487" s="564"/>
      <c r="M487" s="587"/>
      <c r="N487" s="587"/>
      <c r="O487" s="587"/>
      <c r="P487" s="587"/>
      <c r="Q487" s="587"/>
      <c r="R487" s="587"/>
      <c r="S487" s="587"/>
      <c r="T487" s="587"/>
      <c r="U487" s="587"/>
      <c r="V487" s="587"/>
      <c r="W487" s="587"/>
      <c r="X487" s="587"/>
      <c r="Y487" s="587"/>
      <c r="Z487" s="587"/>
      <c r="AA487" s="587"/>
      <c r="AB487" s="587"/>
      <c r="AC487" s="587"/>
      <c r="AD487" s="587"/>
      <c r="AE487" s="587"/>
      <c r="AF487" s="587"/>
      <c r="AG487" s="587"/>
      <c r="AH487" s="587"/>
      <c r="AI487" s="587"/>
      <c r="AJ487" s="587"/>
      <c r="AK487" s="587"/>
      <c r="AL487" s="587"/>
      <c r="AM487" s="587"/>
      <c r="AN487" s="587"/>
      <c r="AO487" s="587"/>
      <c r="AP487" s="587"/>
      <c r="AQ487" s="587"/>
      <c r="AR487" s="587"/>
      <c r="AS487" s="587"/>
      <c r="AT487" s="587"/>
      <c r="AU487" s="587"/>
      <c r="AV487" s="587"/>
      <c r="AW487" s="587"/>
      <c r="AX487" s="587"/>
      <c r="AY487" s="587"/>
      <c r="AZ487" s="587"/>
      <c r="BA487" s="587"/>
      <c r="BB487" s="587"/>
      <c r="BC487" s="587"/>
      <c r="BD487" s="587"/>
      <c r="BE487" s="587"/>
      <c r="BF487" s="587"/>
      <c r="BG487" s="587"/>
      <c r="BH487" s="587"/>
      <c r="BI487" s="587"/>
      <c r="BJ487" s="587"/>
      <c r="BK487" s="587"/>
      <c r="BL487" s="587"/>
      <c r="BM487" s="587"/>
      <c r="BN487" s="587"/>
      <c r="BO487" s="587"/>
      <c r="BP487" s="587"/>
      <c r="BQ487" s="587"/>
      <c r="BR487" s="587"/>
      <c r="BS487" s="587"/>
      <c r="BT487" s="587"/>
      <c r="BU487" s="587"/>
      <c r="BV487" s="587"/>
      <c r="BW487" s="587"/>
      <c r="BX487" s="587"/>
      <c r="BY487" s="587"/>
      <c r="BZ487" s="587"/>
      <c r="CA487" s="587"/>
      <c r="CB487" s="587"/>
      <c r="CC487" s="587"/>
      <c r="CD487" s="587"/>
      <c r="CE487" s="587"/>
      <c r="CF487" s="587"/>
      <c r="CG487" s="587"/>
      <c r="CH487" s="587"/>
      <c r="CI487" s="587"/>
      <c r="CJ487" s="587"/>
      <c r="CK487" s="587"/>
      <c r="CL487" s="587"/>
      <c r="CM487" s="587"/>
      <c r="CN487" s="587"/>
      <c r="CO487" s="587"/>
      <c r="CP487" s="587"/>
      <c r="CQ487" s="587"/>
      <c r="CR487" s="587"/>
      <c r="CS487" s="587"/>
      <c r="CT487" s="587"/>
      <c r="CU487" s="587"/>
      <c r="CV487" s="587"/>
      <c r="CW487" s="587"/>
      <c r="CX487" s="587"/>
      <c r="CY487" s="587"/>
      <c r="CZ487" s="587"/>
      <c r="DA487" s="587"/>
      <c r="DB487" s="587"/>
      <c r="DC487" s="587"/>
      <c r="DD487" s="587"/>
      <c r="DE487" s="587"/>
      <c r="DF487" s="587"/>
      <c r="DG487" s="587"/>
      <c r="DH487" s="587"/>
      <c r="DI487" s="587"/>
      <c r="DJ487" s="587"/>
      <c r="DK487" s="587"/>
      <c r="DL487" s="587"/>
      <c r="DM487" s="587"/>
      <c r="DN487" s="587"/>
      <c r="DO487" s="587"/>
      <c r="DP487" s="587"/>
      <c r="DQ487" s="587"/>
      <c r="DR487" s="587"/>
      <c r="DS487" s="587"/>
      <c r="DT487" s="587"/>
      <c r="DU487" s="587"/>
      <c r="DV487" s="587"/>
      <c r="DW487" s="587"/>
      <c r="DX487" s="587"/>
      <c r="DY487" s="587"/>
      <c r="DZ487" s="587"/>
      <c r="EA487" s="587"/>
      <c r="EB487" s="587"/>
      <c r="EC487" s="587"/>
      <c r="ED487" s="587"/>
      <c r="EE487" s="587"/>
      <c r="EF487" s="587"/>
      <c r="EG487" s="587"/>
      <c r="EH487" s="587"/>
      <c r="EI487" s="587"/>
      <c r="EJ487" s="587"/>
      <c r="EK487" s="587"/>
      <c r="EL487" s="587"/>
      <c r="EM487" s="587"/>
      <c r="EN487" s="587"/>
      <c r="EO487" s="587"/>
      <c r="EP487" s="587"/>
      <c r="EQ487" s="587"/>
      <c r="ER487" s="587"/>
      <c r="ES487" s="587"/>
      <c r="ET487" s="587"/>
      <c r="EU487" s="587"/>
      <c r="EV487" s="587"/>
      <c r="EW487" s="587"/>
      <c r="EX487" s="587"/>
      <c r="EY487" s="587"/>
      <c r="EZ487" s="587"/>
      <c r="FA487" s="587"/>
      <c r="FB487" s="587"/>
      <c r="FC487" s="587"/>
      <c r="FD487" s="587"/>
      <c r="FE487" s="587"/>
      <c r="FF487" s="587"/>
      <c r="FG487" s="587"/>
      <c r="FH487" s="587"/>
      <c r="FI487" s="587"/>
      <c r="FJ487" s="587"/>
      <c r="FK487" s="587"/>
      <c r="FL487" s="587"/>
      <c r="FM487" s="587"/>
      <c r="FN487" s="587"/>
    </row>
    <row r="488" s="493" customFormat="1" spans="1:170">
      <c r="A488" s="584"/>
      <c r="B488" s="500"/>
      <c r="C488" s="501"/>
      <c r="D488" s="500"/>
      <c r="E488" s="500"/>
      <c r="F488" s="510" t="s">
        <v>43</v>
      </c>
      <c r="G488" s="585">
        <v>1.99</v>
      </c>
      <c r="H488" s="585">
        <v>0.3</v>
      </c>
      <c r="I488" s="585" t="s">
        <v>44</v>
      </c>
      <c r="J488" s="585">
        <v>1.9</v>
      </c>
      <c r="K488" s="588"/>
      <c r="L488" s="564"/>
      <c r="M488" s="587"/>
      <c r="N488" s="587"/>
      <c r="O488" s="587"/>
      <c r="P488" s="587"/>
      <c r="Q488" s="587"/>
      <c r="R488" s="587"/>
      <c r="S488" s="587"/>
      <c r="T488" s="587"/>
      <c r="U488" s="587"/>
      <c r="V488" s="587"/>
      <c r="W488" s="587"/>
      <c r="X488" s="587"/>
      <c r="Y488" s="587"/>
      <c r="Z488" s="587"/>
      <c r="AA488" s="587"/>
      <c r="AB488" s="587"/>
      <c r="AC488" s="587"/>
      <c r="AD488" s="587"/>
      <c r="AE488" s="587"/>
      <c r="AF488" s="587"/>
      <c r="AG488" s="587"/>
      <c r="AH488" s="587"/>
      <c r="AI488" s="587"/>
      <c r="AJ488" s="587"/>
      <c r="AK488" s="587"/>
      <c r="AL488" s="587"/>
      <c r="AM488" s="587"/>
      <c r="AN488" s="587"/>
      <c r="AO488" s="587"/>
      <c r="AP488" s="587"/>
      <c r="AQ488" s="587"/>
      <c r="AR488" s="587"/>
      <c r="AS488" s="587"/>
      <c r="AT488" s="587"/>
      <c r="AU488" s="587"/>
      <c r="AV488" s="587"/>
      <c r="AW488" s="587"/>
      <c r="AX488" s="587"/>
      <c r="AY488" s="587"/>
      <c r="AZ488" s="587"/>
      <c r="BA488" s="587"/>
      <c r="BB488" s="587"/>
      <c r="BC488" s="587"/>
      <c r="BD488" s="587"/>
      <c r="BE488" s="587"/>
      <c r="BF488" s="587"/>
      <c r="BG488" s="587"/>
      <c r="BH488" s="587"/>
      <c r="BI488" s="587"/>
      <c r="BJ488" s="587"/>
      <c r="BK488" s="587"/>
      <c r="BL488" s="587"/>
      <c r="BM488" s="587"/>
      <c r="BN488" s="587"/>
      <c r="BO488" s="587"/>
      <c r="BP488" s="587"/>
      <c r="BQ488" s="587"/>
      <c r="BR488" s="587"/>
      <c r="BS488" s="587"/>
      <c r="BT488" s="587"/>
      <c r="BU488" s="587"/>
      <c r="BV488" s="587"/>
      <c r="BW488" s="587"/>
      <c r="BX488" s="587"/>
      <c r="BY488" s="587"/>
      <c r="BZ488" s="587"/>
      <c r="CA488" s="587"/>
      <c r="CB488" s="587"/>
      <c r="CC488" s="587"/>
      <c r="CD488" s="587"/>
      <c r="CE488" s="587"/>
      <c r="CF488" s="587"/>
      <c r="CG488" s="587"/>
      <c r="CH488" s="587"/>
      <c r="CI488" s="587"/>
      <c r="CJ488" s="587"/>
      <c r="CK488" s="587"/>
      <c r="CL488" s="587"/>
      <c r="CM488" s="587"/>
      <c r="CN488" s="587"/>
      <c r="CO488" s="587"/>
      <c r="CP488" s="587"/>
      <c r="CQ488" s="587"/>
      <c r="CR488" s="587"/>
      <c r="CS488" s="587"/>
      <c r="CT488" s="587"/>
      <c r="CU488" s="587"/>
      <c r="CV488" s="587"/>
      <c r="CW488" s="587"/>
      <c r="CX488" s="587"/>
      <c r="CY488" s="587"/>
      <c r="CZ488" s="587"/>
      <c r="DA488" s="587"/>
      <c r="DB488" s="587"/>
      <c r="DC488" s="587"/>
      <c r="DD488" s="587"/>
      <c r="DE488" s="587"/>
      <c r="DF488" s="587"/>
      <c r="DG488" s="587"/>
      <c r="DH488" s="587"/>
      <c r="DI488" s="587"/>
      <c r="DJ488" s="587"/>
      <c r="DK488" s="587"/>
      <c r="DL488" s="587"/>
      <c r="DM488" s="587"/>
      <c r="DN488" s="587"/>
      <c r="DO488" s="587"/>
      <c r="DP488" s="587"/>
      <c r="DQ488" s="587"/>
      <c r="DR488" s="587"/>
      <c r="DS488" s="587"/>
      <c r="DT488" s="587"/>
      <c r="DU488" s="587"/>
      <c r="DV488" s="587"/>
      <c r="DW488" s="587"/>
      <c r="DX488" s="587"/>
      <c r="DY488" s="587"/>
      <c r="DZ488" s="587"/>
      <c r="EA488" s="587"/>
      <c r="EB488" s="587"/>
      <c r="EC488" s="587"/>
      <c r="ED488" s="587"/>
      <c r="EE488" s="587"/>
      <c r="EF488" s="587"/>
      <c r="EG488" s="587"/>
      <c r="EH488" s="587"/>
      <c r="EI488" s="587"/>
      <c r="EJ488" s="587"/>
      <c r="EK488" s="587"/>
      <c r="EL488" s="587"/>
      <c r="EM488" s="587"/>
      <c r="EN488" s="587"/>
      <c r="EO488" s="587"/>
      <c r="EP488" s="587"/>
      <c r="EQ488" s="587"/>
      <c r="ER488" s="587"/>
      <c r="ES488" s="587"/>
      <c r="ET488" s="587"/>
      <c r="EU488" s="587"/>
      <c r="EV488" s="587"/>
      <c r="EW488" s="587"/>
      <c r="EX488" s="587"/>
      <c r="EY488" s="587"/>
      <c r="EZ488" s="587"/>
      <c r="FA488" s="587"/>
      <c r="FB488" s="587"/>
      <c r="FC488" s="587"/>
      <c r="FD488" s="587"/>
      <c r="FE488" s="587"/>
      <c r="FF488" s="587"/>
      <c r="FG488" s="587"/>
      <c r="FH488" s="587"/>
      <c r="FI488" s="587"/>
      <c r="FJ488" s="587"/>
      <c r="FK488" s="587"/>
      <c r="FL488" s="587"/>
      <c r="FM488" s="587"/>
      <c r="FN488" s="587"/>
    </row>
    <row r="489" s="493" customFormat="1" spans="1:170">
      <c r="A489" s="584"/>
      <c r="B489" s="500"/>
      <c r="C489" s="501"/>
      <c r="D489" s="500"/>
      <c r="E489" s="500"/>
      <c r="F489" s="510" t="s">
        <v>23</v>
      </c>
      <c r="G489" s="585">
        <v>2.66</v>
      </c>
      <c r="H489" s="585">
        <v>0.8</v>
      </c>
      <c r="I489" s="585" t="s">
        <v>24</v>
      </c>
      <c r="J489" s="585" t="s">
        <v>24</v>
      </c>
      <c r="K489" s="589"/>
      <c r="L489" s="564"/>
      <c r="M489" s="587"/>
      <c r="N489" s="587"/>
      <c r="O489" s="587"/>
      <c r="P489" s="587"/>
      <c r="Q489" s="587"/>
      <c r="R489" s="587"/>
      <c r="S489" s="587"/>
      <c r="T489" s="587"/>
      <c r="U489" s="587"/>
      <c r="V489" s="587"/>
      <c r="W489" s="587"/>
      <c r="X489" s="587"/>
      <c r="Y489" s="587"/>
      <c r="Z489" s="587"/>
      <c r="AA489" s="587"/>
      <c r="AB489" s="587"/>
      <c r="AC489" s="587"/>
      <c r="AD489" s="587"/>
      <c r="AE489" s="587"/>
      <c r="AF489" s="587"/>
      <c r="AG489" s="587"/>
      <c r="AH489" s="587"/>
      <c r="AI489" s="587"/>
      <c r="AJ489" s="587"/>
      <c r="AK489" s="587"/>
      <c r="AL489" s="587"/>
      <c r="AM489" s="587"/>
      <c r="AN489" s="587"/>
      <c r="AO489" s="587"/>
      <c r="AP489" s="587"/>
      <c r="AQ489" s="587"/>
      <c r="AR489" s="587"/>
      <c r="AS489" s="587"/>
      <c r="AT489" s="587"/>
      <c r="AU489" s="587"/>
      <c r="AV489" s="587"/>
      <c r="AW489" s="587"/>
      <c r="AX489" s="587"/>
      <c r="AY489" s="587"/>
      <c r="AZ489" s="587"/>
      <c r="BA489" s="587"/>
      <c r="BB489" s="587"/>
      <c r="BC489" s="587"/>
      <c r="BD489" s="587"/>
      <c r="BE489" s="587"/>
      <c r="BF489" s="587"/>
      <c r="BG489" s="587"/>
      <c r="BH489" s="587"/>
      <c r="BI489" s="587"/>
      <c r="BJ489" s="587"/>
      <c r="BK489" s="587"/>
      <c r="BL489" s="587"/>
      <c r="BM489" s="587"/>
      <c r="BN489" s="587"/>
      <c r="BO489" s="587"/>
      <c r="BP489" s="587"/>
      <c r="BQ489" s="587"/>
      <c r="BR489" s="587"/>
      <c r="BS489" s="587"/>
      <c r="BT489" s="587"/>
      <c r="BU489" s="587"/>
      <c r="BV489" s="587"/>
      <c r="BW489" s="587"/>
      <c r="BX489" s="587"/>
      <c r="BY489" s="587"/>
      <c r="BZ489" s="587"/>
      <c r="CA489" s="587"/>
      <c r="CB489" s="587"/>
      <c r="CC489" s="587"/>
      <c r="CD489" s="587"/>
      <c r="CE489" s="587"/>
      <c r="CF489" s="587"/>
      <c r="CG489" s="587"/>
      <c r="CH489" s="587"/>
      <c r="CI489" s="587"/>
      <c r="CJ489" s="587"/>
      <c r="CK489" s="587"/>
      <c r="CL489" s="587"/>
      <c r="CM489" s="587"/>
      <c r="CN489" s="587"/>
      <c r="CO489" s="587"/>
      <c r="CP489" s="587"/>
      <c r="CQ489" s="587"/>
      <c r="CR489" s="587"/>
      <c r="CS489" s="587"/>
      <c r="CT489" s="587"/>
      <c r="CU489" s="587"/>
      <c r="CV489" s="587"/>
      <c r="CW489" s="587"/>
      <c r="CX489" s="587"/>
      <c r="CY489" s="587"/>
      <c r="CZ489" s="587"/>
      <c r="DA489" s="587"/>
      <c r="DB489" s="587"/>
      <c r="DC489" s="587"/>
      <c r="DD489" s="587"/>
      <c r="DE489" s="587"/>
      <c r="DF489" s="587"/>
      <c r="DG489" s="587"/>
      <c r="DH489" s="587"/>
      <c r="DI489" s="587"/>
      <c r="DJ489" s="587"/>
      <c r="DK489" s="587"/>
      <c r="DL489" s="587"/>
      <c r="DM489" s="587"/>
      <c r="DN489" s="587"/>
      <c r="DO489" s="587"/>
      <c r="DP489" s="587"/>
      <c r="DQ489" s="587"/>
      <c r="DR489" s="587"/>
      <c r="DS489" s="587"/>
      <c r="DT489" s="587"/>
      <c r="DU489" s="587"/>
      <c r="DV489" s="587"/>
      <c r="DW489" s="587"/>
      <c r="DX489" s="587"/>
      <c r="DY489" s="587"/>
      <c r="DZ489" s="587"/>
      <c r="EA489" s="587"/>
      <c r="EB489" s="587"/>
      <c r="EC489" s="587"/>
      <c r="ED489" s="587"/>
      <c r="EE489" s="587"/>
      <c r="EF489" s="587"/>
      <c r="EG489" s="587"/>
      <c r="EH489" s="587"/>
      <c r="EI489" s="587"/>
      <c r="EJ489" s="587"/>
      <c r="EK489" s="587"/>
      <c r="EL489" s="587"/>
      <c r="EM489" s="587"/>
      <c r="EN489" s="587"/>
      <c r="EO489" s="587"/>
      <c r="EP489" s="587"/>
      <c r="EQ489" s="587"/>
      <c r="ER489" s="587"/>
      <c r="ES489" s="587"/>
      <c r="ET489" s="587"/>
      <c r="EU489" s="587"/>
      <c r="EV489" s="587"/>
      <c r="EW489" s="587"/>
      <c r="EX489" s="587"/>
      <c r="EY489" s="587"/>
      <c r="EZ489" s="587"/>
      <c r="FA489" s="587"/>
      <c r="FB489" s="587"/>
      <c r="FC489" s="587"/>
      <c r="FD489" s="587"/>
      <c r="FE489" s="587"/>
      <c r="FF489" s="587"/>
      <c r="FG489" s="587"/>
      <c r="FH489" s="587"/>
      <c r="FI489" s="587"/>
      <c r="FJ489" s="587"/>
      <c r="FK489" s="587"/>
      <c r="FL489" s="587"/>
      <c r="FM489" s="587"/>
      <c r="FN489" s="587"/>
    </row>
    <row r="490" s="493" customFormat="1" spans="1:170">
      <c r="A490" s="584">
        <v>46225</v>
      </c>
      <c r="B490" s="500" t="s">
        <v>889</v>
      </c>
      <c r="C490" s="501">
        <v>5.64</v>
      </c>
      <c r="D490" s="500" t="s">
        <v>82</v>
      </c>
      <c r="E490" s="500" t="s">
        <v>359</v>
      </c>
      <c r="F490" s="510" t="s">
        <v>26</v>
      </c>
      <c r="G490" s="585">
        <v>1</v>
      </c>
      <c r="H490" s="585">
        <v>5.28</v>
      </c>
      <c r="I490" s="585" t="s">
        <v>17</v>
      </c>
      <c r="J490" s="585">
        <v>1.6</v>
      </c>
      <c r="K490" s="564" t="s">
        <v>890</v>
      </c>
      <c r="L490" s="564" t="s">
        <v>87</v>
      </c>
      <c r="M490" s="587"/>
      <c r="N490" s="587"/>
      <c r="O490" s="587"/>
      <c r="P490" s="587"/>
      <c r="Q490" s="587"/>
      <c r="R490" s="587"/>
      <c r="S490" s="587"/>
      <c r="T490" s="587"/>
      <c r="U490" s="587"/>
      <c r="V490" s="587"/>
      <c r="W490" s="587"/>
      <c r="X490" s="587"/>
      <c r="Y490" s="587"/>
      <c r="Z490" s="587"/>
      <c r="AA490" s="587"/>
      <c r="AB490" s="587"/>
      <c r="AC490" s="587"/>
      <c r="AD490" s="587"/>
      <c r="AE490" s="587"/>
      <c r="AF490" s="587"/>
      <c r="AG490" s="587"/>
      <c r="AH490" s="587"/>
      <c r="AI490" s="587"/>
      <c r="AJ490" s="587"/>
      <c r="AK490" s="587"/>
      <c r="AL490" s="587"/>
      <c r="AM490" s="587"/>
      <c r="AN490" s="587"/>
      <c r="AO490" s="587"/>
      <c r="AP490" s="587"/>
      <c r="AQ490" s="587"/>
      <c r="AR490" s="587"/>
      <c r="AS490" s="587"/>
      <c r="AT490" s="587"/>
      <c r="AU490" s="587"/>
      <c r="AV490" s="587"/>
      <c r="AW490" s="587"/>
      <c r="AX490" s="587"/>
      <c r="AY490" s="587"/>
      <c r="AZ490" s="587"/>
      <c r="BA490" s="587"/>
      <c r="BB490" s="587"/>
      <c r="BC490" s="587"/>
      <c r="BD490" s="587"/>
      <c r="BE490" s="587"/>
      <c r="BF490" s="587"/>
      <c r="BG490" s="587"/>
      <c r="BH490" s="587"/>
      <c r="BI490" s="587"/>
      <c r="BJ490" s="587"/>
      <c r="BK490" s="587"/>
      <c r="BL490" s="587"/>
      <c r="BM490" s="587"/>
      <c r="BN490" s="587"/>
      <c r="BO490" s="587"/>
      <c r="BP490" s="587"/>
      <c r="BQ490" s="587"/>
      <c r="BR490" s="587"/>
      <c r="BS490" s="587"/>
      <c r="BT490" s="587"/>
      <c r="BU490" s="587"/>
      <c r="BV490" s="587"/>
      <c r="BW490" s="587"/>
      <c r="BX490" s="587"/>
      <c r="BY490" s="587"/>
      <c r="BZ490" s="587"/>
      <c r="CA490" s="587"/>
      <c r="CB490" s="587"/>
      <c r="CC490" s="587"/>
      <c r="CD490" s="587"/>
      <c r="CE490" s="587"/>
      <c r="CF490" s="587"/>
      <c r="CG490" s="587"/>
      <c r="CH490" s="587"/>
      <c r="CI490" s="587"/>
      <c r="CJ490" s="587"/>
      <c r="CK490" s="587"/>
      <c r="CL490" s="587"/>
      <c r="CM490" s="587"/>
      <c r="CN490" s="587"/>
      <c r="CO490" s="587"/>
      <c r="CP490" s="587"/>
      <c r="CQ490" s="587"/>
      <c r="CR490" s="587"/>
      <c r="CS490" s="587"/>
      <c r="CT490" s="587"/>
      <c r="CU490" s="587"/>
      <c r="CV490" s="587"/>
      <c r="CW490" s="587"/>
      <c r="CX490" s="587"/>
      <c r="CY490" s="587"/>
      <c r="CZ490" s="587"/>
      <c r="DA490" s="587"/>
      <c r="DB490" s="587"/>
      <c r="DC490" s="587"/>
      <c r="DD490" s="587"/>
      <c r="DE490" s="587"/>
      <c r="DF490" s="587"/>
      <c r="DG490" s="587"/>
      <c r="DH490" s="587"/>
      <c r="DI490" s="587"/>
      <c r="DJ490" s="587"/>
      <c r="DK490" s="587"/>
      <c r="DL490" s="587"/>
      <c r="DM490" s="587"/>
      <c r="DN490" s="587"/>
      <c r="DO490" s="587"/>
      <c r="DP490" s="587"/>
      <c r="DQ490" s="587"/>
      <c r="DR490" s="587"/>
      <c r="DS490" s="587"/>
      <c r="DT490" s="587"/>
      <c r="DU490" s="587"/>
      <c r="DV490" s="587"/>
      <c r="DW490" s="587"/>
      <c r="DX490" s="587"/>
      <c r="DY490" s="587"/>
      <c r="DZ490" s="587"/>
      <c r="EA490" s="587"/>
      <c r="EB490" s="587"/>
      <c r="EC490" s="587"/>
      <c r="ED490" s="587"/>
      <c r="EE490" s="587"/>
      <c r="EF490" s="587"/>
      <c r="EG490" s="587"/>
      <c r="EH490" s="587"/>
      <c r="EI490" s="587"/>
      <c r="EJ490" s="587"/>
      <c r="EK490" s="587"/>
      <c r="EL490" s="587"/>
      <c r="EM490" s="587"/>
      <c r="EN490" s="587"/>
      <c r="EO490" s="587"/>
      <c r="EP490" s="587"/>
      <c r="EQ490" s="587"/>
      <c r="ER490" s="587"/>
      <c r="ES490" s="587"/>
      <c r="ET490" s="587"/>
      <c r="EU490" s="587"/>
      <c r="EV490" s="587"/>
      <c r="EW490" s="587"/>
      <c r="EX490" s="587"/>
      <c r="EY490" s="587"/>
      <c r="EZ490" s="587"/>
      <c r="FA490" s="587"/>
      <c r="FB490" s="587"/>
      <c r="FC490" s="587"/>
      <c r="FD490" s="587"/>
      <c r="FE490" s="587"/>
      <c r="FF490" s="587"/>
      <c r="FG490" s="587"/>
      <c r="FH490" s="587"/>
      <c r="FI490" s="587"/>
      <c r="FJ490" s="587"/>
      <c r="FK490" s="587"/>
      <c r="FL490" s="587"/>
      <c r="FM490" s="587"/>
      <c r="FN490" s="587"/>
    </row>
    <row r="491" s="493" customFormat="1" spans="1:170">
      <c r="A491" s="584"/>
      <c r="B491" s="500"/>
      <c r="C491" s="501"/>
      <c r="D491" s="500"/>
      <c r="E491" s="500"/>
      <c r="F491" s="510" t="s">
        <v>21</v>
      </c>
      <c r="G491" s="585">
        <v>1</v>
      </c>
      <c r="H491" s="585">
        <v>0.36</v>
      </c>
      <c r="I491" s="585" t="s">
        <v>22</v>
      </c>
      <c r="J491" s="585">
        <v>1.79</v>
      </c>
      <c r="K491" s="564"/>
      <c r="L491" s="564"/>
      <c r="M491" s="587"/>
      <c r="N491" s="587"/>
      <c r="O491" s="587"/>
      <c r="P491" s="587"/>
      <c r="Q491" s="587"/>
      <c r="R491" s="587"/>
      <c r="S491" s="587"/>
      <c r="T491" s="587"/>
      <c r="U491" s="587"/>
      <c r="V491" s="587"/>
      <c r="W491" s="587"/>
      <c r="X491" s="587"/>
      <c r="Y491" s="587"/>
      <c r="Z491" s="587"/>
      <c r="AA491" s="587"/>
      <c r="AB491" s="587"/>
      <c r="AC491" s="587"/>
      <c r="AD491" s="587"/>
      <c r="AE491" s="587"/>
      <c r="AF491" s="587"/>
      <c r="AG491" s="587"/>
      <c r="AH491" s="587"/>
      <c r="AI491" s="587"/>
      <c r="AJ491" s="587"/>
      <c r="AK491" s="587"/>
      <c r="AL491" s="587"/>
      <c r="AM491" s="587"/>
      <c r="AN491" s="587"/>
      <c r="AO491" s="587"/>
      <c r="AP491" s="587"/>
      <c r="AQ491" s="587"/>
      <c r="AR491" s="587"/>
      <c r="AS491" s="587"/>
      <c r="AT491" s="587"/>
      <c r="AU491" s="587"/>
      <c r="AV491" s="587"/>
      <c r="AW491" s="587"/>
      <c r="AX491" s="587"/>
      <c r="AY491" s="587"/>
      <c r="AZ491" s="587"/>
      <c r="BA491" s="587"/>
      <c r="BB491" s="587"/>
      <c r="BC491" s="587"/>
      <c r="BD491" s="587"/>
      <c r="BE491" s="587"/>
      <c r="BF491" s="587"/>
      <c r="BG491" s="587"/>
      <c r="BH491" s="587"/>
      <c r="BI491" s="587"/>
      <c r="BJ491" s="587"/>
      <c r="BK491" s="587"/>
      <c r="BL491" s="587"/>
      <c r="BM491" s="587"/>
      <c r="BN491" s="587"/>
      <c r="BO491" s="587"/>
      <c r="BP491" s="587"/>
      <c r="BQ491" s="587"/>
      <c r="BR491" s="587"/>
      <c r="BS491" s="587"/>
      <c r="BT491" s="587"/>
      <c r="BU491" s="587"/>
      <c r="BV491" s="587"/>
      <c r="BW491" s="587"/>
      <c r="BX491" s="587"/>
      <c r="BY491" s="587"/>
      <c r="BZ491" s="587"/>
      <c r="CA491" s="587"/>
      <c r="CB491" s="587"/>
      <c r="CC491" s="587"/>
      <c r="CD491" s="587"/>
      <c r="CE491" s="587"/>
      <c r="CF491" s="587"/>
      <c r="CG491" s="587"/>
      <c r="CH491" s="587"/>
      <c r="CI491" s="587"/>
      <c r="CJ491" s="587"/>
      <c r="CK491" s="587"/>
      <c r="CL491" s="587"/>
      <c r="CM491" s="587"/>
      <c r="CN491" s="587"/>
      <c r="CO491" s="587"/>
      <c r="CP491" s="587"/>
      <c r="CQ491" s="587"/>
      <c r="CR491" s="587"/>
      <c r="CS491" s="587"/>
      <c r="CT491" s="587"/>
      <c r="CU491" s="587"/>
      <c r="CV491" s="587"/>
      <c r="CW491" s="587"/>
      <c r="CX491" s="587"/>
      <c r="CY491" s="587"/>
      <c r="CZ491" s="587"/>
      <c r="DA491" s="587"/>
      <c r="DB491" s="587"/>
      <c r="DC491" s="587"/>
      <c r="DD491" s="587"/>
      <c r="DE491" s="587"/>
      <c r="DF491" s="587"/>
      <c r="DG491" s="587"/>
      <c r="DH491" s="587"/>
      <c r="DI491" s="587"/>
      <c r="DJ491" s="587"/>
      <c r="DK491" s="587"/>
      <c r="DL491" s="587"/>
      <c r="DM491" s="587"/>
      <c r="DN491" s="587"/>
      <c r="DO491" s="587"/>
      <c r="DP491" s="587"/>
      <c r="DQ491" s="587"/>
      <c r="DR491" s="587"/>
      <c r="DS491" s="587"/>
      <c r="DT491" s="587"/>
      <c r="DU491" s="587"/>
      <c r="DV491" s="587"/>
      <c r="DW491" s="587"/>
      <c r="DX491" s="587"/>
      <c r="DY491" s="587"/>
      <c r="DZ491" s="587"/>
      <c r="EA491" s="587"/>
      <c r="EB491" s="587"/>
      <c r="EC491" s="587"/>
      <c r="ED491" s="587"/>
      <c r="EE491" s="587"/>
      <c r="EF491" s="587"/>
      <c r="EG491" s="587"/>
      <c r="EH491" s="587"/>
      <c r="EI491" s="587"/>
      <c r="EJ491" s="587"/>
      <c r="EK491" s="587"/>
      <c r="EL491" s="587"/>
      <c r="EM491" s="587"/>
      <c r="EN491" s="587"/>
      <c r="EO491" s="587"/>
      <c r="EP491" s="587"/>
      <c r="EQ491" s="587"/>
      <c r="ER491" s="587"/>
      <c r="ES491" s="587"/>
      <c r="ET491" s="587"/>
      <c r="EU491" s="587"/>
      <c r="EV491" s="587"/>
      <c r="EW491" s="587"/>
      <c r="EX491" s="587"/>
      <c r="EY491" s="587"/>
      <c r="EZ491" s="587"/>
      <c r="FA491" s="587"/>
      <c r="FB491" s="587"/>
      <c r="FC491" s="587"/>
      <c r="FD491" s="587"/>
      <c r="FE491" s="587"/>
      <c r="FF491" s="587"/>
      <c r="FG491" s="587"/>
      <c r="FH491" s="587"/>
      <c r="FI491" s="587"/>
      <c r="FJ491" s="587"/>
      <c r="FK491" s="587"/>
      <c r="FL491" s="587"/>
      <c r="FM491" s="587"/>
      <c r="FN491" s="587"/>
    </row>
    <row r="492" s="493" customFormat="1" spans="1:170">
      <c r="A492" s="584">
        <v>46225</v>
      </c>
      <c r="B492" s="500" t="s">
        <v>891</v>
      </c>
      <c r="C492" s="501">
        <v>5</v>
      </c>
      <c r="D492" s="590" t="s">
        <v>536</v>
      </c>
      <c r="E492" s="500" t="s">
        <v>82</v>
      </c>
      <c r="F492" s="510" t="s">
        <v>26</v>
      </c>
      <c r="G492" s="585">
        <v>1.83</v>
      </c>
      <c r="H492" s="585">
        <v>4.25</v>
      </c>
      <c r="I492" s="585" t="s">
        <v>17</v>
      </c>
      <c r="J492" s="585">
        <v>2.15</v>
      </c>
      <c r="K492" s="586" t="s">
        <v>892</v>
      </c>
      <c r="L492" s="586"/>
      <c r="M492" s="587"/>
      <c r="N492" s="587"/>
      <c r="O492" s="587"/>
      <c r="P492" s="587"/>
      <c r="Q492" s="587"/>
      <c r="R492" s="587"/>
      <c r="S492" s="587"/>
      <c r="T492" s="587"/>
      <c r="U492" s="587"/>
      <c r="V492" s="587"/>
      <c r="W492" s="587"/>
      <c r="X492" s="587"/>
      <c r="Y492" s="587"/>
      <c r="Z492" s="587"/>
      <c r="AA492" s="587"/>
      <c r="AB492" s="587"/>
      <c r="AC492" s="587"/>
      <c r="AD492" s="587"/>
      <c r="AE492" s="587"/>
      <c r="AF492" s="587"/>
      <c r="AG492" s="587"/>
      <c r="AH492" s="587"/>
      <c r="AI492" s="587"/>
      <c r="AJ492" s="587"/>
      <c r="AK492" s="587"/>
      <c r="AL492" s="587"/>
      <c r="AM492" s="587"/>
      <c r="AN492" s="587"/>
      <c r="AO492" s="587"/>
      <c r="AP492" s="587"/>
      <c r="AQ492" s="587"/>
      <c r="AR492" s="587"/>
      <c r="AS492" s="587"/>
      <c r="AT492" s="587"/>
      <c r="AU492" s="587"/>
      <c r="AV492" s="587"/>
      <c r="AW492" s="587"/>
      <c r="AX492" s="587"/>
      <c r="AY492" s="587"/>
      <c r="AZ492" s="587"/>
      <c r="BA492" s="587"/>
      <c r="BB492" s="587"/>
      <c r="BC492" s="587"/>
      <c r="BD492" s="587"/>
      <c r="BE492" s="587"/>
      <c r="BF492" s="587"/>
      <c r="BG492" s="587"/>
      <c r="BH492" s="587"/>
      <c r="BI492" s="587"/>
      <c r="BJ492" s="587"/>
      <c r="BK492" s="587"/>
      <c r="BL492" s="587"/>
      <c r="BM492" s="587"/>
      <c r="BN492" s="587"/>
      <c r="BO492" s="587"/>
      <c r="BP492" s="587"/>
      <c r="BQ492" s="587"/>
      <c r="BR492" s="587"/>
      <c r="BS492" s="587"/>
      <c r="BT492" s="587"/>
      <c r="BU492" s="587"/>
      <c r="BV492" s="587"/>
      <c r="BW492" s="587"/>
      <c r="BX492" s="587"/>
      <c r="BY492" s="587"/>
      <c r="BZ492" s="587"/>
      <c r="CA492" s="587"/>
      <c r="CB492" s="587"/>
      <c r="CC492" s="587"/>
      <c r="CD492" s="587"/>
      <c r="CE492" s="587"/>
      <c r="CF492" s="587"/>
      <c r="CG492" s="587"/>
      <c r="CH492" s="587"/>
      <c r="CI492" s="587"/>
      <c r="CJ492" s="587"/>
      <c r="CK492" s="587"/>
      <c r="CL492" s="587"/>
      <c r="CM492" s="587"/>
      <c r="CN492" s="587"/>
      <c r="CO492" s="587"/>
      <c r="CP492" s="587"/>
      <c r="CQ492" s="587"/>
      <c r="CR492" s="587"/>
      <c r="CS492" s="587"/>
      <c r="CT492" s="587"/>
      <c r="CU492" s="587"/>
      <c r="CV492" s="587"/>
      <c r="CW492" s="587"/>
      <c r="CX492" s="587"/>
      <c r="CY492" s="587"/>
      <c r="CZ492" s="587"/>
      <c r="DA492" s="587"/>
      <c r="DB492" s="587"/>
      <c r="DC492" s="587"/>
      <c r="DD492" s="587"/>
      <c r="DE492" s="587"/>
      <c r="DF492" s="587"/>
      <c r="DG492" s="587"/>
      <c r="DH492" s="587"/>
      <c r="DI492" s="587"/>
      <c r="DJ492" s="587"/>
      <c r="DK492" s="587"/>
      <c r="DL492" s="587"/>
      <c r="DM492" s="587"/>
      <c r="DN492" s="587"/>
      <c r="DO492" s="587"/>
      <c r="DP492" s="587"/>
      <c r="DQ492" s="587"/>
      <c r="DR492" s="587"/>
      <c r="DS492" s="587"/>
      <c r="DT492" s="587"/>
      <c r="DU492" s="587"/>
      <c r="DV492" s="587"/>
      <c r="DW492" s="587"/>
      <c r="DX492" s="587"/>
      <c r="DY492" s="587"/>
      <c r="DZ492" s="587"/>
      <c r="EA492" s="587"/>
      <c r="EB492" s="587"/>
      <c r="EC492" s="587"/>
      <c r="ED492" s="587"/>
      <c r="EE492" s="587"/>
      <c r="EF492" s="587"/>
      <c r="EG492" s="587"/>
      <c r="EH492" s="587"/>
      <c r="EI492" s="587"/>
      <c r="EJ492" s="587"/>
      <c r="EK492" s="587"/>
      <c r="EL492" s="587"/>
      <c r="EM492" s="587"/>
      <c r="EN492" s="587"/>
      <c r="EO492" s="587"/>
      <c r="EP492" s="587"/>
      <c r="EQ492" s="587"/>
      <c r="ER492" s="587"/>
      <c r="ES492" s="587"/>
      <c r="ET492" s="587"/>
      <c r="EU492" s="587"/>
      <c r="EV492" s="587"/>
      <c r="EW492" s="587"/>
      <c r="EX492" s="587"/>
      <c r="EY492" s="587"/>
      <c r="EZ492" s="587"/>
      <c r="FA492" s="587"/>
      <c r="FB492" s="587"/>
      <c r="FC492" s="587"/>
      <c r="FD492" s="587"/>
      <c r="FE492" s="587"/>
      <c r="FF492" s="587"/>
      <c r="FG492" s="587"/>
      <c r="FH492" s="587"/>
      <c r="FI492" s="587"/>
      <c r="FJ492" s="587"/>
      <c r="FK492" s="587"/>
      <c r="FL492" s="587"/>
      <c r="FM492" s="587"/>
      <c r="FN492" s="587"/>
    </row>
    <row r="493" s="493" customFormat="1" spans="1:170">
      <c r="A493" s="584"/>
      <c r="B493" s="500"/>
      <c r="C493" s="501"/>
      <c r="D493" s="500"/>
      <c r="E493" s="500"/>
      <c r="F493" s="510" t="s">
        <v>493</v>
      </c>
      <c r="G493" s="585">
        <v>1.92</v>
      </c>
      <c r="H493" s="585">
        <v>0.3</v>
      </c>
      <c r="I493" s="585" t="s">
        <v>22</v>
      </c>
      <c r="J493" s="585">
        <v>2.6</v>
      </c>
      <c r="K493" s="588"/>
      <c r="L493" s="588"/>
      <c r="M493" s="587"/>
      <c r="N493" s="587"/>
      <c r="O493" s="587"/>
      <c r="P493" s="587"/>
      <c r="Q493" s="587"/>
      <c r="R493" s="587"/>
      <c r="S493" s="587"/>
      <c r="T493" s="587"/>
      <c r="U493" s="587"/>
      <c r="V493" s="587"/>
      <c r="W493" s="587"/>
      <c r="X493" s="587"/>
      <c r="Y493" s="587"/>
      <c r="Z493" s="587"/>
      <c r="AA493" s="587"/>
      <c r="AB493" s="587"/>
      <c r="AC493" s="587"/>
      <c r="AD493" s="587"/>
      <c r="AE493" s="587"/>
      <c r="AF493" s="587"/>
      <c r="AG493" s="587"/>
      <c r="AH493" s="587"/>
      <c r="AI493" s="587"/>
      <c r="AJ493" s="587"/>
      <c r="AK493" s="587"/>
      <c r="AL493" s="587"/>
      <c r="AM493" s="587"/>
      <c r="AN493" s="587"/>
      <c r="AO493" s="587"/>
      <c r="AP493" s="587"/>
      <c r="AQ493" s="587"/>
      <c r="AR493" s="587"/>
      <c r="AS493" s="587"/>
      <c r="AT493" s="587"/>
      <c r="AU493" s="587"/>
      <c r="AV493" s="587"/>
      <c r="AW493" s="587"/>
      <c r="AX493" s="587"/>
      <c r="AY493" s="587"/>
      <c r="AZ493" s="587"/>
      <c r="BA493" s="587"/>
      <c r="BB493" s="587"/>
      <c r="BC493" s="587"/>
      <c r="BD493" s="587"/>
      <c r="BE493" s="587"/>
      <c r="BF493" s="587"/>
      <c r="BG493" s="587"/>
      <c r="BH493" s="587"/>
      <c r="BI493" s="587"/>
      <c r="BJ493" s="587"/>
      <c r="BK493" s="587"/>
      <c r="BL493" s="587"/>
      <c r="BM493" s="587"/>
      <c r="BN493" s="587"/>
      <c r="BO493" s="587"/>
      <c r="BP493" s="587"/>
      <c r="BQ493" s="587"/>
      <c r="BR493" s="587"/>
      <c r="BS493" s="587"/>
      <c r="BT493" s="587"/>
      <c r="BU493" s="587"/>
      <c r="BV493" s="587"/>
      <c r="BW493" s="587"/>
      <c r="BX493" s="587"/>
      <c r="BY493" s="587"/>
      <c r="BZ493" s="587"/>
      <c r="CA493" s="587"/>
      <c r="CB493" s="587"/>
      <c r="CC493" s="587"/>
      <c r="CD493" s="587"/>
      <c r="CE493" s="587"/>
      <c r="CF493" s="587"/>
      <c r="CG493" s="587"/>
      <c r="CH493" s="587"/>
      <c r="CI493" s="587"/>
      <c r="CJ493" s="587"/>
      <c r="CK493" s="587"/>
      <c r="CL493" s="587"/>
      <c r="CM493" s="587"/>
      <c r="CN493" s="587"/>
      <c r="CO493" s="587"/>
      <c r="CP493" s="587"/>
      <c r="CQ493" s="587"/>
      <c r="CR493" s="587"/>
      <c r="CS493" s="587"/>
      <c r="CT493" s="587"/>
      <c r="CU493" s="587"/>
      <c r="CV493" s="587"/>
      <c r="CW493" s="587"/>
      <c r="CX493" s="587"/>
      <c r="CY493" s="587"/>
      <c r="CZ493" s="587"/>
      <c r="DA493" s="587"/>
      <c r="DB493" s="587"/>
      <c r="DC493" s="587"/>
      <c r="DD493" s="587"/>
      <c r="DE493" s="587"/>
      <c r="DF493" s="587"/>
      <c r="DG493" s="587"/>
      <c r="DH493" s="587"/>
      <c r="DI493" s="587"/>
      <c r="DJ493" s="587"/>
      <c r="DK493" s="587"/>
      <c r="DL493" s="587"/>
      <c r="DM493" s="587"/>
      <c r="DN493" s="587"/>
      <c r="DO493" s="587"/>
      <c r="DP493" s="587"/>
      <c r="DQ493" s="587"/>
      <c r="DR493" s="587"/>
      <c r="DS493" s="587"/>
      <c r="DT493" s="587"/>
      <c r="DU493" s="587"/>
      <c r="DV493" s="587"/>
      <c r="DW493" s="587"/>
      <c r="DX493" s="587"/>
      <c r="DY493" s="587"/>
      <c r="DZ493" s="587"/>
      <c r="EA493" s="587"/>
      <c r="EB493" s="587"/>
      <c r="EC493" s="587"/>
      <c r="ED493" s="587"/>
      <c r="EE493" s="587"/>
      <c r="EF493" s="587"/>
      <c r="EG493" s="587"/>
      <c r="EH493" s="587"/>
      <c r="EI493" s="587"/>
      <c r="EJ493" s="587"/>
      <c r="EK493" s="587"/>
      <c r="EL493" s="587"/>
      <c r="EM493" s="587"/>
      <c r="EN493" s="587"/>
      <c r="EO493" s="587"/>
      <c r="EP493" s="587"/>
      <c r="EQ493" s="587"/>
      <c r="ER493" s="587"/>
      <c r="ES493" s="587"/>
      <c r="ET493" s="587"/>
      <c r="EU493" s="587"/>
      <c r="EV493" s="587"/>
      <c r="EW493" s="587"/>
      <c r="EX493" s="587"/>
      <c r="EY493" s="587"/>
      <c r="EZ493" s="587"/>
      <c r="FA493" s="587"/>
      <c r="FB493" s="587"/>
      <c r="FC493" s="587"/>
      <c r="FD493" s="587"/>
      <c r="FE493" s="587"/>
      <c r="FF493" s="587"/>
      <c r="FG493" s="587"/>
      <c r="FH493" s="587"/>
      <c r="FI493" s="587"/>
      <c r="FJ493" s="587"/>
      <c r="FK493" s="587"/>
      <c r="FL493" s="587"/>
      <c r="FM493" s="587"/>
      <c r="FN493" s="587"/>
    </row>
    <row r="494" s="493" customFormat="1" spans="1:170">
      <c r="A494" s="584"/>
      <c r="B494" s="500"/>
      <c r="C494" s="501"/>
      <c r="D494" s="500"/>
      <c r="E494" s="500"/>
      <c r="F494" s="510" t="s">
        <v>23</v>
      </c>
      <c r="G494" s="585">
        <v>2.59</v>
      </c>
      <c r="H494" s="585">
        <v>0.45</v>
      </c>
      <c r="I494" s="585" t="s">
        <v>24</v>
      </c>
      <c r="J494" s="585" t="s">
        <v>24</v>
      </c>
      <c r="K494" s="589"/>
      <c r="L494" s="589"/>
      <c r="M494" s="587"/>
      <c r="N494" s="587"/>
      <c r="O494" s="587"/>
      <c r="P494" s="587"/>
      <c r="Q494" s="587"/>
      <c r="R494" s="587"/>
      <c r="S494" s="587"/>
      <c r="T494" s="587"/>
      <c r="U494" s="587"/>
      <c r="V494" s="587"/>
      <c r="W494" s="587"/>
      <c r="X494" s="587"/>
      <c r="Y494" s="587"/>
      <c r="Z494" s="587"/>
      <c r="AA494" s="587"/>
      <c r="AB494" s="587"/>
      <c r="AC494" s="587"/>
      <c r="AD494" s="587"/>
      <c r="AE494" s="587"/>
      <c r="AF494" s="587"/>
      <c r="AG494" s="587"/>
      <c r="AH494" s="587"/>
      <c r="AI494" s="587"/>
      <c r="AJ494" s="587"/>
      <c r="AK494" s="587"/>
      <c r="AL494" s="587"/>
      <c r="AM494" s="587"/>
      <c r="AN494" s="587"/>
      <c r="AO494" s="587"/>
      <c r="AP494" s="587"/>
      <c r="AQ494" s="587"/>
      <c r="AR494" s="587"/>
      <c r="AS494" s="587"/>
      <c r="AT494" s="587"/>
      <c r="AU494" s="587"/>
      <c r="AV494" s="587"/>
      <c r="AW494" s="587"/>
      <c r="AX494" s="587"/>
      <c r="AY494" s="587"/>
      <c r="AZ494" s="587"/>
      <c r="BA494" s="587"/>
      <c r="BB494" s="587"/>
      <c r="BC494" s="587"/>
      <c r="BD494" s="587"/>
      <c r="BE494" s="587"/>
      <c r="BF494" s="587"/>
      <c r="BG494" s="587"/>
      <c r="BH494" s="587"/>
      <c r="BI494" s="587"/>
      <c r="BJ494" s="587"/>
      <c r="BK494" s="587"/>
      <c r="BL494" s="587"/>
      <c r="BM494" s="587"/>
      <c r="BN494" s="587"/>
      <c r="BO494" s="587"/>
      <c r="BP494" s="587"/>
      <c r="BQ494" s="587"/>
      <c r="BR494" s="587"/>
      <c r="BS494" s="587"/>
      <c r="BT494" s="587"/>
      <c r="BU494" s="587"/>
      <c r="BV494" s="587"/>
      <c r="BW494" s="587"/>
      <c r="BX494" s="587"/>
      <c r="BY494" s="587"/>
      <c r="BZ494" s="587"/>
      <c r="CA494" s="587"/>
      <c r="CB494" s="587"/>
      <c r="CC494" s="587"/>
      <c r="CD494" s="587"/>
      <c r="CE494" s="587"/>
      <c r="CF494" s="587"/>
      <c r="CG494" s="587"/>
      <c r="CH494" s="587"/>
      <c r="CI494" s="587"/>
      <c r="CJ494" s="587"/>
      <c r="CK494" s="587"/>
      <c r="CL494" s="587"/>
      <c r="CM494" s="587"/>
      <c r="CN494" s="587"/>
      <c r="CO494" s="587"/>
      <c r="CP494" s="587"/>
      <c r="CQ494" s="587"/>
      <c r="CR494" s="587"/>
      <c r="CS494" s="587"/>
      <c r="CT494" s="587"/>
      <c r="CU494" s="587"/>
      <c r="CV494" s="587"/>
      <c r="CW494" s="587"/>
      <c r="CX494" s="587"/>
      <c r="CY494" s="587"/>
      <c r="CZ494" s="587"/>
      <c r="DA494" s="587"/>
      <c r="DB494" s="587"/>
      <c r="DC494" s="587"/>
      <c r="DD494" s="587"/>
      <c r="DE494" s="587"/>
      <c r="DF494" s="587"/>
      <c r="DG494" s="587"/>
      <c r="DH494" s="587"/>
      <c r="DI494" s="587"/>
      <c r="DJ494" s="587"/>
      <c r="DK494" s="587"/>
      <c r="DL494" s="587"/>
      <c r="DM494" s="587"/>
      <c r="DN494" s="587"/>
      <c r="DO494" s="587"/>
      <c r="DP494" s="587"/>
      <c r="DQ494" s="587"/>
      <c r="DR494" s="587"/>
      <c r="DS494" s="587"/>
      <c r="DT494" s="587"/>
      <c r="DU494" s="587"/>
      <c r="DV494" s="587"/>
      <c r="DW494" s="587"/>
      <c r="DX494" s="587"/>
      <c r="DY494" s="587"/>
      <c r="DZ494" s="587"/>
      <c r="EA494" s="587"/>
      <c r="EB494" s="587"/>
      <c r="EC494" s="587"/>
      <c r="ED494" s="587"/>
      <c r="EE494" s="587"/>
      <c r="EF494" s="587"/>
      <c r="EG494" s="587"/>
      <c r="EH494" s="587"/>
      <c r="EI494" s="587"/>
      <c r="EJ494" s="587"/>
      <c r="EK494" s="587"/>
      <c r="EL494" s="587"/>
      <c r="EM494" s="587"/>
      <c r="EN494" s="587"/>
      <c r="EO494" s="587"/>
      <c r="EP494" s="587"/>
      <c r="EQ494" s="587"/>
      <c r="ER494" s="587"/>
      <c r="ES494" s="587"/>
      <c r="ET494" s="587"/>
      <c r="EU494" s="587"/>
      <c r="EV494" s="587"/>
      <c r="EW494" s="587"/>
      <c r="EX494" s="587"/>
      <c r="EY494" s="587"/>
      <c r="EZ494" s="587"/>
      <c r="FA494" s="587"/>
      <c r="FB494" s="587"/>
      <c r="FC494" s="587"/>
      <c r="FD494" s="587"/>
      <c r="FE494" s="587"/>
      <c r="FF494" s="587"/>
      <c r="FG494" s="587"/>
      <c r="FH494" s="587"/>
      <c r="FI494" s="587"/>
      <c r="FJ494" s="587"/>
      <c r="FK494" s="587"/>
      <c r="FL494" s="587"/>
      <c r="FM494" s="587"/>
      <c r="FN494" s="587"/>
    </row>
    <row r="495" s="493" customFormat="1" spans="1:170">
      <c r="A495" s="584">
        <v>46226</v>
      </c>
      <c r="B495" s="500" t="s">
        <v>893</v>
      </c>
      <c r="C495" s="501">
        <v>10</v>
      </c>
      <c r="D495" s="500" t="s">
        <v>368</v>
      </c>
      <c r="E495" s="500" t="s">
        <v>82</v>
      </c>
      <c r="F495" s="510" t="s">
        <v>40</v>
      </c>
      <c r="G495" s="585">
        <v>1.08</v>
      </c>
      <c r="H495" s="585">
        <v>3.2</v>
      </c>
      <c r="I495" s="541" t="s">
        <v>17</v>
      </c>
      <c r="J495" s="585">
        <v>1.58</v>
      </c>
      <c r="K495" s="586" t="s">
        <v>890</v>
      </c>
      <c r="L495" s="564" t="s">
        <v>87</v>
      </c>
      <c r="M495" s="587"/>
      <c r="N495" s="587"/>
      <c r="O495" s="587"/>
      <c r="P495" s="587"/>
      <c r="Q495" s="587"/>
      <c r="R495" s="587"/>
      <c r="S495" s="587"/>
      <c r="T495" s="587"/>
      <c r="U495" s="587"/>
      <c r="V495" s="587"/>
      <c r="W495" s="587"/>
      <c r="X495" s="587"/>
      <c r="Y495" s="587"/>
      <c r="Z495" s="587"/>
      <c r="AA495" s="587"/>
      <c r="AB495" s="587"/>
      <c r="AC495" s="587"/>
      <c r="AD495" s="587"/>
      <c r="AE495" s="587"/>
      <c r="AF495" s="587"/>
      <c r="AG495" s="587"/>
      <c r="AH495" s="587"/>
      <c r="AI495" s="587"/>
      <c r="AJ495" s="587"/>
      <c r="AK495" s="587"/>
      <c r="AL495" s="587"/>
      <c r="AM495" s="587"/>
      <c r="AN495" s="587"/>
      <c r="AO495" s="587"/>
      <c r="AP495" s="587"/>
      <c r="AQ495" s="587"/>
      <c r="AR495" s="587"/>
      <c r="AS495" s="587"/>
      <c r="AT495" s="587"/>
      <c r="AU495" s="587"/>
      <c r="AV495" s="587"/>
      <c r="AW495" s="587"/>
      <c r="AX495" s="587"/>
      <c r="AY495" s="587"/>
      <c r="AZ495" s="587"/>
      <c r="BA495" s="587"/>
      <c r="BB495" s="587"/>
      <c r="BC495" s="587"/>
      <c r="BD495" s="587"/>
      <c r="BE495" s="587"/>
      <c r="BF495" s="587"/>
      <c r="BG495" s="587"/>
      <c r="BH495" s="587"/>
      <c r="BI495" s="587"/>
      <c r="BJ495" s="587"/>
      <c r="BK495" s="587"/>
      <c r="BL495" s="587"/>
      <c r="BM495" s="587"/>
      <c r="BN495" s="587"/>
      <c r="BO495" s="587"/>
      <c r="BP495" s="587"/>
      <c r="BQ495" s="587"/>
      <c r="BR495" s="587"/>
      <c r="BS495" s="587"/>
      <c r="BT495" s="587"/>
      <c r="BU495" s="587"/>
      <c r="BV495" s="587"/>
      <c r="BW495" s="587"/>
      <c r="BX495" s="587"/>
      <c r="BY495" s="587"/>
      <c r="BZ495" s="587"/>
      <c r="CA495" s="587"/>
      <c r="CB495" s="587"/>
      <c r="CC495" s="587"/>
      <c r="CD495" s="587"/>
      <c r="CE495" s="587"/>
      <c r="CF495" s="587"/>
      <c r="CG495" s="587"/>
      <c r="CH495" s="587"/>
      <c r="CI495" s="587"/>
      <c r="CJ495" s="587"/>
      <c r="CK495" s="587"/>
      <c r="CL495" s="587"/>
      <c r="CM495" s="587"/>
      <c r="CN495" s="587"/>
      <c r="CO495" s="587"/>
      <c r="CP495" s="587"/>
      <c r="CQ495" s="587"/>
      <c r="CR495" s="587"/>
      <c r="CS495" s="587"/>
      <c r="CT495" s="587"/>
      <c r="CU495" s="587"/>
      <c r="CV495" s="587"/>
      <c r="CW495" s="587"/>
      <c r="CX495" s="587"/>
      <c r="CY495" s="587"/>
      <c r="CZ495" s="587"/>
      <c r="DA495" s="587"/>
      <c r="DB495" s="587"/>
      <c r="DC495" s="587"/>
      <c r="DD495" s="587"/>
      <c r="DE495" s="587"/>
      <c r="DF495" s="587"/>
      <c r="DG495" s="587"/>
      <c r="DH495" s="587"/>
      <c r="DI495" s="587"/>
      <c r="DJ495" s="587"/>
      <c r="DK495" s="587"/>
      <c r="DL495" s="587"/>
      <c r="DM495" s="587"/>
      <c r="DN495" s="587"/>
      <c r="DO495" s="587"/>
      <c r="DP495" s="587"/>
      <c r="DQ495" s="587"/>
      <c r="DR495" s="587"/>
      <c r="DS495" s="587"/>
      <c r="DT495" s="587"/>
      <c r="DU495" s="587"/>
      <c r="DV495" s="587"/>
      <c r="DW495" s="587"/>
      <c r="DX495" s="587"/>
      <c r="DY495" s="587"/>
      <c r="DZ495" s="587"/>
      <c r="EA495" s="587"/>
      <c r="EB495" s="587"/>
      <c r="EC495" s="587"/>
      <c r="ED495" s="587"/>
      <c r="EE495" s="587"/>
      <c r="EF495" s="587"/>
      <c r="EG495" s="587"/>
      <c r="EH495" s="587"/>
      <c r="EI495" s="587"/>
      <c r="EJ495" s="587"/>
      <c r="EK495" s="587"/>
      <c r="EL495" s="587"/>
      <c r="EM495" s="587"/>
      <c r="EN495" s="587"/>
      <c r="EO495" s="587"/>
      <c r="EP495" s="587"/>
      <c r="EQ495" s="587"/>
      <c r="ER495" s="587"/>
      <c r="ES495" s="587"/>
      <c r="ET495" s="587"/>
      <c r="EU495" s="587"/>
      <c r="EV495" s="587"/>
      <c r="EW495" s="587"/>
      <c r="EX495" s="587"/>
      <c r="EY495" s="587"/>
      <c r="EZ495" s="587"/>
      <c r="FA495" s="587"/>
      <c r="FB495" s="587"/>
      <c r="FC495" s="587"/>
      <c r="FD495" s="587"/>
      <c r="FE495" s="587"/>
      <c r="FF495" s="587"/>
      <c r="FG495" s="587"/>
      <c r="FH495" s="587"/>
      <c r="FI495" s="587"/>
      <c r="FJ495" s="587"/>
      <c r="FK495" s="587"/>
      <c r="FL495" s="587"/>
      <c r="FM495" s="587"/>
      <c r="FN495" s="587"/>
    </row>
    <row r="496" s="493" customFormat="1" spans="1:170">
      <c r="A496" s="584"/>
      <c r="B496" s="500"/>
      <c r="C496" s="501"/>
      <c r="D496" s="500"/>
      <c r="E496" s="500"/>
      <c r="F496" s="510" t="s">
        <v>42</v>
      </c>
      <c r="G496" s="585">
        <v>1.67</v>
      </c>
      <c r="H496" s="585">
        <v>5.8</v>
      </c>
      <c r="I496" s="541" t="s">
        <v>17</v>
      </c>
      <c r="J496" s="585">
        <v>1.7</v>
      </c>
      <c r="K496" s="588"/>
      <c r="L496" s="564"/>
      <c r="M496" s="587"/>
      <c r="N496" s="587"/>
      <c r="O496" s="587"/>
      <c r="P496" s="587"/>
      <c r="Q496" s="587"/>
      <c r="R496" s="587"/>
      <c r="S496" s="587"/>
      <c r="T496" s="587"/>
      <c r="U496" s="587"/>
      <c r="V496" s="587"/>
      <c r="W496" s="587"/>
      <c r="X496" s="587"/>
      <c r="Y496" s="587"/>
      <c r="Z496" s="587"/>
      <c r="AA496" s="587"/>
      <c r="AB496" s="587"/>
      <c r="AC496" s="587"/>
      <c r="AD496" s="587"/>
      <c r="AE496" s="587"/>
      <c r="AF496" s="587"/>
      <c r="AG496" s="587"/>
      <c r="AH496" s="587"/>
      <c r="AI496" s="587"/>
      <c r="AJ496" s="587"/>
      <c r="AK496" s="587"/>
      <c r="AL496" s="587"/>
      <c r="AM496" s="587"/>
      <c r="AN496" s="587"/>
      <c r="AO496" s="587"/>
      <c r="AP496" s="587"/>
      <c r="AQ496" s="587"/>
      <c r="AR496" s="587"/>
      <c r="AS496" s="587"/>
      <c r="AT496" s="587"/>
      <c r="AU496" s="587"/>
      <c r="AV496" s="587"/>
      <c r="AW496" s="587"/>
      <c r="AX496" s="587"/>
      <c r="AY496" s="587"/>
      <c r="AZ496" s="587"/>
      <c r="BA496" s="587"/>
      <c r="BB496" s="587"/>
      <c r="BC496" s="587"/>
      <c r="BD496" s="587"/>
      <c r="BE496" s="587"/>
      <c r="BF496" s="587"/>
      <c r="BG496" s="587"/>
      <c r="BH496" s="587"/>
      <c r="BI496" s="587"/>
      <c r="BJ496" s="587"/>
      <c r="BK496" s="587"/>
      <c r="BL496" s="587"/>
      <c r="BM496" s="587"/>
      <c r="BN496" s="587"/>
      <c r="BO496" s="587"/>
      <c r="BP496" s="587"/>
      <c r="BQ496" s="587"/>
      <c r="BR496" s="587"/>
      <c r="BS496" s="587"/>
      <c r="BT496" s="587"/>
      <c r="BU496" s="587"/>
      <c r="BV496" s="587"/>
      <c r="BW496" s="587"/>
      <c r="BX496" s="587"/>
      <c r="BY496" s="587"/>
      <c r="BZ496" s="587"/>
      <c r="CA496" s="587"/>
      <c r="CB496" s="587"/>
      <c r="CC496" s="587"/>
      <c r="CD496" s="587"/>
      <c r="CE496" s="587"/>
      <c r="CF496" s="587"/>
      <c r="CG496" s="587"/>
      <c r="CH496" s="587"/>
      <c r="CI496" s="587"/>
      <c r="CJ496" s="587"/>
      <c r="CK496" s="587"/>
      <c r="CL496" s="587"/>
      <c r="CM496" s="587"/>
      <c r="CN496" s="587"/>
      <c r="CO496" s="587"/>
      <c r="CP496" s="587"/>
      <c r="CQ496" s="587"/>
      <c r="CR496" s="587"/>
      <c r="CS496" s="587"/>
      <c r="CT496" s="587"/>
      <c r="CU496" s="587"/>
      <c r="CV496" s="587"/>
      <c r="CW496" s="587"/>
      <c r="CX496" s="587"/>
      <c r="CY496" s="587"/>
      <c r="CZ496" s="587"/>
      <c r="DA496" s="587"/>
      <c r="DB496" s="587"/>
      <c r="DC496" s="587"/>
      <c r="DD496" s="587"/>
      <c r="DE496" s="587"/>
      <c r="DF496" s="587"/>
      <c r="DG496" s="587"/>
      <c r="DH496" s="587"/>
      <c r="DI496" s="587"/>
      <c r="DJ496" s="587"/>
      <c r="DK496" s="587"/>
      <c r="DL496" s="587"/>
      <c r="DM496" s="587"/>
      <c r="DN496" s="587"/>
      <c r="DO496" s="587"/>
      <c r="DP496" s="587"/>
      <c r="DQ496" s="587"/>
      <c r="DR496" s="587"/>
      <c r="DS496" s="587"/>
      <c r="DT496" s="587"/>
      <c r="DU496" s="587"/>
      <c r="DV496" s="587"/>
      <c r="DW496" s="587"/>
      <c r="DX496" s="587"/>
      <c r="DY496" s="587"/>
      <c r="DZ496" s="587"/>
      <c r="EA496" s="587"/>
      <c r="EB496" s="587"/>
      <c r="EC496" s="587"/>
      <c r="ED496" s="587"/>
      <c r="EE496" s="587"/>
      <c r="EF496" s="587"/>
      <c r="EG496" s="587"/>
      <c r="EH496" s="587"/>
      <c r="EI496" s="587"/>
      <c r="EJ496" s="587"/>
      <c r="EK496" s="587"/>
      <c r="EL496" s="587"/>
      <c r="EM496" s="587"/>
      <c r="EN496" s="587"/>
      <c r="EO496" s="587"/>
      <c r="EP496" s="587"/>
      <c r="EQ496" s="587"/>
      <c r="ER496" s="587"/>
      <c r="ES496" s="587"/>
      <c r="ET496" s="587"/>
      <c r="EU496" s="587"/>
      <c r="EV496" s="587"/>
      <c r="EW496" s="587"/>
      <c r="EX496" s="587"/>
      <c r="EY496" s="587"/>
      <c r="EZ496" s="587"/>
      <c r="FA496" s="587"/>
      <c r="FB496" s="587"/>
      <c r="FC496" s="587"/>
      <c r="FD496" s="587"/>
      <c r="FE496" s="587"/>
      <c r="FF496" s="587"/>
      <c r="FG496" s="587"/>
      <c r="FH496" s="587"/>
      <c r="FI496" s="587"/>
      <c r="FJ496" s="587"/>
      <c r="FK496" s="587"/>
      <c r="FL496" s="587"/>
      <c r="FM496" s="587"/>
      <c r="FN496" s="587"/>
    </row>
    <row r="497" s="493" customFormat="1" spans="1:170">
      <c r="A497" s="584"/>
      <c r="B497" s="500"/>
      <c r="C497" s="501"/>
      <c r="D497" s="500"/>
      <c r="E497" s="500"/>
      <c r="F497" s="510" t="s">
        <v>21</v>
      </c>
      <c r="G497" s="585">
        <v>1.75</v>
      </c>
      <c r="H497" s="585">
        <v>0.5</v>
      </c>
      <c r="I497" s="541" t="s">
        <v>22</v>
      </c>
      <c r="J497" s="585">
        <v>1.85</v>
      </c>
      <c r="K497" s="588"/>
      <c r="L497" s="564"/>
      <c r="M497" s="587"/>
      <c r="N497" s="587"/>
      <c r="O497" s="587"/>
      <c r="P497" s="587"/>
      <c r="Q497" s="587"/>
      <c r="R497" s="587"/>
      <c r="S497" s="587"/>
      <c r="T497" s="587"/>
      <c r="U497" s="587"/>
      <c r="V497" s="587"/>
      <c r="W497" s="587"/>
      <c r="X497" s="587"/>
      <c r="Y497" s="587"/>
      <c r="Z497" s="587"/>
      <c r="AA497" s="587"/>
      <c r="AB497" s="587"/>
      <c r="AC497" s="587"/>
      <c r="AD497" s="587"/>
      <c r="AE497" s="587"/>
      <c r="AF497" s="587"/>
      <c r="AG497" s="587"/>
      <c r="AH497" s="587"/>
      <c r="AI497" s="587"/>
      <c r="AJ497" s="587"/>
      <c r="AK497" s="587"/>
      <c r="AL497" s="587"/>
      <c r="AM497" s="587"/>
      <c r="AN497" s="587"/>
      <c r="AO497" s="587"/>
      <c r="AP497" s="587"/>
      <c r="AQ497" s="587"/>
      <c r="AR497" s="587"/>
      <c r="AS497" s="587"/>
      <c r="AT497" s="587"/>
      <c r="AU497" s="587"/>
      <c r="AV497" s="587"/>
      <c r="AW497" s="587"/>
      <c r="AX497" s="587"/>
      <c r="AY497" s="587"/>
      <c r="AZ497" s="587"/>
      <c r="BA497" s="587"/>
      <c r="BB497" s="587"/>
      <c r="BC497" s="587"/>
      <c r="BD497" s="587"/>
      <c r="BE497" s="587"/>
      <c r="BF497" s="587"/>
      <c r="BG497" s="587"/>
      <c r="BH497" s="587"/>
      <c r="BI497" s="587"/>
      <c r="BJ497" s="587"/>
      <c r="BK497" s="587"/>
      <c r="BL497" s="587"/>
      <c r="BM497" s="587"/>
      <c r="BN497" s="587"/>
      <c r="BO497" s="587"/>
      <c r="BP497" s="587"/>
      <c r="BQ497" s="587"/>
      <c r="BR497" s="587"/>
      <c r="BS497" s="587"/>
      <c r="BT497" s="587"/>
      <c r="BU497" s="587"/>
      <c r="BV497" s="587"/>
      <c r="BW497" s="587"/>
      <c r="BX497" s="587"/>
      <c r="BY497" s="587"/>
      <c r="BZ497" s="587"/>
      <c r="CA497" s="587"/>
      <c r="CB497" s="587"/>
      <c r="CC497" s="587"/>
      <c r="CD497" s="587"/>
      <c r="CE497" s="587"/>
      <c r="CF497" s="587"/>
      <c r="CG497" s="587"/>
      <c r="CH497" s="587"/>
      <c r="CI497" s="587"/>
      <c r="CJ497" s="587"/>
      <c r="CK497" s="587"/>
      <c r="CL497" s="587"/>
      <c r="CM497" s="587"/>
      <c r="CN497" s="587"/>
      <c r="CO497" s="587"/>
      <c r="CP497" s="587"/>
      <c r="CQ497" s="587"/>
      <c r="CR497" s="587"/>
      <c r="CS497" s="587"/>
      <c r="CT497" s="587"/>
      <c r="CU497" s="587"/>
      <c r="CV497" s="587"/>
      <c r="CW497" s="587"/>
      <c r="CX497" s="587"/>
      <c r="CY497" s="587"/>
      <c r="CZ497" s="587"/>
      <c r="DA497" s="587"/>
      <c r="DB497" s="587"/>
      <c r="DC497" s="587"/>
      <c r="DD497" s="587"/>
      <c r="DE497" s="587"/>
      <c r="DF497" s="587"/>
      <c r="DG497" s="587"/>
      <c r="DH497" s="587"/>
      <c r="DI497" s="587"/>
      <c r="DJ497" s="587"/>
      <c r="DK497" s="587"/>
      <c r="DL497" s="587"/>
      <c r="DM497" s="587"/>
      <c r="DN497" s="587"/>
      <c r="DO497" s="587"/>
      <c r="DP497" s="587"/>
      <c r="DQ497" s="587"/>
      <c r="DR497" s="587"/>
      <c r="DS497" s="587"/>
      <c r="DT497" s="587"/>
      <c r="DU497" s="587"/>
      <c r="DV497" s="587"/>
      <c r="DW497" s="587"/>
      <c r="DX497" s="587"/>
      <c r="DY497" s="587"/>
      <c r="DZ497" s="587"/>
      <c r="EA497" s="587"/>
      <c r="EB497" s="587"/>
      <c r="EC497" s="587"/>
      <c r="ED497" s="587"/>
      <c r="EE497" s="587"/>
      <c r="EF497" s="587"/>
      <c r="EG497" s="587"/>
      <c r="EH497" s="587"/>
      <c r="EI497" s="587"/>
      <c r="EJ497" s="587"/>
      <c r="EK497" s="587"/>
      <c r="EL497" s="587"/>
      <c r="EM497" s="587"/>
      <c r="EN497" s="587"/>
      <c r="EO497" s="587"/>
      <c r="EP497" s="587"/>
      <c r="EQ497" s="587"/>
      <c r="ER497" s="587"/>
      <c r="ES497" s="587"/>
      <c r="ET497" s="587"/>
      <c r="EU497" s="587"/>
      <c r="EV497" s="587"/>
      <c r="EW497" s="587"/>
      <c r="EX497" s="587"/>
      <c r="EY497" s="587"/>
      <c r="EZ497" s="587"/>
      <c r="FA497" s="587"/>
      <c r="FB497" s="587"/>
      <c r="FC497" s="587"/>
      <c r="FD497" s="587"/>
      <c r="FE497" s="587"/>
      <c r="FF497" s="587"/>
      <c r="FG497" s="587"/>
      <c r="FH497" s="587"/>
      <c r="FI497" s="587"/>
      <c r="FJ497" s="587"/>
      <c r="FK497" s="587"/>
      <c r="FL497" s="587"/>
      <c r="FM497" s="587"/>
      <c r="FN497" s="587"/>
    </row>
    <row r="498" s="493" customFormat="1" spans="1:170">
      <c r="A498" s="584"/>
      <c r="B498" s="500"/>
      <c r="C498" s="501"/>
      <c r="D498" s="500"/>
      <c r="E498" s="500"/>
      <c r="F498" s="510" t="s">
        <v>23</v>
      </c>
      <c r="G498" s="585">
        <v>1.75</v>
      </c>
      <c r="H498" s="585">
        <v>0.5</v>
      </c>
      <c r="I498" s="585" t="s">
        <v>24</v>
      </c>
      <c r="J498" s="585" t="s">
        <v>24</v>
      </c>
      <c r="K498" s="589"/>
      <c r="L498" s="564"/>
      <c r="M498" s="587"/>
      <c r="N498" s="587"/>
      <c r="O498" s="587"/>
      <c r="P498" s="587"/>
      <c r="Q498" s="587"/>
      <c r="R498" s="587"/>
      <c r="S498" s="587"/>
      <c r="T498" s="587"/>
      <c r="U498" s="587"/>
      <c r="V498" s="587"/>
      <c r="W498" s="587"/>
      <c r="X498" s="587"/>
      <c r="Y498" s="587"/>
      <c r="Z498" s="587"/>
      <c r="AA498" s="587"/>
      <c r="AB498" s="587"/>
      <c r="AC498" s="587"/>
      <c r="AD498" s="587"/>
      <c r="AE498" s="587"/>
      <c r="AF498" s="587"/>
      <c r="AG498" s="587"/>
      <c r="AH498" s="587"/>
      <c r="AI498" s="587"/>
      <c r="AJ498" s="587"/>
      <c r="AK498" s="587"/>
      <c r="AL498" s="587"/>
      <c r="AM498" s="587"/>
      <c r="AN498" s="587"/>
      <c r="AO498" s="587"/>
      <c r="AP498" s="587"/>
      <c r="AQ498" s="587"/>
      <c r="AR498" s="587"/>
      <c r="AS498" s="587"/>
      <c r="AT498" s="587"/>
      <c r="AU498" s="587"/>
      <c r="AV498" s="587"/>
      <c r="AW498" s="587"/>
      <c r="AX498" s="587"/>
      <c r="AY498" s="587"/>
      <c r="AZ498" s="587"/>
      <c r="BA498" s="587"/>
      <c r="BB498" s="587"/>
      <c r="BC498" s="587"/>
      <c r="BD498" s="587"/>
      <c r="BE498" s="587"/>
      <c r="BF498" s="587"/>
      <c r="BG498" s="587"/>
      <c r="BH498" s="587"/>
      <c r="BI498" s="587"/>
      <c r="BJ498" s="587"/>
      <c r="BK498" s="587"/>
      <c r="BL498" s="587"/>
      <c r="BM498" s="587"/>
      <c r="BN498" s="587"/>
      <c r="BO498" s="587"/>
      <c r="BP498" s="587"/>
      <c r="BQ498" s="587"/>
      <c r="BR498" s="587"/>
      <c r="BS498" s="587"/>
      <c r="BT498" s="587"/>
      <c r="BU498" s="587"/>
      <c r="BV498" s="587"/>
      <c r="BW498" s="587"/>
      <c r="BX498" s="587"/>
      <c r="BY498" s="587"/>
      <c r="BZ498" s="587"/>
      <c r="CA498" s="587"/>
      <c r="CB498" s="587"/>
      <c r="CC498" s="587"/>
      <c r="CD498" s="587"/>
      <c r="CE498" s="587"/>
      <c r="CF498" s="587"/>
      <c r="CG498" s="587"/>
      <c r="CH498" s="587"/>
      <c r="CI498" s="587"/>
      <c r="CJ498" s="587"/>
      <c r="CK498" s="587"/>
      <c r="CL498" s="587"/>
      <c r="CM498" s="587"/>
      <c r="CN498" s="587"/>
      <c r="CO498" s="587"/>
      <c r="CP498" s="587"/>
      <c r="CQ498" s="587"/>
      <c r="CR498" s="587"/>
      <c r="CS498" s="587"/>
      <c r="CT498" s="587"/>
      <c r="CU498" s="587"/>
      <c r="CV498" s="587"/>
      <c r="CW498" s="587"/>
      <c r="CX498" s="587"/>
      <c r="CY498" s="587"/>
      <c r="CZ498" s="587"/>
      <c r="DA498" s="587"/>
      <c r="DB498" s="587"/>
      <c r="DC498" s="587"/>
      <c r="DD498" s="587"/>
      <c r="DE498" s="587"/>
      <c r="DF498" s="587"/>
      <c r="DG498" s="587"/>
      <c r="DH498" s="587"/>
      <c r="DI498" s="587"/>
      <c r="DJ498" s="587"/>
      <c r="DK498" s="587"/>
      <c r="DL498" s="587"/>
      <c r="DM498" s="587"/>
      <c r="DN498" s="587"/>
      <c r="DO498" s="587"/>
      <c r="DP498" s="587"/>
      <c r="DQ498" s="587"/>
      <c r="DR498" s="587"/>
      <c r="DS498" s="587"/>
      <c r="DT498" s="587"/>
      <c r="DU498" s="587"/>
      <c r="DV498" s="587"/>
      <c r="DW498" s="587"/>
      <c r="DX498" s="587"/>
      <c r="DY498" s="587"/>
      <c r="DZ498" s="587"/>
      <c r="EA498" s="587"/>
      <c r="EB498" s="587"/>
      <c r="EC498" s="587"/>
      <c r="ED498" s="587"/>
      <c r="EE498" s="587"/>
      <c r="EF498" s="587"/>
      <c r="EG498" s="587"/>
      <c r="EH498" s="587"/>
      <c r="EI498" s="587"/>
      <c r="EJ498" s="587"/>
      <c r="EK498" s="587"/>
      <c r="EL498" s="587"/>
      <c r="EM498" s="587"/>
      <c r="EN498" s="587"/>
      <c r="EO498" s="587"/>
      <c r="EP498" s="587"/>
      <c r="EQ498" s="587"/>
      <c r="ER498" s="587"/>
      <c r="ES498" s="587"/>
      <c r="ET498" s="587"/>
      <c r="EU498" s="587"/>
      <c r="EV498" s="587"/>
      <c r="EW498" s="587"/>
      <c r="EX498" s="587"/>
      <c r="EY498" s="587"/>
      <c r="EZ498" s="587"/>
      <c r="FA498" s="587"/>
      <c r="FB498" s="587"/>
      <c r="FC498" s="587"/>
      <c r="FD498" s="587"/>
      <c r="FE498" s="587"/>
      <c r="FF498" s="587"/>
      <c r="FG498" s="587"/>
      <c r="FH498" s="587"/>
      <c r="FI498" s="587"/>
      <c r="FJ498" s="587"/>
      <c r="FK498" s="587"/>
      <c r="FL498" s="587"/>
      <c r="FM498" s="587"/>
      <c r="FN498" s="587"/>
    </row>
    <row r="499" s="493" customFormat="1" spans="1:170">
      <c r="A499" s="584">
        <v>46230</v>
      </c>
      <c r="B499" s="500" t="s">
        <v>894</v>
      </c>
      <c r="C499" s="501">
        <v>4.7</v>
      </c>
      <c r="D499" s="500" t="s">
        <v>82</v>
      </c>
      <c r="E499" s="500" t="s">
        <v>82</v>
      </c>
      <c r="F499" s="510" t="s">
        <v>26</v>
      </c>
      <c r="G499" s="585">
        <v>1</v>
      </c>
      <c r="H499" s="585">
        <v>4.4</v>
      </c>
      <c r="I499" s="541" t="s">
        <v>17</v>
      </c>
      <c r="J499" s="585">
        <v>1.6</v>
      </c>
      <c r="K499" s="564" t="s">
        <v>890</v>
      </c>
      <c r="L499" s="564" t="s">
        <v>87</v>
      </c>
      <c r="M499" s="587"/>
      <c r="N499" s="587"/>
      <c r="O499" s="587"/>
      <c r="P499" s="587"/>
      <c r="Q499" s="587"/>
      <c r="R499" s="587"/>
      <c r="S499" s="587"/>
      <c r="T499" s="587"/>
      <c r="U499" s="587"/>
      <c r="V499" s="587"/>
      <c r="W499" s="587"/>
      <c r="X499" s="587"/>
      <c r="Y499" s="587"/>
      <c r="Z499" s="587"/>
      <c r="AA499" s="587"/>
      <c r="AB499" s="587"/>
      <c r="AC499" s="587"/>
      <c r="AD499" s="587"/>
      <c r="AE499" s="587"/>
      <c r="AF499" s="587"/>
      <c r="AG499" s="587"/>
      <c r="AH499" s="587"/>
      <c r="AI499" s="587"/>
      <c r="AJ499" s="587"/>
      <c r="AK499" s="587"/>
      <c r="AL499" s="587"/>
      <c r="AM499" s="587"/>
      <c r="AN499" s="587"/>
      <c r="AO499" s="587"/>
      <c r="AP499" s="587"/>
      <c r="AQ499" s="587"/>
      <c r="AR499" s="587"/>
      <c r="AS499" s="587"/>
      <c r="AT499" s="587"/>
      <c r="AU499" s="587"/>
      <c r="AV499" s="587"/>
      <c r="AW499" s="587"/>
      <c r="AX499" s="587"/>
      <c r="AY499" s="587"/>
      <c r="AZ499" s="587"/>
      <c r="BA499" s="587"/>
      <c r="BB499" s="587"/>
      <c r="BC499" s="587"/>
      <c r="BD499" s="587"/>
      <c r="BE499" s="587"/>
      <c r="BF499" s="587"/>
      <c r="BG499" s="587"/>
      <c r="BH499" s="587"/>
      <c r="BI499" s="587"/>
      <c r="BJ499" s="587"/>
      <c r="BK499" s="587"/>
      <c r="BL499" s="587"/>
      <c r="BM499" s="587"/>
      <c r="BN499" s="587"/>
      <c r="BO499" s="587"/>
      <c r="BP499" s="587"/>
      <c r="BQ499" s="587"/>
      <c r="BR499" s="587"/>
      <c r="BS499" s="587"/>
      <c r="BT499" s="587"/>
      <c r="BU499" s="587"/>
      <c r="BV499" s="587"/>
      <c r="BW499" s="587"/>
      <c r="BX499" s="587"/>
      <c r="BY499" s="587"/>
      <c r="BZ499" s="587"/>
      <c r="CA499" s="587"/>
      <c r="CB499" s="587"/>
      <c r="CC499" s="587"/>
      <c r="CD499" s="587"/>
      <c r="CE499" s="587"/>
      <c r="CF499" s="587"/>
      <c r="CG499" s="587"/>
      <c r="CH499" s="587"/>
      <c r="CI499" s="587"/>
      <c r="CJ499" s="587"/>
      <c r="CK499" s="587"/>
      <c r="CL499" s="587"/>
      <c r="CM499" s="587"/>
      <c r="CN499" s="587"/>
      <c r="CO499" s="587"/>
      <c r="CP499" s="587"/>
      <c r="CQ499" s="587"/>
      <c r="CR499" s="587"/>
      <c r="CS499" s="587"/>
      <c r="CT499" s="587"/>
      <c r="CU499" s="587"/>
      <c r="CV499" s="587"/>
      <c r="CW499" s="587"/>
      <c r="CX499" s="587"/>
      <c r="CY499" s="587"/>
      <c r="CZ499" s="587"/>
      <c r="DA499" s="587"/>
      <c r="DB499" s="587"/>
      <c r="DC499" s="587"/>
      <c r="DD499" s="587"/>
      <c r="DE499" s="587"/>
      <c r="DF499" s="587"/>
      <c r="DG499" s="587"/>
      <c r="DH499" s="587"/>
      <c r="DI499" s="587"/>
      <c r="DJ499" s="587"/>
      <c r="DK499" s="587"/>
      <c r="DL499" s="587"/>
      <c r="DM499" s="587"/>
      <c r="DN499" s="587"/>
      <c r="DO499" s="587"/>
      <c r="DP499" s="587"/>
      <c r="DQ499" s="587"/>
      <c r="DR499" s="587"/>
      <c r="DS499" s="587"/>
      <c r="DT499" s="587"/>
      <c r="DU499" s="587"/>
      <c r="DV499" s="587"/>
      <c r="DW499" s="587"/>
      <c r="DX499" s="587"/>
      <c r="DY499" s="587"/>
      <c r="DZ499" s="587"/>
      <c r="EA499" s="587"/>
      <c r="EB499" s="587"/>
      <c r="EC499" s="587"/>
      <c r="ED499" s="587"/>
      <c r="EE499" s="587"/>
      <c r="EF499" s="587"/>
      <c r="EG499" s="587"/>
      <c r="EH499" s="587"/>
      <c r="EI499" s="587"/>
      <c r="EJ499" s="587"/>
      <c r="EK499" s="587"/>
      <c r="EL499" s="587"/>
      <c r="EM499" s="587"/>
      <c r="EN499" s="587"/>
      <c r="EO499" s="587"/>
      <c r="EP499" s="587"/>
      <c r="EQ499" s="587"/>
      <c r="ER499" s="587"/>
      <c r="ES499" s="587"/>
      <c r="ET499" s="587"/>
      <c r="EU499" s="587"/>
      <c r="EV499" s="587"/>
      <c r="EW499" s="587"/>
      <c r="EX499" s="587"/>
      <c r="EY499" s="587"/>
      <c r="EZ499" s="587"/>
      <c r="FA499" s="587"/>
      <c r="FB499" s="587"/>
      <c r="FC499" s="587"/>
      <c r="FD499" s="587"/>
      <c r="FE499" s="587"/>
      <c r="FF499" s="587"/>
      <c r="FG499" s="587"/>
      <c r="FH499" s="587"/>
      <c r="FI499" s="587"/>
      <c r="FJ499" s="587"/>
      <c r="FK499" s="587"/>
      <c r="FL499" s="587"/>
      <c r="FM499" s="587"/>
      <c r="FN499" s="587"/>
    </row>
    <row r="500" s="493" customFormat="1" spans="1:170">
      <c r="A500" s="584"/>
      <c r="B500" s="500"/>
      <c r="C500" s="501"/>
      <c r="D500" s="500"/>
      <c r="E500" s="500"/>
      <c r="F500" s="510" t="s">
        <v>21</v>
      </c>
      <c r="G500" s="585">
        <v>1</v>
      </c>
      <c r="H500" s="585">
        <v>0.3</v>
      </c>
      <c r="I500" s="541" t="s">
        <v>22</v>
      </c>
      <c r="J500" s="585">
        <v>1.8</v>
      </c>
      <c r="K500" s="564"/>
      <c r="L500" s="564"/>
      <c r="M500" s="587"/>
      <c r="N500" s="587"/>
      <c r="O500" s="587"/>
      <c r="P500" s="587"/>
      <c r="Q500" s="587"/>
      <c r="R500" s="587"/>
      <c r="S500" s="587"/>
      <c r="T500" s="587"/>
      <c r="U500" s="587"/>
      <c r="V500" s="587"/>
      <c r="W500" s="587"/>
      <c r="X500" s="587"/>
      <c r="Y500" s="587"/>
      <c r="Z500" s="587"/>
      <c r="AA500" s="587"/>
      <c r="AB500" s="587"/>
      <c r="AC500" s="587"/>
      <c r="AD500" s="587"/>
      <c r="AE500" s="587"/>
      <c r="AF500" s="587"/>
      <c r="AG500" s="587"/>
      <c r="AH500" s="587"/>
      <c r="AI500" s="587"/>
      <c r="AJ500" s="587"/>
      <c r="AK500" s="587"/>
      <c r="AL500" s="587"/>
      <c r="AM500" s="587"/>
      <c r="AN500" s="587"/>
      <c r="AO500" s="587"/>
      <c r="AP500" s="587"/>
      <c r="AQ500" s="587"/>
      <c r="AR500" s="587"/>
      <c r="AS500" s="587"/>
      <c r="AT500" s="587"/>
      <c r="AU500" s="587"/>
      <c r="AV500" s="587"/>
      <c r="AW500" s="587"/>
      <c r="AX500" s="587"/>
      <c r="AY500" s="587"/>
      <c r="AZ500" s="587"/>
      <c r="BA500" s="587"/>
      <c r="BB500" s="587"/>
      <c r="BC500" s="587"/>
      <c r="BD500" s="587"/>
      <c r="BE500" s="587"/>
      <c r="BF500" s="587"/>
      <c r="BG500" s="587"/>
      <c r="BH500" s="587"/>
      <c r="BI500" s="587"/>
      <c r="BJ500" s="587"/>
      <c r="BK500" s="587"/>
      <c r="BL500" s="587"/>
      <c r="BM500" s="587"/>
      <c r="BN500" s="587"/>
      <c r="BO500" s="587"/>
      <c r="BP500" s="587"/>
      <c r="BQ500" s="587"/>
      <c r="BR500" s="587"/>
      <c r="BS500" s="587"/>
      <c r="BT500" s="587"/>
      <c r="BU500" s="587"/>
      <c r="BV500" s="587"/>
      <c r="BW500" s="587"/>
      <c r="BX500" s="587"/>
      <c r="BY500" s="587"/>
      <c r="BZ500" s="587"/>
      <c r="CA500" s="587"/>
      <c r="CB500" s="587"/>
      <c r="CC500" s="587"/>
      <c r="CD500" s="587"/>
      <c r="CE500" s="587"/>
      <c r="CF500" s="587"/>
      <c r="CG500" s="587"/>
      <c r="CH500" s="587"/>
      <c r="CI500" s="587"/>
      <c r="CJ500" s="587"/>
      <c r="CK500" s="587"/>
      <c r="CL500" s="587"/>
      <c r="CM500" s="587"/>
      <c r="CN500" s="587"/>
      <c r="CO500" s="587"/>
      <c r="CP500" s="587"/>
      <c r="CQ500" s="587"/>
      <c r="CR500" s="587"/>
      <c r="CS500" s="587"/>
      <c r="CT500" s="587"/>
      <c r="CU500" s="587"/>
      <c r="CV500" s="587"/>
      <c r="CW500" s="587"/>
      <c r="CX500" s="587"/>
      <c r="CY500" s="587"/>
      <c r="CZ500" s="587"/>
      <c r="DA500" s="587"/>
      <c r="DB500" s="587"/>
      <c r="DC500" s="587"/>
      <c r="DD500" s="587"/>
      <c r="DE500" s="587"/>
      <c r="DF500" s="587"/>
      <c r="DG500" s="587"/>
      <c r="DH500" s="587"/>
      <c r="DI500" s="587"/>
      <c r="DJ500" s="587"/>
      <c r="DK500" s="587"/>
      <c r="DL500" s="587"/>
      <c r="DM500" s="587"/>
      <c r="DN500" s="587"/>
      <c r="DO500" s="587"/>
      <c r="DP500" s="587"/>
      <c r="DQ500" s="587"/>
      <c r="DR500" s="587"/>
      <c r="DS500" s="587"/>
      <c r="DT500" s="587"/>
      <c r="DU500" s="587"/>
      <c r="DV500" s="587"/>
      <c r="DW500" s="587"/>
      <c r="DX500" s="587"/>
      <c r="DY500" s="587"/>
      <c r="DZ500" s="587"/>
      <c r="EA500" s="587"/>
      <c r="EB500" s="587"/>
      <c r="EC500" s="587"/>
      <c r="ED500" s="587"/>
      <c r="EE500" s="587"/>
      <c r="EF500" s="587"/>
      <c r="EG500" s="587"/>
      <c r="EH500" s="587"/>
      <c r="EI500" s="587"/>
      <c r="EJ500" s="587"/>
      <c r="EK500" s="587"/>
      <c r="EL500" s="587"/>
      <c r="EM500" s="587"/>
      <c r="EN500" s="587"/>
      <c r="EO500" s="587"/>
      <c r="EP500" s="587"/>
      <c r="EQ500" s="587"/>
      <c r="ER500" s="587"/>
      <c r="ES500" s="587"/>
      <c r="ET500" s="587"/>
      <c r="EU500" s="587"/>
      <c r="EV500" s="587"/>
      <c r="EW500" s="587"/>
      <c r="EX500" s="587"/>
      <c r="EY500" s="587"/>
      <c r="EZ500" s="587"/>
      <c r="FA500" s="587"/>
      <c r="FB500" s="587"/>
      <c r="FC500" s="587"/>
      <c r="FD500" s="587"/>
      <c r="FE500" s="587"/>
      <c r="FF500" s="587"/>
      <c r="FG500" s="587"/>
      <c r="FH500" s="587"/>
      <c r="FI500" s="587"/>
      <c r="FJ500" s="587"/>
      <c r="FK500" s="587"/>
      <c r="FL500" s="587"/>
      <c r="FM500" s="587"/>
      <c r="FN500" s="587"/>
    </row>
    <row r="501" s="492" customFormat="1" spans="1:170">
      <c r="A501" s="522">
        <v>46226</v>
      </c>
      <c r="B501" s="507" t="s">
        <v>895</v>
      </c>
      <c r="C501" s="523">
        <v>10</v>
      </c>
      <c r="D501" s="507" t="s">
        <v>66</v>
      </c>
      <c r="E501" s="507" t="s">
        <v>66</v>
      </c>
      <c r="F501" s="510" t="s">
        <v>47</v>
      </c>
      <c r="G501" s="542">
        <v>1.92</v>
      </c>
      <c r="H501" s="542">
        <v>8.9</v>
      </c>
      <c r="I501" s="542" t="s">
        <v>17</v>
      </c>
      <c r="J501" s="542">
        <v>1.8</v>
      </c>
      <c r="K501" s="527" t="s">
        <v>603</v>
      </c>
      <c r="L501" s="591" t="s">
        <v>846</v>
      </c>
      <c r="M501" s="490"/>
      <c r="N501" s="490"/>
      <c r="O501" s="490"/>
      <c r="P501" s="490"/>
      <c r="Q501" s="490"/>
      <c r="R501" s="490"/>
      <c r="S501" s="490"/>
      <c r="T501" s="490"/>
      <c r="U501" s="490"/>
      <c r="V501" s="490"/>
      <c r="W501" s="490"/>
      <c r="X501" s="490"/>
      <c r="Y501" s="490"/>
      <c r="Z501" s="490"/>
      <c r="AA501" s="490"/>
      <c r="AB501" s="490"/>
      <c r="AC501" s="490"/>
      <c r="AD501" s="490"/>
      <c r="AE501" s="490"/>
      <c r="AF501" s="490"/>
      <c r="AG501" s="490"/>
      <c r="AH501" s="490"/>
      <c r="AI501" s="490"/>
      <c r="AJ501" s="490"/>
      <c r="AK501" s="490"/>
      <c r="AL501" s="490"/>
      <c r="AM501" s="490"/>
      <c r="AN501" s="490"/>
      <c r="AO501" s="490"/>
      <c r="AP501" s="490"/>
      <c r="AQ501" s="490"/>
      <c r="AR501" s="490"/>
      <c r="AS501" s="490"/>
      <c r="AT501" s="490"/>
      <c r="AU501" s="490"/>
      <c r="AV501" s="490"/>
      <c r="AW501" s="490"/>
      <c r="AX501" s="490"/>
      <c r="AY501" s="490"/>
      <c r="AZ501" s="490"/>
      <c r="BA501" s="490"/>
      <c r="BB501" s="490"/>
      <c r="BC501" s="490"/>
      <c r="BD501" s="490"/>
      <c r="BE501" s="490"/>
      <c r="BF501" s="490"/>
      <c r="BG501" s="490"/>
      <c r="BH501" s="490"/>
      <c r="BI501" s="490"/>
      <c r="BJ501" s="490"/>
      <c r="BK501" s="490"/>
      <c r="BL501" s="490"/>
      <c r="BM501" s="490"/>
      <c r="BN501" s="490"/>
      <c r="BO501" s="490"/>
      <c r="BP501" s="490"/>
      <c r="BQ501" s="490"/>
      <c r="BR501" s="490"/>
      <c r="BS501" s="490"/>
      <c r="BT501" s="490"/>
      <c r="BU501" s="490"/>
      <c r="BV501" s="490"/>
      <c r="BW501" s="490"/>
      <c r="BX501" s="490"/>
      <c r="BY501" s="490"/>
      <c r="BZ501" s="490"/>
      <c r="CA501" s="490"/>
      <c r="CB501" s="490"/>
      <c r="CC501" s="490"/>
      <c r="CD501" s="490"/>
      <c r="CE501" s="490"/>
      <c r="CF501" s="490"/>
      <c r="CG501" s="490"/>
      <c r="CH501" s="490"/>
      <c r="CI501" s="490"/>
      <c r="CJ501" s="490"/>
      <c r="CK501" s="490"/>
      <c r="CL501" s="490"/>
      <c r="CM501" s="490"/>
      <c r="CN501" s="490"/>
      <c r="CO501" s="490"/>
      <c r="CP501" s="490"/>
      <c r="CQ501" s="490"/>
      <c r="CR501" s="490"/>
      <c r="CS501" s="490"/>
      <c r="CT501" s="490"/>
      <c r="CU501" s="490"/>
      <c r="CV501" s="490"/>
      <c r="CW501" s="490"/>
      <c r="CX501" s="490"/>
      <c r="CY501" s="490"/>
      <c r="CZ501" s="490"/>
      <c r="DA501" s="490"/>
      <c r="DB501" s="490"/>
      <c r="DC501" s="490"/>
      <c r="DD501" s="490"/>
      <c r="DE501" s="490"/>
      <c r="DF501" s="490"/>
      <c r="DG501" s="490"/>
      <c r="DH501" s="490"/>
      <c r="DI501" s="490"/>
      <c r="DJ501" s="490"/>
      <c r="DK501" s="490"/>
      <c r="DL501" s="490"/>
      <c r="DM501" s="490"/>
      <c r="DN501" s="490"/>
      <c r="DO501" s="490"/>
      <c r="DP501" s="490"/>
      <c r="DQ501" s="490"/>
      <c r="DR501" s="490"/>
      <c r="DS501" s="490"/>
      <c r="DT501" s="490"/>
      <c r="DU501" s="490"/>
      <c r="DV501" s="490"/>
      <c r="DW501" s="490"/>
      <c r="DX501" s="490"/>
      <c r="DY501" s="490"/>
      <c r="DZ501" s="490"/>
      <c r="EA501" s="490"/>
      <c r="EB501" s="490"/>
      <c r="EC501" s="490"/>
      <c r="ED501" s="490"/>
      <c r="EE501" s="490"/>
      <c r="EF501" s="490"/>
      <c r="EG501" s="490"/>
      <c r="EH501" s="490"/>
      <c r="EI501" s="490"/>
      <c r="EJ501" s="490"/>
      <c r="EK501" s="490"/>
      <c r="EL501" s="490"/>
      <c r="EM501" s="490"/>
      <c r="EN501" s="490"/>
      <c r="EO501" s="490"/>
      <c r="EP501" s="490"/>
      <c r="EQ501" s="490"/>
      <c r="ER501" s="490"/>
      <c r="ES501" s="490"/>
      <c r="ET501" s="490"/>
      <c r="EU501" s="490"/>
      <c r="EV501" s="490"/>
      <c r="EW501" s="490"/>
      <c r="EX501" s="490"/>
      <c r="EY501" s="490"/>
      <c r="EZ501" s="490"/>
      <c r="FA501" s="490"/>
      <c r="FB501" s="490"/>
      <c r="FC501" s="490"/>
      <c r="FD501" s="490"/>
      <c r="FE501" s="490"/>
      <c r="FF501" s="490"/>
      <c r="FG501" s="490"/>
      <c r="FH501" s="490"/>
      <c r="FI501" s="490"/>
      <c r="FJ501" s="490"/>
      <c r="FK501" s="490"/>
      <c r="FL501" s="490"/>
      <c r="FM501" s="490"/>
      <c r="FN501" s="490"/>
    </row>
    <row r="502" s="492" customFormat="1" spans="1:170">
      <c r="A502" s="528"/>
      <c r="B502" s="513"/>
      <c r="C502" s="529"/>
      <c r="D502" s="513"/>
      <c r="E502" s="513"/>
      <c r="F502" s="510" t="s">
        <v>493</v>
      </c>
      <c r="G502" s="542">
        <v>2</v>
      </c>
      <c r="H502" s="542">
        <v>0.4</v>
      </c>
      <c r="I502" s="542" t="s">
        <v>22</v>
      </c>
      <c r="J502" s="542">
        <v>1.89</v>
      </c>
      <c r="K502" s="527"/>
      <c r="L502" s="527"/>
      <c r="M502" s="490"/>
      <c r="N502" s="490"/>
      <c r="O502" s="490"/>
      <c r="P502" s="490"/>
      <c r="Q502" s="490"/>
      <c r="R502" s="490"/>
      <c r="S502" s="490"/>
      <c r="T502" s="490"/>
      <c r="U502" s="490"/>
      <c r="V502" s="490"/>
      <c r="W502" s="490"/>
      <c r="X502" s="490"/>
      <c r="Y502" s="490"/>
      <c r="Z502" s="490"/>
      <c r="AA502" s="490"/>
      <c r="AB502" s="490"/>
      <c r="AC502" s="490"/>
      <c r="AD502" s="490"/>
      <c r="AE502" s="490"/>
      <c r="AF502" s="490"/>
      <c r="AG502" s="490"/>
      <c r="AH502" s="490"/>
      <c r="AI502" s="490"/>
      <c r="AJ502" s="490"/>
      <c r="AK502" s="490"/>
      <c r="AL502" s="490"/>
      <c r="AM502" s="490"/>
      <c r="AN502" s="490"/>
      <c r="AO502" s="490"/>
      <c r="AP502" s="490"/>
      <c r="AQ502" s="490"/>
      <c r="AR502" s="490"/>
      <c r="AS502" s="490"/>
      <c r="AT502" s="490"/>
      <c r="AU502" s="490"/>
      <c r="AV502" s="490"/>
      <c r="AW502" s="490"/>
      <c r="AX502" s="490"/>
      <c r="AY502" s="490"/>
      <c r="AZ502" s="490"/>
      <c r="BA502" s="490"/>
      <c r="BB502" s="490"/>
      <c r="BC502" s="490"/>
      <c r="BD502" s="490"/>
      <c r="BE502" s="490"/>
      <c r="BF502" s="490"/>
      <c r="BG502" s="490"/>
      <c r="BH502" s="490"/>
      <c r="BI502" s="490"/>
      <c r="BJ502" s="490"/>
      <c r="BK502" s="490"/>
      <c r="BL502" s="490"/>
      <c r="BM502" s="490"/>
      <c r="BN502" s="490"/>
      <c r="BO502" s="490"/>
      <c r="BP502" s="490"/>
      <c r="BQ502" s="490"/>
      <c r="BR502" s="490"/>
      <c r="BS502" s="490"/>
      <c r="BT502" s="490"/>
      <c r="BU502" s="490"/>
      <c r="BV502" s="490"/>
      <c r="BW502" s="490"/>
      <c r="BX502" s="490"/>
      <c r="BY502" s="490"/>
      <c r="BZ502" s="490"/>
      <c r="CA502" s="490"/>
      <c r="CB502" s="490"/>
      <c r="CC502" s="490"/>
      <c r="CD502" s="490"/>
      <c r="CE502" s="490"/>
      <c r="CF502" s="490"/>
      <c r="CG502" s="490"/>
      <c r="CH502" s="490"/>
      <c r="CI502" s="490"/>
      <c r="CJ502" s="490"/>
      <c r="CK502" s="490"/>
      <c r="CL502" s="490"/>
      <c r="CM502" s="490"/>
      <c r="CN502" s="490"/>
      <c r="CO502" s="490"/>
      <c r="CP502" s="490"/>
      <c r="CQ502" s="490"/>
      <c r="CR502" s="490"/>
      <c r="CS502" s="490"/>
      <c r="CT502" s="490"/>
      <c r="CU502" s="490"/>
      <c r="CV502" s="490"/>
      <c r="CW502" s="490"/>
      <c r="CX502" s="490"/>
      <c r="CY502" s="490"/>
      <c r="CZ502" s="490"/>
      <c r="DA502" s="490"/>
      <c r="DB502" s="490"/>
      <c r="DC502" s="490"/>
      <c r="DD502" s="490"/>
      <c r="DE502" s="490"/>
      <c r="DF502" s="490"/>
      <c r="DG502" s="490"/>
      <c r="DH502" s="490"/>
      <c r="DI502" s="490"/>
      <c r="DJ502" s="490"/>
      <c r="DK502" s="490"/>
      <c r="DL502" s="490"/>
      <c r="DM502" s="490"/>
      <c r="DN502" s="490"/>
      <c r="DO502" s="490"/>
      <c r="DP502" s="490"/>
      <c r="DQ502" s="490"/>
      <c r="DR502" s="490"/>
      <c r="DS502" s="490"/>
      <c r="DT502" s="490"/>
      <c r="DU502" s="490"/>
      <c r="DV502" s="490"/>
      <c r="DW502" s="490"/>
      <c r="DX502" s="490"/>
      <c r="DY502" s="490"/>
      <c r="DZ502" s="490"/>
      <c r="EA502" s="490"/>
      <c r="EB502" s="490"/>
      <c r="EC502" s="490"/>
      <c r="ED502" s="490"/>
      <c r="EE502" s="490"/>
      <c r="EF502" s="490"/>
      <c r="EG502" s="490"/>
      <c r="EH502" s="490"/>
      <c r="EI502" s="490"/>
      <c r="EJ502" s="490"/>
      <c r="EK502" s="490"/>
      <c r="EL502" s="490"/>
      <c r="EM502" s="490"/>
      <c r="EN502" s="490"/>
      <c r="EO502" s="490"/>
      <c r="EP502" s="490"/>
      <c r="EQ502" s="490"/>
      <c r="ER502" s="490"/>
      <c r="ES502" s="490"/>
      <c r="ET502" s="490"/>
      <c r="EU502" s="490"/>
      <c r="EV502" s="490"/>
      <c r="EW502" s="490"/>
      <c r="EX502" s="490"/>
      <c r="EY502" s="490"/>
      <c r="EZ502" s="490"/>
      <c r="FA502" s="490"/>
      <c r="FB502" s="490"/>
      <c r="FC502" s="490"/>
      <c r="FD502" s="490"/>
      <c r="FE502" s="490"/>
      <c r="FF502" s="490"/>
      <c r="FG502" s="490"/>
      <c r="FH502" s="490"/>
      <c r="FI502" s="490"/>
      <c r="FJ502" s="490"/>
      <c r="FK502" s="490"/>
      <c r="FL502" s="490"/>
      <c r="FM502" s="490"/>
      <c r="FN502" s="490"/>
    </row>
    <row r="503" s="492" customFormat="1" spans="1:170">
      <c r="A503" s="532"/>
      <c r="B503" s="517"/>
      <c r="C503" s="533"/>
      <c r="D503" s="517"/>
      <c r="E503" s="517"/>
      <c r="F503" s="510" t="s">
        <v>23</v>
      </c>
      <c r="G503" s="542">
        <v>2.67</v>
      </c>
      <c r="H503" s="542">
        <v>0.7</v>
      </c>
      <c r="I503" s="542" t="s">
        <v>24</v>
      </c>
      <c r="J503" s="542" t="s">
        <v>24</v>
      </c>
      <c r="K503" s="527"/>
      <c r="L503" s="527"/>
      <c r="M503" s="490"/>
      <c r="N503" s="490"/>
      <c r="O503" s="490"/>
      <c r="P503" s="490"/>
      <c r="Q503" s="490"/>
      <c r="R503" s="490"/>
      <c r="S503" s="490"/>
      <c r="T503" s="490"/>
      <c r="U503" s="490"/>
      <c r="V503" s="490"/>
      <c r="W503" s="490"/>
      <c r="X503" s="490"/>
      <c r="Y503" s="490"/>
      <c r="Z503" s="490"/>
      <c r="AA503" s="490"/>
      <c r="AB503" s="490"/>
      <c r="AC503" s="490"/>
      <c r="AD503" s="490"/>
      <c r="AE503" s="490"/>
      <c r="AF503" s="490"/>
      <c r="AG503" s="490"/>
      <c r="AH503" s="490"/>
      <c r="AI503" s="490"/>
      <c r="AJ503" s="490"/>
      <c r="AK503" s="490"/>
      <c r="AL503" s="490"/>
      <c r="AM503" s="490"/>
      <c r="AN503" s="490"/>
      <c r="AO503" s="490"/>
      <c r="AP503" s="490"/>
      <c r="AQ503" s="490"/>
      <c r="AR503" s="490"/>
      <c r="AS503" s="490"/>
      <c r="AT503" s="490"/>
      <c r="AU503" s="490"/>
      <c r="AV503" s="490"/>
      <c r="AW503" s="490"/>
      <c r="AX503" s="490"/>
      <c r="AY503" s="490"/>
      <c r="AZ503" s="490"/>
      <c r="BA503" s="490"/>
      <c r="BB503" s="490"/>
      <c r="BC503" s="490"/>
      <c r="BD503" s="490"/>
      <c r="BE503" s="490"/>
      <c r="BF503" s="490"/>
      <c r="BG503" s="490"/>
      <c r="BH503" s="490"/>
      <c r="BI503" s="490"/>
      <c r="BJ503" s="490"/>
      <c r="BK503" s="490"/>
      <c r="BL503" s="490"/>
      <c r="BM503" s="490"/>
      <c r="BN503" s="490"/>
      <c r="BO503" s="490"/>
      <c r="BP503" s="490"/>
      <c r="BQ503" s="490"/>
      <c r="BR503" s="490"/>
      <c r="BS503" s="490"/>
      <c r="BT503" s="490"/>
      <c r="BU503" s="490"/>
      <c r="BV503" s="490"/>
      <c r="BW503" s="490"/>
      <c r="BX503" s="490"/>
      <c r="BY503" s="490"/>
      <c r="BZ503" s="490"/>
      <c r="CA503" s="490"/>
      <c r="CB503" s="490"/>
      <c r="CC503" s="490"/>
      <c r="CD503" s="490"/>
      <c r="CE503" s="490"/>
      <c r="CF503" s="490"/>
      <c r="CG503" s="490"/>
      <c r="CH503" s="490"/>
      <c r="CI503" s="490"/>
      <c r="CJ503" s="490"/>
      <c r="CK503" s="490"/>
      <c r="CL503" s="490"/>
      <c r="CM503" s="490"/>
      <c r="CN503" s="490"/>
      <c r="CO503" s="490"/>
      <c r="CP503" s="490"/>
      <c r="CQ503" s="490"/>
      <c r="CR503" s="490"/>
      <c r="CS503" s="490"/>
      <c r="CT503" s="490"/>
      <c r="CU503" s="490"/>
      <c r="CV503" s="490"/>
      <c r="CW503" s="490"/>
      <c r="CX503" s="490"/>
      <c r="CY503" s="490"/>
      <c r="CZ503" s="490"/>
      <c r="DA503" s="490"/>
      <c r="DB503" s="490"/>
      <c r="DC503" s="490"/>
      <c r="DD503" s="490"/>
      <c r="DE503" s="490"/>
      <c r="DF503" s="490"/>
      <c r="DG503" s="490"/>
      <c r="DH503" s="490"/>
      <c r="DI503" s="490"/>
      <c r="DJ503" s="490"/>
      <c r="DK503" s="490"/>
      <c r="DL503" s="490"/>
      <c r="DM503" s="490"/>
      <c r="DN503" s="490"/>
      <c r="DO503" s="490"/>
      <c r="DP503" s="490"/>
      <c r="DQ503" s="490"/>
      <c r="DR503" s="490"/>
      <c r="DS503" s="490"/>
      <c r="DT503" s="490"/>
      <c r="DU503" s="490"/>
      <c r="DV503" s="490"/>
      <c r="DW503" s="490"/>
      <c r="DX503" s="490"/>
      <c r="DY503" s="490"/>
      <c r="DZ503" s="490"/>
      <c r="EA503" s="490"/>
      <c r="EB503" s="490"/>
      <c r="EC503" s="490"/>
      <c r="ED503" s="490"/>
      <c r="EE503" s="490"/>
      <c r="EF503" s="490"/>
      <c r="EG503" s="490"/>
      <c r="EH503" s="490"/>
      <c r="EI503" s="490"/>
      <c r="EJ503" s="490"/>
      <c r="EK503" s="490"/>
      <c r="EL503" s="490"/>
      <c r="EM503" s="490"/>
      <c r="EN503" s="490"/>
      <c r="EO503" s="490"/>
      <c r="EP503" s="490"/>
      <c r="EQ503" s="490"/>
      <c r="ER503" s="490"/>
      <c r="ES503" s="490"/>
      <c r="ET503" s="490"/>
      <c r="EU503" s="490"/>
      <c r="EV503" s="490"/>
      <c r="EW503" s="490"/>
      <c r="EX503" s="490"/>
      <c r="EY503" s="490"/>
      <c r="EZ503" s="490"/>
      <c r="FA503" s="490"/>
      <c r="FB503" s="490"/>
      <c r="FC503" s="490"/>
      <c r="FD503" s="490"/>
      <c r="FE503" s="490"/>
      <c r="FF503" s="490"/>
      <c r="FG503" s="490"/>
      <c r="FH503" s="490"/>
      <c r="FI503" s="490"/>
      <c r="FJ503" s="490"/>
      <c r="FK503" s="490"/>
      <c r="FL503" s="490"/>
      <c r="FM503" s="490"/>
      <c r="FN503" s="490"/>
    </row>
    <row r="504" s="492" customFormat="1" spans="1:170">
      <c r="A504" s="522">
        <v>46227</v>
      </c>
      <c r="B504" s="507" t="s">
        <v>896</v>
      </c>
      <c r="C504" s="523">
        <v>5</v>
      </c>
      <c r="D504" s="507" t="s">
        <v>14</v>
      </c>
      <c r="E504" s="507" t="s">
        <v>14</v>
      </c>
      <c r="F504" s="510" t="s">
        <v>26</v>
      </c>
      <c r="G504" s="542">
        <v>0.92</v>
      </c>
      <c r="H504" s="542">
        <v>4.09</v>
      </c>
      <c r="I504" s="542" t="s">
        <v>17</v>
      </c>
      <c r="J504" s="542">
        <v>1.84</v>
      </c>
      <c r="K504" s="526" t="s">
        <v>603</v>
      </c>
      <c r="L504" s="526" t="s">
        <v>577</v>
      </c>
      <c r="M504" s="490"/>
      <c r="N504" s="490"/>
      <c r="O504" s="490"/>
      <c r="P504" s="490"/>
      <c r="Q504" s="490"/>
      <c r="R504" s="490"/>
      <c r="S504" s="490"/>
      <c r="T504" s="490"/>
      <c r="U504" s="490"/>
      <c r="V504" s="490"/>
      <c r="W504" s="490"/>
      <c r="X504" s="490"/>
      <c r="Y504" s="490"/>
      <c r="Z504" s="490"/>
      <c r="AA504" s="490"/>
      <c r="AB504" s="490"/>
      <c r="AC504" s="490"/>
      <c r="AD504" s="490"/>
      <c r="AE504" s="490"/>
      <c r="AF504" s="490"/>
      <c r="AG504" s="490"/>
      <c r="AH504" s="490"/>
      <c r="AI504" s="490"/>
      <c r="AJ504" s="490"/>
      <c r="AK504" s="490"/>
      <c r="AL504" s="490"/>
      <c r="AM504" s="490"/>
      <c r="AN504" s="490"/>
      <c r="AO504" s="490"/>
      <c r="AP504" s="490"/>
      <c r="AQ504" s="490"/>
      <c r="AR504" s="490"/>
      <c r="AS504" s="490"/>
      <c r="AT504" s="490"/>
      <c r="AU504" s="490"/>
      <c r="AV504" s="490"/>
      <c r="AW504" s="490"/>
      <c r="AX504" s="490"/>
      <c r="AY504" s="490"/>
      <c r="AZ504" s="490"/>
      <c r="BA504" s="490"/>
      <c r="BB504" s="490"/>
      <c r="BC504" s="490"/>
      <c r="BD504" s="490"/>
      <c r="BE504" s="490"/>
      <c r="BF504" s="490"/>
      <c r="BG504" s="490"/>
      <c r="BH504" s="490"/>
      <c r="BI504" s="490"/>
      <c r="BJ504" s="490"/>
      <c r="BK504" s="490"/>
      <c r="BL504" s="490"/>
      <c r="BM504" s="490"/>
      <c r="BN504" s="490"/>
      <c r="BO504" s="490"/>
      <c r="BP504" s="490"/>
      <c r="BQ504" s="490"/>
      <c r="BR504" s="490"/>
      <c r="BS504" s="490"/>
      <c r="BT504" s="490"/>
      <c r="BU504" s="490"/>
      <c r="BV504" s="490"/>
      <c r="BW504" s="490"/>
      <c r="BX504" s="490"/>
      <c r="BY504" s="490"/>
      <c r="BZ504" s="490"/>
      <c r="CA504" s="490"/>
      <c r="CB504" s="490"/>
      <c r="CC504" s="490"/>
      <c r="CD504" s="490"/>
      <c r="CE504" s="490"/>
      <c r="CF504" s="490"/>
      <c r="CG504" s="490"/>
      <c r="CH504" s="490"/>
      <c r="CI504" s="490"/>
      <c r="CJ504" s="490"/>
      <c r="CK504" s="490"/>
      <c r="CL504" s="490"/>
      <c r="CM504" s="490"/>
      <c r="CN504" s="490"/>
      <c r="CO504" s="490"/>
      <c r="CP504" s="490"/>
      <c r="CQ504" s="490"/>
      <c r="CR504" s="490"/>
      <c r="CS504" s="490"/>
      <c r="CT504" s="490"/>
      <c r="CU504" s="490"/>
      <c r="CV504" s="490"/>
      <c r="CW504" s="490"/>
      <c r="CX504" s="490"/>
      <c r="CY504" s="490"/>
      <c r="CZ504" s="490"/>
      <c r="DA504" s="490"/>
      <c r="DB504" s="490"/>
      <c r="DC504" s="490"/>
      <c r="DD504" s="490"/>
      <c r="DE504" s="490"/>
      <c r="DF504" s="490"/>
      <c r="DG504" s="490"/>
      <c r="DH504" s="490"/>
      <c r="DI504" s="490"/>
      <c r="DJ504" s="490"/>
      <c r="DK504" s="490"/>
      <c r="DL504" s="490"/>
      <c r="DM504" s="490"/>
      <c r="DN504" s="490"/>
      <c r="DO504" s="490"/>
      <c r="DP504" s="490"/>
      <c r="DQ504" s="490"/>
      <c r="DR504" s="490"/>
      <c r="DS504" s="490"/>
      <c r="DT504" s="490"/>
      <c r="DU504" s="490"/>
      <c r="DV504" s="490"/>
      <c r="DW504" s="490"/>
      <c r="DX504" s="490"/>
      <c r="DY504" s="490"/>
      <c r="DZ504" s="490"/>
      <c r="EA504" s="490"/>
      <c r="EB504" s="490"/>
      <c r="EC504" s="490"/>
      <c r="ED504" s="490"/>
      <c r="EE504" s="490"/>
      <c r="EF504" s="490"/>
      <c r="EG504" s="490"/>
      <c r="EH504" s="490"/>
      <c r="EI504" s="490"/>
      <c r="EJ504" s="490"/>
      <c r="EK504" s="490"/>
      <c r="EL504" s="490"/>
      <c r="EM504" s="490"/>
      <c r="EN504" s="490"/>
      <c r="EO504" s="490"/>
      <c r="EP504" s="490"/>
      <c r="EQ504" s="490"/>
      <c r="ER504" s="490"/>
      <c r="ES504" s="490"/>
      <c r="ET504" s="490"/>
      <c r="EU504" s="490"/>
      <c r="EV504" s="490"/>
      <c r="EW504" s="490"/>
      <c r="EX504" s="490"/>
      <c r="EY504" s="490"/>
      <c r="EZ504" s="490"/>
      <c r="FA504" s="490"/>
      <c r="FB504" s="490"/>
      <c r="FC504" s="490"/>
      <c r="FD504" s="490"/>
      <c r="FE504" s="490"/>
      <c r="FF504" s="490"/>
      <c r="FG504" s="490"/>
      <c r="FH504" s="490"/>
      <c r="FI504" s="490"/>
      <c r="FJ504" s="490"/>
      <c r="FK504" s="490"/>
      <c r="FL504" s="490"/>
      <c r="FM504" s="490"/>
      <c r="FN504" s="490"/>
    </row>
    <row r="505" s="492" customFormat="1" spans="1:170">
      <c r="A505" s="528"/>
      <c r="B505" s="513"/>
      <c r="C505" s="529"/>
      <c r="D505" s="513"/>
      <c r="E505" s="513"/>
      <c r="F505" s="510" t="s">
        <v>21</v>
      </c>
      <c r="G505" s="542">
        <v>0.92</v>
      </c>
      <c r="H505" s="542">
        <v>0.24</v>
      </c>
      <c r="I505" s="542" t="s">
        <v>22</v>
      </c>
      <c r="J505" s="542">
        <v>2.25</v>
      </c>
      <c r="K505" s="531"/>
      <c r="L505" s="531"/>
      <c r="M505" s="490"/>
      <c r="N505" s="490"/>
      <c r="O505" s="490"/>
      <c r="P505" s="490"/>
      <c r="Q505" s="490"/>
      <c r="R505" s="490"/>
      <c r="S505" s="490"/>
      <c r="T505" s="490"/>
      <c r="U505" s="490"/>
      <c r="V505" s="490"/>
      <c r="W505" s="490"/>
      <c r="X505" s="490"/>
      <c r="Y505" s="490"/>
      <c r="Z505" s="490"/>
      <c r="AA505" s="490"/>
      <c r="AB505" s="490"/>
      <c r="AC505" s="490"/>
      <c r="AD505" s="490"/>
      <c r="AE505" s="490"/>
      <c r="AF505" s="490"/>
      <c r="AG505" s="490"/>
      <c r="AH505" s="490"/>
      <c r="AI505" s="490"/>
      <c r="AJ505" s="490"/>
      <c r="AK505" s="490"/>
      <c r="AL505" s="490"/>
      <c r="AM505" s="490"/>
      <c r="AN505" s="490"/>
      <c r="AO505" s="490"/>
      <c r="AP505" s="490"/>
      <c r="AQ505" s="490"/>
      <c r="AR505" s="490"/>
      <c r="AS505" s="490"/>
      <c r="AT505" s="490"/>
      <c r="AU505" s="490"/>
      <c r="AV505" s="490"/>
      <c r="AW505" s="490"/>
      <c r="AX505" s="490"/>
      <c r="AY505" s="490"/>
      <c r="AZ505" s="490"/>
      <c r="BA505" s="490"/>
      <c r="BB505" s="490"/>
      <c r="BC505" s="490"/>
      <c r="BD505" s="490"/>
      <c r="BE505" s="490"/>
      <c r="BF505" s="490"/>
      <c r="BG505" s="490"/>
      <c r="BH505" s="490"/>
      <c r="BI505" s="490"/>
      <c r="BJ505" s="490"/>
      <c r="BK505" s="490"/>
      <c r="BL505" s="490"/>
      <c r="BM505" s="490"/>
      <c r="BN505" s="490"/>
      <c r="BO505" s="490"/>
      <c r="BP505" s="490"/>
      <c r="BQ505" s="490"/>
      <c r="BR505" s="490"/>
      <c r="BS505" s="490"/>
      <c r="BT505" s="490"/>
      <c r="BU505" s="490"/>
      <c r="BV505" s="490"/>
      <c r="BW505" s="490"/>
      <c r="BX505" s="490"/>
      <c r="BY505" s="490"/>
      <c r="BZ505" s="490"/>
      <c r="CA505" s="490"/>
      <c r="CB505" s="490"/>
      <c r="CC505" s="490"/>
      <c r="CD505" s="490"/>
      <c r="CE505" s="490"/>
      <c r="CF505" s="490"/>
      <c r="CG505" s="490"/>
      <c r="CH505" s="490"/>
      <c r="CI505" s="490"/>
      <c r="CJ505" s="490"/>
      <c r="CK505" s="490"/>
      <c r="CL505" s="490"/>
      <c r="CM505" s="490"/>
      <c r="CN505" s="490"/>
      <c r="CO505" s="490"/>
      <c r="CP505" s="490"/>
      <c r="CQ505" s="490"/>
      <c r="CR505" s="490"/>
      <c r="CS505" s="490"/>
      <c r="CT505" s="490"/>
      <c r="CU505" s="490"/>
      <c r="CV505" s="490"/>
      <c r="CW505" s="490"/>
      <c r="CX505" s="490"/>
      <c r="CY505" s="490"/>
      <c r="CZ505" s="490"/>
      <c r="DA505" s="490"/>
      <c r="DB505" s="490"/>
      <c r="DC505" s="490"/>
      <c r="DD505" s="490"/>
      <c r="DE505" s="490"/>
      <c r="DF505" s="490"/>
      <c r="DG505" s="490"/>
      <c r="DH505" s="490"/>
      <c r="DI505" s="490"/>
      <c r="DJ505" s="490"/>
      <c r="DK505" s="490"/>
      <c r="DL505" s="490"/>
      <c r="DM505" s="490"/>
      <c r="DN505" s="490"/>
      <c r="DO505" s="490"/>
      <c r="DP505" s="490"/>
      <c r="DQ505" s="490"/>
      <c r="DR505" s="490"/>
      <c r="DS505" s="490"/>
      <c r="DT505" s="490"/>
      <c r="DU505" s="490"/>
      <c r="DV505" s="490"/>
      <c r="DW505" s="490"/>
      <c r="DX505" s="490"/>
      <c r="DY505" s="490"/>
      <c r="DZ505" s="490"/>
      <c r="EA505" s="490"/>
      <c r="EB505" s="490"/>
      <c r="EC505" s="490"/>
      <c r="ED505" s="490"/>
      <c r="EE505" s="490"/>
      <c r="EF505" s="490"/>
      <c r="EG505" s="490"/>
      <c r="EH505" s="490"/>
      <c r="EI505" s="490"/>
      <c r="EJ505" s="490"/>
      <c r="EK505" s="490"/>
      <c r="EL505" s="490"/>
      <c r="EM505" s="490"/>
      <c r="EN505" s="490"/>
      <c r="EO505" s="490"/>
      <c r="EP505" s="490"/>
      <c r="EQ505" s="490"/>
      <c r="ER505" s="490"/>
      <c r="ES505" s="490"/>
      <c r="ET505" s="490"/>
      <c r="EU505" s="490"/>
      <c r="EV505" s="490"/>
      <c r="EW505" s="490"/>
      <c r="EX505" s="490"/>
      <c r="EY505" s="490"/>
      <c r="EZ505" s="490"/>
      <c r="FA505" s="490"/>
      <c r="FB505" s="490"/>
      <c r="FC505" s="490"/>
      <c r="FD505" s="490"/>
      <c r="FE505" s="490"/>
      <c r="FF505" s="490"/>
      <c r="FG505" s="490"/>
      <c r="FH505" s="490"/>
      <c r="FI505" s="490"/>
      <c r="FJ505" s="490"/>
      <c r="FK505" s="490"/>
      <c r="FL505" s="490"/>
      <c r="FM505" s="490"/>
      <c r="FN505" s="490"/>
    </row>
    <row r="506" s="492" customFormat="1" spans="1:170">
      <c r="A506" s="528"/>
      <c r="B506" s="513"/>
      <c r="C506" s="529"/>
      <c r="D506" s="513"/>
      <c r="E506" s="513"/>
      <c r="F506" s="510" t="s">
        <v>43</v>
      </c>
      <c r="G506" s="542">
        <v>0.92</v>
      </c>
      <c r="H506" s="542">
        <v>0.265</v>
      </c>
      <c r="I506" s="542" t="s">
        <v>439</v>
      </c>
      <c r="J506" s="542">
        <v>3.4</v>
      </c>
      <c r="K506" s="531"/>
      <c r="L506" s="531"/>
      <c r="M506" s="490"/>
      <c r="N506" s="490"/>
      <c r="O506" s="490"/>
      <c r="P506" s="490"/>
      <c r="Q506" s="490"/>
      <c r="R506" s="490"/>
      <c r="S506" s="490"/>
      <c r="T506" s="490"/>
      <c r="U506" s="490"/>
      <c r="V506" s="490"/>
      <c r="W506" s="490"/>
      <c r="X506" s="490"/>
      <c r="Y506" s="490"/>
      <c r="Z506" s="490"/>
      <c r="AA506" s="490"/>
      <c r="AB506" s="490"/>
      <c r="AC506" s="490"/>
      <c r="AD506" s="490"/>
      <c r="AE506" s="490"/>
      <c r="AF506" s="490"/>
      <c r="AG506" s="490"/>
      <c r="AH506" s="490"/>
      <c r="AI506" s="490"/>
      <c r="AJ506" s="490"/>
      <c r="AK506" s="490"/>
      <c r="AL506" s="490"/>
      <c r="AM506" s="490"/>
      <c r="AN506" s="490"/>
      <c r="AO506" s="490"/>
      <c r="AP506" s="490"/>
      <c r="AQ506" s="490"/>
      <c r="AR506" s="490"/>
      <c r="AS506" s="490"/>
      <c r="AT506" s="490"/>
      <c r="AU506" s="490"/>
      <c r="AV506" s="490"/>
      <c r="AW506" s="490"/>
      <c r="AX506" s="490"/>
      <c r="AY506" s="490"/>
      <c r="AZ506" s="490"/>
      <c r="BA506" s="490"/>
      <c r="BB506" s="490"/>
      <c r="BC506" s="490"/>
      <c r="BD506" s="490"/>
      <c r="BE506" s="490"/>
      <c r="BF506" s="490"/>
      <c r="BG506" s="490"/>
      <c r="BH506" s="490"/>
      <c r="BI506" s="490"/>
      <c r="BJ506" s="490"/>
      <c r="BK506" s="490"/>
      <c r="BL506" s="490"/>
      <c r="BM506" s="490"/>
      <c r="BN506" s="490"/>
      <c r="BO506" s="490"/>
      <c r="BP506" s="490"/>
      <c r="BQ506" s="490"/>
      <c r="BR506" s="490"/>
      <c r="BS506" s="490"/>
      <c r="BT506" s="490"/>
      <c r="BU506" s="490"/>
      <c r="BV506" s="490"/>
      <c r="BW506" s="490"/>
      <c r="BX506" s="490"/>
      <c r="BY506" s="490"/>
      <c r="BZ506" s="490"/>
      <c r="CA506" s="490"/>
      <c r="CB506" s="490"/>
      <c r="CC506" s="490"/>
      <c r="CD506" s="490"/>
      <c r="CE506" s="490"/>
      <c r="CF506" s="490"/>
      <c r="CG506" s="490"/>
      <c r="CH506" s="490"/>
      <c r="CI506" s="490"/>
      <c r="CJ506" s="490"/>
      <c r="CK506" s="490"/>
      <c r="CL506" s="490"/>
      <c r="CM506" s="490"/>
      <c r="CN506" s="490"/>
      <c r="CO506" s="490"/>
      <c r="CP506" s="490"/>
      <c r="CQ506" s="490"/>
      <c r="CR506" s="490"/>
      <c r="CS506" s="490"/>
      <c r="CT506" s="490"/>
      <c r="CU506" s="490"/>
      <c r="CV506" s="490"/>
      <c r="CW506" s="490"/>
      <c r="CX506" s="490"/>
      <c r="CY506" s="490"/>
      <c r="CZ506" s="490"/>
      <c r="DA506" s="490"/>
      <c r="DB506" s="490"/>
      <c r="DC506" s="490"/>
      <c r="DD506" s="490"/>
      <c r="DE506" s="490"/>
      <c r="DF506" s="490"/>
      <c r="DG506" s="490"/>
      <c r="DH506" s="490"/>
      <c r="DI506" s="490"/>
      <c r="DJ506" s="490"/>
      <c r="DK506" s="490"/>
      <c r="DL506" s="490"/>
      <c r="DM506" s="490"/>
      <c r="DN506" s="490"/>
      <c r="DO506" s="490"/>
      <c r="DP506" s="490"/>
      <c r="DQ506" s="490"/>
      <c r="DR506" s="490"/>
      <c r="DS506" s="490"/>
      <c r="DT506" s="490"/>
      <c r="DU506" s="490"/>
      <c r="DV506" s="490"/>
      <c r="DW506" s="490"/>
      <c r="DX506" s="490"/>
      <c r="DY506" s="490"/>
      <c r="DZ506" s="490"/>
      <c r="EA506" s="490"/>
      <c r="EB506" s="490"/>
      <c r="EC506" s="490"/>
      <c r="ED506" s="490"/>
      <c r="EE506" s="490"/>
      <c r="EF506" s="490"/>
      <c r="EG506" s="490"/>
      <c r="EH506" s="490"/>
      <c r="EI506" s="490"/>
      <c r="EJ506" s="490"/>
      <c r="EK506" s="490"/>
      <c r="EL506" s="490"/>
      <c r="EM506" s="490"/>
      <c r="EN506" s="490"/>
      <c r="EO506" s="490"/>
      <c r="EP506" s="490"/>
      <c r="EQ506" s="490"/>
      <c r="ER506" s="490"/>
      <c r="ES506" s="490"/>
      <c r="ET506" s="490"/>
      <c r="EU506" s="490"/>
      <c r="EV506" s="490"/>
      <c r="EW506" s="490"/>
      <c r="EX506" s="490"/>
      <c r="EY506" s="490"/>
      <c r="EZ506" s="490"/>
      <c r="FA506" s="490"/>
      <c r="FB506" s="490"/>
      <c r="FC506" s="490"/>
      <c r="FD506" s="490"/>
      <c r="FE506" s="490"/>
      <c r="FF506" s="490"/>
      <c r="FG506" s="490"/>
      <c r="FH506" s="490"/>
      <c r="FI506" s="490"/>
      <c r="FJ506" s="490"/>
      <c r="FK506" s="490"/>
      <c r="FL506" s="490"/>
      <c r="FM506" s="490"/>
      <c r="FN506" s="490"/>
    </row>
    <row r="507" s="492" customFormat="1" spans="1:170">
      <c r="A507" s="532"/>
      <c r="B507" s="517"/>
      <c r="C507" s="533"/>
      <c r="D507" s="517"/>
      <c r="E507" s="517"/>
      <c r="F507" s="510" t="s">
        <v>23</v>
      </c>
      <c r="G507" s="542">
        <v>2.83</v>
      </c>
      <c r="H507" s="542">
        <v>0.405</v>
      </c>
      <c r="I507" s="542" t="s">
        <v>24</v>
      </c>
      <c r="J507" s="542" t="s">
        <v>24</v>
      </c>
      <c r="K507" s="534"/>
      <c r="L507" s="534"/>
      <c r="M507" s="490"/>
      <c r="N507" s="490"/>
      <c r="O507" s="490"/>
      <c r="P507" s="490"/>
      <c r="Q507" s="490"/>
      <c r="R507" s="490"/>
      <c r="S507" s="490"/>
      <c r="T507" s="490"/>
      <c r="U507" s="490"/>
      <c r="V507" s="490"/>
      <c r="W507" s="490"/>
      <c r="X507" s="490"/>
      <c r="Y507" s="490"/>
      <c r="Z507" s="490"/>
      <c r="AA507" s="490"/>
      <c r="AB507" s="490"/>
      <c r="AC507" s="490"/>
      <c r="AD507" s="490"/>
      <c r="AE507" s="490"/>
      <c r="AF507" s="490"/>
      <c r="AG507" s="490"/>
      <c r="AH507" s="490"/>
      <c r="AI507" s="490"/>
      <c r="AJ507" s="490"/>
      <c r="AK507" s="490"/>
      <c r="AL507" s="490"/>
      <c r="AM507" s="490"/>
      <c r="AN507" s="490"/>
      <c r="AO507" s="490"/>
      <c r="AP507" s="490"/>
      <c r="AQ507" s="490"/>
      <c r="AR507" s="490"/>
      <c r="AS507" s="490"/>
      <c r="AT507" s="490"/>
      <c r="AU507" s="490"/>
      <c r="AV507" s="490"/>
      <c r="AW507" s="490"/>
      <c r="AX507" s="490"/>
      <c r="AY507" s="490"/>
      <c r="AZ507" s="490"/>
      <c r="BA507" s="490"/>
      <c r="BB507" s="490"/>
      <c r="BC507" s="490"/>
      <c r="BD507" s="490"/>
      <c r="BE507" s="490"/>
      <c r="BF507" s="490"/>
      <c r="BG507" s="490"/>
      <c r="BH507" s="490"/>
      <c r="BI507" s="490"/>
      <c r="BJ507" s="490"/>
      <c r="BK507" s="490"/>
      <c r="BL507" s="490"/>
      <c r="BM507" s="490"/>
      <c r="BN507" s="490"/>
      <c r="BO507" s="490"/>
      <c r="BP507" s="490"/>
      <c r="BQ507" s="490"/>
      <c r="BR507" s="490"/>
      <c r="BS507" s="490"/>
      <c r="BT507" s="490"/>
      <c r="BU507" s="490"/>
      <c r="BV507" s="490"/>
      <c r="BW507" s="490"/>
      <c r="BX507" s="490"/>
      <c r="BY507" s="490"/>
      <c r="BZ507" s="490"/>
      <c r="CA507" s="490"/>
      <c r="CB507" s="490"/>
      <c r="CC507" s="490"/>
      <c r="CD507" s="490"/>
      <c r="CE507" s="490"/>
      <c r="CF507" s="490"/>
      <c r="CG507" s="490"/>
      <c r="CH507" s="490"/>
      <c r="CI507" s="490"/>
      <c r="CJ507" s="490"/>
      <c r="CK507" s="490"/>
      <c r="CL507" s="490"/>
      <c r="CM507" s="490"/>
      <c r="CN507" s="490"/>
      <c r="CO507" s="490"/>
      <c r="CP507" s="490"/>
      <c r="CQ507" s="490"/>
      <c r="CR507" s="490"/>
      <c r="CS507" s="490"/>
      <c r="CT507" s="490"/>
      <c r="CU507" s="490"/>
      <c r="CV507" s="490"/>
      <c r="CW507" s="490"/>
      <c r="CX507" s="490"/>
      <c r="CY507" s="490"/>
      <c r="CZ507" s="490"/>
      <c r="DA507" s="490"/>
      <c r="DB507" s="490"/>
      <c r="DC507" s="490"/>
      <c r="DD507" s="490"/>
      <c r="DE507" s="490"/>
      <c r="DF507" s="490"/>
      <c r="DG507" s="490"/>
      <c r="DH507" s="490"/>
      <c r="DI507" s="490"/>
      <c r="DJ507" s="490"/>
      <c r="DK507" s="490"/>
      <c r="DL507" s="490"/>
      <c r="DM507" s="490"/>
      <c r="DN507" s="490"/>
      <c r="DO507" s="490"/>
      <c r="DP507" s="490"/>
      <c r="DQ507" s="490"/>
      <c r="DR507" s="490"/>
      <c r="DS507" s="490"/>
      <c r="DT507" s="490"/>
      <c r="DU507" s="490"/>
      <c r="DV507" s="490"/>
      <c r="DW507" s="490"/>
      <c r="DX507" s="490"/>
      <c r="DY507" s="490"/>
      <c r="DZ507" s="490"/>
      <c r="EA507" s="490"/>
      <c r="EB507" s="490"/>
      <c r="EC507" s="490"/>
      <c r="ED507" s="490"/>
      <c r="EE507" s="490"/>
      <c r="EF507" s="490"/>
      <c r="EG507" s="490"/>
      <c r="EH507" s="490"/>
      <c r="EI507" s="490"/>
      <c r="EJ507" s="490"/>
      <c r="EK507" s="490"/>
      <c r="EL507" s="490"/>
      <c r="EM507" s="490"/>
      <c r="EN507" s="490"/>
      <c r="EO507" s="490"/>
      <c r="EP507" s="490"/>
      <c r="EQ507" s="490"/>
      <c r="ER507" s="490"/>
      <c r="ES507" s="490"/>
      <c r="ET507" s="490"/>
      <c r="EU507" s="490"/>
      <c r="EV507" s="490"/>
      <c r="EW507" s="490"/>
      <c r="EX507" s="490"/>
      <c r="EY507" s="490"/>
      <c r="EZ507" s="490"/>
      <c r="FA507" s="490"/>
      <c r="FB507" s="490"/>
      <c r="FC507" s="490"/>
      <c r="FD507" s="490"/>
      <c r="FE507" s="490"/>
      <c r="FF507" s="490"/>
      <c r="FG507" s="490"/>
      <c r="FH507" s="490"/>
      <c r="FI507" s="490"/>
      <c r="FJ507" s="490"/>
      <c r="FK507" s="490"/>
      <c r="FL507" s="490"/>
      <c r="FM507" s="490"/>
      <c r="FN507" s="490"/>
    </row>
    <row r="508" s="492" customFormat="1" spans="1:170">
      <c r="A508" s="522">
        <v>46227</v>
      </c>
      <c r="B508" s="507" t="s">
        <v>897</v>
      </c>
      <c r="C508" s="523">
        <v>15</v>
      </c>
      <c r="D508" s="507" t="s">
        <v>649</v>
      </c>
      <c r="E508" s="507" t="s">
        <v>649</v>
      </c>
      <c r="F508" s="515" t="s">
        <v>73</v>
      </c>
      <c r="G508" s="542">
        <v>0.95</v>
      </c>
      <c r="H508" s="542">
        <v>13.5</v>
      </c>
      <c r="I508" s="542" t="s">
        <v>17</v>
      </c>
      <c r="J508" s="542">
        <v>1.58</v>
      </c>
      <c r="K508" s="526" t="s">
        <v>713</v>
      </c>
      <c r="L508" s="526"/>
      <c r="M508" s="490"/>
      <c r="N508" s="490"/>
      <c r="O508" s="490"/>
      <c r="P508" s="490"/>
      <c r="Q508" s="490"/>
      <c r="R508" s="490"/>
      <c r="S508" s="490"/>
      <c r="T508" s="490"/>
      <c r="U508" s="490"/>
      <c r="V508" s="490"/>
      <c r="W508" s="490"/>
      <c r="X508" s="490"/>
      <c r="Y508" s="490"/>
      <c r="Z508" s="490"/>
      <c r="AA508" s="490"/>
      <c r="AB508" s="490"/>
      <c r="AC508" s="490"/>
      <c r="AD508" s="490"/>
      <c r="AE508" s="490"/>
      <c r="AF508" s="490"/>
      <c r="AG508" s="490"/>
      <c r="AH508" s="490"/>
      <c r="AI508" s="490"/>
      <c r="AJ508" s="490"/>
      <c r="AK508" s="490"/>
      <c r="AL508" s="490"/>
      <c r="AM508" s="490"/>
      <c r="AN508" s="490"/>
      <c r="AO508" s="490"/>
      <c r="AP508" s="490"/>
      <c r="AQ508" s="490"/>
      <c r="AR508" s="490"/>
      <c r="AS508" s="490"/>
      <c r="AT508" s="490"/>
      <c r="AU508" s="490"/>
      <c r="AV508" s="490"/>
      <c r="AW508" s="490"/>
      <c r="AX508" s="490"/>
      <c r="AY508" s="490"/>
      <c r="AZ508" s="490"/>
      <c r="BA508" s="490"/>
      <c r="BB508" s="490"/>
      <c r="BC508" s="490"/>
      <c r="BD508" s="490"/>
      <c r="BE508" s="490"/>
      <c r="BF508" s="490"/>
      <c r="BG508" s="490"/>
      <c r="BH508" s="490"/>
      <c r="BI508" s="490"/>
      <c r="BJ508" s="490"/>
      <c r="BK508" s="490"/>
      <c r="BL508" s="490"/>
      <c r="BM508" s="490"/>
      <c r="BN508" s="490"/>
      <c r="BO508" s="490"/>
      <c r="BP508" s="490"/>
      <c r="BQ508" s="490"/>
      <c r="BR508" s="490"/>
      <c r="BS508" s="490"/>
      <c r="BT508" s="490"/>
      <c r="BU508" s="490"/>
      <c r="BV508" s="490"/>
      <c r="BW508" s="490"/>
      <c r="BX508" s="490"/>
      <c r="BY508" s="490"/>
      <c r="BZ508" s="490"/>
      <c r="CA508" s="490"/>
      <c r="CB508" s="490"/>
      <c r="CC508" s="490"/>
      <c r="CD508" s="490"/>
      <c r="CE508" s="490"/>
      <c r="CF508" s="490"/>
      <c r="CG508" s="490"/>
      <c r="CH508" s="490"/>
      <c r="CI508" s="490"/>
      <c r="CJ508" s="490"/>
      <c r="CK508" s="490"/>
      <c r="CL508" s="490"/>
      <c r="CM508" s="490"/>
      <c r="CN508" s="490"/>
      <c r="CO508" s="490"/>
      <c r="CP508" s="490"/>
      <c r="CQ508" s="490"/>
      <c r="CR508" s="490"/>
      <c r="CS508" s="490"/>
      <c r="CT508" s="490"/>
      <c r="CU508" s="490"/>
      <c r="CV508" s="490"/>
      <c r="CW508" s="490"/>
      <c r="CX508" s="490"/>
      <c r="CY508" s="490"/>
      <c r="CZ508" s="490"/>
      <c r="DA508" s="490"/>
      <c r="DB508" s="490"/>
      <c r="DC508" s="490"/>
      <c r="DD508" s="490"/>
      <c r="DE508" s="490"/>
      <c r="DF508" s="490"/>
      <c r="DG508" s="490"/>
      <c r="DH508" s="490"/>
      <c r="DI508" s="490"/>
      <c r="DJ508" s="490"/>
      <c r="DK508" s="490"/>
      <c r="DL508" s="490"/>
      <c r="DM508" s="490"/>
      <c r="DN508" s="490"/>
      <c r="DO508" s="490"/>
      <c r="DP508" s="490"/>
      <c r="DQ508" s="490"/>
      <c r="DR508" s="490"/>
      <c r="DS508" s="490"/>
      <c r="DT508" s="490"/>
      <c r="DU508" s="490"/>
      <c r="DV508" s="490"/>
      <c r="DW508" s="490"/>
      <c r="DX508" s="490"/>
      <c r="DY508" s="490"/>
      <c r="DZ508" s="490"/>
      <c r="EA508" s="490"/>
      <c r="EB508" s="490"/>
      <c r="EC508" s="490"/>
      <c r="ED508" s="490"/>
      <c r="EE508" s="490"/>
      <c r="EF508" s="490"/>
      <c r="EG508" s="490"/>
      <c r="EH508" s="490"/>
      <c r="EI508" s="490"/>
      <c r="EJ508" s="490"/>
      <c r="EK508" s="490"/>
      <c r="EL508" s="490"/>
      <c r="EM508" s="490"/>
      <c r="EN508" s="490"/>
      <c r="EO508" s="490"/>
      <c r="EP508" s="490"/>
      <c r="EQ508" s="490"/>
      <c r="ER508" s="490"/>
      <c r="ES508" s="490"/>
      <c r="ET508" s="490"/>
      <c r="EU508" s="490"/>
      <c r="EV508" s="490"/>
      <c r="EW508" s="490"/>
      <c r="EX508" s="490"/>
      <c r="EY508" s="490"/>
      <c r="EZ508" s="490"/>
      <c r="FA508" s="490"/>
      <c r="FB508" s="490"/>
      <c r="FC508" s="490"/>
      <c r="FD508" s="490"/>
      <c r="FE508" s="490"/>
      <c r="FF508" s="490"/>
      <c r="FG508" s="490"/>
      <c r="FH508" s="490"/>
      <c r="FI508" s="490"/>
      <c r="FJ508" s="490"/>
      <c r="FK508" s="490"/>
      <c r="FL508" s="490"/>
      <c r="FM508" s="490"/>
      <c r="FN508" s="490"/>
    </row>
    <row r="509" s="492" customFormat="1" spans="1:170">
      <c r="A509" s="528"/>
      <c r="B509" s="513"/>
      <c r="C509" s="529"/>
      <c r="D509" s="513"/>
      <c r="E509" s="513"/>
      <c r="F509" s="515" t="s">
        <v>75</v>
      </c>
      <c r="G509" s="542">
        <v>1.22</v>
      </c>
      <c r="H509" s="542">
        <v>0.45</v>
      </c>
      <c r="I509" s="542" t="s">
        <v>22</v>
      </c>
      <c r="J509" s="542">
        <v>1.77</v>
      </c>
      <c r="K509" s="531"/>
      <c r="L509" s="531"/>
      <c r="M509" s="490"/>
      <c r="N509" s="490"/>
      <c r="O509" s="490"/>
      <c r="P509" s="490"/>
      <c r="Q509" s="490"/>
      <c r="R509" s="490"/>
      <c r="S509" s="490"/>
      <c r="T509" s="490"/>
      <c r="U509" s="490"/>
      <c r="V509" s="490"/>
      <c r="W509" s="490"/>
      <c r="X509" s="490"/>
      <c r="Y509" s="490"/>
      <c r="Z509" s="490"/>
      <c r="AA509" s="490"/>
      <c r="AB509" s="490"/>
      <c r="AC509" s="490"/>
      <c r="AD509" s="490"/>
      <c r="AE509" s="490"/>
      <c r="AF509" s="490"/>
      <c r="AG509" s="490"/>
      <c r="AH509" s="490"/>
      <c r="AI509" s="490"/>
      <c r="AJ509" s="490"/>
      <c r="AK509" s="490"/>
      <c r="AL509" s="490"/>
      <c r="AM509" s="490"/>
      <c r="AN509" s="490"/>
      <c r="AO509" s="490"/>
      <c r="AP509" s="490"/>
      <c r="AQ509" s="490"/>
      <c r="AR509" s="490"/>
      <c r="AS509" s="490"/>
      <c r="AT509" s="490"/>
      <c r="AU509" s="490"/>
      <c r="AV509" s="490"/>
      <c r="AW509" s="490"/>
      <c r="AX509" s="490"/>
      <c r="AY509" s="490"/>
      <c r="AZ509" s="490"/>
      <c r="BA509" s="490"/>
      <c r="BB509" s="490"/>
      <c r="BC509" s="490"/>
      <c r="BD509" s="490"/>
      <c r="BE509" s="490"/>
      <c r="BF509" s="490"/>
      <c r="BG509" s="490"/>
      <c r="BH509" s="490"/>
      <c r="BI509" s="490"/>
      <c r="BJ509" s="490"/>
      <c r="BK509" s="490"/>
      <c r="BL509" s="490"/>
      <c r="BM509" s="490"/>
      <c r="BN509" s="490"/>
      <c r="BO509" s="490"/>
      <c r="BP509" s="490"/>
      <c r="BQ509" s="490"/>
      <c r="BR509" s="490"/>
      <c r="BS509" s="490"/>
      <c r="BT509" s="490"/>
      <c r="BU509" s="490"/>
      <c r="BV509" s="490"/>
      <c r="BW509" s="490"/>
      <c r="BX509" s="490"/>
      <c r="BY509" s="490"/>
      <c r="BZ509" s="490"/>
      <c r="CA509" s="490"/>
      <c r="CB509" s="490"/>
      <c r="CC509" s="490"/>
      <c r="CD509" s="490"/>
      <c r="CE509" s="490"/>
      <c r="CF509" s="490"/>
      <c r="CG509" s="490"/>
      <c r="CH509" s="490"/>
      <c r="CI509" s="490"/>
      <c r="CJ509" s="490"/>
      <c r="CK509" s="490"/>
      <c r="CL509" s="490"/>
      <c r="CM509" s="490"/>
      <c r="CN509" s="490"/>
      <c r="CO509" s="490"/>
      <c r="CP509" s="490"/>
      <c r="CQ509" s="490"/>
      <c r="CR509" s="490"/>
      <c r="CS509" s="490"/>
      <c r="CT509" s="490"/>
      <c r="CU509" s="490"/>
      <c r="CV509" s="490"/>
      <c r="CW509" s="490"/>
      <c r="CX509" s="490"/>
      <c r="CY509" s="490"/>
      <c r="CZ509" s="490"/>
      <c r="DA509" s="490"/>
      <c r="DB509" s="490"/>
      <c r="DC509" s="490"/>
      <c r="DD509" s="490"/>
      <c r="DE509" s="490"/>
      <c r="DF509" s="490"/>
      <c r="DG509" s="490"/>
      <c r="DH509" s="490"/>
      <c r="DI509" s="490"/>
      <c r="DJ509" s="490"/>
      <c r="DK509" s="490"/>
      <c r="DL509" s="490"/>
      <c r="DM509" s="490"/>
      <c r="DN509" s="490"/>
      <c r="DO509" s="490"/>
      <c r="DP509" s="490"/>
      <c r="DQ509" s="490"/>
      <c r="DR509" s="490"/>
      <c r="DS509" s="490"/>
      <c r="DT509" s="490"/>
      <c r="DU509" s="490"/>
      <c r="DV509" s="490"/>
      <c r="DW509" s="490"/>
      <c r="DX509" s="490"/>
      <c r="DY509" s="490"/>
      <c r="DZ509" s="490"/>
      <c r="EA509" s="490"/>
      <c r="EB509" s="490"/>
      <c r="EC509" s="490"/>
      <c r="ED509" s="490"/>
      <c r="EE509" s="490"/>
      <c r="EF509" s="490"/>
      <c r="EG509" s="490"/>
      <c r="EH509" s="490"/>
      <c r="EI509" s="490"/>
      <c r="EJ509" s="490"/>
      <c r="EK509" s="490"/>
      <c r="EL509" s="490"/>
      <c r="EM509" s="490"/>
      <c r="EN509" s="490"/>
      <c r="EO509" s="490"/>
      <c r="EP509" s="490"/>
      <c r="EQ509" s="490"/>
      <c r="ER509" s="490"/>
      <c r="ES509" s="490"/>
      <c r="ET509" s="490"/>
      <c r="EU509" s="490"/>
      <c r="EV509" s="490"/>
      <c r="EW509" s="490"/>
      <c r="EX509" s="490"/>
      <c r="EY509" s="490"/>
      <c r="EZ509" s="490"/>
      <c r="FA509" s="490"/>
      <c r="FB509" s="490"/>
      <c r="FC509" s="490"/>
      <c r="FD509" s="490"/>
      <c r="FE509" s="490"/>
      <c r="FF509" s="490"/>
      <c r="FG509" s="490"/>
      <c r="FH509" s="490"/>
      <c r="FI509" s="490"/>
      <c r="FJ509" s="490"/>
      <c r="FK509" s="490"/>
      <c r="FL509" s="490"/>
      <c r="FM509" s="490"/>
      <c r="FN509" s="490"/>
    </row>
    <row r="510" s="492" customFormat="1" spans="1:170">
      <c r="A510" s="532"/>
      <c r="B510" s="517"/>
      <c r="C510" s="533"/>
      <c r="D510" s="517"/>
      <c r="E510" s="517"/>
      <c r="F510" s="515" t="s">
        <v>91</v>
      </c>
      <c r="G510" s="542">
        <v>1.7</v>
      </c>
      <c r="H510" s="542">
        <v>1.05</v>
      </c>
      <c r="I510" s="542" t="s">
        <v>24</v>
      </c>
      <c r="J510" s="542" t="s">
        <v>24</v>
      </c>
      <c r="K510" s="534"/>
      <c r="L510" s="534"/>
      <c r="M510" s="490"/>
      <c r="N510" s="490"/>
      <c r="O510" s="490"/>
      <c r="P510" s="490"/>
      <c r="Q510" s="490"/>
      <c r="R510" s="490"/>
      <c r="S510" s="490"/>
      <c r="T510" s="490"/>
      <c r="U510" s="490"/>
      <c r="V510" s="490"/>
      <c r="W510" s="490"/>
      <c r="X510" s="490"/>
      <c r="Y510" s="490"/>
      <c r="Z510" s="490"/>
      <c r="AA510" s="490"/>
      <c r="AB510" s="490"/>
      <c r="AC510" s="490"/>
      <c r="AD510" s="490"/>
      <c r="AE510" s="490"/>
      <c r="AF510" s="490"/>
      <c r="AG510" s="490"/>
      <c r="AH510" s="490"/>
      <c r="AI510" s="490"/>
      <c r="AJ510" s="490"/>
      <c r="AK510" s="490"/>
      <c r="AL510" s="490"/>
      <c r="AM510" s="490"/>
      <c r="AN510" s="490"/>
      <c r="AO510" s="490"/>
      <c r="AP510" s="490"/>
      <c r="AQ510" s="490"/>
      <c r="AR510" s="490"/>
      <c r="AS510" s="490"/>
      <c r="AT510" s="490"/>
      <c r="AU510" s="490"/>
      <c r="AV510" s="490"/>
      <c r="AW510" s="490"/>
      <c r="AX510" s="490"/>
      <c r="AY510" s="490"/>
      <c r="AZ510" s="490"/>
      <c r="BA510" s="490"/>
      <c r="BB510" s="490"/>
      <c r="BC510" s="490"/>
      <c r="BD510" s="490"/>
      <c r="BE510" s="490"/>
      <c r="BF510" s="490"/>
      <c r="BG510" s="490"/>
      <c r="BH510" s="490"/>
      <c r="BI510" s="490"/>
      <c r="BJ510" s="490"/>
      <c r="BK510" s="490"/>
      <c r="BL510" s="490"/>
      <c r="BM510" s="490"/>
      <c r="BN510" s="490"/>
      <c r="BO510" s="490"/>
      <c r="BP510" s="490"/>
      <c r="BQ510" s="490"/>
      <c r="BR510" s="490"/>
      <c r="BS510" s="490"/>
      <c r="BT510" s="490"/>
      <c r="BU510" s="490"/>
      <c r="BV510" s="490"/>
      <c r="BW510" s="490"/>
      <c r="BX510" s="490"/>
      <c r="BY510" s="490"/>
      <c r="BZ510" s="490"/>
      <c r="CA510" s="490"/>
      <c r="CB510" s="490"/>
      <c r="CC510" s="490"/>
      <c r="CD510" s="490"/>
      <c r="CE510" s="490"/>
      <c r="CF510" s="490"/>
      <c r="CG510" s="490"/>
      <c r="CH510" s="490"/>
      <c r="CI510" s="490"/>
      <c r="CJ510" s="490"/>
      <c r="CK510" s="490"/>
      <c r="CL510" s="490"/>
      <c r="CM510" s="490"/>
      <c r="CN510" s="490"/>
      <c r="CO510" s="490"/>
      <c r="CP510" s="490"/>
      <c r="CQ510" s="490"/>
      <c r="CR510" s="490"/>
      <c r="CS510" s="490"/>
      <c r="CT510" s="490"/>
      <c r="CU510" s="490"/>
      <c r="CV510" s="490"/>
      <c r="CW510" s="490"/>
      <c r="CX510" s="490"/>
      <c r="CY510" s="490"/>
      <c r="CZ510" s="490"/>
      <c r="DA510" s="490"/>
      <c r="DB510" s="490"/>
      <c r="DC510" s="490"/>
      <c r="DD510" s="490"/>
      <c r="DE510" s="490"/>
      <c r="DF510" s="490"/>
      <c r="DG510" s="490"/>
      <c r="DH510" s="490"/>
      <c r="DI510" s="490"/>
      <c r="DJ510" s="490"/>
      <c r="DK510" s="490"/>
      <c r="DL510" s="490"/>
      <c r="DM510" s="490"/>
      <c r="DN510" s="490"/>
      <c r="DO510" s="490"/>
      <c r="DP510" s="490"/>
      <c r="DQ510" s="490"/>
      <c r="DR510" s="490"/>
      <c r="DS510" s="490"/>
      <c r="DT510" s="490"/>
      <c r="DU510" s="490"/>
      <c r="DV510" s="490"/>
      <c r="DW510" s="490"/>
      <c r="DX510" s="490"/>
      <c r="DY510" s="490"/>
      <c r="DZ510" s="490"/>
      <c r="EA510" s="490"/>
      <c r="EB510" s="490"/>
      <c r="EC510" s="490"/>
      <c r="ED510" s="490"/>
      <c r="EE510" s="490"/>
      <c r="EF510" s="490"/>
      <c r="EG510" s="490"/>
      <c r="EH510" s="490"/>
      <c r="EI510" s="490"/>
      <c r="EJ510" s="490"/>
      <c r="EK510" s="490"/>
      <c r="EL510" s="490"/>
      <c r="EM510" s="490"/>
      <c r="EN510" s="490"/>
      <c r="EO510" s="490"/>
      <c r="EP510" s="490"/>
      <c r="EQ510" s="490"/>
      <c r="ER510" s="490"/>
      <c r="ES510" s="490"/>
      <c r="ET510" s="490"/>
      <c r="EU510" s="490"/>
      <c r="EV510" s="490"/>
      <c r="EW510" s="490"/>
      <c r="EX510" s="490"/>
      <c r="EY510" s="490"/>
      <c r="EZ510" s="490"/>
      <c r="FA510" s="490"/>
      <c r="FB510" s="490"/>
      <c r="FC510" s="490"/>
      <c r="FD510" s="490"/>
      <c r="FE510" s="490"/>
      <c r="FF510" s="490"/>
      <c r="FG510" s="490"/>
      <c r="FH510" s="490"/>
      <c r="FI510" s="490"/>
      <c r="FJ510" s="490"/>
      <c r="FK510" s="490"/>
      <c r="FL510" s="490"/>
      <c r="FM510" s="490"/>
      <c r="FN510" s="490"/>
    </row>
    <row r="511" s="492" customFormat="1" spans="1:170">
      <c r="A511" s="522">
        <v>46230</v>
      </c>
      <c r="B511" s="507" t="s">
        <v>898</v>
      </c>
      <c r="C511" s="523">
        <v>4.7</v>
      </c>
      <c r="D511" s="507" t="s">
        <v>14</v>
      </c>
      <c r="E511" s="507" t="s">
        <v>14</v>
      </c>
      <c r="F511" s="515" t="s">
        <v>73</v>
      </c>
      <c r="G511" s="538">
        <v>1</v>
      </c>
      <c r="H511" s="538">
        <v>4.4</v>
      </c>
      <c r="I511" s="542" t="s">
        <v>17</v>
      </c>
      <c r="J511" s="538">
        <v>1.6</v>
      </c>
      <c r="K511" s="526" t="s">
        <v>630</v>
      </c>
      <c r="L511" s="526" t="s">
        <v>95</v>
      </c>
      <c r="M511" s="490"/>
      <c r="N511" s="490"/>
      <c r="O511" s="490"/>
      <c r="P511" s="490"/>
      <c r="Q511" s="490"/>
      <c r="R511" s="490"/>
      <c r="S511" s="490"/>
      <c r="T511" s="490"/>
      <c r="U511" s="490"/>
      <c r="V511" s="490"/>
      <c r="W511" s="490"/>
      <c r="X511" s="490"/>
      <c r="Y511" s="490"/>
      <c r="Z511" s="490"/>
      <c r="AA511" s="490"/>
      <c r="AB511" s="490"/>
      <c r="AC511" s="490"/>
      <c r="AD511" s="490"/>
      <c r="AE511" s="490"/>
      <c r="AF511" s="490"/>
      <c r="AG511" s="490"/>
      <c r="AH511" s="490"/>
      <c r="AI511" s="490"/>
      <c r="AJ511" s="490"/>
      <c r="AK511" s="490"/>
      <c r="AL511" s="490"/>
      <c r="AM511" s="490"/>
      <c r="AN511" s="490"/>
      <c r="AO511" s="490"/>
      <c r="AP511" s="490"/>
      <c r="AQ511" s="490"/>
      <c r="AR511" s="490"/>
      <c r="AS511" s="490"/>
      <c r="AT511" s="490"/>
      <c r="AU511" s="490"/>
      <c r="AV511" s="490"/>
      <c r="AW511" s="490"/>
      <c r="AX511" s="490"/>
      <c r="AY511" s="490"/>
      <c r="AZ511" s="490"/>
      <c r="BA511" s="490"/>
      <c r="BB511" s="490"/>
      <c r="BC511" s="490"/>
      <c r="BD511" s="490"/>
      <c r="BE511" s="490"/>
      <c r="BF511" s="490"/>
      <c r="BG511" s="490"/>
      <c r="BH511" s="490"/>
      <c r="BI511" s="490"/>
      <c r="BJ511" s="490"/>
      <c r="BK511" s="490"/>
      <c r="BL511" s="490"/>
      <c r="BM511" s="490"/>
      <c r="BN511" s="490"/>
      <c r="BO511" s="490"/>
      <c r="BP511" s="490"/>
      <c r="BQ511" s="490"/>
      <c r="BR511" s="490"/>
      <c r="BS511" s="490"/>
      <c r="BT511" s="490"/>
      <c r="BU511" s="490"/>
      <c r="BV511" s="490"/>
      <c r="BW511" s="490"/>
      <c r="BX511" s="490"/>
      <c r="BY511" s="490"/>
      <c r="BZ511" s="490"/>
      <c r="CA511" s="490"/>
      <c r="CB511" s="490"/>
      <c r="CC511" s="490"/>
      <c r="CD511" s="490"/>
      <c r="CE511" s="490"/>
      <c r="CF511" s="490"/>
      <c r="CG511" s="490"/>
      <c r="CH511" s="490"/>
      <c r="CI511" s="490"/>
      <c r="CJ511" s="490"/>
      <c r="CK511" s="490"/>
      <c r="CL511" s="490"/>
      <c r="CM511" s="490"/>
      <c r="CN511" s="490"/>
      <c r="CO511" s="490"/>
      <c r="CP511" s="490"/>
      <c r="CQ511" s="490"/>
      <c r="CR511" s="490"/>
      <c r="CS511" s="490"/>
      <c r="CT511" s="490"/>
      <c r="CU511" s="490"/>
      <c r="CV511" s="490"/>
      <c r="CW511" s="490"/>
      <c r="CX511" s="490"/>
      <c r="CY511" s="490"/>
      <c r="CZ511" s="490"/>
      <c r="DA511" s="490"/>
      <c r="DB511" s="490"/>
      <c r="DC511" s="490"/>
      <c r="DD511" s="490"/>
      <c r="DE511" s="490"/>
      <c r="DF511" s="490"/>
      <c r="DG511" s="490"/>
      <c r="DH511" s="490"/>
      <c r="DI511" s="490"/>
      <c r="DJ511" s="490"/>
      <c r="DK511" s="490"/>
      <c r="DL511" s="490"/>
      <c r="DM511" s="490"/>
      <c r="DN511" s="490"/>
      <c r="DO511" s="490"/>
      <c r="DP511" s="490"/>
      <c r="DQ511" s="490"/>
      <c r="DR511" s="490"/>
      <c r="DS511" s="490"/>
      <c r="DT511" s="490"/>
      <c r="DU511" s="490"/>
      <c r="DV511" s="490"/>
      <c r="DW511" s="490"/>
      <c r="DX511" s="490"/>
      <c r="DY511" s="490"/>
      <c r="DZ511" s="490"/>
      <c r="EA511" s="490"/>
      <c r="EB511" s="490"/>
      <c r="EC511" s="490"/>
      <c r="ED511" s="490"/>
      <c r="EE511" s="490"/>
      <c r="EF511" s="490"/>
      <c r="EG511" s="490"/>
      <c r="EH511" s="490"/>
      <c r="EI511" s="490"/>
      <c r="EJ511" s="490"/>
      <c r="EK511" s="490"/>
      <c r="EL511" s="490"/>
      <c r="EM511" s="490"/>
      <c r="EN511" s="490"/>
      <c r="EO511" s="490"/>
      <c r="EP511" s="490"/>
      <c r="EQ511" s="490"/>
      <c r="ER511" s="490"/>
      <c r="ES511" s="490"/>
      <c r="ET511" s="490"/>
      <c r="EU511" s="490"/>
      <c r="EV511" s="490"/>
      <c r="EW511" s="490"/>
      <c r="EX511" s="490"/>
      <c r="EY511" s="490"/>
      <c r="EZ511" s="490"/>
      <c r="FA511" s="490"/>
      <c r="FB511" s="490"/>
      <c r="FC511" s="490"/>
      <c r="FD511" s="490"/>
      <c r="FE511" s="490"/>
      <c r="FF511" s="490"/>
      <c r="FG511" s="490"/>
      <c r="FH511" s="490"/>
      <c r="FI511" s="490"/>
      <c r="FJ511" s="490"/>
      <c r="FK511" s="490"/>
      <c r="FL511" s="490"/>
      <c r="FM511" s="490"/>
      <c r="FN511" s="490"/>
    </row>
    <row r="512" s="492" customFormat="1" spans="1:170">
      <c r="A512" s="528"/>
      <c r="B512" s="513"/>
      <c r="C512" s="529"/>
      <c r="D512" s="513"/>
      <c r="E512" s="513"/>
      <c r="F512" s="515" t="s">
        <v>75</v>
      </c>
      <c r="G512" s="542">
        <v>1</v>
      </c>
      <c r="H512" s="542">
        <v>0.3</v>
      </c>
      <c r="I512" s="542" t="s">
        <v>22</v>
      </c>
      <c r="J512" s="542">
        <v>1.8</v>
      </c>
      <c r="K512" s="534"/>
      <c r="L512" s="534"/>
      <c r="M512" s="490"/>
      <c r="N512" s="490"/>
      <c r="O512" s="490"/>
      <c r="P512" s="490"/>
      <c r="Q512" s="490"/>
      <c r="R512" s="490"/>
      <c r="S512" s="490"/>
      <c r="T512" s="490"/>
      <c r="U512" s="490"/>
      <c r="V512" s="490"/>
      <c r="W512" s="490"/>
      <c r="X512" s="490"/>
      <c r="Y512" s="490"/>
      <c r="Z512" s="490"/>
      <c r="AA512" s="490"/>
      <c r="AB512" s="490"/>
      <c r="AC512" s="490"/>
      <c r="AD512" s="490"/>
      <c r="AE512" s="490"/>
      <c r="AF512" s="490"/>
      <c r="AG512" s="490"/>
      <c r="AH512" s="490"/>
      <c r="AI512" s="490"/>
      <c r="AJ512" s="490"/>
      <c r="AK512" s="490"/>
      <c r="AL512" s="490"/>
      <c r="AM512" s="490"/>
      <c r="AN512" s="490"/>
      <c r="AO512" s="490"/>
      <c r="AP512" s="490"/>
      <c r="AQ512" s="490"/>
      <c r="AR512" s="490"/>
      <c r="AS512" s="490"/>
      <c r="AT512" s="490"/>
      <c r="AU512" s="490"/>
      <c r="AV512" s="490"/>
      <c r="AW512" s="490"/>
      <c r="AX512" s="490"/>
      <c r="AY512" s="490"/>
      <c r="AZ512" s="490"/>
      <c r="BA512" s="490"/>
      <c r="BB512" s="490"/>
      <c r="BC512" s="490"/>
      <c r="BD512" s="490"/>
      <c r="BE512" s="490"/>
      <c r="BF512" s="490"/>
      <c r="BG512" s="490"/>
      <c r="BH512" s="490"/>
      <c r="BI512" s="490"/>
      <c r="BJ512" s="490"/>
      <c r="BK512" s="490"/>
      <c r="BL512" s="490"/>
      <c r="BM512" s="490"/>
      <c r="BN512" s="490"/>
      <c r="BO512" s="490"/>
      <c r="BP512" s="490"/>
      <c r="BQ512" s="490"/>
      <c r="BR512" s="490"/>
      <c r="BS512" s="490"/>
      <c r="BT512" s="490"/>
      <c r="BU512" s="490"/>
      <c r="BV512" s="490"/>
      <c r="BW512" s="490"/>
      <c r="BX512" s="490"/>
      <c r="BY512" s="490"/>
      <c r="BZ512" s="490"/>
      <c r="CA512" s="490"/>
      <c r="CB512" s="490"/>
      <c r="CC512" s="490"/>
      <c r="CD512" s="490"/>
      <c r="CE512" s="490"/>
      <c r="CF512" s="490"/>
      <c r="CG512" s="490"/>
      <c r="CH512" s="490"/>
      <c r="CI512" s="490"/>
      <c r="CJ512" s="490"/>
      <c r="CK512" s="490"/>
      <c r="CL512" s="490"/>
      <c r="CM512" s="490"/>
      <c r="CN512" s="490"/>
      <c r="CO512" s="490"/>
      <c r="CP512" s="490"/>
      <c r="CQ512" s="490"/>
      <c r="CR512" s="490"/>
      <c r="CS512" s="490"/>
      <c r="CT512" s="490"/>
      <c r="CU512" s="490"/>
      <c r="CV512" s="490"/>
      <c r="CW512" s="490"/>
      <c r="CX512" s="490"/>
      <c r="CY512" s="490"/>
      <c r="CZ512" s="490"/>
      <c r="DA512" s="490"/>
      <c r="DB512" s="490"/>
      <c r="DC512" s="490"/>
      <c r="DD512" s="490"/>
      <c r="DE512" s="490"/>
      <c r="DF512" s="490"/>
      <c r="DG512" s="490"/>
      <c r="DH512" s="490"/>
      <c r="DI512" s="490"/>
      <c r="DJ512" s="490"/>
      <c r="DK512" s="490"/>
      <c r="DL512" s="490"/>
      <c r="DM512" s="490"/>
      <c r="DN512" s="490"/>
      <c r="DO512" s="490"/>
      <c r="DP512" s="490"/>
      <c r="DQ512" s="490"/>
      <c r="DR512" s="490"/>
      <c r="DS512" s="490"/>
      <c r="DT512" s="490"/>
      <c r="DU512" s="490"/>
      <c r="DV512" s="490"/>
      <c r="DW512" s="490"/>
      <c r="DX512" s="490"/>
      <c r="DY512" s="490"/>
      <c r="DZ512" s="490"/>
      <c r="EA512" s="490"/>
      <c r="EB512" s="490"/>
      <c r="EC512" s="490"/>
      <c r="ED512" s="490"/>
      <c r="EE512" s="490"/>
      <c r="EF512" s="490"/>
      <c r="EG512" s="490"/>
      <c r="EH512" s="490"/>
      <c r="EI512" s="490"/>
      <c r="EJ512" s="490"/>
      <c r="EK512" s="490"/>
      <c r="EL512" s="490"/>
      <c r="EM512" s="490"/>
      <c r="EN512" s="490"/>
      <c r="EO512" s="490"/>
      <c r="EP512" s="490"/>
      <c r="EQ512" s="490"/>
      <c r="ER512" s="490"/>
      <c r="ES512" s="490"/>
      <c r="ET512" s="490"/>
      <c r="EU512" s="490"/>
      <c r="EV512" s="490"/>
      <c r="EW512" s="490"/>
      <c r="EX512" s="490"/>
      <c r="EY512" s="490"/>
      <c r="EZ512" s="490"/>
      <c r="FA512" s="490"/>
      <c r="FB512" s="490"/>
      <c r="FC512" s="490"/>
      <c r="FD512" s="490"/>
      <c r="FE512" s="490"/>
      <c r="FF512" s="490"/>
      <c r="FG512" s="490"/>
      <c r="FH512" s="490"/>
      <c r="FI512" s="490"/>
      <c r="FJ512" s="490"/>
      <c r="FK512" s="490"/>
      <c r="FL512" s="490"/>
      <c r="FM512" s="490"/>
      <c r="FN512" s="490"/>
    </row>
    <row r="513" s="492" customFormat="1" spans="1:170">
      <c r="A513" s="522">
        <v>46230</v>
      </c>
      <c r="B513" s="507" t="s">
        <v>899</v>
      </c>
      <c r="C513" s="523">
        <v>5.64</v>
      </c>
      <c r="D513" s="507" t="s">
        <v>66</v>
      </c>
      <c r="E513" s="507" t="s">
        <v>66</v>
      </c>
      <c r="F513" s="515" t="s">
        <v>73</v>
      </c>
      <c r="G513" s="542">
        <v>0.997</v>
      </c>
      <c r="H513" s="538">
        <v>5.28</v>
      </c>
      <c r="I513" s="542" t="s">
        <v>17</v>
      </c>
      <c r="J513" s="542">
        <v>1.6</v>
      </c>
      <c r="K513" s="527" t="s">
        <v>630</v>
      </c>
      <c r="L513" s="527" t="s">
        <v>95</v>
      </c>
      <c r="M513" s="490"/>
      <c r="N513" s="490"/>
      <c r="O513" s="490"/>
      <c r="P513" s="490"/>
      <c r="Q513" s="490"/>
      <c r="R513" s="490"/>
      <c r="S513" s="490"/>
      <c r="T513" s="490"/>
      <c r="U513" s="490"/>
      <c r="V513" s="490"/>
      <c r="W513" s="490"/>
      <c r="X513" s="490"/>
      <c r="Y513" s="490"/>
      <c r="Z513" s="490"/>
      <c r="AA513" s="490"/>
      <c r="AB513" s="490"/>
      <c r="AC513" s="490"/>
      <c r="AD513" s="490"/>
      <c r="AE513" s="490"/>
      <c r="AF513" s="490"/>
      <c r="AG513" s="490"/>
      <c r="AH513" s="490"/>
      <c r="AI513" s="490"/>
      <c r="AJ513" s="490"/>
      <c r="AK513" s="490"/>
      <c r="AL513" s="490"/>
      <c r="AM513" s="490"/>
      <c r="AN513" s="490"/>
      <c r="AO513" s="490"/>
      <c r="AP513" s="490"/>
      <c r="AQ513" s="490"/>
      <c r="AR513" s="490"/>
      <c r="AS513" s="490"/>
      <c r="AT513" s="490"/>
      <c r="AU513" s="490"/>
      <c r="AV513" s="490"/>
      <c r="AW513" s="490"/>
      <c r="AX513" s="490"/>
      <c r="AY513" s="490"/>
      <c r="AZ513" s="490"/>
      <c r="BA513" s="490"/>
      <c r="BB513" s="490"/>
      <c r="BC513" s="490"/>
      <c r="BD513" s="490"/>
      <c r="BE513" s="490"/>
      <c r="BF513" s="490"/>
      <c r="BG513" s="490"/>
      <c r="BH513" s="490"/>
      <c r="BI513" s="490"/>
      <c r="BJ513" s="490"/>
      <c r="BK513" s="490"/>
      <c r="BL513" s="490"/>
      <c r="BM513" s="490"/>
      <c r="BN513" s="490"/>
      <c r="BO513" s="490"/>
      <c r="BP513" s="490"/>
      <c r="BQ513" s="490"/>
      <c r="BR513" s="490"/>
      <c r="BS513" s="490"/>
      <c r="BT513" s="490"/>
      <c r="BU513" s="490"/>
      <c r="BV513" s="490"/>
      <c r="BW513" s="490"/>
      <c r="BX513" s="490"/>
      <c r="BY513" s="490"/>
      <c r="BZ513" s="490"/>
      <c r="CA513" s="490"/>
      <c r="CB513" s="490"/>
      <c r="CC513" s="490"/>
      <c r="CD513" s="490"/>
      <c r="CE513" s="490"/>
      <c r="CF513" s="490"/>
      <c r="CG513" s="490"/>
      <c r="CH513" s="490"/>
      <c r="CI513" s="490"/>
      <c r="CJ513" s="490"/>
      <c r="CK513" s="490"/>
      <c r="CL513" s="490"/>
      <c r="CM513" s="490"/>
      <c r="CN513" s="490"/>
      <c r="CO513" s="490"/>
      <c r="CP513" s="490"/>
      <c r="CQ513" s="490"/>
      <c r="CR513" s="490"/>
      <c r="CS513" s="490"/>
      <c r="CT513" s="490"/>
      <c r="CU513" s="490"/>
      <c r="CV513" s="490"/>
      <c r="CW513" s="490"/>
      <c r="CX513" s="490"/>
      <c r="CY513" s="490"/>
      <c r="CZ513" s="490"/>
      <c r="DA513" s="490"/>
      <c r="DB513" s="490"/>
      <c r="DC513" s="490"/>
      <c r="DD513" s="490"/>
      <c r="DE513" s="490"/>
      <c r="DF513" s="490"/>
      <c r="DG513" s="490"/>
      <c r="DH513" s="490"/>
      <c r="DI513" s="490"/>
      <c r="DJ513" s="490"/>
      <c r="DK513" s="490"/>
      <c r="DL513" s="490"/>
      <c r="DM513" s="490"/>
      <c r="DN513" s="490"/>
      <c r="DO513" s="490"/>
      <c r="DP513" s="490"/>
      <c r="DQ513" s="490"/>
      <c r="DR513" s="490"/>
      <c r="DS513" s="490"/>
      <c r="DT513" s="490"/>
      <c r="DU513" s="490"/>
      <c r="DV513" s="490"/>
      <c r="DW513" s="490"/>
      <c r="DX513" s="490"/>
      <c r="DY513" s="490"/>
      <c r="DZ513" s="490"/>
      <c r="EA513" s="490"/>
      <c r="EB513" s="490"/>
      <c r="EC513" s="490"/>
      <c r="ED513" s="490"/>
      <c r="EE513" s="490"/>
      <c r="EF513" s="490"/>
      <c r="EG513" s="490"/>
      <c r="EH513" s="490"/>
      <c r="EI513" s="490"/>
      <c r="EJ513" s="490"/>
      <c r="EK513" s="490"/>
      <c r="EL513" s="490"/>
      <c r="EM513" s="490"/>
      <c r="EN513" s="490"/>
      <c r="EO513" s="490"/>
      <c r="EP513" s="490"/>
      <c r="EQ513" s="490"/>
      <c r="ER513" s="490"/>
      <c r="ES513" s="490"/>
      <c r="ET513" s="490"/>
      <c r="EU513" s="490"/>
      <c r="EV513" s="490"/>
      <c r="EW513" s="490"/>
      <c r="EX513" s="490"/>
      <c r="EY513" s="490"/>
      <c r="EZ513" s="490"/>
      <c r="FA513" s="490"/>
      <c r="FB513" s="490"/>
      <c r="FC513" s="490"/>
      <c r="FD513" s="490"/>
      <c r="FE513" s="490"/>
      <c r="FF513" s="490"/>
      <c r="FG513" s="490"/>
      <c r="FH513" s="490"/>
      <c r="FI513" s="490"/>
      <c r="FJ513" s="490"/>
      <c r="FK513" s="490"/>
      <c r="FL513" s="490"/>
      <c r="FM513" s="490"/>
      <c r="FN513" s="490"/>
    </row>
    <row r="514" s="492" customFormat="1" spans="1:170">
      <c r="A514" s="532"/>
      <c r="B514" s="517"/>
      <c r="C514" s="533"/>
      <c r="D514" s="517"/>
      <c r="E514" s="517"/>
      <c r="F514" s="515" t="s">
        <v>75</v>
      </c>
      <c r="G514" s="542">
        <v>0.997</v>
      </c>
      <c r="H514" s="538">
        <v>0.36</v>
      </c>
      <c r="I514" s="542" t="s">
        <v>22</v>
      </c>
      <c r="J514" s="542">
        <v>1.8</v>
      </c>
      <c r="K514" s="527"/>
      <c r="L514" s="527"/>
      <c r="M514" s="490"/>
      <c r="N514" s="490"/>
      <c r="O514" s="490"/>
      <c r="P514" s="490"/>
      <c r="Q514" s="490"/>
      <c r="R514" s="490"/>
      <c r="S514" s="490"/>
      <c r="T514" s="490"/>
      <c r="U514" s="490"/>
      <c r="V514" s="490"/>
      <c r="W514" s="490"/>
      <c r="X514" s="490"/>
      <c r="Y514" s="490"/>
      <c r="Z514" s="490"/>
      <c r="AA514" s="490"/>
      <c r="AB514" s="490"/>
      <c r="AC514" s="490"/>
      <c r="AD514" s="490"/>
      <c r="AE514" s="490"/>
      <c r="AF514" s="490"/>
      <c r="AG514" s="490"/>
      <c r="AH514" s="490"/>
      <c r="AI514" s="490"/>
      <c r="AJ514" s="490"/>
      <c r="AK514" s="490"/>
      <c r="AL514" s="490"/>
      <c r="AM514" s="490"/>
      <c r="AN514" s="490"/>
      <c r="AO514" s="490"/>
      <c r="AP514" s="490"/>
      <c r="AQ514" s="490"/>
      <c r="AR514" s="490"/>
      <c r="AS514" s="490"/>
      <c r="AT514" s="490"/>
      <c r="AU514" s="490"/>
      <c r="AV514" s="490"/>
      <c r="AW514" s="490"/>
      <c r="AX514" s="490"/>
      <c r="AY514" s="490"/>
      <c r="AZ514" s="490"/>
      <c r="BA514" s="490"/>
      <c r="BB514" s="490"/>
      <c r="BC514" s="490"/>
      <c r="BD514" s="490"/>
      <c r="BE514" s="490"/>
      <c r="BF514" s="490"/>
      <c r="BG514" s="490"/>
      <c r="BH514" s="490"/>
      <c r="BI514" s="490"/>
      <c r="BJ514" s="490"/>
      <c r="BK514" s="490"/>
      <c r="BL514" s="490"/>
      <c r="BM514" s="490"/>
      <c r="BN514" s="490"/>
      <c r="BO514" s="490"/>
      <c r="BP514" s="490"/>
      <c r="BQ514" s="490"/>
      <c r="BR514" s="490"/>
      <c r="BS514" s="490"/>
      <c r="BT514" s="490"/>
      <c r="BU514" s="490"/>
      <c r="BV514" s="490"/>
      <c r="BW514" s="490"/>
      <c r="BX514" s="490"/>
      <c r="BY514" s="490"/>
      <c r="BZ514" s="490"/>
      <c r="CA514" s="490"/>
      <c r="CB514" s="490"/>
      <c r="CC514" s="490"/>
      <c r="CD514" s="490"/>
      <c r="CE514" s="490"/>
      <c r="CF514" s="490"/>
      <c r="CG514" s="490"/>
      <c r="CH514" s="490"/>
      <c r="CI514" s="490"/>
      <c r="CJ514" s="490"/>
      <c r="CK514" s="490"/>
      <c r="CL514" s="490"/>
      <c r="CM514" s="490"/>
      <c r="CN514" s="490"/>
      <c r="CO514" s="490"/>
      <c r="CP514" s="490"/>
      <c r="CQ514" s="490"/>
      <c r="CR514" s="490"/>
      <c r="CS514" s="490"/>
      <c r="CT514" s="490"/>
      <c r="CU514" s="490"/>
      <c r="CV514" s="490"/>
      <c r="CW514" s="490"/>
      <c r="CX514" s="490"/>
      <c r="CY514" s="490"/>
      <c r="CZ514" s="490"/>
      <c r="DA514" s="490"/>
      <c r="DB514" s="490"/>
      <c r="DC514" s="490"/>
      <c r="DD514" s="490"/>
      <c r="DE514" s="490"/>
      <c r="DF514" s="490"/>
      <c r="DG514" s="490"/>
      <c r="DH514" s="490"/>
      <c r="DI514" s="490"/>
      <c r="DJ514" s="490"/>
      <c r="DK514" s="490"/>
      <c r="DL514" s="490"/>
      <c r="DM514" s="490"/>
      <c r="DN514" s="490"/>
      <c r="DO514" s="490"/>
      <c r="DP514" s="490"/>
      <c r="DQ514" s="490"/>
      <c r="DR514" s="490"/>
      <c r="DS514" s="490"/>
      <c r="DT514" s="490"/>
      <c r="DU514" s="490"/>
      <c r="DV514" s="490"/>
      <c r="DW514" s="490"/>
      <c r="DX514" s="490"/>
      <c r="DY514" s="490"/>
      <c r="DZ514" s="490"/>
      <c r="EA514" s="490"/>
      <c r="EB514" s="490"/>
      <c r="EC514" s="490"/>
      <c r="ED514" s="490"/>
      <c r="EE514" s="490"/>
      <c r="EF514" s="490"/>
      <c r="EG514" s="490"/>
      <c r="EH514" s="490"/>
      <c r="EI514" s="490"/>
      <c r="EJ514" s="490"/>
      <c r="EK514" s="490"/>
      <c r="EL514" s="490"/>
      <c r="EM514" s="490"/>
      <c r="EN514" s="490"/>
      <c r="EO514" s="490"/>
      <c r="EP514" s="490"/>
      <c r="EQ514" s="490"/>
      <c r="ER514" s="490"/>
      <c r="ES514" s="490"/>
      <c r="ET514" s="490"/>
      <c r="EU514" s="490"/>
      <c r="EV514" s="490"/>
      <c r="EW514" s="490"/>
      <c r="EX514" s="490"/>
      <c r="EY514" s="490"/>
      <c r="EZ514" s="490"/>
      <c r="FA514" s="490"/>
      <c r="FB514" s="490"/>
      <c r="FC514" s="490"/>
      <c r="FD514" s="490"/>
      <c r="FE514" s="490"/>
      <c r="FF514" s="490"/>
      <c r="FG514" s="490"/>
      <c r="FH514" s="490"/>
      <c r="FI514" s="490"/>
      <c r="FJ514" s="490"/>
      <c r="FK514" s="490"/>
      <c r="FL514" s="490"/>
      <c r="FM514" s="490"/>
      <c r="FN514" s="490"/>
    </row>
    <row r="515" s="492" customFormat="1" spans="1:170">
      <c r="A515" s="539">
        <v>46231</v>
      </c>
      <c r="B515" s="509" t="s">
        <v>900</v>
      </c>
      <c r="C515" s="592">
        <v>10</v>
      </c>
      <c r="D515" s="509" t="s">
        <v>85</v>
      </c>
      <c r="E515" s="509" t="s">
        <v>66</v>
      </c>
      <c r="F515" s="515" t="s">
        <v>220</v>
      </c>
      <c r="G515" s="542">
        <v>1.08</v>
      </c>
      <c r="H515" s="542">
        <v>3.2</v>
      </c>
      <c r="I515" s="542" t="s">
        <v>17</v>
      </c>
      <c r="J515" s="542">
        <v>1.58</v>
      </c>
      <c r="K515" s="527" t="s">
        <v>630</v>
      </c>
      <c r="L515" s="545" t="s">
        <v>256</v>
      </c>
    </row>
    <row r="516" s="492" customFormat="1" spans="1:170">
      <c r="A516" s="539"/>
      <c r="B516" s="509"/>
      <c r="C516" s="592"/>
      <c r="D516" s="509"/>
      <c r="E516" s="509"/>
      <c r="F516" s="515" t="s">
        <v>221</v>
      </c>
      <c r="G516" s="542">
        <v>1.67</v>
      </c>
      <c r="H516" s="542">
        <v>5.8</v>
      </c>
      <c r="I516" s="542" t="s">
        <v>17</v>
      </c>
      <c r="J516" s="542">
        <v>1.68</v>
      </c>
      <c r="K516" s="527"/>
      <c r="L516" s="545"/>
    </row>
    <row r="517" s="492" customFormat="1" spans="1:170">
      <c r="A517" s="539"/>
      <c r="B517" s="509"/>
      <c r="C517" s="592"/>
      <c r="D517" s="509"/>
      <c r="E517" s="509"/>
      <c r="F517" s="515" t="s">
        <v>75</v>
      </c>
      <c r="G517" s="542">
        <v>1.75</v>
      </c>
      <c r="H517" s="542">
        <v>0.5</v>
      </c>
      <c r="I517" s="542" t="s">
        <v>22</v>
      </c>
      <c r="J517" s="542">
        <v>1.8</v>
      </c>
      <c r="K517" s="527"/>
      <c r="L517" s="545"/>
    </row>
    <row r="518" s="492" customFormat="1" spans="1:170">
      <c r="A518" s="539"/>
      <c r="B518" s="509"/>
      <c r="C518" s="592"/>
      <c r="D518" s="509"/>
      <c r="E518" s="509"/>
      <c r="F518" s="515" t="s">
        <v>91</v>
      </c>
      <c r="G518" s="542">
        <v>1.75</v>
      </c>
      <c r="H518" s="542">
        <v>0.5</v>
      </c>
      <c r="I518" s="542" t="s">
        <v>24</v>
      </c>
      <c r="J518" s="542" t="s">
        <v>24</v>
      </c>
      <c r="K518" s="527"/>
      <c r="L518" s="545"/>
    </row>
    <row r="519" s="492" customFormat="1" spans="1:170">
      <c r="A519" s="522">
        <v>46231</v>
      </c>
      <c r="B519" s="507" t="s">
        <v>901</v>
      </c>
      <c r="C519" s="592">
        <v>10</v>
      </c>
      <c r="D519" s="507" t="s">
        <v>649</v>
      </c>
      <c r="E519" s="507" t="s">
        <v>649</v>
      </c>
      <c r="F519" s="515" t="s">
        <v>73</v>
      </c>
      <c r="G519" s="542">
        <v>0.87</v>
      </c>
      <c r="H519" s="542">
        <v>9</v>
      </c>
      <c r="I519" s="542" t="s">
        <v>17</v>
      </c>
      <c r="J519" s="542">
        <v>1.58</v>
      </c>
      <c r="K519" s="527" t="s">
        <v>713</v>
      </c>
      <c r="L519" s="527"/>
      <c r="M519" s="490"/>
      <c r="N519" s="490"/>
      <c r="O519" s="490"/>
      <c r="P519" s="490"/>
      <c r="Q519" s="490"/>
      <c r="R519" s="490"/>
      <c r="S519" s="490"/>
      <c r="T519" s="490"/>
      <c r="U519" s="490"/>
      <c r="V519" s="490"/>
      <c r="W519" s="490"/>
      <c r="X519" s="490"/>
      <c r="Y519" s="490"/>
      <c r="Z519" s="490"/>
      <c r="AA519" s="490"/>
      <c r="AB519" s="490"/>
      <c r="AC519" s="490"/>
      <c r="AD519" s="490"/>
      <c r="AE519" s="490"/>
      <c r="AF519" s="490"/>
      <c r="AG519" s="490"/>
      <c r="AH519" s="490"/>
      <c r="AI519" s="490"/>
      <c r="AJ519" s="490"/>
      <c r="AK519" s="490"/>
      <c r="AL519" s="490"/>
      <c r="AM519" s="490"/>
      <c r="AN519" s="490"/>
      <c r="AO519" s="490"/>
      <c r="AP519" s="490"/>
      <c r="AQ519" s="490"/>
      <c r="AR519" s="490"/>
      <c r="AS519" s="490"/>
      <c r="AT519" s="490"/>
      <c r="AU519" s="490"/>
      <c r="AV519" s="490"/>
      <c r="AW519" s="490"/>
      <c r="AX519" s="490"/>
      <c r="AY519" s="490"/>
      <c r="AZ519" s="490"/>
      <c r="BA519" s="490"/>
      <c r="BB519" s="490"/>
      <c r="BC519" s="490"/>
      <c r="BD519" s="490"/>
      <c r="BE519" s="490"/>
      <c r="BF519" s="490"/>
      <c r="BG519" s="490"/>
      <c r="BH519" s="490"/>
      <c r="BI519" s="490"/>
      <c r="BJ519" s="490"/>
      <c r="BK519" s="490"/>
      <c r="BL519" s="490"/>
      <c r="BM519" s="490"/>
      <c r="BN519" s="490"/>
      <c r="BO519" s="490"/>
      <c r="BP519" s="490"/>
      <c r="BQ519" s="490"/>
      <c r="BR519" s="490"/>
      <c r="BS519" s="490"/>
      <c r="BT519" s="490"/>
      <c r="BU519" s="490"/>
      <c r="BV519" s="490"/>
      <c r="BW519" s="490"/>
      <c r="BX519" s="490"/>
      <c r="BY519" s="490"/>
      <c r="BZ519" s="490"/>
      <c r="CA519" s="490"/>
      <c r="CB519" s="490"/>
      <c r="CC519" s="490"/>
      <c r="CD519" s="490"/>
      <c r="CE519" s="490"/>
      <c r="CF519" s="490"/>
      <c r="CG519" s="490"/>
      <c r="CH519" s="490"/>
      <c r="CI519" s="490"/>
      <c r="CJ519" s="490"/>
      <c r="CK519" s="490"/>
      <c r="CL519" s="490"/>
      <c r="CM519" s="490"/>
      <c r="CN519" s="490"/>
      <c r="CO519" s="490"/>
      <c r="CP519" s="490"/>
      <c r="CQ519" s="490"/>
      <c r="CR519" s="490"/>
      <c r="CS519" s="490"/>
      <c r="CT519" s="490"/>
      <c r="CU519" s="490"/>
      <c r="CV519" s="490"/>
      <c r="CW519" s="490"/>
      <c r="CX519" s="490"/>
      <c r="CY519" s="490"/>
      <c r="CZ519" s="490"/>
      <c r="DA519" s="490"/>
      <c r="DB519" s="490"/>
      <c r="DC519" s="490"/>
      <c r="DD519" s="490"/>
      <c r="DE519" s="490"/>
      <c r="DF519" s="490"/>
      <c r="DG519" s="490"/>
      <c r="DH519" s="490"/>
      <c r="DI519" s="490"/>
      <c r="DJ519" s="490"/>
      <c r="DK519" s="490"/>
      <c r="DL519" s="490"/>
      <c r="DM519" s="490"/>
      <c r="DN519" s="490"/>
      <c r="DO519" s="490"/>
      <c r="DP519" s="490"/>
      <c r="DQ519" s="490"/>
      <c r="DR519" s="490"/>
      <c r="DS519" s="490"/>
      <c r="DT519" s="490"/>
      <c r="DU519" s="490"/>
      <c r="DV519" s="490"/>
      <c r="DW519" s="490"/>
      <c r="DX519" s="490"/>
      <c r="DY519" s="490"/>
      <c r="DZ519" s="490"/>
      <c r="EA519" s="490"/>
      <c r="EB519" s="490"/>
      <c r="EC519" s="490"/>
      <c r="ED519" s="490"/>
      <c r="EE519" s="490"/>
      <c r="EF519" s="490"/>
      <c r="EG519" s="490"/>
      <c r="EH519" s="490"/>
      <c r="EI519" s="490"/>
      <c r="EJ519" s="490"/>
      <c r="EK519" s="490"/>
      <c r="EL519" s="490"/>
      <c r="EM519" s="490"/>
      <c r="EN519" s="490"/>
      <c r="EO519" s="490"/>
      <c r="EP519" s="490"/>
      <c r="EQ519" s="490"/>
      <c r="ER519" s="490"/>
      <c r="ES519" s="490"/>
      <c r="ET519" s="490"/>
      <c r="EU519" s="490"/>
      <c r="EV519" s="490"/>
      <c r="EW519" s="490"/>
      <c r="EX519" s="490"/>
      <c r="EY519" s="490"/>
      <c r="EZ519" s="490"/>
      <c r="FA519" s="490"/>
      <c r="FB519" s="490"/>
      <c r="FC519" s="490"/>
      <c r="FD519" s="490"/>
      <c r="FE519" s="490"/>
      <c r="FF519" s="490"/>
      <c r="FG519" s="490"/>
      <c r="FH519" s="490"/>
      <c r="FI519" s="490"/>
      <c r="FJ519" s="490"/>
      <c r="FK519" s="490"/>
      <c r="FL519" s="490"/>
      <c r="FM519" s="490"/>
      <c r="FN519" s="490"/>
    </row>
    <row r="520" s="492" customFormat="1" spans="1:170">
      <c r="A520" s="528"/>
      <c r="B520" s="513"/>
      <c r="C520" s="592"/>
      <c r="D520" s="513"/>
      <c r="E520" s="513"/>
      <c r="F520" s="515" t="s">
        <v>75</v>
      </c>
      <c r="G520" s="542">
        <v>1.11</v>
      </c>
      <c r="H520" s="542">
        <v>0.3</v>
      </c>
      <c r="I520" s="542" t="s">
        <v>22</v>
      </c>
      <c r="J520" s="542">
        <v>1.77</v>
      </c>
      <c r="K520" s="527"/>
      <c r="L520" s="527"/>
      <c r="M520" s="490"/>
      <c r="N520" s="490"/>
      <c r="O520" s="490"/>
      <c r="P520" s="490"/>
      <c r="Q520" s="490"/>
      <c r="R520" s="490"/>
      <c r="S520" s="490"/>
      <c r="T520" s="490"/>
      <c r="U520" s="490"/>
      <c r="V520" s="490"/>
      <c r="W520" s="490"/>
      <c r="X520" s="490"/>
      <c r="Y520" s="490"/>
      <c r="Z520" s="490"/>
      <c r="AA520" s="490"/>
      <c r="AB520" s="490"/>
      <c r="AC520" s="490"/>
      <c r="AD520" s="490"/>
      <c r="AE520" s="490"/>
      <c r="AF520" s="490"/>
      <c r="AG520" s="490"/>
      <c r="AH520" s="490"/>
      <c r="AI520" s="490"/>
      <c r="AJ520" s="490"/>
      <c r="AK520" s="490"/>
      <c r="AL520" s="490"/>
      <c r="AM520" s="490"/>
      <c r="AN520" s="490"/>
      <c r="AO520" s="490"/>
      <c r="AP520" s="490"/>
      <c r="AQ520" s="490"/>
      <c r="AR520" s="490"/>
      <c r="AS520" s="490"/>
      <c r="AT520" s="490"/>
      <c r="AU520" s="490"/>
      <c r="AV520" s="490"/>
      <c r="AW520" s="490"/>
      <c r="AX520" s="490"/>
      <c r="AY520" s="490"/>
      <c r="AZ520" s="490"/>
      <c r="BA520" s="490"/>
      <c r="BB520" s="490"/>
      <c r="BC520" s="490"/>
      <c r="BD520" s="490"/>
      <c r="BE520" s="490"/>
      <c r="BF520" s="490"/>
      <c r="BG520" s="490"/>
      <c r="BH520" s="490"/>
      <c r="BI520" s="490"/>
      <c r="BJ520" s="490"/>
      <c r="BK520" s="490"/>
      <c r="BL520" s="490"/>
      <c r="BM520" s="490"/>
      <c r="BN520" s="490"/>
      <c r="BO520" s="490"/>
      <c r="BP520" s="490"/>
      <c r="BQ520" s="490"/>
      <c r="BR520" s="490"/>
      <c r="BS520" s="490"/>
      <c r="BT520" s="490"/>
      <c r="BU520" s="490"/>
      <c r="BV520" s="490"/>
      <c r="BW520" s="490"/>
      <c r="BX520" s="490"/>
      <c r="BY520" s="490"/>
      <c r="BZ520" s="490"/>
      <c r="CA520" s="490"/>
      <c r="CB520" s="490"/>
      <c r="CC520" s="490"/>
      <c r="CD520" s="490"/>
      <c r="CE520" s="490"/>
      <c r="CF520" s="490"/>
      <c r="CG520" s="490"/>
      <c r="CH520" s="490"/>
      <c r="CI520" s="490"/>
      <c r="CJ520" s="490"/>
      <c r="CK520" s="490"/>
      <c r="CL520" s="490"/>
      <c r="CM520" s="490"/>
      <c r="CN520" s="490"/>
      <c r="CO520" s="490"/>
      <c r="CP520" s="490"/>
      <c r="CQ520" s="490"/>
      <c r="CR520" s="490"/>
      <c r="CS520" s="490"/>
      <c r="CT520" s="490"/>
      <c r="CU520" s="490"/>
      <c r="CV520" s="490"/>
      <c r="CW520" s="490"/>
      <c r="CX520" s="490"/>
      <c r="CY520" s="490"/>
      <c r="CZ520" s="490"/>
      <c r="DA520" s="490"/>
      <c r="DB520" s="490"/>
      <c r="DC520" s="490"/>
      <c r="DD520" s="490"/>
      <c r="DE520" s="490"/>
      <c r="DF520" s="490"/>
      <c r="DG520" s="490"/>
      <c r="DH520" s="490"/>
      <c r="DI520" s="490"/>
      <c r="DJ520" s="490"/>
      <c r="DK520" s="490"/>
      <c r="DL520" s="490"/>
      <c r="DM520" s="490"/>
      <c r="DN520" s="490"/>
      <c r="DO520" s="490"/>
      <c r="DP520" s="490"/>
      <c r="DQ520" s="490"/>
      <c r="DR520" s="490"/>
      <c r="DS520" s="490"/>
      <c r="DT520" s="490"/>
      <c r="DU520" s="490"/>
      <c r="DV520" s="490"/>
      <c r="DW520" s="490"/>
      <c r="DX520" s="490"/>
      <c r="DY520" s="490"/>
      <c r="DZ520" s="490"/>
      <c r="EA520" s="490"/>
      <c r="EB520" s="490"/>
      <c r="EC520" s="490"/>
      <c r="ED520" s="490"/>
      <c r="EE520" s="490"/>
      <c r="EF520" s="490"/>
      <c r="EG520" s="490"/>
      <c r="EH520" s="490"/>
      <c r="EI520" s="490"/>
      <c r="EJ520" s="490"/>
      <c r="EK520" s="490"/>
      <c r="EL520" s="490"/>
      <c r="EM520" s="490"/>
      <c r="EN520" s="490"/>
      <c r="EO520" s="490"/>
      <c r="EP520" s="490"/>
      <c r="EQ520" s="490"/>
      <c r="ER520" s="490"/>
      <c r="ES520" s="490"/>
      <c r="ET520" s="490"/>
      <c r="EU520" s="490"/>
      <c r="EV520" s="490"/>
      <c r="EW520" s="490"/>
      <c r="EX520" s="490"/>
      <c r="EY520" s="490"/>
      <c r="EZ520" s="490"/>
      <c r="FA520" s="490"/>
      <c r="FB520" s="490"/>
      <c r="FC520" s="490"/>
      <c r="FD520" s="490"/>
      <c r="FE520" s="490"/>
      <c r="FF520" s="490"/>
      <c r="FG520" s="490"/>
      <c r="FH520" s="490"/>
      <c r="FI520" s="490"/>
      <c r="FJ520" s="490"/>
      <c r="FK520" s="490"/>
      <c r="FL520" s="490"/>
      <c r="FM520" s="490"/>
      <c r="FN520" s="490"/>
    </row>
    <row r="521" s="492" customFormat="1" spans="1:170">
      <c r="A521" s="532"/>
      <c r="B521" s="517"/>
      <c r="C521" s="592"/>
      <c r="D521" s="517"/>
      <c r="E521" s="517"/>
      <c r="F521" s="515" t="s">
        <v>91</v>
      </c>
      <c r="G521" s="542">
        <v>1.61</v>
      </c>
      <c r="H521" s="542">
        <v>0.7</v>
      </c>
      <c r="I521" s="542" t="s">
        <v>24</v>
      </c>
      <c r="J521" s="542" t="s">
        <v>24</v>
      </c>
      <c r="K521" s="527"/>
      <c r="L521" s="527"/>
      <c r="M521" s="490"/>
      <c r="N521" s="490"/>
      <c r="O521" s="490"/>
      <c r="P521" s="490"/>
      <c r="Q521" s="490"/>
      <c r="R521" s="490"/>
      <c r="S521" s="490"/>
      <c r="T521" s="490"/>
      <c r="U521" s="490"/>
      <c r="V521" s="490"/>
      <c r="W521" s="490"/>
      <c r="X521" s="490"/>
      <c r="Y521" s="490"/>
      <c r="Z521" s="490"/>
      <c r="AA521" s="490"/>
      <c r="AB521" s="490"/>
      <c r="AC521" s="490"/>
      <c r="AD521" s="490"/>
      <c r="AE521" s="490"/>
      <c r="AF521" s="490"/>
      <c r="AG521" s="490"/>
      <c r="AH521" s="490"/>
      <c r="AI521" s="490"/>
      <c r="AJ521" s="490"/>
      <c r="AK521" s="490"/>
      <c r="AL521" s="490"/>
      <c r="AM521" s="490"/>
      <c r="AN521" s="490"/>
      <c r="AO521" s="490"/>
      <c r="AP521" s="490"/>
      <c r="AQ521" s="490"/>
      <c r="AR521" s="490"/>
      <c r="AS521" s="490"/>
      <c r="AT521" s="490"/>
      <c r="AU521" s="490"/>
      <c r="AV521" s="490"/>
      <c r="AW521" s="490"/>
      <c r="AX521" s="490"/>
      <c r="AY521" s="490"/>
      <c r="AZ521" s="490"/>
      <c r="BA521" s="490"/>
      <c r="BB521" s="490"/>
      <c r="BC521" s="490"/>
      <c r="BD521" s="490"/>
      <c r="BE521" s="490"/>
      <c r="BF521" s="490"/>
      <c r="BG521" s="490"/>
      <c r="BH521" s="490"/>
      <c r="BI521" s="490"/>
      <c r="BJ521" s="490"/>
      <c r="BK521" s="490"/>
      <c r="BL521" s="490"/>
      <c r="BM521" s="490"/>
      <c r="BN521" s="490"/>
      <c r="BO521" s="490"/>
      <c r="BP521" s="490"/>
      <c r="BQ521" s="490"/>
      <c r="BR521" s="490"/>
      <c r="BS521" s="490"/>
      <c r="BT521" s="490"/>
      <c r="BU521" s="490"/>
      <c r="BV521" s="490"/>
      <c r="BW521" s="490"/>
      <c r="BX521" s="490"/>
      <c r="BY521" s="490"/>
      <c r="BZ521" s="490"/>
      <c r="CA521" s="490"/>
      <c r="CB521" s="490"/>
      <c r="CC521" s="490"/>
      <c r="CD521" s="490"/>
      <c r="CE521" s="490"/>
      <c r="CF521" s="490"/>
      <c r="CG521" s="490"/>
      <c r="CH521" s="490"/>
      <c r="CI521" s="490"/>
      <c r="CJ521" s="490"/>
      <c r="CK521" s="490"/>
      <c r="CL521" s="490"/>
      <c r="CM521" s="490"/>
      <c r="CN521" s="490"/>
      <c r="CO521" s="490"/>
      <c r="CP521" s="490"/>
      <c r="CQ521" s="490"/>
      <c r="CR521" s="490"/>
      <c r="CS521" s="490"/>
      <c r="CT521" s="490"/>
      <c r="CU521" s="490"/>
      <c r="CV521" s="490"/>
      <c r="CW521" s="490"/>
      <c r="CX521" s="490"/>
      <c r="CY521" s="490"/>
      <c r="CZ521" s="490"/>
      <c r="DA521" s="490"/>
      <c r="DB521" s="490"/>
      <c r="DC521" s="490"/>
      <c r="DD521" s="490"/>
      <c r="DE521" s="490"/>
      <c r="DF521" s="490"/>
      <c r="DG521" s="490"/>
      <c r="DH521" s="490"/>
      <c r="DI521" s="490"/>
      <c r="DJ521" s="490"/>
      <c r="DK521" s="490"/>
      <c r="DL521" s="490"/>
      <c r="DM521" s="490"/>
      <c r="DN521" s="490"/>
      <c r="DO521" s="490"/>
      <c r="DP521" s="490"/>
      <c r="DQ521" s="490"/>
      <c r="DR521" s="490"/>
      <c r="DS521" s="490"/>
      <c r="DT521" s="490"/>
      <c r="DU521" s="490"/>
      <c r="DV521" s="490"/>
      <c r="DW521" s="490"/>
      <c r="DX521" s="490"/>
      <c r="DY521" s="490"/>
      <c r="DZ521" s="490"/>
      <c r="EA521" s="490"/>
      <c r="EB521" s="490"/>
      <c r="EC521" s="490"/>
      <c r="ED521" s="490"/>
      <c r="EE521" s="490"/>
      <c r="EF521" s="490"/>
      <c r="EG521" s="490"/>
      <c r="EH521" s="490"/>
      <c r="EI521" s="490"/>
      <c r="EJ521" s="490"/>
      <c r="EK521" s="490"/>
      <c r="EL521" s="490"/>
      <c r="EM521" s="490"/>
      <c r="EN521" s="490"/>
      <c r="EO521" s="490"/>
      <c r="EP521" s="490"/>
      <c r="EQ521" s="490"/>
      <c r="ER521" s="490"/>
      <c r="ES521" s="490"/>
      <c r="ET521" s="490"/>
      <c r="EU521" s="490"/>
      <c r="EV521" s="490"/>
      <c r="EW521" s="490"/>
      <c r="EX521" s="490"/>
      <c r="EY521" s="490"/>
      <c r="EZ521" s="490"/>
      <c r="FA521" s="490"/>
      <c r="FB521" s="490"/>
      <c r="FC521" s="490"/>
      <c r="FD521" s="490"/>
      <c r="FE521" s="490"/>
      <c r="FF521" s="490"/>
      <c r="FG521" s="490"/>
      <c r="FH521" s="490"/>
      <c r="FI521" s="490"/>
      <c r="FJ521" s="490"/>
      <c r="FK521" s="490"/>
      <c r="FL521" s="490"/>
      <c r="FM521" s="490"/>
      <c r="FN521" s="490"/>
    </row>
    <row r="522" s="492" customFormat="1" spans="1:170">
      <c r="A522" s="522">
        <v>46231</v>
      </c>
      <c r="B522" s="507" t="s">
        <v>902</v>
      </c>
      <c r="C522" s="523">
        <v>3</v>
      </c>
      <c r="D522" s="507" t="s">
        <v>33</v>
      </c>
      <c r="E522" s="507" t="s">
        <v>33</v>
      </c>
      <c r="F522" s="515" t="s">
        <v>73</v>
      </c>
      <c r="G522" s="542">
        <v>1.04</v>
      </c>
      <c r="H522" s="542">
        <v>2.64</v>
      </c>
      <c r="I522" s="542" t="s">
        <v>17</v>
      </c>
      <c r="J522" s="542">
        <v>1.7</v>
      </c>
      <c r="K522" s="526" t="s">
        <v>601</v>
      </c>
      <c r="L522" s="526" t="s">
        <v>28</v>
      </c>
      <c r="M522" s="490"/>
      <c r="N522" s="490"/>
      <c r="O522" s="490"/>
      <c r="P522" s="490"/>
      <c r="Q522" s="490"/>
      <c r="R522" s="490"/>
      <c r="S522" s="490"/>
      <c r="T522" s="490"/>
      <c r="U522" s="490"/>
      <c r="V522" s="490"/>
      <c r="W522" s="490"/>
      <c r="X522" s="490"/>
      <c r="Y522" s="490"/>
      <c r="Z522" s="490"/>
      <c r="AA522" s="490"/>
      <c r="AB522" s="490"/>
      <c r="AC522" s="490"/>
      <c r="AD522" s="490"/>
      <c r="AE522" s="490"/>
      <c r="AF522" s="490"/>
      <c r="AG522" s="490"/>
      <c r="AH522" s="490"/>
      <c r="AI522" s="490"/>
      <c r="AJ522" s="490"/>
      <c r="AK522" s="490"/>
      <c r="AL522" s="490"/>
      <c r="AM522" s="490"/>
      <c r="AN522" s="490"/>
      <c r="AO522" s="490"/>
      <c r="AP522" s="490"/>
      <c r="AQ522" s="490"/>
      <c r="AR522" s="490"/>
      <c r="AS522" s="490"/>
      <c r="AT522" s="490"/>
      <c r="AU522" s="490"/>
      <c r="AV522" s="490"/>
      <c r="AW522" s="490"/>
      <c r="AX522" s="490"/>
      <c r="AY522" s="490"/>
      <c r="AZ522" s="490"/>
      <c r="BA522" s="490"/>
      <c r="BB522" s="490"/>
      <c r="BC522" s="490"/>
      <c r="BD522" s="490"/>
      <c r="BE522" s="490"/>
      <c r="BF522" s="490"/>
      <c r="BG522" s="490"/>
      <c r="BH522" s="490"/>
      <c r="BI522" s="490"/>
      <c r="BJ522" s="490"/>
      <c r="BK522" s="490"/>
      <c r="BL522" s="490"/>
      <c r="BM522" s="490"/>
      <c r="BN522" s="490"/>
      <c r="BO522" s="490"/>
      <c r="BP522" s="490"/>
      <c r="BQ522" s="490"/>
      <c r="BR522" s="490"/>
      <c r="BS522" s="490"/>
      <c r="BT522" s="490"/>
      <c r="BU522" s="490"/>
      <c r="BV522" s="490"/>
      <c r="BW522" s="490"/>
      <c r="BX522" s="490"/>
      <c r="BY522" s="490"/>
      <c r="BZ522" s="490"/>
      <c r="CA522" s="490"/>
      <c r="CB522" s="490"/>
      <c r="CC522" s="490"/>
      <c r="CD522" s="490"/>
      <c r="CE522" s="490"/>
      <c r="CF522" s="490"/>
      <c r="CG522" s="490"/>
      <c r="CH522" s="490"/>
      <c r="CI522" s="490"/>
      <c r="CJ522" s="490"/>
      <c r="CK522" s="490"/>
      <c r="CL522" s="490"/>
      <c r="CM522" s="490"/>
      <c r="CN522" s="490"/>
      <c r="CO522" s="490"/>
      <c r="CP522" s="490"/>
      <c r="CQ522" s="490"/>
      <c r="CR522" s="490"/>
      <c r="CS522" s="490"/>
      <c r="CT522" s="490"/>
      <c r="CU522" s="490"/>
      <c r="CV522" s="490"/>
      <c r="CW522" s="490"/>
      <c r="CX522" s="490"/>
      <c r="CY522" s="490"/>
      <c r="CZ522" s="490"/>
      <c r="DA522" s="490"/>
      <c r="DB522" s="490"/>
      <c r="DC522" s="490"/>
      <c r="DD522" s="490"/>
      <c r="DE522" s="490"/>
      <c r="DF522" s="490"/>
      <c r="DG522" s="490"/>
      <c r="DH522" s="490"/>
      <c r="DI522" s="490"/>
      <c r="DJ522" s="490"/>
      <c r="DK522" s="490"/>
      <c r="DL522" s="490"/>
      <c r="DM522" s="490"/>
      <c r="DN522" s="490"/>
      <c r="DO522" s="490"/>
      <c r="DP522" s="490"/>
      <c r="DQ522" s="490"/>
      <c r="DR522" s="490"/>
      <c r="DS522" s="490"/>
      <c r="DT522" s="490"/>
      <c r="DU522" s="490"/>
      <c r="DV522" s="490"/>
      <c r="DW522" s="490"/>
      <c r="DX522" s="490"/>
      <c r="DY522" s="490"/>
      <c r="DZ522" s="490"/>
      <c r="EA522" s="490"/>
      <c r="EB522" s="490"/>
      <c r="EC522" s="490"/>
      <c r="ED522" s="490"/>
      <c r="EE522" s="490"/>
      <c r="EF522" s="490"/>
      <c r="EG522" s="490"/>
      <c r="EH522" s="490"/>
      <c r="EI522" s="490"/>
      <c r="EJ522" s="490"/>
      <c r="EK522" s="490"/>
      <c r="EL522" s="490"/>
      <c r="EM522" s="490"/>
      <c r="EN522" s="490"/>
      <c r="EO522" s="490"/>
      <c r="EP522" s="490"/>
      <c r="EQ522" s="490"/>
      <c r="ER522" s="490"/>
      <c r="ES522" s="490"/>
      <c r="ET522" s="490"/>
      <c r="EU522" s="490"/>
      <c r="EV522" s="490"/>
      <c r="EW522" s="490"/>
      <c r="EX522" s="490"/>
      <c r="EY522" s="490"/>
      <c r="EZ522" s="490"/>
      <c r="FA522" s="490"/>
      <c r="FB522" s="490"/>
      <c r="FC522" s="490"/>
      <c r="FD522" s="490"/>
      <c r="FE522" s="490"/>
      <c r="FF522" s="490"/>
      <c r="FG522" s="490"/>
      <c r="FH522" s="490"/>
      <c r="FI522" s="490"/>
      <c r="FJ522" s="490"/>
      <c r="FK522" s="490"/>
      <c r="FL522" s="490"/>
      <c r="FM522" s="490"/>
      <c r="FN522" s="490"/>
    </row>
    <row r="523" s="492" customFormat="1" spans="1:170">
      <c r="A523" s="528"/>
      <c r="B523" s="513"/>
      <c r="C523" s="529"/>
      <c r="D523" s="513"/>
      <c r="E523" s="513"/>
      <c r="F523" s="515" t="s">
        <v>75</v>
      </c>
      <c r="G523" s="542">
        <v>1.04</v>
      </c>
      <c r="H523" s="542">
        <v>0.18</v>
      </c>
      <c r="I523" s="542" t="s">
        <v>22</v>
      </c>
      <c r="J523" s="542">
        <v>1.7</v>
      </c>
      <c r="K523" s="531"/>
      <c r="L523" s="531"/>
      <c r="M523" s="490"/>
      <c r="N523" s="490"/>
      <c r="O523" s="490"/>
      <c r="P523" s="490"/>
      <c r="Q523" s="490"/>
      <c r="R523" s="490"/>
      <c r="S523" s="490"/>
      <c r="T523" s="490"/>
      <c r="U523" s="490"/>
      <c r="V523" s="490"/>
      <c r="W523" s="490"/>
      <c r="X523" s="490"/>
      <c r="Y523" s="490"/>
      <c r="Z523" s="490"/>
      <c r="AA523" s="490"/>
      <c r="AB523" s="490"/>
      <c r="AC523" s="490"/>
      <c r="AD523" s="490"/>
      <c r="AE523" s="490"/>
      <c r="AF523" s="490"/>
      <c r="AG523" s="490"/>
      <c r="AH523" s="490"/>
      <c r="AI523" s="490"/>
      <c r="AJ523" s="490"/>
      <c r="AK523" s="490"/>
      <c r="AL523" s="490"/>
      <c r="AM523" s="490"/>
      <c r="AN523" s="490"/>
      <c r="AO523" s="490"/>
      <c r="AP523" s="490"/>
      <c r="AQ523" s="490"/>
      <c r="AR523" s="490"/>
      <c r="AS523" s="490"/>
      <c r="AT523" s="490"/>
      <c r="AU523" s="490"/>
      <c r="AV523" s="490"/>
      <c r="AW523" s="490"/>
      <c r="AX523" s="490"/>
      <c r="AY523" s="490"/>
      <c r="AZ523" s="490"/>
      <c r="BA523" s="490"/>
      <c r="BB523" s="490"/>
      <c r="BC523" s="490"/>
      <c r="BD523" s="490"/>
      <c r="BE523" s="490"/>
      <c r="BF523" s="490"/>
      <c r="BG523" s="490"/>
      <c r="BH523" s="490"/>
      <c r="BI523" s="490"/>
      <c r="BJ523" s="490"/>
      <c r="BK523" s="490"/>
      <c r="BL523" s="490"/>
      <c r="BM523" s="490"/>
      <c r="BN523" s="490"/>
      <c r="BO523" s="490"/>
      <c r="BP523" s="490"/>
      <c r="BQ523" s="490"/>
      <c r="BR523" s="490"/>
      <c r="BS523" s="490"/>
      <c r="BT523" s="490"/>
      <c r="BU523" s="490"/>
      <c r="BV523" s="490"/>
      <c r="BW523" s="490"/>
      <c r="BX523" s="490"/>
      <c r="BY523" s="490"/>
      <c r="BZ523" s="490"/>
      <c r="CA523" s="490"/>
      <c r="CB523" s="490"/>
      <c r="CC523" s="490"/>
      <c r="CD523" s="490"/>
      <c r="CE523" s="490"/>
      <c r="CF523" s="490"/>
      <c r="CG523" s="490"/>
      <c r="CH523" s="490"/>
      <c r="CI523" s="490"/>
      <c r="CJ523" s="490"/>
      <c r="CK523" s="490"/>
      <c r="CL523" s="490"/>
      <c r="CM523" s="490"/>
      <c r="CN523" s="490"/>
      <c r="CO523" s="490"/>
      <c r="CP523" s="490"/>
      <c r="CQ523" s="490"/>
      <c r="CR523" s="490"/>
      <c r="CS523" s="490"/>
      <c r="CT523" s="490"/>
      <c r="CU523" s="490"/>
      <c r="CV523" s="490"/>
      <c r="CW523" s="490"/>
      <c r="CX523" s="490"/>
      <c r="CY523" s="490"/>
      <c r="CZ523" s="490"/>
      <c r="DA523" s="490"/>
      <c r="DB523" s="490"/>
      <c r="DC523" s="490"/>
      <c r="DD523" s="490"/>
      <c r="DE523" s="490"/>
      <c r="DF523" s="490"/>
      <c r="DG523" s="490"/>
      <c r="DH523" s="490"/>
      <c r="DI523" s="490"/>
      <c r="DJ523" s="490"/>
      <c r="DK523" s="490"/>
      <c r="DL523" s="490"/>
      <c r="DM523" s="490"/>
      <c r="DN523" s="490"/>
      <c r="DO523" s="490"/>
      <c r="DP523" s="490"/>
      <c r="DQ523" s="490"/>
      <c r="DR523" s="490"/>
      <c r="DS523" s="490"/>
      <c r="DT523" s="490"/>
      <c r="DU523" s="490"/>
      <c r="DV523" s="490"/>
      <c r="DW523" s="490"/>
      <c r="DX523" s="490"/>
      <c r="DY523" s="490"/>
      <c r="DZ523" s="490"/>
      <c r="EA523" s="490"/>
      <c r="EB523" s="490"/>
      <c r="EC523" s="490"/>
      <c r="ED523" s="490"/>
      <c r="EE523" s="490"/>
      <c r="EF523" s="490"/>
      <c r="EG523" s="490"/>
      <c r="EH523" s="490"/>
      <c r="EI523" s="490"/>
      <c r="EJ523" s="490"/>
      <c r="EK523" s="490"/>
      <c r="EL523" s="490"/>
      <c r="EM523" s="490"/>
      <c r="EN523" s="490"/>
      <c r="EO523" s="490"/>
      <c r="EP523" s="490"/>
      <c r="EQ523" s="490"/>
      <c r="ER523" s="490"/>
      <c r="ES523" s="490"/>
      <c r="ET523" s="490"/>
      <c r="EU523" s="490"/>
      <c r="EV523" s="490"/>
      <c r="EW523" s="490"/>
      <c r="EX523" s="490"/>
      <c r="EY523" s="490"/>
      <c r="EZ523" s="490"/>
      <c r="FA523" s="490"/>
      <c r="FB523" s="490"/>
      <c r="FC523" s="490"/>
      <c r="FD523" s="490"/>
      <c r="FE523" s="490"/>
      <c r="FF523" s="490"/>
      <c r="FG523" s="490"/>
      <c r="FH523" s="490"/>
      <c r="FI523" s="490"/>
      <c r="FJ523" s="490"/>
      <c r="FK523" s="490"/>
      <c r="FL523" s="490"/>
      <c r="FM523" s="490"/>
      <c r="FN523" s="490"/>
    </row>
    <row r="524" s="492" customFormat="1" spans="1:170">
      <c r="A524" s="528"/>
      <c r="B524" s="513"/>
      <c r="C524" s="529"/>
      <c r="D524" s="513"/>
      <c r="E524" s="513"/>
      <c r="F524" s="515" t="s">
        <v>99</v>
      </c>
      <c r="G524" s="542">
        <v>1.12</v>
      </c>
      <c r="H524" s="542">
        <v>0.03</v>
      </c>
      <c r="I524" s="542" t="s">
        <v>136</v>
      </c>
      <c r="J524" s="542">
        <v>3</v>
      </c>
      <c r="K524" s="531"/>
      <c r="L524" s="531"/>
      <c r="M524" s="490"/>
      <c r="N524" s="490"/>
      <c r="O524" s="490"/>
      <c r="P524" s="490"/>
      <c r="Q524" s="490"/>
      <c r="R524" s="490"/>
      <c r="S524" s="490"/>
      <c r="T524" s="490"/>
      <c r="U524" s="490"/>
      <c r="V524" s="490"/>
      <c r="W524" s="490"/>
      <c r="X524" s="490"/>
      <c r="Y524" s="490"/>
      <c r="Z524" s="490"/>
      <c r="AA524" s="490"/>
      <c r="AB524" s="490"/>
      <c r="AC524" s="490"/>
      <c r="AD524" s="490"/>
      <c r="AE524" s="490"/>
      <c r="AF524" s="490"/>
      <c r="AG524" s="490"/>
      <c r="AH524" s="490"/>
      <c r="AI524" s="490"/>
      <c r="AJ524" s="490"/>
      <c r="AK524" s="490"/>
      <c r="AL524" s="490"/>
      <c r="AM524" s="490"/>
      <c r="AN524" s="490"/>
      <c r="AO524" s="490"/>
      <c r="AP524" s="490"/>
      <c r="AQ524" s="490"/>
      <c r="AR524" s="490"/>
      <c r="AS524" s="490"/>
      <c r="AT524" s="490"/>
      <c r="AU524" s="490"/>
      <c r="AV524" s="490"/>
      <c r="AW524" s="490"/>
      <c r="AX524" s="490"/>
      <c r="AY524" s="490"/>
      <c r="AZ524" s="490"/>
      <c r="BA524" s="490"/>
      <c r="BB524" s="490"/>
      <c r="BC524" s="490"/>
      <c r="BD524" s="490"/>
      <c r="BE524" s="490"/>
      <c r="BF524" s="490"/>
      <c r="BG524" s="490"/>
      <c r="BH524" s="490"/>
      <c r="BI524" s="490"/>
      <c r="BJ524" s="490"/>
      <c r="BK524" s="490"/>
      <c r="BL524" s="490"/>
      <c r="BM524" s="490"/>
      <c r="BN524" s="490"/>
      <c r="BO524" s="490"/>
      <c r="BP524" s="490"/>
      <c r="BQ524" s="490"/>
      <c r="BR524" s="490"/>
      <c r="BS524" s="490"/>
      <c r="BT524" s="490"/>
      <c r="BU524" s="490"/>
      <c r="BV524" s="490"/>
      <c r="BW524" s="490"/>
      <c r="BX524" s="490"/>
      <c r="BY524" s="490"/>
      <c r="BZ524" s="490"/>
      <c r="CA524" s="490"/>
      <c r="CB524" s="490"/>
      <c r="CC524" s="490"/>
      <c r="CD524" s="490"/>
      <c r="CE524" s="490"/>
      <c r="CF524" s="490"/>
      <c r="CG524" s="490"/>
      <c r="CH524" s="490"/>
      <c r="CI524" s="490"/>
      <c r="CJ524" s="490"/>
      <c r="CK524" s="490"/>
      <c r="CL524" s="490"/>
      <c r="CM524" s="490"/>
      <c r="CN524" s="490"/>
      <c r="CO524" s="490"/>
      <c r="CP524" s="490"/>
      <c r="CQ524" s="490"/>
      <c r="CR524" s="490"/>
      <c r="CS524" s="490"/>
      <c r="CT524" s="490"/>
      <c r="CU524" s="490"/>
      <c r="CV524" s="490"/>
      <c r="CW524" s="490"/>
      <c r="CX524" s="490"/>
      <c r="CY524" s="490"/>
      <c r="CZ524" s="490"/>
      <c r="DA524" s="490"/>
      <c r="DB524" s="490"/>
      <c r="DC524" s="490"/>
      <c r="DD524" s="490"/>
      <c r="DE524" s="490"/>
      <c r="DF524" s="490"/>
      <c r="DG524" s="490"/>
      <c r="DH524" s="490"/>
      <c r="DI524" s="490"/>
      <c r="DJ524" s="490"/>
      <c r="DK524" s="490"/>
      <c r="DL524" s="490"/>
      <c r="DM524" s="490"/>
      <c r="DN524" s="490"/>
      <c r="DO524" s="490"/>
      <c r="DP524" s="490"/>
      <c r="DQ524" s="490"/>
      <c r="DR524" s="490"/>
      <c r="DS524" s="490"/>
      <c r="DT524" s="490"/>
      <c r="DU524" s="490"/>
      <c r="DV524" s="490"/>
      <c r="DW524" s="490"/>
      <c r="DX524" s="490"/>
      <c r="DY524" s="490"/>
      <c r="DZ524" s="490"/>
      <c r="EA524" s="490"/>
      <c r="EB524" s="490"/>
      <c r="EC524" s="490"/>
      <c r="ED524" s="490"/>
      <c r="EE524" s="490"/>
      <c r="EF524" s="490"/>
      <c r="EG524" s="490"/>
      <c r="EH524" s="490"/>
      <c r="EI524" s="490"/>
      <c r="EJ524" s="490"/>
      <c r="EK524" s="490"/>
      <c r="EL524" s="490"/>
      <c r="EM524" s="490"/>
      <c r="EN524" s="490"/>
      <c r="EO524" s="490"/>
      <c r="EP524" s="490"/>
      <c r="EQ524" s="490"/>
      <c r="ER524" s="490"/>
      <c r="ES524" s="490"/>
      <c r="ET524" s="490"/>
      <c r="EU524" s="490"/>
      <c r="EV524" s="490"/>
      <c r="EW524" s="490"/>
      <c r="EX524" s="490"/>
      <c r="EY524" s="490"/>
      <c r="EZ524" s="490"/>
      <c r="FA524" s="490"/>
      <c r="FB524" s="490"/>
      <c r="FC524" s="490"/>
      <c r="FD524" s="490"/>
      <c r="FE524" s="490"/>
      <c r="FF524" s="490"/>
      <c r="FG524" s="490"/>
      <c r="FH524" s="490"/>
      <c r="FI524" s="490"/>
      <c r="FJ524" s="490"/>
      <c r="FK524" s="490"/>
      <c r="FL524" s="490"/>
      <c r="FM524" s="490"/>
      <c r="FN524" s="490"/>
    </row>
    <row r="525" s="492" customFormat="1" spans="1:170">
      <c r="A525" s="532"/>
      <c r="B525" s="517"/>
      <c r="C525" s="533"/>
      <c r="D525" s="517"/>
      <c r="E525" s="517"/>
      <c r="F525" s="515" t="s">
        <v>91</v>
      </c>
      <c r="G525" s="542">
        <v>1.12</v>
      </c>
      <c r="H525" s="542">
        <v>0.15</v>
      </c>
      <c r="I525" s="542" t="s">
        <v>24</v>
      </c>
      <c r="J525" s="542" t="s">
        <v>24</v>
      </c>
      <c r="K525" s="534"/>
      <c r="L525" s="534"/>
      <c r="M525" s="490"/>
      <c r="N525" s="490"/>
      <c r="O525" s="490"/>
      <c r="P525" s="490"/>
      <c r="Q525" s="490"/>
      <c r="R525" s="490"/>
      <c r="S525" s="490"/>
      <c r="T525" s="490"/>
      <c r="U525" s="490"/>
      <c r="V525" s="490"/>
      <c r="W525" s="490"/>
      <c r="X525" s="490"/>
      <c r="Y525" s="490"/>
      <c r="Z525" s="490"/>
      <c r="AA525" s="490"/>
      <c r="AB525" s="490"/>
      <c r="AC525" s="490"/>
      <c r="AD525" s="490"/>
      <c r="AE525" s="490"/>
      <c r="AF525" s="490"/>
      <c r="AG525" s="490"/>
      <c r="AH525" s="490"/>
      <c r="AI525" s="490"/>
      <c r="AJ525" s="490"/>
      <c r="AK525" s="490"/>
      <c r="AL525" s="490"/>
      <c r="AM525" s="490"/>
      <c r="AN525" s="490"/>
      <c r="AO525" s="490"/>
      <c r="AP525" s="490"/>
      <c r="AQ525" s="490"/>
      <c r="AR525" s="490"/>
      <c r="AS525" s="490"/>
      <c r="AT525" s="490"/>
      <c r="AU525" s="490"/>
      <c r="AV525" s="490"/>
      <c r="AW525" s="490"/>
      <c r="AX525" s="490"/>
      <c r="AY525" s="490"/>
      <c r="AZ525" s="490"/>
      <c r="BA525" s="490"/>
      <c r="BB525" s="490"/>
      <c r="BC525" s="490"/>
      <c r="BD525" s="490"/>
      <c r="BE525" s="490"/>
      <c r="BF525" s="490"/>
      <c r="BG525" s="490"/>
      <c r="BH525" s="490"/>
      <c r="BI525" s="490"/>
      <c r="BJ525" s="490"/>
      <c r="BK525" s="490"/>
      <c r="BL525" s="490"/>
      <c r="BM525" s="490"/>
      <c r="BN525" s="490"/>
      <c r="BO525" s="490"/>
      <c r="BP525" s="490"/>
      <c r="BQ525" s="490"/>
      <c r="BR525" s="490"/>
      <c r="BS525" s="490"/>
      <c r="BT525" s="490"/>
      <c r="BU525" s="490"/>
      <c r="BV525" s="490"/>
      <c r="BW525" s="490"/>
      <c r="BX525" s="490"/>
      <c r="BY525" s="490"/>
      <c r="BZ525" s="490"/>
      <c r="CA525" s="490"/>
      <c r="CB525" s="490"/>
      <c r="CC525" s="490"/>
      <c r="CD525" s="490"/>
      <c r="CE525" s="490"/>
      <c r="CF525" s="490"/>
      <c r="CG525" s="490"/>
      <c r="CH525" s="490"/>
      <c r="CI525" s="490"/>
      <c r="CJ525" s="490"/>
      <c r="CK525" s="490"/>
      <c r="CL525" s="490"/>
      <c r="CM525" s="490"/>
      <c r="CN525" s="490"/>
      <c r="CO525" s="490"/>
      <c r="CP525" s="490"/>
      <c r="CQ525" s="490"/>
      <c r="CR525" s="490"/>
      <c r="CS525" s="490"/>
      <c r="CT525" s="490"/>
      <c r="CU525" s="490"/>
      <c r="CV525" s="490"/>
      <c r="CW525" s="490"/>
      <c r="CX525" s="490"/>
      <c r="CY525" s="490"/>
      <c r="CZ525" s="490"/>
      <c r="DA525" s="490"/>
      <c r="DB525" s="490"/>
      <c r="DC525" s="490"/>
      <c r="DD525" s="490"/>
      <c r="DE525" s="490"/>
      <c r="DF525" s="490"/>
      <c r="DG525" s="490"/>
      <c r="DH525" s="490"/>
      <c r="DI525" s="490"/>
      <c r="DJ525" s="490"/>
      <c r="DK525" s="490"/>
      <c r="DL525" s="490"/>
      <c r="DM525" s="490"/>
      <c r="DN525" s="490"/>
      <c r="DO525" s="490"/>
      <c r="DP525" s="490"/>
      <c r="DQ525" s="490"/>
      <c r="DR525" s="490"/>
      <c r="DS525" s="490"/>
      <c r="DT525" s="490"/>
      <c r="DU525" s="490"/>
      <c r="DV525" s="490"/>
      <c r="DW525" s="490"/>
      <c r="DX525" s="490"/>
      <c r="DY525" s="490"/>
      <c r="DZ525" s="490"/>
      <c r="EA525" s="490"/>
      <c r="EB525" s="490"/>
      <c r="EC525" s="490"/>
      <c r="ED525" s="490"/>
      <c r="EE525" s="490"/>
      <c r="EF525" s="490"/>
      <c r="EG525" s="490"/>
      <c r="EH525" s="490"/>
      <c r="EI525" s="490"/>
      <c r="EJ525" s="490"/>
      <c r="EK525" s="490"/>
      <c r="EL525" s="490"/>
      <c r="EM525" s="490"/>
      <c r="EN525" s="490"/>
      <c r="EO525" s="490"/>
      <c r="EP525" s="490"/>
      <c r="EQ525" s="490"/>
      <c r="ER525" s="490"/>
      <c r="ES525" s="490"/>
      <c r="ET525" s="490"/>
      <c r="EU525" s="490"/>
      <c r="EV525" s="490"/>
      <c r="EW525" s="490"/>
      <c r="EX525" s="490"/>
      <c r="EY525" s="490"/>
      <c r="EZ525" s="490"/>
      <c r="FA525" s="490"/>
      <c r="FB525" s="490"/>
      <c r="FC525" s="490"/>
      <c r="FD525" s="490"/>
      <c r="FE525" s="490"/>
      <c r="FF525" s="490"/>
      <c r="FG525" s="490"/>
      <c r="FH525" s="490"/>
      <c r="FI525" s="490"/>
      <c r="FJ525" s="490"/>
      <c r="FK525" s="490"/>
      <c r="FL525" s="490"/>
      <c r="FM525" s="490"/>
      <c r="FN525" s="490"/>
    </row>
    <row r="526" s="492" customFormat="1" spans="1:170">
      <c r="A526" s="522">
        <v>46232</v>
      </c>
      <c r="B526" s="507" t="s">
        <v>903</v>
      </c>
      <c r="C526" s="523">
        <v>5</v>
      </c>
      <c r="D526" s="507" t="s">
        <v>14</v>
      </c>
      <c r="E526" s="507" t="s">
        <v>143</v>
      </c>
      <c r="F526" s="515" t="s">
        <v>220</v>
      </c>
      <c r="G526" s="542">
        <v>0.63</v>
      </c>
      <c r="H526" s="542">
        <v>1.5</v>
      </c>
      <c r="I526" s="542" t="s">
        <v>17</v>
      </c>
      <c r="J526" s="542">
        <v>2.3</v>
      </c>
      <c r="K526" s="526" t="s">
        <v>48</v>
      </c>
      <c r="L526" s="526"/>
      <c r="M526" s="490"/>
      <c r="N526" s="490"/>
      <c r="O526" s="490"/>
      <c r="P526" s="490"/>
      <c r="Q526" s="490"/>
      <c r="R526" s="490"/>
      <c r="S526" s="490"/>
      <c r="T526" s="490"/>
      <c r="U526" s="490"/>
      <c r="V526" s="490"/>
      <c r="W526" s="490"/>
      <c r="X526" s="490"/>
      <c r="Y526" s="490"/>
      <c r="Z526" s="490"/>
      <c r="AA526" s="490"/>
      <c r="AB526" s="490"/>
      <c r="AC526" s="490"/>
      <c r="AD526" s="490"/>
      <c r="AE526" s="490"/>
      <c r="AF526" s="490"/>
      <c r="AG526" s="490"/>
      <c r="AH526" s="490"/>
      <c r="AI526" s="490"/>
      <c r="AJ526" s="490"/>
      <c r="AK526" s="490"/>
      <c r="AL526" s="490"/>
      <c r="AM526" s="490"/>
      <c r="AN526" s="490"/>
      <c r="AO526" s="490"/>
      <c r="AP526" s="490"/>
      <c r="AQ526" s="490"/>
      <c r="AR526" s="490"/>
      <c r="AS526" s="490"/>
      <c r="AT526" s="490"/>
      <c r="AU526" s="490"/>
      <c r="AV526" s="490"/>
      <c r="AW526" s="490"/>
      <c r="AX526" s="490"/>
      <c r="AY526" s="490"/>
      <c r="AZ526" s="490"/>
      <c r="BA526" s="490"/>
      <c r="BB526" s="490"/>
      <c r="BC526" s="490"/>
      <c r="BD526" s="490"/>
      <c r="BE526" s="490"/>
      <c r="BF526" s="490"/>
      <c r="BG526" s="490"/>
      <c r="BH526" s="490"/>
      <c r="BI526" s="490"/>
      <c r="BJ526" s="490"/>
      <c r="BK526" s="490"/>
      <c r="BL526" s="490"/>
      <c r="BM526" s="490"/>
      <c r="BN526" s="490"/>
      <c r="BO526" s="490"/>
      <c r="BP526" s="490"/>
      <c r="BQ526" s="490"/>
      <c r="BR526" s="490"/>
      <c r="BS526" s="490"/>
      <c r="BT526" s="490"/>
      <c r="BU526" s="490"/>
      <c r="BV526" s="490"/>
      <c r="BW526" s="490"/>
      <c r="BX526" s="490"/>
      <c r="BY526" s="490"/>
      <c r="BZ526" s="490"/>
      <c r="CA526" s="490"/>
      <c r="CB526" s="490"/>
      <c r="CC526" s="490"/>
      <c r="CD526" s="490"/>
      <c r="CE526" s="490"/>
      <c r="CF526" s="490"/>
      <c r="CG526" s="490"/>
      <c r="CH526" s="490"/>
      <c r="CI526" s="490"/>
      <c r="CJ526" s="490"/>
      <c r="CK526" s="490"/>
      <c r="CL526" s="490"/>
      <c r="CM526" s="490"/>
      <c r="CN526" s="490"/>
      <c r="CO526" s="490"/>
      <c r="CP526" s="490"/>
      <c r="CQ526" s="490"/>
      <c r="CR526" s="490"/>
      <c r="CS526" s="490"/>
      <c r="CT526" s="490"/>
      <c r="CU526" s="490"/>
      <c r="CV526" s="490"/>
      <c r="CW526" s="490"/>
      <c r="CX526" s="490"/>
      <c r="CY526" s="490"/>
      <c r="CZ526" s="490"/>
      <c r="DA526" s="490"/>
      <c r="DB526" s="490"/>
      <c r="DC526" s="490"/>
      <c r="DD526" s="490"/>
      <c r="DE526" s="490"/>
      <c r="DF526" s="490"/>
      <c r="DG526" s="490"/>
      <c r="DH526" s="490"/>
      <c r="DI526" s="490"/>
      <c r="DJ526" s="490"/>
      <c r="DK526" s="490"/>
      <c r="DL526" s="490"/>
      <c r="DM526" s="490"/>
      <c r="DN526" s="490"/>
      <c r="DO526" s="490"/>
      <c r="DP526" s="490"/>
      <c r="DQ526" s="490"/>
      <c r="DR526" s="490"/>
      <c r="DS526" s="490"/>
      <c r="DT526" s="490"/>
      <c r="DU526" s="490"/>
      <c r="DV526" s="490"/>
      <c r="DW526" s="490"/>
      <c r="DX526" s="490"/>
      <c r="DY526" s="490"/>
      <c r="DZ526" s="490"/>
      <c r="EA526" s="490"/>
      <c r="EB526" s="490"/>
      <c r="EC526" s="490"/>
      <c r="ED526" s="490"/>
      <c r="EE526" s="490"/>
      <c r="EF526" s="490"/>
      <c r="EG526" s="490"/>
      <c r="EH526" s="490"/>
      <c r="EI526" s="490"/>
      <c r="EJ526" s="490"/>
      <c r="EK526" s="490"/>
      <c r="EL526" s="490"/>
      <c r="EM526" s="490"/>
      <c r="EN526" s="490"/>
      <c r="EO526" s="490"/>
      <c r="EP526" s="490"/>
      <c r="EQ526" s="490"/>
      <c r="ER526" s="490"/>
      <c r="ES526" s="490"/>
      <c r="ET526" s="490"/>
      <c r="EU526" s="490"/>
      <c r="EV526" s="490"/>
      <c r="EW526" s="490"/>
      <c r="EX526" s="490"/>
      <c r="EY526" s="490"/>
      <c r="EZ526" s="490"/>
      <c r="FA526" s="490"/>
      <c r="FB526" s="490"/>
      <c r="FC526" s="490"/>
      <c r="FD526" s="490"/>
      <c r="FE526" s="490"/>
      <c r="FF526" s="490"/>
      <c r="FG526" s="490"/>
      <c r="FH526" s="490"/>
      <c r="FI526" s="490"/>
      <c r="FJ526" s="490"/>
      <c r="FK526" s="490"/>
      <c r="FL526" s="490"/>
      <c r="FM526" s="490"/>
      <c r="FN526" s="490"/>
    </row>
    <row r="527" s="492" customFormat="1" spans="1:170">
      <c r="A527" s="528"/>
      <c r="B527" s="513"/>
      <c r="C527" s="529"/>
      <c r="D527" s="513"/>
      <c r="E527" s="513"/>
      <c r="F527" s="515" t="s">
        <v>221</v>
      </c>
      <c r="G527" s="542">
        <v>1.47</v>
      </c>
      <c r="H527" s="542">
        <v>2</v>
      </c>
      <c r="I527" s="542" t="s">
        <v>17</v>
      </c>
      <c r="J527" s="542">
        <v>2.6</v>
      </c>
      <c r="K527" s="531"/>
      <c r="L527" s="531"/>
      <c r="M527" s="490"/>
      <c r="N527" s="490"/>
      <c r="O527" s="490"/>
      <c r="P527" s="490"/>
      <c r="Q527" s="490"/>
      <c r="R527" s="490"/>
      <c r="S527" s="490"/>
      <c r="T527" s="490"/>
      <c r="U527" s="490"/>
      <c r="V527" s="490"/>
      <c r="W527" s="490"/>
      <c r="X527" s="490"/>
      <c r="Y527" s="490"/>
      <c r="Z527" s="490"/>
      <c r="AA527" s="490"/>
      <c r="AB527" s="490"/>
      <c r="AC527" s="490"/>
      <c r="AD527" s="490"/>
      <c r="AE527" s="490"/>
      <c r="AF527" s="490"/>
      <c r="AG527" s="490"/>
      <c r="AH527" s="490"/>
      <c r="AI527" s="490"/>
      <c r="AJ527" s="490"/>
      <c r="AK527" s="490"/>
      <c r="AL527" s="490"/>
      <c r="AM527" s="490"/>
      <c r="AN527" s="490"/>
      <c r="AO527" s="490"/>
      <c r="AP527" s="490"/>
      <c r="AQ527" s="490"/>
      <c r="AR527" s="490"/>
      <c r="AS527" s="490"/>
      <c r="AT527" s="490"/>
      <c r="AU527" s="490"/>
      <c r="AV527" s="490"/>
      <c r="AW527" s="490"/>
      <c r="AX527" s="490"/>
      <c r="AY527" s="490"/>
      <c r="AZ527" s="490"/>
      <c r="BA527" s="490"/>
      <c r="BB527" s="490"/>
      <c r="BC527" s="490"/>
      <c r="BD527" s="490"/>
      <c r="BE527" s="490"/>
      <c r="BF527" s="490"/>
      <c r="BG527" s="490"/>
      <c r="BH527" s="490"/>
      <c r="BI527" s="490"/>
      <c r="BJ527" s="490"/>
      <c r="BK527" s="490"/>
      <c r="BL527" s="490"/>
      <c r="BM527" s="490"/>
      <c r="BN527" s="490"/>
      <c r="BO527" s="490"/>
      <c r="BP527" s="490"/>
      <c r="BQ527" s="490"/>
      <c r="BR527" s="490"/>
      <c r="BS527" s="490"/>
      <c r="BT527" s="490"/>
      <c r="BU527" s="490"/>
      <c r="BV527" s="490"/>
      <c r="BW527" s="490"/>
      <c r="BX527" s="490"/>
      <c r="BY527" s="490"/>
      <c r="BZ527" s="490"/>
      <c r="CA527" s="490"/>
      <c r="CB527" s="490"/>
      <c r="CC527" s="490"/>
      <c r="CD527" s="490"/>
      <c r="CE527" s="490"/>
      <c r="CF527" s="490"/>
      <c r="CG527" s="490"/>
      <c r="CH527" s="490"/>
      <c r="CI527" s="490"/>
      <c r="CJ527" s="490"/>
      <c r="CK527" s="490"/>
      <c r="CL527" s="490"/>
      <c r="CM527" s="490"/>
      <c r="CN527" s="490"/>
      <c r="CO527" s="490"/>
      <c r="CP527" s="490"/>
      <c r="CQ527" s="490"/>
      <c r="CR527" s="490"/>
      <c r="CS527" s="490"/>
      <c r="CT527" s="490"/>
      <c r="CU527" s="490"/>
      <c r="CV527" s="490"/>
      <c r="CW527" s="490"/>
      <c r="CX527" s="490"/>
      <c r="CY527" s="490"/>
      <c r="CZ527" s="490"/>
      <c r="DA527" s="490"/>
      <c r="DB527" s="490"/>
      <c r="DC527" s="490"/>
      <c r="DD527" s="490"/>
      <c r="DE527" s="490"/>
      <c r="DF527" s="490"/>
      <c r="DG527" s="490"/>
      <c r="DH527" s="490"/>
      <c r="DI527" s="490"/>
      <c r="DJ527" s="490"/>
      <c r="DK527" s="490"/>
      <c r="DL527" s="490"/>
      <c r="DM527" s="490"/>
      <c r="DN527" s="490"/>
      <c r="DO527" s="490"/>
      <c r="DP527" s="490"/>
      <c r="DQ527" s="490"/>
      <c r="DR527" s="490"/>
      <c r="DS527" s="490"/>
      <c r="DT527" s="490"/>
      <c r="DU527" s="490"/>
      <c r="DV527" s="490"/>
      <c r="DW527" s="490"/>
      <c r="DX527" s="490"/>
      <c r="DY527" s="490"/>
      <c r="DZ527" s="490"/>
      <c r="EA527" s="490"/>
      <c r="EB527" s="490"/>
      <c r="EC527" s="490"/>
      <c r="ED527" s="490"/>
      <c r="EE527" s="490"/>
      <c r="EF527" s="490"/>
      <c r="EG527" s="490"/>
      <c r="EH527" s="490"/>
      <c r="EI527" s="490"/>
      <c r="EJ527" s="490"/>
      <c r="EK527" s="490"/>
      <c r="EL527" s="490"/>
      <c r="EM527" s="490"/>
      <c r="EN527" s="490"/>
      <c r="EO527" s="490"/>
      <c r="EP527" s="490"/>
      <c r="EQ527" s="490"/>
      <c r="ER527" s="490"/>
      <c r="ES527" s="490"/>
      <c r="ET527" s="490"/>
      <c r="EU527" s="490"/>
      <c r="EV527" s="490"/>
      <c r="EW527" s="490"/>
      <c r="EX527" s="490"/>
      <c r="EY527" s="490"/>
      <c r="EZ527" s="490"/>
      <c r="FA527" s="490"/>
      <c r="FB527" s="490"/>
      <c r="FC527" s="490"/>
      <c r="FD527" s="490"/>
      <c r="FE527" s="490"/>
      <c r="FF527" s="490"/>
      <c r="FG527" s="490"/>
      <c r="FH527" s="490"/>
      <c r="FI527" s="490"/>
      <c r="FJ527" s="490"/>
      <c r="FK527" s="490"/>
      <c r="FL527" s="490"/>
      <c r="FM527" s="490"/>
      <c r="FN527" s="490"/>
    </row>
    <row r="528" s="492" customFormat="1" spans="1:170">
      <c r="A528" s="528"/>
      <c r="B528" s="513"/>
      <c r="C528" s="529"/>
      <c r="D528" s="513"/>
      <c r="E528" s="513"/>
      <c r="F528" s="515" t="s">
        <v>865</v>
      </c>
      <c r="G528" s="542">
        <v>2.47</v>
      </c>
      <c r="H528" s="542">
        <v>1.425</v>
      </c>
      <c r="I528" s="542" t="s">
        <v>17</v>
      </c>
      <c r="J528" s="542">
        <v>3.3</v>
      </c>
      <c r="K528" s="531"/>
      <c r="L528" s="531"/>
      <c r="M528" s="490"/>
      <c r="N528" s="490"/>
      <c r="O528" s="490"/>
      <c r="P528" s="490"/>
      <c r="Q528" s="490"/>
      <c r="R528" s="490"/>
      <c r="S528" s="490"/>
      <c r="T528" s="490"/>
      <c r="U528" s="490"/>
      <c r="V528" s="490"/>
      <c r="W528" s="490"/>
      <c r="X528" s="490"/>
      <c r="Y528" s="490"/>
      <c r="Z528" s="490"/>
      <c r="AA528" s="490"/>
      <c r="AB528" s="490"/>
      <c r="AC528" s="490"/>
      <c r="AD528" s="490"/>
      <c r="AE528" s="490"/>
      <c r="AF528" s="490"/>
      <c r="AG528" s="490"/>
      <c r="AH528" s="490"/>
      <c r="AI528" s="490"/>
      <c r="AJ528" s="490"/>
      <c r="AK528" s="490"/>
      <c r="AL528" s="490"/>
      <c r="AM528" s="490"/>
      <c r="AN528" s="490"/>
      <c r="AO528" s="490"/>
      <c r="AP528" s="490"/>
      <c r="AQ528" s="490"/>
      <c r="AR528" s="490"/>
      <c r="AS528" s="490"/>
      <c r="AT528" s="490"/>
      <c r="AU528" s="490"/>
      <c r="AV528" s="490"/>
      <c r="AW528" s="490"/>
      <c r="AX528" s="490"/>
      <c r="AY528" s="490"/>
      <c r="AZ528" s="490"/>
      <c r="BA528" s="490"/>
      <c r="BB528" s="490"/>
      <c r="BC528" s="490"/>
      <c r="BD528" s="490"/>
      <c r="BE528" s="490"/>
      <c r="BF528" s="490"/>
      <c r="BG528" s="490"/>
      <c r="BH528" s="490"/>
      <c r="BI528" s="490"/>
      <c r="BJ528" s="490"/>
      <c r="BK528" s="490"/>
      <c r="BL528" s="490"/>
      <c r="BM528" s="490"/>
      <c r="BN528" s="490"/>
      <c r="BO528" s="490"/>
      <c r="BP528" s="490"/>
      <c r="BQ528" s="490"/>
      <c r="BR528" s="490"/>
      <c r="BS528" s="490"/>
      <c r="BT528" s="490"/>
      <c r="BU528" s="490"/>
      <c r="BV528" s="490"/>
      <c r="BW528" s="490"/>
      <c r="BX528" s="490"/>
      <c r="BY528" s="490"/>
      <c r="BZ528" s="490"/>
      <c r="CA528" s="490"/>
      <c r="CB528" s="490"/>
      <c r="CC528" s="490"/>
      <c r="CD528" s="490"/>
      <c r="CE528" s="490"/>
      <c r="CF528" s="490"/>
      <c r="CG528" s="490"/>
      <c r="CH528" s="490"/>
      <c r="CI528" s="490"/>
      <c r="CJ528" s="490"/>
      <c r="CK528" s="490"/>
      <c r="CL528" s="490"/>
      <c r="CM528" s="490"/>
      <c r="CN528" s="490"/>
      <c r="CO528" s="490"/>
      <c r="CP528" s="490"/>
      <c r="CQ528" s="490"/>
      <c r="CR528" s="490"/>
      <c r="CS528" s="490"/>
      <c r="CT528" s="490"/>
      <c r="CU528" s="490"/>
      <c r="CV528" s="490"/>
      <c r="CW528" s="490"/>
      <c r="CX528" s="490"/>
      <c r="CY528" s="490"/>
      <c r="CZ528" s="490"/>
      <c r="DA528" s="490"/>
      <c r="DB528" s="490"/>
      <c r="DC528" s="490"/>
      <c r="DD528" s="490"/>
      <c r="DE528" s="490"/>
      <c r="DF528" s="490"/>
      <c r="DG528" s="490"/>
      <c r="DH528" s="490"/>
      <c r="DI528" s="490"/>
      <c r="DJ528" s="490"/>
      <c r="DK528" s="490"/>
      <c r="DL528" s="490"/>
      <c r="DM528" s="490"/>
      <c r="DN528" s="490"/>
      <c r="DO528" s="490"/>
      <c r="DP528" s="490"/>
      <c r="DQ528" s="490"/>
      <c r="DR528" s="490"/>
      <c r="DS528" s="490"/>
      <c r="DT528" s="490"/>
      <c r="DU528" s="490"/>
      <c r="DV528" s="490"/>
      <c r="DW528" s="490"/>
      <c r="DX528" s="490"/>
      <c r="DY528" s="490"/>
      <c r="DZ528" s="490"/>
      <c r="EA528" s="490"/>
      <c r="EB528" s="490"/>
      <c r="EC528" s="490"/>
      <c r="ED528" s="490"/>
      <c r="EE528" s="490"/>
      <c r="EF528" s="490"/>
      <c r="EG528" s="490"/>
      <c r="EH528" s="490"/>
      <c r="EI528" s="490"/>
      <c r="EJ528" s="490"/>
      <c r="EK528" s="490"/>
      <c r="EL528" s="490"/>
      <c r="EM528" s="490"/>
      <c r="EN528" s="490"/>
      <c r="EO528" s="490"/>
      <c r="EP528" s="490"/>
      <c r="EQ528" s="490"/>
      <c r="ER528" s="490"/>
      <c r="ES528" s="490"/>
      <c r="ET528" s="490"/>
      <c r="EU528" s="490"/>
      <c r="EV528" s="490"/>
      <c r="EW528" s="490"/>
      <c r="EX528" s="490"/>
      <c r="EY528" s="490"/>
      <c r="EZ528" s="490"/>
      <c r="FA528" s="490"/>
      <c r="FB528" s="490"/>
      <c r="FC528" s="490"/>
      <c r="FD528" s="490"/>
      <c r="FE528" s="490"/>
      <c r="FF528" s="490"/>
      <c r="FG528" s="490"/>
      <c r="FH528" s="490"/>
      <c r="FI528" s="490"/>
      <c r="FJ528" s="490"/>
      <c r="FK528" s="490"/>
      <c r="FL528" s="490"/>
      <c r="FM528" s="490"/>
      <c r="FN528" s="490"/>
    </row>
    <row r="529" s="492" customFormat="1" spans="1:170">
      <c r="A529" s="532"/>
      <c r="B529" s="517"/>
      <c r="C529" s="533"/>
      <c r="D529" s="517"/>
      <c r="E529" s="517"/>
      <c r="F529" s="515" t="s">
        <v>91</v>
      </c>
      <c r="G529" s="542">
        <v>3.21</v>
      </c>
      <c r="H529" s="542">
        <v>0.075</v>
      </c>
      <c r="I529" s="542" t="s">
        <v>24</v>
      </c>
      <c r="J529" s="542" t="s">
        <v>24</v>
      </c>
      <c r="K529" s="534"/>
      <c r="L529" s="534"/>
      <c r="M529" s="490"/>
      <c r="N529" s="490"/>
      <c r="O529" s="490"/>
      <c r="P529" s="490"/>
      <c r="Q529" s="490"/>
      <c r="R529" s="490"/>
      <c r="S529" s="490"/>
      <c r="T529" s="490"/>
      <c r="U529" s="490"/>
      <c r="V529" s="490"/>
      <c r="W529" s="490"/>
      <c r="X529" s="490"/>
      <c r="Y529" s="490"/>
      <c r="Z529" s="490"/>
      <c r="AA529" s="490"/>
      <c r="AB529" s="490"/>
      <c r="AC529" s="490"/>
      <c r="AD529" s="490"/>
      <c r="AE529" s="490"/>
      <c r="AF529" s="490"/>
      <c r="AG529" s="490"/>
      <c r="AH529" s="490"/>
      <c r="AI529" s="490"/>
      <c r="AJ529" s="490"/>
      <c r="AK529" s="490"/>
      <c r="AL529" s="490"/>
      <c r="AM529" s="490"/>
      <c r="AN529" s="490"/>
      <c r="AO529" s="490"/>
      <c r="AP529" s="490"/>
      <c r="AQ529" s="490"/>
      <c r="AR529" s="490"/>
      <c r="AS529" s="490"/>
      <c r="AT529" s="490"/>
      <c r="AU529" s="490"/>
      <c r="AV529" s="490"/>
      <c r="AW529" s="490"/>
      <c r="AX529" s="490"/>
      <c r="AY529" s="490"/>
      <c r="AZ529" s="490"/>
      <c r="BA529" s="490"/>
      <c r="BB529" s="490"/>
      <c r="BC529" s="490"/>
      <c r="BD529" s="490"/>
      <c r="BE529" s="490"/>
      <c r="BF529" s="490"/>
      <c r="BG529" s="490"/>
      <c r="BH529" s="490"/>
      <c r="BI529" s="490"/>
      <c r="BJ529" s="490"/>
      <c r="BK529" s="490"/>
      <c r="BL529" s="490"/>
      <c r="BM529" s="490"/>
      <c r="BN529" s="490"/>
      <c r="BO529" s="490"/>
      <c r="BP529" s="490"/>
      <c r="BQ529" s="490"/>
      <c r="BR529" s="490"/>
      <c r="BS529" s="490"/>
      <c r="BT529" s="490"/>
      <c r="BU529" s="490"/>
      <c r="BV529" s="490"/>
      <c r="BW529" s="490"/>
      <c r="BX529" s="490"/>
      <c r="BY529" s="490"/>
      <c r="BZ529" s="490"/>
      <c r="CA529" s="490"/>
      <c r="CB529" s="490"/>
      <c r="CC529" s="490"/>
      <c r="CD529" s="490"/>
      <c r="CE529" s="490"/>
      <c r="CF529" s="490"/>
      <c r="CG529" s="490"/>
      <c r="CH529" s="490"/>
      <c r="CI529" s="490"/>
      <c r="CJ529" s="490"/>
      <c r="CK529" s="490"/>
      <c r="CL529" s="490"/>
      <c r="CM529" s="490"/>
      <c r="CN529" s="490"/>
      <c r="CO529" s="490"/>
      <c r="CP529" s="490"/>
      <c r="CQ529" s="490"/>
      <c r="CR529" s="490"/>
      <c r="CS529" s="490"/>
      <c r="CT529" s="490"/>
      <c r="CU529" s="490"/>
      <c r="CV529" s="490"/>
      <c r="CW529" s="490"/>
      <c r="CX529" s="490"/>
      <c r="CY529" s="490"/>
      <c r="CZ529" s="490"/>
      <c r="DA529" s="490"/>
      <c r="DB529" s="490"/>
      <c r="DC529" s="490"/>
      <c r="DD529" s="490"/>
      <c r="DE529" s="490"/>
      <c r="DF529" s="490"/>
      <c r="DG529" s="490"/>
      <c r="DH529" s="490"/>
      <c r="DI529" s="490"/>
      <c r="DJ529" s="490"/>
      <c r="DK529" s="490"/>
      <c r="DL529" s="490"/>
      <c r="DM529" s="490"/>
      <c r="DN529" s="490"/>
      <c r="DO529" s="490"/>
      <c r="DP529" s="490"/>
      <c r="DQ529" s="490"/>
      <c r="DR529" s="490"/>
      <c r="DS529" s="490"/>
      <c r="DT529" s="490"/>
      <c r="DU529" s="490"/>
      <c r="DV529" s="490"/>
      <c r="DW529" s="490"/>
      <c r="DX529" s="490"/>
      <c r="DY529" s="490"/>
      <c r="DZ529" s="490"/>
      <c r="EA529" s="490"/>
      <c r="EB529" s="490"/>
      <c r="EC529" s="490"/>
      <c r="ED529" s="490"/>
      <c r="EE529" s="490"/>
      <c r="EF529" s="490"/>
      <c r="EG529" s="490"/>
      <c r="EH529" s="490"/>
      <c r="EI529" s="490"/>
      <c r="EJ529" s="490"/>
      <c r="EK529" s="490"/>
      <c r="EL529" s="490"/>
      <c r="EM529" s="490"/>
      <c r="EN529" s="490"/>
      <c r="EO529" s="490"/>
      <c r="EP529" s="490"/>
      <c r="EQ529" s="490"/>
      <c r="ER529" s="490"/>
      <c r="ES529" s="490"/>
      <c r="ET529" s="490"/>
      <c r="EU529" s="490"/>
      <c r="EV529" s="490"/>
      <c r="EW529" s="490"/>
      <c r="EX529" s="490"/>
      <c r="EY529" s="490"/>
      <c r="EZ529" s="490"/>
      <c r="FA529" s="490"/>
      <c r="FB529" s="490"/>
      <c r="FC529" s="490"/>
      <c r="FD529" s="490"/>
      <c r="FE529" s="490"/>
      <c r="FF529" s="490"/>
      <c r="FG529" s="490"/>
      <c r="FH529" s="490"/>
      <c r="FI529" s="490"/>
      <c r="FJ529" s="490"/>
      <c r="FK529" s="490"/>
      <c r="FL529" s="490"/>
      <c r="FM529" s="490"/>
      <c r="FN529" s="490"/>
    </row>
    <row r="530" s="492" customFormat="1" spans="1:170">
      <c r="A530" s="522">
        <v>46232</v>
      </c>
      <c r="B530" s="507" t="s">
        <v>904</v>
      </c>
      <c r="C530" s="523">
        <v>10</v>
      </c>
      <c r="D530" s="507" t="s">
        <v>649</v>
      </c>
      <c r="E530" s="507" t="s">
        <v>649</v>
      </c>
      <c r="F530" s="515" t="s">
        <v>73</v>
      </c>
      <c r="G530" s="542">
        <v>0.95</v>
      </c>
      <c r="H530" s="542">
        <v>9</v>
      </c>
      <c r="I530" s="542" t="s">
        <v>17</v>
      </c>
      <c r="J530" s="542">
        <v>1.6</v>
      </c>
      <c r="K530" s="526" t="s">
        <v>713</v>
      </c>
      <c r="L530" s="526"/>
      <c r="M530" s="490"/>
      <c r="N530" s="490"/>
      <c r="O530" s="490"/>
      <c r="P530" s="490"/>
      <c r="Q530" s="490"/>
      <c r="R530" s="490"/>
      <c r="S530" s="490"/>
      <c r="T530" s="490"/>
      <c r="U530" s="490"/>
      <c r="V530" s="490"/>
      <c r="W530" s="490"/>
      <c r="X530" s="490"/>
      <c r="Y530" s="490"/>
      <c r="Z530" s="490"/>
      <c r="AA530" s="490"/>
      <c r="AB530" s="490"/>
      <c r="AC530" s="490"/>
      <c r="AD530" s="490"/>
      <c r="AE530" s="490"/>
      <c r="AF530" s="490"/>
      <c r="AG530" s="490"/>
      <c r="AH530" s="490"/>
      <c r="AI530" s="490"/>
      <c r="AJ530" s="490"/>
      <c r="AK530" s="490"/>
      <c r="AL530" s="490"/>
      <c r="AM530" s="490"/>
      <c r="AN530" s="490"/>
      <c r="AO530" s="490"/>
      <c r="AP530" s="490"/>
      <c r="AQ530" s="490"/>
      <c r="AR530" s="490"/>
      <c r="AS530" s="490"/>
      <c r="AT530" s="490"/>
      <c r="AU530" s="490"/>
      <c r="AV530" s="490"/>
      <c r="AW530" s="490"/>
      <c r="AX530" s="490"/>
      <c r="AY530" s="490"/>
      <c r="AZ530" s="490"/>
      <c r="BA530" s="490"/>
      <c r="BB530" s="490"/>
      <c r="BC530" s="490"/>
      <c r="BD530" s="490"/>
      <c r="BE530" s="490"/>
      <c r="BF530" s="490"/>
      <c r="BG530" s="490"/>
      <c r="BH530" s="490"/>
      <c r="BI530" s="490"/>
      <c r="BJ530" s="490"/>
      <c r="BK530" s="490"/>
      <c r="BL530" s="490"/>
      <c r="BM530" s="490"/>
      <c r="BN530" s="490"/>
      <c r="BO530" s="490"/>
      <c r="BP530" s="490"/>
      <c r="BQ530" s="490"/>
      <c r="BR530" s="490"/>
      <c r="BS530" s="490"/>
      <c r="BT530" s="490"/>
      <c r="BU530" s="490"/>
      <c r="BV530" s="490"/>
      <c r="BW530" s="490"/>
      <c r="BX530" s="490"/>
      <c r="BY530" s="490"/>
      <c r="BZ530" s="490"/>
      <c r="CA530" s="490"/>
      <c r="CB530" s="490"/>
      <c r="CC530" s="490"/>
      <c r="CD530" s="490"/>
      <c r="CE530" s="490"/>
      <c r="CF530" s="490"/>
      <c r="CG530" s="490"/>
      <c r="CH530" s="490"/>
      <c r="CI530" s="490"/>
      <c r="CJ530" s="490"/>
      <c r="CK530" s="490"/>
      <c r="CL530" s="490"/>
      <c r="CM530" s="490"/>
      <c r="CN530" s="490"/>
      <c r="CO530" s="490"/>
      <c r="CP530" s="490"/>
      <c r="CQ530" s="490"/>
      <c r="CR530" s="490"/>
      <c r="CS530" s="490"/>
      <c r="CT530" s="490"/>
      <c r="CU530" s="490"/>
      <c r="CV530" s="490"/>
      <c r="CW530" s="490"/>
      <c r="CX530" s="490"/>
      <c r="CY530" s="490"/>
      <c r="CZ530" s="490"/>
      <c r="DA530" s="490"/>
      <c r="DB530" s="490"/>
      <c r="DC530" s="490"/>
      <c r="DD530" s="490"/>
      <c r="DE530" s="490"/>
      <c r="DF530" s="490"/>
      <c r="DG530" s="490"/>
      <c r="DH530" s="490"/>
      <c r="DI530" s="490"/>
      <c r="DJ530" s="490"/>
      <c r="DK530" s="490"/>
      <c r="DL530" s="490"/>
      <c r="DM530" s="490"/>
      <c r="DN530" s="490"/>
      <c r="DO530" s="490"/>
      <c r="DP530" s="490"/>
      <c r="DQ530" s="490"/>
      <c r="DR530" s="490"/>
      <c r="DS530" s="490"/>
      <c r="DT530" s="490"/>
      <c r="DU530" s="490"/>
      <c r="DV530" s="490"/>
      <c r="DW530" s="490"/>
      <c r="DX530" s="490"/>
      <c r="DY530" s="490"/>
      <c r="DZ530" s="490"/>
      <c r="EA530" s="490"/>
      <c r="EB530" s="490"/>
      <c r="EC530" s="490"/>
      <c r="ED530" s="490"/>
      <c r="EE530" s="490"/>
      <c r="EF530" s="490"/>
      <c r="EG530" s="490"/>
      <c r="EH530" s="490"/>
      <c r="EI530" s="490"/>
      <c r="EJ530" s="490"/>
      <c r="EK530" s="490"/>
      <c r="EL530" s="490"/>
      <c r="EM530" s="490"/>
      <c r="EN530" s="490"/>
      <c r="EO530" s="490"/>
      <c r="EP530" s="490"/>
      <c r="EQ530" s="490"/>
      <c r="ER530" s="490"/>
      <c r="ES530" s="490"/>
      <c r="ET530" s="490"/>
      <c r="EU530" s="490"/>
      <c r="EV530" s="490"/>
      <c r="EW530" s="490"/>
      <c r="EX530" s="490"/>
      <c r="EY530" s="490"/>
      <c r="EZ530" s="490"/>
      <c r="FA530" s="490"/>
      <c r="FB530" s="490"/>
      <c r="FC530" s="490"/>
      <c r="FD530" s="490"/>
      <c r="FE530" s="490"/>
      <c r="FF530" s="490"/>
      <c r="FG530" s="490"/>
      <c r="FH530" s="490"/>
      <c r="FI530" s="490"/>
      <c r="FJ530" s="490"/>
      <c r="FK530" s="490"/>
      <c r="FL530" s="490"/>
      <c r="FM530" s="490"/>
      <c r="FN530" s="490"/>
    </row>
    <row r="531" s="492" customFormat="1" spans="1:170">
      <c r="A531" s="528"/>
      <c r="B531" s="513"/>
      <c r="C531" s="529"/>
      <c r="D531" s="513"/>
      <c r="E531" s="513"/>
      <c r="F531" s="515" t="s">
        <v>75</v>
      </c>
      <c r="G531" s="542">
        <v>1.22</v>
      </c>
      <c r="H531" s="542">
        <v>0.3</v>
      </c>
      <c r="I531" s="542" t="s">
        <v>22</v>
      </c>
      <c r="J531" s="542">
        <v>1.77</v>
      </c>
      <c r="K531" s="531"/>
      <c r="L531" s="531"/>
      <c r="M531" s="490"/>
      <c r="N531" s="490"/>
      <c r="O531" s="490"/>
      <c r="P531" s="490"/>
      <c r="Q531" s="490"/>
      <c r="R531" s="490"/>
      <c r="S531" s="490"/>
      <c r="T531" s="490"/>
      <c r="U531" s="490"/>
      <c r="V531" s="490"/>
      <c r="W531" s="490"/>
      <c r="X531" s="490"/>
      <c r="Y531" s="490"/>
      <c r="Z531" s="490"/>
      <c r="AA531" s="490"/>
      <c r="AB531" s="490"/>
      <c r="AC531" s="490"/>
      <c r="AD531" s="490"/>
      <c r="AE531" s="490"/>
      <c r="AF531" s="490"/>
      <c r="AG531" s="490"/>
      <c r="AH531" s="490"/>
      <c r="AI531" s="490"/>
      <c r="AJ531" s="490"/>
      <c r="AK531" s="490"/>
      <c r="AL531" s="490"/>
      <c r="AM531" s="490"/>
      <c r="AN531" s="490"/>
      <c r="AO531" s="490"/>
      <c r="AP531" s="490"/>
      <c r="AQ531" s="490"/>
      <c r="AR531" s="490"/>
      <c r="AS531" s="490"/>
      <c r="AT531" s="490"/>
      <c r="AU531" s="490"/>
      <c r="AV531" s="490"/>
      <c r="AW531" s="490"/>
      <c r="AX531" s="490"/>
      <c r="AY531" s="490"/>
      <c r="AZ531" s="490"/>
      <c r="BA531" s="490"/>
      <c r="BB531" s="490"/>
      <c r="BC531" s="490"/>
      <c r="BD531" s="490"/>
      <c r="BE531" s="490"/>
      <c r="BF531" s="490"/>
      <c r="BG531" s="490"/>
      <c r="BH531" s="490"/>
      <c r="BI531" s="490"/>
      <c r="BJ531" s="490"/>
      <c r="BK531" s="490"/>
      <c r="BL531" s="490"/>
      <c r="BM531" s="490"/>
      <c r="BN531" s="490"/>
      <c r="BO531" s="490"/>
      <c r="BP531" s="490"/>
      <c r="BQ531" s="490"/>
      <c r="BR531" s="490"/>
      <c r="BS531" s="490"/>
      <c r="BT531" s="490"/>
      <c r="BU531" s="490"/>
      <c r="BV531" s="490"/>
      <c r="BW531" s="490"/>
      <c r="BX531" s="490"/>
      <c r="BY531" s="490"/>
      <c r="BZ531" s="490"/>
      <c r="CA531" s="490"/>
      <c r="CB531" s="490"/>
      <c r="CC531" s="490"/>
      <c r="CD531" s="490"/>
      <c r="CE531" s="490"/>
      <c r="CF531" s="490"/>
      <c r="CG531" s="490"/>
      <c r="CH531" s="490"/>
      <c r="CI531" s="490"/>
      <c r="CJ531" s="490"/>
      <c r="CK531" s="490"/>
      <c r="CL531" s="490"/>
      <c r="CM531" s="490"/>
      <c r="CN531" s="490"/>
      <c r="CO531" s="490"/>
      <c r="CP531" s="490"/>
      <c r="CQ531" s="490"/>
      <c r="CR531" s="490"/>
      <c r="CS531" s="490"/>
      <c r="CT531" s="490"/>
      <c r="CU531" s="490"/>
      <c r="CV531" s="490"/>
      <c r="CW531" s="490"/>
      <c r="CX531" s="490"/>
      <c r="CY531" s="490"/>
      <c r="CZ531" s="490"/>
      <c r="DA531" s="490"/>
      <c r="DB531" s="490"/>
      <c r="DC531" s="490"/>
      <c r="DD531" s="490"/>
      <c r="DE531" s="490"/>
      <c r="DF531" s="490"/>
      <c r="DG531" s="490"/>
      <c r="DH531" s="490"/>
      <c r="DI531" s="490"/>
      <c r="DJ531" s="490"/>
      <c r="DK531" s="490"/>
      <c r="DL531" s="490"/>
      <c r="DM531" s="490"/>
      <c r="DN531" s="490"/>
      <c r="DO531" s="490"/>
      <c r="DP531" s="490"/>
      <c r="DQ531" s="490"/>
      <c r="DR531" s="490"/>
      <c r="DS531" s="490"/>
      <c r="DT531" s="490"/>
      <c r="DU531" s="490"/>
      <c r="DV531" s="490"/>
      <c r="DW531" s="490"/>
      <c r="DX531" s="490"/>
      <c r="DY531" s="490"/>
      <c r="DZ531" s="490"/>
      <c r="EA531" s="490"/>
      <c r="EB531" s="490"/>
      <c r="EC531" s="490"/>
      <c r="ED531" s="490"/>
      <c r="EE531" s="490"/>
      <c r="EF531" s="490"/>
      <c r="EG531" s="490"/>
      <c r="EH531" s="490"/>
      <c r="EI531" s="490"/>
      <c r="EJ531" s="490"/>
      <c r="EK531" s="490"/>
      <c r="EL531" s="490"/>
      <c r="EM531" s="490"/>
      <c r="EN531" s="490"/>
      <c r="EO531" s="490"/>
      <c r="EP531" s="490"/>
      <c r="EQ531" s="490"/>
      <c r="ER531" s="490"/>
      <c r="ES531" s="490"/>
      <c r="ET531" s="490"/>
      <c r="EU531" s="490"/>
      <c r="EV531" s="490"/>
      <c r="EW531" s="490"/>
      <c r="EX531" s="490"/>
      <c r="EY531" s="490"/>
      <c r="EZ531" s="490"/>
      <c r="FA531" s="490"/>
      <c r="FB531" s="490"/>
      <c r="FC531" s="490"/>
      <c r="FD531" s="490"/>
      <c r="FE531" s="490"/>
      <c r="FF531" s="490"/>
      <c r="FG531" s="490"/>
      <c r="FH531" s="490"/>
      <c r="FI531" s="490"/>
      <c r="FJ531" s="490"/>
      <c r="FK531" s="490"/>
      <c r="FL531" s="490"/>
      <c r="FM531" s="490"/>
      <c r="FN531" s="490"/>
    </row>
    <row r="532" s="492" customFormat="1" spans="1:170">
      <c r="A532" s="532"/>
      <c r="B532" s="517"/>
      <c r="C532" s="533"/>
      <c r="D532" s="517"/>
      <c r="E532" s="517"/>
      <c r="F532" s="515" t="s">
        <v>91</v>
      </c>
      <c r="G532" s="542">
        <v>1.7</v>
      </c>
      <c r="H532" s="542">
        <v>0.7</v>
      </c>
      <c r="I532" s="542" t="s">
        <v>24</v>
      </c>
      <c r="J532" s="542" t="s">
        <v>24</v>
      </c>
      <c r="K532" s="534"/>
      <c r="L532" s="534"/>
      <c r="M532" s="490"/>
      <c r="N532" s="490"/>
      <c r="O532" s="490"/>
      <c r="P532" s="490"/>
      <c r="Q532" s="490"/>
      <c r="R532" s="490"/>
      <c r="S532" s="490"/>
      <c r="T532" s="490"/>
      <c r="U532" s="490"/>
      <c r="V532" s="490"/>
      <c r="W532" s="490"/>
      <c r="X532" s="490"/>
      <c r="Y532" s="490"/>
      <c r="Z532" s="490"/>
      <c r="AA532" s="490"/>
      <c r="AB532" s="490"/>
      <c r="AC532" s="490"/>
      <c r="AD532" s="490"/>
      <c r="AE532" s="490"/>
      <c r="AF532" s="490"/>
      <c r="AG532" s="490"/>
      <c r="AH532" s="490"/>
      <c r="AI532" s="490"/>
      <c r="AJ532" s="490"/>
      <c r="AK532" s="490"/>
      <c r="AL532" s="490"/>
      <c r="AM532" s="490"/>
      <c r="AN532" s="490"/>
      <c r="AO532" s="490"/>
      <c r="AP532" s="490"/>
      <c r="AQ532" s="490"/>
      <c r="AR532" s="490"/>
      <c r="AS532" s="490"/>
      <c r="AT532" s="490"/>
      <c r="AU532" s="490"/>
      <c r="AV532" s="490"/>
      <c r="AW532" s="490"/>
      <c r="AX532" s="490"/>
      <c r="AY532" s="490"/>
      <c r="AZ532" s="490"/>
      <c r="BA532" s="490"/>
      <c r="BB532" s="490"/>
      <c r="BC532" s="490"/>
      <c r="BD532" s="490"/>
      <c r="BE532" s="490"/>
      <c r="BF532" s="490"/>
      <c r="BG532" s="490"/>
      <c r="BH532" s="490"/>
      <c r="BI532" s="490"/>
      <c r="BJ532" s="490"/>
      <c r="BK532" s="490"/>
      <c r="BL532" s="490"/>
      <c r="BM532" s="490"/>
      <c r="BN532" s="490"/>
      <c r="BO532" s="490"/>
      <c r="BP532" s="490"/>
      <c r="BQ532" s="490"/>
      <c r="BR532" s="490"/>
      <c r="BS532" s="490"/>
      <c r="BT532" s="490"/>
      <c r="BU532" s="490"/>
      <c r="BV532" s="490"/>
      <c r="BW532" s="490"/>
      <c r="BX532" s="490"/>
      <c r="BY532" s="490"/>
      <c r="BZ532" s="490"/>
      <c r="CA532" s="490"/>
      <c r="CB532" s="490"/>
      <c r="CC532" s="490"/>
      <c r="CD532" s="490"/>
      <c r="CE532" s="490"/>
      <c r="CF532" s="490"/>
      <c r="CG532" s="490"/>
      <c r="CH532" s="490"/>
      <c r="CI532" s="490"/>
      <c r="CJ532" s="490"/>
      <c r="CK532" s="490"/>
      <c r="CL532" s="490"/>
      <c r="CM532" s="490"/>
      <c r="CN532" s="490"/>
      <c r="CO532" s="490"/>
      <c r="CP532" s="490"/>
      <c r="CQ532" s="490"/>
      <c r="CR532" s="490"/>
      <c r="CS532" s="490"/>
      <c r="CT532" s="490"/>
      <c r="CU532" s="490"/>
      <c r="CV532" s="490"/>
      <c r="CW532" s="490"/>
      <c r="CX532" s="490"/>
      <c r="CY532" s="490"/>
      <c r="CZ532" s="490"/>
      <c r="DA532" s="490"/>
      <c r="DB532" s="490"/>
      <c r="DC532" s="490"/>
      <c r="DD532" s="490"/>
      <c r="DE532" s="490"/>
      <c r="DF532" s="490"/>
      <c r="DG532" s="490"/>
      <c r="DH532" s="490"/>
      <c r="DI532" s="490"/>
      <c r="DJ532" s="490"/>
      <c r="DK532" s="490"/>
      <c r="DL532" s="490"/>
      <c r="DM532" s="490"/>
      <c r="DN532" s="490"/>
      <c r="DO532" s="490"/>
      <c r="DP532" s="490"/>
      <c r="DQ532" s="490"/>
      <c r="DR532" s="490"/>
      <c r="DS532" s="490"/>
      <c r="DT532" s="490"/>
      <c r="DU532" s="490"/>
      <c r="DV532" s="490"/>
      <c r="DW532" s="490"/>
      <c r="DX532" s="490"/>
      <c r="DY532" s="490"/>
      <c r="DZ532" s="490"/>
      <c r="EA532" s="490"/>
      <c r="EB532" s="490"/>
      <c r="EC532" s="490"/>
      <c r="ED532" s="490"/>
      <c r="EE532" s="490"/>
      <c r="EF532" s="490"/>
      <c r="EG532" s="490"/>
      <c r="EH532" s="490"/>
      <c r="EI532" s="490"/>
      <c r="EJ532" s="490"/>
      <c r="EK532" s="490"/>
      <c r="EL532" s="490"/>
      <c r="EM532" s="490"/>
      <c r="EN532" s="490"/>
      <c r="EO532" s="490"/>
      <c r="EP532" s="490"/>
      <c r="EQ532" s="490"/>
      <c r="ER532" s="490"/>
      <c r="ES532" s="490"/>
      <c r="ET532" s="490"/>
      <c r="EU532" s="490"/>
      <c r="EV532" s="490"/>
      <c r="EW532" s="490"/>
      <c r="EX532" s="490"/>
      <c r="EY532" s="490"/>
      <c r="EZ532" s="490"/>
      <c r="FA532" s="490"/>
      <c r="FB532" s="490"/>
      <c r="FC532" s="490"/>
      <c r="FD532" s="490"/>
      <c r="FE532" s="490"/>
      <c r="FF532" s="490"/>
      <c r="FG532" s="490"/>
      <c r="FH532" s="490"/>
      <c r="FI532" s="490"/>
      <c r="FJ532" s="490"/>
      <c r="FK532" s="490"/>
      <c r="FL532" s="490"/>
      <c r="FM532" s="490"/>
      <c r="FN532" s="490"/>
    </row>
    <row r="533" s="492" customFormat="1" spans="1:170">
      <c r="A533" s="539">
        <v>46233</v>
      </c>
      <c r="B533" s="509" t="s">
        <v>905</v>
      </c>
      <c r="C533" s="538">
        <v>10</v>
      </c>
      <c r="D533" s="509" t="s">
        <v>649</v>
      </c>
      <c r="E533" s="509" t="s">
        <v>649</v>
      </c>
      <c r="F533" s="515" t="s">
        <v>73</v>
      </c>
      <c r="G533" s="542">
        <v>0.95</v>
      </c>
      <c r="H533" s="542">
        <v>9</v>
      </c>
      <c r="I533" s="542" t="s">
        <v>17</v>
      </c>
      <c r="J533" s="542">
        <v>1.57</v>
      </c>
      <c r="K533" s="527" t="s">
        <v>713</v>
      </c>
      <c r="L533" s="527"/>
      <c r="M533" s="490"/>
      <c r="N533" s="490"/>
      <c r="O533" s="490"/>
      <c r="P533" s="490"/>
      <c r="Q533" s="490"/>
      <c r="R533" s="490"/>
      <c r="S533" s="490"/>
      <c r="T533" s="490"/>
      <c r="U533" s="490"/>
      <c r="V533" s="490"/>
      <c r="W533" s="490"/>
      <c r="X533" s="490"/>
      <c r="Y533" s="490"/>
      <c r="Z533" s="490"/>
      <c r="AA533" s="490"/>
      <c r="AB533" s="490"/>
      <c r="AC533" s="490"/>
      <c r="AD533" s="490"/>
      <c r="AE533" s="490"/>
      <c r="AF533" s="490"/>
      <c r="AG533" s="490"/>
      <c r="AH533" s="490"/>
      <c r="AI533" s="490"/>
      <c r="AJ533" s="490"/>
      <c r="AK533" s="490"/>
      <c r="AL533" s="490"/>
      <c r="AM533" s="490"/>
      <c r="AN533" s="490"/>
      <c r="AO533" s="490"/>
      <c r="AP533" s="490"/>
      <c r="AQ533" s="490"/>
      <c r="AR533" s="490"/>
      <c r="AS533" s="490"/>
      <c r="AT533" s="490"/>
      <c r="AU533" s="490"/>
      <c r="AV533" s="490"/>
      <c r="AW533" s="490"/>
      <c r="AX533" s="490"/>
      <c r="AY533" s="490"/>
      <c r="AZ533" s="490"/>
      <c r="BA533" s="490"/>
      <c r="BB533" s="490"/>
      <c r="BC533" s="490"/>
      <c r="BD533" s="490"/>
      <c r="BE533" s="490"/>
      <c r="BF533" s="490"/>
      <c r="BG533" s="490"/>
      <c r="BH533" s="490"/>
      <c r="BI533" s="490"/>
      <c r="BJ533" s="490"/>
      <c r="BK533" s="490"/>
      <c r="BL533" s="490"/>
      <c r="BM533" s="490"/>
      <c r="BN533" s="490"/>
      <c r="BO533" s="490"/>
      <c r="BP533" s="490"/>
      <c r="BQ533" s="490"/>
      <c r="BR533" s="490"/>
      <c r="BS533" s="490"/>
      <c r="BT533" s="490"/>
      <c r="BU533" s="490"/>
      <c r="BV533" s="490"/>
      <c r="BW533" s="490"/>
      <c r="BX533" s="490"/>
      <c r="BY533" s="490"/>
      <c r="BZ533" s="490"/>
      <c r="CA533" s="490"/>
      <c r="CB533" s="490"/>
      <c r="CC533" s="490"/>
      <c r="CD533" s="490"/>
      <c r="CE533" s="490"/>
      <c r="CF533" s="490"/>
      <c r="CG533" s="490"/>
      <c r="CH533" s="490"/>
      <c r="CI533" s="490"/>
      <c r="CJ533" s="490"/>
      <c r="CK533" s="490"/>
      <c r="CL533" s="490"/>
      <c r="CM533" s="490"/>
      <c r="CN533" s="490"/>
      <c r="CO533" s="490"/>
      <c r="CP533" s="490"/>
      <c r="CQ533" s="490"/>
      <c r="CR533" s="490"/>
      <c r="CS533" s="490"/>
      <c r="CT533" s="490"/>
      <c r="CU533" s="490"/>
      <c r="CV533" s="490"/>
      <c r="CW533" s="490"/>
      <c r="CX533" s="490"/>
      <c r="CY533" s="490"/>
      <c r="CZ533" s="490"/>
      <c r="DA533" s="490"/>
      <c r="DB533" s="490"/>
      <c r="DC533" s="490"/>
      <c r="DD533" s="490"/>
      <c r="DE533" s="490"/>
      <c r="DF533" s="490"/>
      <c r="DG533" s="490"/>
      <c r="DH533" s="490"/>
      <c r="DI533" s="490"/>
      <c r="DJ533" s="490"/>
      <c r="DK533" s="490"/>
      <c r="DL533" s="490"/>
      <c r="DM533" s="490"/>
      <c r="DN533" s="490"/>
      <c r="DO533" s="490"/>
      <c r="DP533" s="490"/>
      <c r="DQ533" s="490"/>
      <c r="DR533" s="490"/>
      <c r="DS533" s="490"/>
      <c r="DT533" s="490"/>
      <c r="DU533" s="490"/>
      <c r="DV533" s="490"/>
      <c r="DW533" s="490"/>
      <c r="DX533" s="490"/>
      <c r="DY533" s="490"/>
      <c r="DZ533" s="490"/>
      <c r="EA533" s="490"/>
      <c r="EB533" s="490"/>
      <c r="EC533" s="490"/>
      <c r="ED533" s="490"/>
      <c r="EE533" s="490"/>
      <c r="EF533" s="490"/>
      <c r="EG533" s="490"/>
      <c r="EH533" s="490"/>
      <c r="EI533" s="490"/>
      <c r="EJ533" s="490"/>
      <c r="EK533" s="490"/>
      <c r="EL533" s="490"/>
      <c r="EM533" s="490"/>
      <c r="EN533" s="490"/>
      <c r="EO533" s="490"/>
      <c r="EP533" s="490"/>
      <c r="EQ533" s="490"/>
      <c r="ER533" s="490"/>
      <c r="ES533" s="490"/>
      <c r="ET533" s="490"/>
      <c r="EU533" s="490"/>
      <c r="EV533" s="490"/>
      <c r="EW533" s="490"/>
      <c r="EX533" s="490"/>
      <c r="EY533" s="490"/>
      <c r="EZ533" s="490"/>
      <c r="FA533" s="490"/>
      <c r="FB533" s="490"/>
      <c r="FC533" s="490"/>
      <c r="FD533" s="490"/>
      <c r="FE533" s="490"/>
      <c r="FF533" s="490"/>
      <c r="FG533" s="490"/>
      <c r="FH533" s="490"/>
      <c r="FI533" s="490"/>
      <c r="FJ533" s="490"/>
      <c r="FK533" s="490"/>
      <c r="FL533" s="490"/>
      <c r="FM533" s="490"/>
      <c r="FN533" s="490"/>
    </row>
    <row r="534" s="492" customFormat="1" spans="1:170">
      <c r="A534" s="539"/>
      <c r="B534" s="509"/>
      <c r="C534" s="538"/>
      <c r="D534" s="509"/>
      <c r="E534" s="509"/>
      <c r="F534" s="515" t="s">
        <v>75</v>
      </c>
      <c r="G534" s="542">
        <v>1.22</v>
      </c>
      <c r="H534" s="542">
        <v>0.3</v>
      </c>
      <c r="I534" s="542" t="s">
        <v>22</v>
      </c>
      <c r="J534" s="542">
        <v>1.77</v>
      </c>
      <c r="K534" s="527"/>
      <c r="L534" s="527"/>
      <c r="M534" s="490"/>
      <c r="N534" s="490"/>
      <c r="O534" s="490"/>
      <c r="P534" s="490"/>
      <c r="Q534" s="490"/>
      <c r="R534" s="490"/>
      <c r="S534" s="490"/>
      <c r="T534" s="490"/>
      <c r="U534" s="490"/>
      <c r="V534" s="490"/>
      <c r="W534" s="490"/>
      <c r="X534" s="490"/>
      <c r="Y534" s="490"/>
      <c r="Z534" s="490"/>
      <c r="AA534" s="490"/>
      <c r="AB534" s="490"/>
      <c r="AC534" s="490"/>
      <c r="AD534" s="490"/>
      <c r="AE534" s="490"/>
      <c r="AF534" s="490"/>
      <c r="AG534" s="490"/>
      <c r="AH534" s="490"/>
      <c r="AI534" s="490"/>
      <c r="AJ534" s="490"/>
      <c r="AK534" s="490"/>
      <c r="AL534" s="490"/>
      <c r="AM534" s="490"/>
      <c r="AN534" s="490"/>
      <c r="AO534" s="490"/>
      <c r="AP534" s="490"/>
      <c r="AQ534" s="490"/>
      <c r="AR534" s="490"/>
      <c r="AS534" s="490"/>
      <c r="AT534" s="490"/>
      <c r="AU534" s="490"/>
      <c r="AV534" s="490"/>
      <c r="AW534" s="490"/>
      <c r="AX534" s="490"/>
      <c r="AY534" s="490"/>
      <c r="AZ534" s="490"/>
      <c r="BA534" s="490"/>
      <c r="BB534" s="490"/>
      <c r="BC534" s="490"/>
      <c r="BD534" s="490"/>
      <c r="BE534" s="490"/>
      <c r="BF534" s="490"/>
      <c r="BG534" s="490"/>
      <c r="BH534" s="490"/>
      <c r="BI534" s="490"/>
      <c r="BJ534" s="490"/>
      <c r="BK534" s="490"/>
      <c r="BL534" s="490"/>
      <c r="BM534" s="490"/>
      <c r="BN534" s="490"/>
      <c r="BO534" s="490"/>
      <c r="BP534" s="490"/>
      <c r="BQ534" s="490"/>
      <c r="BR534" s="490"/>
      <c r="BS534" s="490"/>
      <c r="BT534" s="490"/>
      <c r="BU534" s="490"/>
      <c r="BV534" s="490"/>
      <c r="BW534" s="490"/>
      <c r="BX534" s="490"/>
      <c r="BY534" s="490"/>
      <c r="BZ534" s="490"/>
      <c r="CA534" s="490"/>
      <c r="CB534" s="490"/>
      <c r="CC534" s="490"/>
      <c r="CD534" s="490"/>
      <c r="CE534" s="490"/>
      <c r="CF534" s="490"/>
      <c r="CG534" s="490"/>
      <c r="CH534" s="490"/>
      <c r="CI534" s="490"/>
      <c r="CJ534" s="490"/>
      <c r="CK534" s="490"/>
      <c r="CL534" s="490"/>
      <c r="CM534" s="490"/>
      <c r="CN534" s="490"/>
      <c r="CO534" s="490"/>
      <c r="CP534" s="490"/>
      <c r="CQ534" s="490"/>
      <c r="CR534" s="490"/>
      <c r="CS534" s="490"/>
      <c r="CT534" s="490"/>
      <c r="CU534" s="490"/>
      <c r="CV534" s="490"/>
      <c r="CW534" s="490"/>
      <c r="CX534" s="490"/>
      <c r="CY534" s="490"/>
      <c r="CZ534" s="490"/>
      <c r="DA534" s="490"/>
      <c r="DB534" s="490"/>
      <c r="DC534" s="490"/>
      <c r="DD534" s="490"/>
      <c r="DE534" s="490"/>
      <c r="DF534" s="490"/>
      <c r="DG534" s="490"/>
      <c r="DH534" s="490"/>
      <c r="DI534" s="490"/>
      <c r="DJ534" s="490"/>
      <c r="DK534" s="490"/>
      <c r="DL534" s="490"/>
      <c r="DM534" s="490"/>
      <c r="DN534" s="490"/>
      <c r="DO534" s="490"/>
      <c r="DP534" s="490"/>
      <c r="DQ534" s="490"/>
      <c r="DR534" s="490"/>
      <c r="DS534" s="490"/>
      <c r="DT534" s="490"/>
      <c r="DU534" s="490"/>
      <c r="DV534" s="490"/>
      <c r="DW534" s="490"/>
      <c r="DX534" s="490"/>
      <c r="DY534" s="490"/>
      <c r="DZ534" s="490"/>
      <c r="EA534" s="490"/>
      <c r="EB534" s="490"/>
      <c r="EC534" s="490"/>
      <c r="ED534" s="490"/>
      <c r="EE534" s="490"/>
      <c r="EF534" s="490"/>
      <c r="EG534" s="490"/>
      <c r="EH534" s="490"/>
      <c r="EI534" s="490"/>
      <c r="EJ534" s="490"/>
      <c r="EK534" s="490"/>
      <c r="EL534" s="490"/>
      <c r="EM534" s="490"/>
      <c r="EN534" s="490"/>
      <c r="EO534" s="490"/>
      <c r="EP534" s="490"/>
      <c r="EQ534" s="490"/>
      <c r="ER534" s="490"/>
      <c r="ES534" s="490"/>
      <c r="ET534" s="490"/>
      <c r="EU534" s="490"/>
      <c r="EV534" s="490"/>
      <c r="EW534" s="490"/>
      <c r="EX534" s="490"/>
      <c r="EY534" s="490"/>
      <c r="EZ534" s="490"/>
      <c r="FA534" s="490"/>
      <c r="FB534" s="490"/>
      <c r="FC534" s="490"/>
      <c r="FD534" s="490"/>
      <c r="FE534" s="490"/>
      <c r="FF534" s="490"/>
      <c r="FG534" s="490"/>
      <c r="FH534" s="490"/>
      <c r="FI534" s="490"/>
      <c r="FJ534" s="490"/>
      <c r="FK534" s="490"/>
      <c r="FL534" s="490"/>
      <c r="FM534" s="490"/>
      <c r="FN534" s="490"/>
    </row>
    <row r="535" s="492" customFormat="1" spans="1:170">
      <c r="A535" s="539"/>
      <c r="B535" s="509"/>
      <c r="C535" s="538"/>
      <c r="D535" s="509"/>
      <c r="E535" s="509"/>
      <c r="F535" s="515" t="s">
        <v>91</v>
      </c>
      <c r="G535" s="542">
        <v>1.7</v>
      </c>
      <c r="H535" s="542">
        <v>0.7</v>
      </c>
      <c r="I535" s="542" t="s">
        <v>24</v>
      </c>
      <c r="J535" s="542" t="s">
        <v>24</v>
      </c>
      <c r="K535" s="527"/>
      <c r="L535" s="527"/>
      <c r="M535" s="490"/>
      <c r="N535" s="490"/>
      <c r="O535" s="490"/>
      <c r="P535" s="490"/>
      <c r="Q535" s="490"/>
      <c r="R535" s="490"/>
      <c r="S535" s="490"/>
      <c r="T535" s="490"/>
      <c r="U535" s="490"/>
      <c r="V535" s="490"/>
      <c r="W535" s="490"/>
      <c r="X535" s="490"/>
      <c r="Y535" s="490"/>
      <c r="Z535" s="490"/>
      <c r="AA535" s="490"/>
      <c r="AB535" s="490"/>
      <c r="AC535" s="490"/>
      <c r="AD535" s="490"/>
      <c r="AE535" s="490"/>
      <c r="AF535" s="490"/>
      <c r="AG535" s="490"/>
      <c r="AH535" s="490"/>
      <c r="AI535" s="490"/>
      <c r="AJ535" s="490"/>
      <c r="AK535" s="490"/>
      <c r="AL535" s="490"/>
      <c r="AM535" s="490"/>
      <c r="AN535" s="490"/>
      <c r="AO535" s="490"/>
      <c r="AP535" s="490"/>
      <c r="AQ535" s="490"/>
      <c r="AR535" s="490"/>
      <c r="AS535" s="490"/>
      <c r="AT535" s="490"/>
      <c r="AU535" s="490"/>
      <c r="AV535" s="490"/>
      <c r="AW535" s="490"/>
      <c r="AX535" s="490"/>
      <c r="AY535" s="490"/>
      <c r="AZ535" s="490"/>
      <c r="BA535" s="490"/>
      <c r="BB535" s="490"/>
      <c r="BC535" s="490"/>
      <c r="BD535" s="490"/>
      <c r="BE535" s="490"/>
      <c r="BF535" s="490"/>
      <c r="BG535" s="490"/>
      <c r="BH535" s="490"/>
      <c r="BI535" s="490"/>
      <c r="BJ535" s="490"/>
      <c r="BK535" s="490"/>
      <c r="BL535" s="490"/>
      <c r="BM535" s="490"/>
      <c r="BN535" s="490"/>
      <c r="BO535" s="490"/>
      <c r="BP535" s="490"/>
      <c r="BQ535" s="490"/>
      <c r="BR535" s="490"/>
      <c r="BS535" s="490"/>
      <c r="BT535" s="490"/>
      <c r="BU535" s="490"/>
      <c r="BV535" s="490"/>
      <c r="BW535" s="490"/>
      <c r="BX535" s="490"/>
      <c r="BY535" s="490"/>
      <c r="BZ535" s="490"/>
      <c r="CA535" s="490"/>
      <c r="CB535" s="490"/>
      <c r="CC535" s="490"/>
      <c r="CD535" s="490"/>
      <c r="CE535" s="490"/>
      <c r="CF535" s="490"/>
      <c r="CG535" s="490"/>
      <c r="CH535" s="490"/>
      <c r="CI535" s="490"/>
      <c r="CJ535" s="490"/>
      <c r="CK535" s="490"/>
      <c r="CL535" s="490"/>
      <c r="CM535" s="490"/>
      <c r="CN535" s="490"/>
      <c r="CO535" s="490"/>
      <c r="CP535" s="490"/>
      <c r="CQ535" s="490"/>
      <c r="CR535" s="490"/>
      <c r="CS535" s="490"/>
      <c r="CT535" s="490"/>
      <c r="CU535" s="490"/>
      <c r="CV535" s="490"/>
      <c r="CW535" s="490"/>
      <c r="CX535" s="490"/>
      <c r="CY535" s="490"/>
      <c r="CZ535" s="490"/>
      <c r="DA535" s="490"/>
      <c r="DB535" s="490"/>
      <c r="DC535" s="490"/>
      <c r="DD535" s="490"/>
      <c r="DE535" s="490"/>
      <c r="DF535" s="490"/>
      <c r="DG535" s="490"/>
      <c r="DH535" s="490"/>
      <c r="DI535" s="490"/>
      <c r="DJ535" s="490"/>
      <c r="DK535" s="490"/>
      <c r="DL535" s="490"/>
      <c r="DM535" s="490"/>
      <c r="DN535" s="490"/>
      <c r="DO535" s="490"/>
      <c r="DP535" s="490"/>
      <c r="DQ535" s="490"/>
      <c r="DR535" s="490"/>
      <c r="DS535" s="490"/>
      <c r="DT535" s="490"/>
      <c r="DU535" s="490"/>
      <c r="DV535" s="490"/>
      <c r="DW535" s="490"/>
      <c r="DX535" s="490"/>
      <c r="DY535" s="490"/>
      <c r="DZ535" s="490"/>
      <c r="EA535" s="490"/>
      <c r="EB535" s="490"/>
      <c r="EC535" s="490"/>
      <c r="ED535" s="490"/>
      <c r="EE535" s="490"/>
      <c r="EF535" s="490"/>
      <c r="EG535" s="490"/>
      <c r="EH535" s="490"/>
      <c r="EI535" s="490"/>
      <c r="EJ535" s="490"/>
      <c r="EK535" s="490"/>
      <c r="EL535" s="490"/>
      <c r="EM535" s="490"/>
      <c r="EN535" s="490"/>
      <c r="EO535" s="490"/>
      <c r="EP535" s="490"/>
      <c r="EQ535" s="490"/>
      <c r="ER535" s="490"/>
      <c r="ES535" s="490"/>
      <c r="ET535" s="490"/>
      <c r="EU535" s="490"/>
      <c r="EV535" s="490"/>
      <c r="EW535" s="490"/>
      <c r="EX535" s="490"/>
      <c r="EY535" s="490"/>
      <c r="EZ535" s="490"/>
      <c r="FA535" s="490"/>
      <c r="FB535" s="490"/>
      <c r="FC535" s="490"/>
      <c r="FD535" s="490"/>
      <c r="FE535" s="490"/>
      <c r="FF535" s="490"/>
      <c r="FG535" s="490"/>
      <c r="FH535" s="490"/>
      <c r="FI535" s="490"/>
      <c r="FJ535" s="490"/>
      <c r="FK535" s="490"/>
      <c r="FL535" s="490"/>
      <c r="FM535" s="490"/>
      <c r="FN535" s="490"/>
    </row>
    <row r="536" s="492" customFormat="1" spans="1:170">
      <c r="A536" s="593">
        <v>46238</v>
      </c>
      <c r="B536" s="594" t="s">
        <v>906</v>
      </c>
      <c r="C536" s="595">
        <v>10</v>
      </c>
      <c r="D536" s="594" t="s">
        <v>484</v>
      </c>
      <c r="E536" s="594" t="s">
        <v>484</v>
      </c>
      <c r="F536" s="594" t="s">
        <v>531</v>
      </c>
      <c r="G536" s="595">
        <v>1</v>
      </c>
      <c r="H536" s="595">
        <v>8.8</v>
      </c>
      <c r="I536" s="595" t="s">
        <v>17</v>
      </c>
      <c r="J536" s="595">
        <v>1.6</v>
      </c>
      <c r="K536" s="594" t="s">
        <v>129</v>
      </c>
      <c r="L536" s="586" t="s">
        <v>519</v>
      </c>
      <c r="M536" s="490"/>
      <c r="N536" s="490"/>
      <c r="O536" s="490"/>
      <c r="P536" s="490"/>
      <c r="Q536" s="490"/>
      <c r="R536" s="490"/>
      <c r="S536" s="490"/>
      <c r="T536" s="490"/>
      <c r="U536" s="490"/>
      <c r="V536" s="490"/>
      <c r="W536" s="490"/>
      <c r="X536" s="490"/>
      <c r="Y536" s="490"/>
      <c r="Z536" s="490"/>
      <c r="AA536" s="490"/>
      <c r="AB536" s="490"/>
      <c r="AC536" s="490"/>
      <c r="AD536" s="490"/>
      <c r="AE536" s="490"/>
      <c r="AF536" s="490"/>
      <c r="AG536" s="490"/>
      <c r="AH536" s="490"/>
      <c r="AI536" s="490"/>
      <c r="AJ536" s="490"/>
      <c r="AK536" s="490"/>
      <c r="AL536" s="490"/>
      <c r="AM536" s="490"/>
      <c r="AN536" s="490"/>
      <c r="AO536" s="490"/>
      <c r="AP536" s="490"/>
      <c r="AQ536" s="490"/>
      <c r="AR536" s="490"/>
      <c r="AS536" s="490"/>
      <c r="AT536" s="490"/>
      <c r="AU536" s="490"/>
      <c r="AV536" s="490"/>
      <c r="AW536" s="490"/>
      <c r="AX536" s="490"/>
      <c r="AY536" s="490"/>
      <c r="AZ536" s="490"/>
      <c r="BA536" s="490"/>
      <c r="BB536" s="490"/>
      <c r="BC536" s="490"/>
      <c r="BD536" s="490"/>
      <c r="BE536" s="490"/>
      <c r="BF536" s="490"/>
      <c r="BG536" s="490"/>
      <c r="BH536" s="490"/>
      <c r="BI536" s="490"/>
      <c r="BJ536" s="490"/>
      <c r="BK536" s="490"/>
      <c r="BL536" s="490"/>
      <c r="BM536" s="490"/>
      <c r="BN536" s="490"/>
      <c r="BO536" s="490"/>
      <c r="BP536" s="490"/>
      <c r="BQ536" s="490"/>
      <c r="BR536" s="490"/>
      <c r="BS536" s="490"/>
      <c r="BT536" s="490"/>
      <c r="BU536" s="490"/>
      <c r="BV536" s="490"/>
      <c r="BW536" s="490"/>
      <c r="BX536" s="490"/>
      <c r="BY536" s="490"/>
      <c r="BZ536" s="490"/>
      <c r="CA536" s="490"/>
      <c r="CB536" s="490"/>
      <c r="CC536" s="490"/>
      <c r="CD536" s="490"/>
      <c r="CE536" s="490"/>
      <c r="CF536" s="490"/>
      <c r="CG536" s="490"/>
      <c r="CH536" s="490"/>
      <c r="CI536" s="490"/>
      <c r="CJ536" s="490"/>
      <c r="CK536" s="490"/>
      <c r="CL536" s="490"/>
      <c r="CM536" s="490"/>
      <c r="CN536" s="490"/>
      <c r="CO536" s="490"/>
      <c r="CP536" s="490"/>
      <c r="CQ536" s="490"/>
      <c r="CR536" s="490"/>
      <c r="CS536" s="490"/>
      <c r="CT536" s="490"/>
      <c r="CU536" s="490"/>
      <c r="CV536" s="490"/>
      <c r="CW536" s="490"/>
      <c r="CX536" s="490"/>
      <c r="CY536" s="490"/>
      <c r="CZ536" s="490"/>
      <c r="DA536" s="490"/>
      <c r="DB536" s="490"/>
      <c r="DC536" s="490"/>
      <c r="DD536" s="490"/>
      <c r="DE536" s="490"/>
      <c r="DF536" s="490"/>
      <c r="DG536" s="490"/>
      <c r="DH536" s="490"/>
      <c r="DI536" s="490"/>
      <c r="DJ536" s="490"/>
      <c r="DK536" s="490"/>
      <c r="DL536" s="490"/>
      <c r="DM536" s="490"/>
      <c r="DN536" s="490"/>
      <c r="DO536" s="490"/>
      <c r="DP536" s="490"/>
      <c r="DQ536" s="490"/>
      <c r="DR536" s="490"/>
      <c r="DS536" s="490"/>
      <c r="DT536" s="490"/>
      <c r="DU536" s="490"/>
      <c r="DV536" s="490"/>
      <c r="DW536" s="490"/>
      <c r="DX536" s="490"/>
      <c r="DY536" s="490"/>
      <c r="DZ536" s="490"/>
      <c r="EA536" s="490"/>
      <c r="EB536" s="490"/>
      <c r="EC536" s="490"/>
      <c r="ED536" s="490"/>
      <c r="EE536" s="490"/>
      <c r="EF536" s="490"/>
      <c r="EG536" s="490"/>
      <c r="EH536" s="490"/>
      <c r="EI536" s="490"/>
      <c r="EJ536" s="490"/>
      <c r="EK536" s="490"/>
      <c r="EL536" s="490"/>
      <c r="EM536" s="490"/>
      <c r="EN536" s="490"/>
      <c r="EO536" s="490"/>
      <c r="EP536" s="490"/>
      <c r="EQ536" s="490"/>
      <c r="ER536" s="490"/>
      <c r="ES536" s="490"/>
      <c r="ET536" s="490"/>
      <c r="EU536" s="490"/>
      <c r="EV536" s="490"/>
      <c r="EW536" s="490"/>
      <c r="EX536" s="490"/>
      <c r="EY536" s="490"/>
      <c r="EZ536" s="490"/>
      <c r="FA536" s="490"/>
      <c r="FB536" s="490"/>
      <c r="FC536" s="490"/>
      <c r="FD536" s="490"/>
      <c r="FE536" s="490"/>
      <c r="FF536" s="490"/>
      <c r="FG536" s="490"/>
      <c r="FH536" s="490"/>
      <c r="FI536" s="490"/>
      <c r="FJ536" s="490"/>
      <c r="FK536" s="490"/>
      <c r="FL536" s="490"/>
      <c r="FM536" s="490"/>
      <c r="FN536" s="490"/>
    </row>
    <row r="537" s="492" customFormat="1" spans="1:170">
      <c r="A537" s="593"/>
      <c r="B537" s="596"/>
      <c r="C537" s="595"/>
      <c r="D537" s="596"/>
      <c r="E537" s="596"/>
      <c r="F537" s="594" t="s">
        <v>539</v>
      </c>
      <c r="G537" s="595">
        <v>1.0902</v>
      </c>
      <c r="H537" s="595">
        <v>0.6</v>
      </c>
      <c r="I537" s="595" t="s">
        <v>22</v>
      </c>
      <c r="J537" s="595">
        <v>1.75</v>
      </c>
      <c r="K537" s="596"/>
      <c r="L537" s="588"/>
      <c r="M537" s="490"/>
      <c r="N537" s="490"/>
      <c r="O537" s="490"/>
      <c r="P537" s="490"/>
      <c r="Q537" s="490"/>
      <c r="R537" s="490"/>
      <c r="S537" s="490"/>
      <c r="T537" s="490"/>
      <c r="U537" s="490"/>
      <c r="V537" s="490"/>
      <c r="W537" s="490"/>
      <c r="X537" s="490"/>
      <c r="Y537" s="490"/>
      <c r="Z537" s="490"/>
      <c r="AA537" s="490"/>
      <c r="AB537" s="490"/>
      <c r="AC537" s="490"/>
      <c r="AD537" s="490"/>
      <c r="AE537" s="490"/>
      <c r="AF537" s="490"/>
      <c r="AG537" s="490"/>
      <c r="AH537" s="490"/>
      <c r="AI537" s="490"/>
      <c r="AJ537" s="490"/>
      <c r="AK537" s="490"/>
      <c r="AL537" s="490"/>
      <c r="AM537" s="490"/>
      <c r="AN537" s="490"/>
      <c r="AO537" s="490"/>
      <c r="AP537" s="490"/>
      <c r="AQ537" s="490"/>
      <c r="AR537" s="490"/>
      <c r="AS537" s="490"/>
      <c r="AT537" s="490"/>
      <c r="AU537" s="490"/>
      <c r="AV537" s="490"/>
      <c r="AW537" s="490"/>
      <c r="AX537" s="490"/>
      <c r="AY537" s="490"/>
      <c r="AZ537" s="490"/>
      <c r="BA537" s="490"/>
      <c r="BB537" s="490"/>
      <c r="BC537" s="490"/>
      <c r="BD537" s="490"/>
      <c r="BE537" s="490"/>
      <c r="BF537" s="490"/>
      <c r="BG537" s="490"/>
      <c r="BH537" s="490"/>
      <c r="BI537" s="490"/>
      <c r="BJ537" s="490"/>
      <c r="BK537" s="490"/>
      <c r="BL537" s="490"/>
      <c r="BM537" s="490"/>
      <c r="BN537" s="490"/>
      <c r="BO537" s="490"/>
      <c r="BP537" s="490"/>
      <c r="BQ537" s="490"/>
      <c r="BR537" s="490"/>
      <c r="BS537" s="490"/>
      <c r="BT537" s="490"/>
      <c r="BU537" s="490"/>
      <c r="BV537" s="490"/>
      <c r="BW537" s="490"/>
      <c r="BX537" s="490"/>
      <c r="BY537" s="490"/>
      <c r="BZ537" s="490"/>
      <c r="CA537" s="490"/>
      <c r="CB537" s="490"/>
      <c r="CC537" s="490"/>
      <c r="CD537" s="490"/>
      <c r="CE537" s="490"/>
      <c r="CF537" s="490"/>
      <c r="CG537" s="490"/>
      <c r="CH537" s="490"/>
      <c r="CI537" s="490"/>
      <c r="CJ537" s="490"/>
      <c r="CK537" s="490"/>
      <c r="CL537" s="490"/>
      <c r="CM537" s="490"/>
      <c r="CN537" s="490"/>
      <c r="CO537" s="490"/>
      <c r="CP537" s="490"/>
      <c r="CQ537" s="490"/>
      <c r="CR537" s="490"/>
      <c r="CS537" s="490"/>
      <c r="CT537" s="490"/>
      <c r="CU537" s="490"/>
      <c r="CV537" s="490"/>
      <c r="CW537" s="490"/>
      <c r="CX537" s="490"/>
      <c r="CY537" s="490"/>
      <c r="CZ537" s="490"/>
      <c r="DA537" s="490"/>
      <c r="DB537" s="490"/>
      <c r="DC537" s="490"/>
      <c r="DD537" s="490"/>
      <c r="DE537" s="490"/>
      <c r="DF537" s="490"/>
      <c r="DG537" s="490"/>
      <c r="DH537" s="490"/>
      <c r="DI537" s="490"/>
      <c r="DJ537" s="490"/>
      <c r="DK537" s="490"/>
      <c r="DL537" s="490"/>
      <c r="DM537" s="490"/>
      <c r="DN537" s="490"/>
      <c r="DO537" s="490"/>
      <c r="DP537" s="490"/>
      <c r="DQ537" s="490"/>
      <c r="DR537" s="490"/>
      <c r="DS537" s="490"/>
      <c r="DT537" s="490"/>
      <c r="DU537" s="490"/>
      <c r="DV537" s="490"/>
      <c r="DW537" s="490"/>
      <c r="DX537" s="490"/>
      <c r="DY537" s="490"/>
      <c r="DZ537" s="490"/>
      <c r="EA537" s="490"/>
      <c r="EB537" s="490"/>
      <c r="EC537" s="490"/>
      <c r="ED537" s="490"/>
      <c r="EE537" s="490"/>
      <c r="EF537" s="490"/>
      <c r="EG537" s="490"/>
      <c r="EH537" s="490"/>
      <c r="EI537" s="490"/>
      <c r="EJ537" s="490"/>
      <c r="EK537" s="490"/>
      <c r="EL537" s="490"/>
      <c r="EM537" s="490"/>
      <c r="EN537" s="490"/>
      <c r="EO537" s="490"/>
      <c r="EP537" s="490"/>
      <c r="EQ537" s="490"/>
      <c r="ER537" s="490"/>
      <c r="ES537" s="490"/>
      <c r="ET537" s="490"/>
      <c r="EU537" s="490"/>
      <c r="EV537" s="490"/>
      <c r="EW537" s="490"/>
      <c r="EX537" s="490"/>
      <c r="EY537" s="490"/>
      <c r="EZ537" s="490"/>
      <c r="FA537" s="490"/>
      <c r="FB537" s="490"/>
      <c r="FC537" s="490"/>
      <c r="FD537" s="490"/>
      <c r="FE537" s="490"/>
      <c r="FF537" s="490"/>
      <c r="FG537" s="490"/>
      <c r="FH537" s="490"/>
      <c r="FI537" s="490"/>
      <c r="FJ537" s="490"/>
      <c r="FK537" s="490"/>
      <c r="FL537" s="490"/>
      <c r="FM537" s="490"/>
      <c r="FN537" s="490"/>
    </row>
    <row r="538" s="492" customFormat="1" spans="1:170">
      <c r="A538" s="593"/>
      <c r="B538" s="596"/>
      <c r="C538" s="595"/>
      <c r="D538" s="596"/>
      <c r="E538" s="596"/>
      <c r="F538" s="594" t="s">
        <v>503</v>
      </c>
      <c r="G538" s="595">
        <v>1.6694</v>
      </c>
      <c r="H538" s="595">
        <v>0.6</v>
      </c>
      <c r="I538" s="595" t="s">
        <v>24</v>
      </c>
      <c r="J538" s="595" t="s">
        <v>24</v>
      </c>
      <c r="K538" s="596"/>
      <c r="L538" s="589"/>
      <c r="M538" s="490"/>
      <c r="N538" s="490"/>
      <c r="O538" s="490"/>
      <c r="P538" s="490"/>
      <c r="Q538" s="490"/>
      <c r="R538" s="490"/>
      <c r="S538" s="490"/>
      <c r="T538" s="490"/>
      <c r="U538" s="490"/>
      <c r="V538" s="490"/>
      <c r="W538" s="490"/>
      <c r="X538" s="490"/>
      <c r="Y538" s="490"/>
      <c r="Z538" s="490"/>
      <c r="AA538" s="490"/>
      <c r="AB538" s="490"/>
      <c r="AC538" s="490"/>
      <c r="AD538" s="490"/>
      <c r="AE538" s="490"/>
      <c r="AF538" s="490"/>
      <c r="AG538" s="490"/>
      <c r="AH538" s="490"/>
      <c r="AI538" s="490"/>
      <c r="AJ538" s="490"/>
      <c r="AK538" s="490"/>
      <c r="AL538" s="490"/>
      <c r="AM538" s="490"/>
      <c r="AN538" s="490"/>
      <c r="AO538" s="490"/>
      <c r="AP538" s="490"/>
      <c r="AQ538" s="490"/>
      <c r="AR538" s="490"/>
      <c r="AS538" s="490"/>
      <c r="AT538" s="490"/>
      <c r="AU538" s="490"/>
      <c r="AV538" s="490"/>
      <c r="AW538" s="490"/>
      <c r="AX538" s="490"/>
      <c r="AY538" s="490"/>
      <c r="AZ538" s="490"/>
      <c r="BA538" s="490"/>
      <c r="BB538" s="490"/>
      <c r="BC538" s="490"/>
      <c r="BD538" s="490"/>
      <c r="BE538" s="490"/>
      <c r="BF538" s="490"/>
      <c r="BG538" s="490"/>
      <c r="BH538" s="490"/>
      <c r="BI538" s="490"/>
      <c r="BJ538" s="490"/>
      <c r="BK538" s="490"/>
      <c r="BL538" s="490"/>
      <c r="BM538" s="490"/>
      <c r="BN538" s="490"/>
      <c r="BO538" s="490"/>
      <c r="BP538" s="490"/>
      <c r="BQ538" s="490"/>
      <c r="BR538" s="490"/>
      <c r="BS538" s="490"/>
      <c r="BT538" s="490"/>
      <c r="BU538" s="490"/>
      <c r="BV538" s="490"/>
      <c r="BW538" s="490"/>
      <c r="BX538" s="490"/>
      <c r="BY538" s="490"/>
      <c r="BZ538" s="490"/>
      <c r="CA538" s="490"/>
      <c r="CB538" s="490"/>
      <c r="CC538" s="490"/>
      <c r="CD538" s="490"/>
      <c r="CE538" s="490"/>
      <c r="CF538" s="490"/>
      <c r="CG538" s="490"/>
      <c r="CH538" s="490"/>
      <c r="CI538" s="490"/>
      <c r="CJ538" s="490"/>
      <c r="CK538" s="490"/>
      <c r="CL538" s="490"/>
      <c r="CM538" s="490"/>
      <c r="CN538" s="490"/>
      <c r="CO538" s="490"/>
      <c r="CP538" s="490"/>
      <c r="CQ538" s="490"/>
      <c r="CR538" s="490"/>
      <c r="CS538" s="490"/>
      <c r="CT538" s="490"/>
      <c r="CU538" s="490"/>
      <c r="CV538" s="490"/>
      <c r="CW538" s="490"/>
      <c r="CX538" s="490"/>
      <c r="CY538" s="490"/>
      <c r="CZ538" s="490"/>
      <c r="DA538" s="490"/>
      <c r="DB538" s="490"/>
      <c r="DC538" s="490"/>
      <c r="DD538" s="490"/>
      <c r="DE538" s="490"/>
      <c r="DF538" s="490"/>
      <c r="DG538" s="490"/>
      <c r="DH538" s="490"/>
      <c r="DI538" s="490"/>
      <c r="DJ538" s="490"/>
      <c r="DK538" s="490"/>
      <c r="DL538" s="490"/>
      <c r="DM538" s="490"/>
      <c r="DN538" s="490"/>
      <c r="DO538" s="490"/>
      <c r="DP538" s="490"/>
      <c r="DQ538" s="490"/>
      <c r="DR538" s="490"/>
      <c r="DS538" s="490"/>
      <c r="DT538" s="490"/>
      <c r="DU538" s="490"/>
      <c r="DV538" s="490"/>
      <c r="DW538" s="490"/>
      <c r="DX538" s="490"/>
      <c r="DY538" s="490"/>
      <c r="DZ538" s="490"/>
      <c r="EA538" s="490"/>
      <c r="EB538" s="490"/>
      <c r="EC538" s="490"/>
      <c r="ED538" s="490"/>
      <c r="EE538" s="490"/>
      <c r="EF538" s="490"/>
      <c r="EG538" s="490"/>
      <c r="EH538" s="490"/>
      <c r="EI538" s="490"/>
      <c r="EJ538" s="490"/>
      <c r="EK538" s="490"/>
      <c r="EL538" s="490"/>
      <c r="EM538" s="490"/>
      <c r="EN538" s="490"/>
      <c r="EO538" s="490"/>
      <c r="EP538" s="490"/>
      <c r="EQ538" s="490"/>
      <c r="ER538" s="490"/>
      <c r="ES538" s="490"/>
      <c r="ET538" s="490"/>
      <c r="EU538" s="490"/>
      <c r="EV538" s="490"/>
      <c r="EW538" s="490"/>
      <c r="EX538" s="490"/>
      <c r="EY538" s="490"/>
      <c r="EZ538" s="490"/>
      <c r="FA538" s="490"/>
      <c r="FB538" s="490"/>
      <c r="FC538" s="490"/>
      <c r="FD538" s="490"/>
      <c r="FE538" s="490"/>
      <c r="FF538" s="490"/>
      <c r="FG538" s="490"/>
      <c r="FH538" s="490"/>
      <c r="FI538" s="490"/>
      <c r="FJ538" s="490"/>
      <c r="FK538" s="490"/>
      <c r="FL538" s="490"/>
      <c r="FM538" s="490"/>
      <c r="FN538" s="490"/>
    </row>
    <row r="539" spans="1:170">
      <c r="A539" s="597">
        <v>46238</v>
      </c>
      <c r="B539" s="598" t="s">
        <v>907</v>
      </c>
      <c r="C539" s="599">
        <v>10</v>
      </c>
      <c r="D539" s="598" t="s">
        <v>536</v>
      </c>
      <c r="E539" s="598" t="s">
        <v>536</v>
      </c>
      <c r="F539" s="594" t="s">
        <v>73</v>
      </c>
      <c r="G539" s="595">
        <v>1.9153</v>
      </c>
      <c r="H539" s="595">
        <v>8.7</v>
      </c>
      <c r="I539" s="595" t="s">
        <v>17</v>
      </c>
      <c r="J539" s="595">
        <v>1.8</v>
      </c>
      <c r="K539" s="594" t="s">
        <v>35</v>
      </c>
      <c r="L539" s="575" t="s">
        <v>36</v>
      </c>
    </row>
    <row r="540" spans="1:170">
      <c r="A540" s="600"/>
      <c r="B540" s="601"/>
      <c r="C540" s="602"/>
      <c r="D540" s="601"/>
      <c r="E540" s="601"/>
      <c r="F540" s="594" t="s">
        <v>75</v>
      </c>
      <c r="G540" s="595">
        <v>1.9153</v>
      </c>
      <c r="H540" s="595">
        <v>0.4</v>
      </c>
      <c r="I540" s="595" t="s">
        <v>22</v>
      </c>
      <c r="J540" s="595">
        <v>1.85</v>
      </c>
      <c r="K540" s="596"/>
      <c r="L540" s="509"/>
    </row>
    <row r="541" spans="1:170">
      <c r="A541" s="600"/>
      <c r="B541" s="601"/>
      <c r="C541" s="602"/>
      <c r="D541" s="601"/>
      <c r="E541" s="601"/>
      <c r="F541" s="594" t="s">
        <v>509</v>
      </c>
      <c r="G541" s="595">
        <v>1.9153</v>
      </c>
      <c r="H541" s="595">
        <v>0.4</v>
      </c>
      <c r="I541" s="595" t="s">
        <v>64</v>
      </c>
      <c r="J541" s="595">
        <v>3.2</v>
      </c>
      <c r="K541" s="596"/>
      <c r="L541" s="509"/>
    </row>
    <row r="542" spans="1:170">
      <c r="A542" s="603"/>
      <c r="B542" s="604"/>
      <c r="C542" s="605"/>
      <c r="D542" s="604"/>
      <c r="E542" s="604"/>
      <c r="F542" s="594" t="s">
        <v>503</v>
      </c>
      <c r="G542" s="595">
        <v>3.8329</v>
      </c>
      <c r="H542" s="595">
        <v>0.5</v>
      </c>
      <c r="I542" s="595" t="s">
        <v>24</v>
      </c>
      <c r="J542" s="595" t="s">
        <v>24</v>
      </c>
      <c r="K542" s="596"/>
      <c r="L542" s="509"/>
    </row>
    <row r="543" spans="1:170">
      <c r="A543" s="593">
        <v>46238</v>
      </c>
      <c r="B543" s="594" t="s">
        <v>908</v>
      </c>
      <c r="C543" s="595">
        <v>10</v>
      </c>
      <c r="D543" s="594" t="s">
        <v>492</v>
      </c>
      <c r="E543" s="594" t="s">
        <v>492</v>
      </c>
      <c r="F543" s="594" t="s">
        <v>531</v>
      </c>
      <c r="G543" s="595">
        <v>1</v>
      </c>
      <c r="H543" s="595">
        <v>8.8</v>
      </c>
      <c r="I543" s="595" t="s">
        <v>17</v>
      </c>
      <c r="J543" s="595">
        <v>1.6</v>
      </c>
      <c r="K543" s="594" t="s">
        <v>129</v>
      </c>
      <c r="L543" s="586" t="s">
        <v>519</v>
      </c>
    </row>
    <row r="544" spans="1:170">
      <c r="A544" s="593"/>
      <c r="B544" s="596"/>
      <c r="C544" s="595"/>
      <c r="D544" s="596"/>
      <c r="E544" s="596"/>
      <c r="F544" s="594" t="s">
        <v>539</v>
      </c>
      <c r="G544" s="595">
        <v>1.0902</v>
      </c>
      <c r="H544" s="595">
        <v>0.6</v>
      </c>
      <c r="I544" s="595" t="s">
        <v>22</v>
      </c>
      <c r="J544" s="595">
        <v>1.75</v>
      </c>
      <c r="K544" s="596"/>
      <c r="L544" s="588"/>
    </row>
    <row r="545" spans="1:12">
      <c r="A545" s="593"/>
      <c r="B545" s="596"/>
      <c r="C545" s="595"/>
      <c r="D545" s="596"/>
      <c r="E545" s="596"/>
      <c r="F545" s="594" t="s">
        <v>503</v>
      </c>
      <c r="G545" s="595">
        <v>1.6694</v>
      </c>
      <c r="H545" s="595">
        <v>0.6</v>
      </c>
      <c r="I545" s="595" t="s">
        <v>24</v>
      </c>
      <c r="J545" s="595" t="s">
        <v>24</v>
      </c>
      <c r="K545" s="596"/>
      <c r="L545" s="589"/>
    </row>
    <row r="546" spans="1:12">
      <c r="A546" s="593">
        <v>46237</v>
      </c>
      <c r="B546" s="594" t="s">
        <v>909</v>
      </c>
      <c r="C546" s="595">
        <v>10</v>
      </c>
      <c r="D546" s="594" t="s">
        <v>492</v>
      </c>
      <c r="E546" s="594" t="s">
        <v>492</v>
      </c>
      <c r="F546" s="594" t="s">
        <v>531</v>
      </c>
      <c r="G546" s="595">
        <v>1</v>
      </c>
      <c r="H546" s="595">
        <v>8.8</v>
      </c>
      <c r="I546" s="595" t="s">
        <v>17</v>
      </c>
      <c r="J546" s="595">
        <v>1.6</v>
      </c>
      <c r="K546" s="594" t="s">
        <v>129</v>
      </c>
      <c r="L546" s="586" t="s">
        <v>519</v>
      </c>
    </row>
    <row r="547" spans="1:12">
      <c r="A547" s="593"/>
      <c r="B547" s="596"/>
      <c r="C547" s="595"/>
      <c r="D547" s="596"/>
      <c r="E547" s="596"/>
      <c r="F547" s="594" t="s">
        <v>539</v>
      </c>
      <c r="G547" s="595">
        <v>1.0847</v>
      </c>
      <c r="H547" s="595">
        <v>0.6</v>
      </c>
      <c r="I547" s="595" t="s">
        <v>22</v>
      </c>
      <c r="J547" s="595">
        <v>1.75</v>
      </c>
      <c r="K547" s="596"/>
      <c r="L547" s="588"/>
    </row>
    <row r="548" spans="1:12">
      <c r="A548" s="593"/>
      <c r="B548" s="596"/>
      <c r="C548" s="595"/>
      <c r="D548" s="596"/>
      <c r="E548" s="596"/>
      <c r="F548" s="594" t="s">
        <v>503</v>
      </c>
      <c r="G548" s="595">
        <v>1.6667</v>
      </c>
      <c r="H548" s="595">
        <v>0.6</v>
      </c>
      <c r="I548" s="595" t="s">
        <v>24</v>
      </c>
      <c r="J548" s="595" t="s">
        <v>24</v>
      </c>
      <c r="K548" s="596"/>
      <c r="L548" s="589"/>
    </row>
    <row r="549" spans="1:12">
      <c r="A549" s="593">
        <v>46234</v>
      </c>
      <c r="B549" s="594" t="s">
        <v>910</v>
      </c>
      <c r="C549" s="595">
        <v>10</v>
      </c>
      <c r="D549" s="594" t="s">
        <v>911</v>
      </c>
      <c r="E549" s="594" t="s">
        <v>484</v>
      </c>
      <c r="F549" s="594" t="s">
        <v>73</v>
      </c>
      <c r="G549" s="595">
        <v>0.8329</v>
      </c>
      <c r="H549" s="595">
        <v>9</v>
      </c>
      <c r="I549" s="595" t="s">
        <v>17</v>
      </c>
      <c r="J549" s="595">
        <v>1.6</v>
      </c>
      <c r="K549" s="598" t="s">
        <v>35</v>
      </c>
      <c r="L549" s="573" t="s">
        <v>912</v>
      </c>
    </row>
    <row r="550" spans="1:12">
      <c r="A550" s="593"/>
      <c r="B550" s="596"/>
      <c r="C550" s="595"/>
      <c r="D550" s="596"/>
      <c r="E550" s="596"/>
      <c r="F550" s="594" t="s">
        <v>75</v>
      </c>
      <c r="G550" s="595">
        <v>0.8329</v>
      </c>
      <c r="H550" s="595">
        <v>0.3</v>
      </c>
      <c r="I550" s="595" t="s">
        <v>22</v>
      </c>
      <c r="J550" s="595">
        <v>1.75</v>
      </c>
      <c r="K550" s="601"/>
      <c r="L550" s="545"/>
    </row>
    <row r="551" spans="1:12">
      <c r="A551" s="593"/>
      <c r="B551" s="596"/>
      <c r="C551" s="595"/>
      <c r="D551" s="596"/>
      <c r="E551" s="596"/>
      <c r="F551" s="594" t="s">
        <v>509</v>
      </c>
      <c r="G551" s="595">
        <v>0.8329</v>
      </c>
      <c r="H551" s="595">
        <v>0.2</v>
      </c>
      <c r="I551" s="595" t="s">
        <v>96</v>
      </c>
      <c r="J551" s="595">
        <v>3.1</v>
      </c>
      <c r="K551" s="601"/>
      <c r="L551" s="545"/>
    </row>
    <row r="552" spans="1:12">
      <c r="A552" s="593"/>
      <c r="B552" s="596"/>
      <c r="C552" s="595"/>
      <c r="D552" s="596"/>
      <c r="E552" s="596"/>
      <c r="F552" s="594" t="s">
        <v>503</v>
      </c>
      <c r="G552" s="595">
        <v>2.663</v>
      </c>
      <c r="H552" s="595">
        <v>0.5</v>
      </c>
      <c r="I552" s="595" t="s">
        <v>24</v>
      </c>
      <c r="J552" s="595" t="s">
        <v>24</v>
      </c>
      <c r="K552" s="604"/>
      <c r="L552" s="545"/>
    </row>
    <row r="553" spans="1:12">
      <c r="A553" s="593">
        <v>46234</v>
      </c>
      <c r="B553" s="594" t="s">
        <v>913</v>
      </c>
      <c r="C553" s="595">
        <v>5</v>
      </c>
      <c r="D553" s="594" t="s">
        <v>536</v>
      </c>
      <c r="E553" s="594" t="s">
        <v>536</v>
      </c>
      <c r="F553" s="594" t="s">
        <v>73</v>
      </c>
      <c r="G553" s="595">
        <v>0.98</v>
      </c>
      <c r="H553" s="595">
        <v>4.35</v>
      </c>
      <c r="I553" s="595" t="s">
        <v>17</v>
      </c>
      <c r="J553" s="595">
        <v>1.75</v>
      </c>
      <c r="K553" s="594" t="s">
        <v>27</v>
      </c>
      <c r="L553" s="591" t="s">
        <v>170</v>
      </c>
    </row>
    <row r="554" spans="1:12">
      <c r="A554" s="593"/>
      <c r="B554" s="596"/>
      <c r="C554" s="595"/>
      <c r="D554" s="596"/>
      <c r="E554" s="596"/>
      <c r="F554" s="594" t="s">
        <v>75</v>
      </c>
      <c r="G554" s="595">
        <v>0.98</v>
      </c>
      <c r="H554" s="595">
        <v>0.2</v>
      </c>
      <c r="I554" s="595" t="s">
        <v>22</v>
      </c>
      <c r="J554" s="595">
        <v>1.75</v>
      </c>
      <c r="K554" s="596"/>
      <c r="L554" s="527"/>
    </row>
    <row r="555" spans="1:12">
      <c r="A555" s="593"/>
      <c r="B555" s="596"/>
      <c r="C555" s="595"/>
      <c r="D555" s="596"/>
      <c r="E555" s="596"/>
      <c r="F555" s="594" t="s">
        <v>509</v>
      </c>
      <c r="G555" s="595">
        <v>1.5082</v>
      </c>
      <c r="H555" s="595">
        <v>0.2</v>
      </c>
      <c r="I555" s="595" t="s">
        <v>64</v>
      </c>
      <c r="J555" s="595">
        <v>3</v>
      </c>
      <c r="K555" s="596"/>
      <c r="L555" s="527"/>
    </row>
    <row r="556" spans="1:12">
      <c r="A556" s="597"/>
      <c r="B556" s="606"/>
      <c r="C556" s="599"/>
      <c r="D556" s="606"/>
      <c r="E556" s="606"/>
      <c r="F556" s="598" t="s">
        <v>503</v>
      </c>
      <c r="G556" s="599">
        <v>1.5082</v>
      </c>
      <c r="H556" s="599">
        <v>0.25</v>
      </c>
      <c r="I556" s="599" t="s">
        <v>24</v>
      </c>
      <c r="J556" s="599" t="s">
        <v>24</v>
      </c>
      <c r="K556" s="606"/>
      <c r="L556" s="526"/>
    </row>
    <row r="557" spans="1:12">
      <c r="A557" s="607">
        <v>46241</v>
      </c>
      <c r="B557" s="608" t="s">
        <v>914</v>
      </c>
      <c r="C557" s="609">
        <v>10</v>
      </c>
      <c r="D557" s="608" t="s">
        <v>915</v>
      </c>
      <c r="E557" s="608" t="s">
        <v>915</v>
      </c>
      <c r="F557" s="594" t="s">
        <v>531</v>
      </c>
      <c r="G557" s="610">
        <v>1.01</v>
      </c>
      <c r="H557" s="609">
        <v>8.9</v>
      </c>
      <c r="I557" s="609" t="s">
        <v>17</v>
      </c>
      <c r="J557" s="610">
        <v>1.57</v>
      </c>
      <c r="K557" s="608" t="s">
        <v>916</v>
      </c>
      <c r="L557" s="591" t="s">
        <v>846</v>
      </c>
    </row>
    <row r="558" spans="1:12">
      <c r="A558" s="611"/>
      <c r="B558" s="612"/>
      <c r="C558" s="613"/>
      <c r="D558" s="612"/>
      <c r="E558" s="612"/>
      <c r="F558" s="594" t="s">
        <v>539</v>
      </c>
      <c r="G558" s="610">
        <v>1.17</v>
      </c>
      <c r="H558" s="609">
        <v>0.5</v>
      </c>
      <c r="I558" s="609" t="s">
        <v>22</v>
      </c>
      <c r="J558" s="610">
        <v>1.75</v>
      </c>
      <c r="K558" s="612"/>
      <c r="L558" s="527"/>
    </row>
    <row r="559" spans="1:12">
      <c r="A559" s="611"/>
      <c r="B559" s="612"/>
      <c r="C559" s="613"/>
      <c r="D559" s="612"/>
      <c r="E559" s="612"/>
      <c r="F559" s="594" t="s">
        <v>503</v>
      </c>
      <c r="G559" s="610">
        <v>1.75</v>
      </c>
      <c r="H559" s="609">
        <v>0.6</v>
      </c>
      <c r="I559" s="599" t="s">
        <v>24</v>
      </c>
      <c r="J559" s="599" t="s">
        <v>24</v>
      </c>
      <c r="K559" s="612"/>
      <c r="L559" s="527"/>
    </row>
    <row r="560" spans="1:12">
      <c r="A560" s="607">
        <v>46246</v>
      </c>
      <c r="B560" s="608" t="s">
        <v>917</v>
      </c>
      <c r="C560" s="609">
        <v>5</v>
      </c>
      <c r="D560" s="608" t="s">
        <v>915</v>
      </c>
      <c r="E560" s="608" t="s">
        <v>915</v>
      </c>
      <c r="F560" s="594" t="s">
        <v>73</v>
      </c>
      <c r="G560" s="610">
        <v>1.92</v>
      </c>
      <c r="H560" s="609">
        <v>4.35</v>
      </c>
      <c r="I560" s="609" t="s">
        <v>17</v>
      </c>
      <c r="J560" s="609">
        <v>1.8</v>
      </c>
      <c r="K560" s="608" t="s">
        <v>918</v>
      </c>
      <c r="L560" s="575" t="s">
        <v>36</v>
      </c>
    </row>
    <row r="561" spans="1:12">
      <c r="A561" s="611"/>
      <c r="B561" s="612"/>
      <c r="C561" s="613"/>
      <c r="D561" s="612"/>
      <c r="E561" s="612"/>
      <c r="F561" s="594" t="s">
        <v>75</v>
      </c>
      <c r="G561" s="610">
        <v>1.92</v>
      </c>
      <c r="H561" s="609">
        <v>0.2</v>
      </c>
      <c r="I561" s="609" t="s">
        <v>22</v>
      </c>
      <c r="J561" s="609">
        <v>1.85</v>
      </c>
      <c r="K561" s="612"/>
      <c r="L561" s="509"/>
    </row>
    <row r="562" spans="1:12">
      <c r="A562" s="611"/>
      <c r="B562" s="612"/>
      <c r="C562" s="613"/>
      <c r="D562" s="612"/>
      <c r="E562" s="612"/>
      <c r="F562" s="594" t="s">
        <v>509</v>
      </c>
      <c r="G562" s="610">
        <v>2</v>
      </c>
      <c r="H562" s="609">
        <v>0.2</v>
      </c>
      <c r="I562" s="609" t="s">
        <v>64</v>
      </c>
      <c r="J562" s="609">
        <v>3.2</v>
      </c>
      <c r="K562" s="612"/>
      <c r="L562" s="509"/>
    </row>
    <row r="563" spans="1:12">
      <c r="A563" s="611"/>
      <c r="B563" s="612"/>
      <c r="C563" s="613"/>
      <c r="D563" s="612"/>
      <c r="E563" s="612"/>
      <c r="F563" s="594" t="s">
        <v>503</v>
      </c>
      <c r="G563" s="610">
        <v>3.83</v>
      </c>
      <c r="H563" s="609">
        <v>0.25</v>
      </c>
      <c r="I563" s="599" t="s">
        <v>24</v>
      </c>
      <c r="J563" s="599" t="s">
        <v>24</v>
      </c>
      <c r="K563" s="612"/>
      <c r="L563" s="509"/>
    </row>
    <row r="564" spans="1:12">
      <c r="A564" s="607">
        <v>46246</v>
      </c>
      <c r="B564" s="608" t="s">
        <v>919</v>
      </c>
      <c r="C564" s="609">
        <v>9.4</v>
      </c>
      <c r="D564" s="608" t="s">
        <v>920</v>
      </c>
      <c r="E564" s="608" t="s">
        <v>921</v>
      </c>
      <c r="F564" s="594" t="s">
        <v>73</v>
      </c>
      <c r="G564" s="610">
        <v>1</v>
      </c>
      <c r="H564" s="609">
        <v>8.8</v>
      </c>
      <c r="I564" s="609" t="s">
        <v>17</v>
      </c>
      <c r="J564" s="609">
        <v>1.59</v>
      </c>
      <c r="K564" s="608" t="s">
        <v>922</v>
      </c>
      <c r="L564" s="526" t="s">
        <v>95</v>
      </c>
    </row>
    <row r="565" spans="1:12">
      <c r="A565" s="611"/>
      <c r="B565" s="612"/>
      <c r="C565" s="613"/>
      <c r="D565" s="612"/>
      <c r="E565" s="612"/>
      <c r="F565" s="594" t="s">
        <v>75</v>
      </c>
      <c r="G565" s="610">
        <v>1</v>
      </c>
      <c r="H565" s="609">
        <v>0.6</v>
      </c>
      <c r="I565" s="609" t="s">
        <v>22</v>
      </c>
      <c r="J565" s="609">
        <v>1.8</v>
      </c>
      <c r="K565" s="612"/>
      <c r="L565" s="534"/>
    </row>
    <row r="566" spans="1:12">
      <c r="A566" s="607">
        <v>46247</v>
      </c>
      <c r="B566" s="608" t="s">
        <v>923</v>
      </c>
      <c r="C566" s="609">
        <v>10</v>
      </c>
      <c r="D566" s="608" t="s">
        <v>924</v>
      </c>
      <c r="E566" s="608" t="s">
        <v>925</v>
      </c>
      <c r="F566" s="594" t="s">
        <v>73</v>
      </c>
      <c r="G566" s="610">
        <v>0.83</v>
      </c>
      <c r="H566" s="609">
        <v>9</v>
      </c>
      <c r="I566" s="609" t="s">
        <v>17</v>
      </c>
      <c r="J566" s="609">
        <v>1.58</v>
      </c>
      <c r="K566" s="608" t="s">
        <v>918</v>
      </c>
      <c r="L566" s="573" t="s">
        <v>912</v>
      </c>
    </row>
    <row r="567" spans="1:12">
      <c r="A567" s="611"/>
      <c r="B567" s="612"/>
      <c r="C567" s="613"/>
      <c r="D567" s="612"/>
      <c r="E567" s="612"/>
      <c r="F567" s="594" t="s">
        <v>75</v>
      </c>
      <c r="G567" s="610">
        <v>0.83</v>
      </c>
      <c r="H567" s="609">
        <v>0.3</v>
      </c>
      <c r="I567" s="609" t="s">
        <v>22</v>
      </c>
      <c r="J567" s="609">
        <v>1.8</v>
      </c>
      <c r="K567" s="612"/>
      <c r="L567" s="545"/>
    </row>
    <row r="568" spans="1:12">
      <c r="A568" s="611"/>
      <c r="B568" s="612"/>
      <c r="C568" s="613"/>
      <c r="D568" s="612"/>
      <c r="E568" s="612"/>
      <c r="F568" s="594" t="s">
        <v>509</v>
      </c>
      <c r="G568" s="610">
        <v>0.83</v>
      </c>
      <c r="H568" s="609">
        <v>0.2</v>
      </c>
      <c r="I568" s="609" t="s">
        <v>96</v>
      </c>
      <c r="J568" s="609">
        <v>3.1</v>
      </c>
      <c r="K568" s="612"/>
      <c r="L568" s="545"/>
    </row>
    <row r="569" spans="1:12">
      <c r="A569" s="611"/>
      <c r="B569" s="612"/>
      <c r="C569" s="613"/>
      <c r="D569" s="612"/>
      <c r="E569" s="612"/>
      <c r="F569" s="594" t="s">
        <v>503</v>
      </c>
      <c r="G569" s="610">
        <v>2.67</v>
      </c>
      <c r="H569" s="609">
        <v>0.5</v>
      </c>
      <c r="I569" s="599" t="s">
        <v>24</v>
      </c>
      <c r="J569" s="599" t="s">
        <v>24</v>
      </c>
      <c r="K569" s="612"/>
      <c r="L569" s="545"/>
    </row>
    <row r="570" spans="1:12">
      <c r="A570" s="607">
        <v>46247</v>
      </c>
      <c r="B570" s="608" t="s">
        <v>926</v>
      </c>
      <c r="C570" s="609">
        <v>10</v>
      </c>
      <c r="D570" s="608" t="s">
        <v>921</v>
      </c>
      <c r="E570" s="608" t="s">
        <v>921</v>
      </c>
      <c r="F570" s="594" t="s">
        <v>73</v>
      </c>
      <c r="G570" s="610">
        <v>1.7</v>
      </c>
      <c r="H570" s="609">
        <v>8.9</v>
      </c>
      <c r="I570" s="609" t="s">
        <v>17</v>
      </c>
      <c r="J570" s="609">
        <v>1.8</v>
      </c>
      <c r="K570" s="608" t="s">
        <v>927</v>
      </c>
      <c r="L570" s="559"/>
    </row>
    <row r="571" spans="1:12">
      <c r="A571" s="611"/>
      <c r="B571" s="612"/>
      <c r="C571" s="613"/>
      <c r="D571" s="612"/>
      <c r="E571" s="612"/>
      <c r="F571" s="594" t="s">
        <v>75</v>
      </c>
      <c r="G571" s="610">
        <v>1.95</v>
      </c>
      <c r="H571" s="609">
        <v>0.35</v>
      </c>
      <c r="I571" s="609" t="s">
        <v>22</v>
      </c>
      <c r="J571" s="609">
        <v>1.89</v>
      </c>
      <c r="K571" s="612"/>
      <c r="L571" s="569"/>
    </row>
    <row r="572" spans="1:12">
      <c r="A572" s="611"/>
      <c r="B572" s="612"/>
      <c r="C572" s="613"/>
      <c r="D572" s="612"/>
      <c r="E572" s="612"/>
      <c r="F572" s="594" t="s">
        <v>503</v>
      </c>
      <c r="G572" s="610">
        <v>2.45</v>
      </c>
      <c r="H572" s="609">
        <v>0.75</v>
      </c>
      <c r="I572" s="599" t="s">
        <v>24</v>
      </c>
      <c r="J572" s="599" t="s">
        <v>24</v>
      </c>
      <c r="K572" s="612"/>
      <c r="L572" s="570"/>
    </row>
    <row r="573" spans="1:12">
      <c r="A573" s="607">
        <v>46247</v>
      </c>
      <c r="B573" s="608" t="s">
        <v>928</v>
      </c>
      <c r="C573" s="609">
        <v>10</v>
      </c>
      <c r="D573" s="608" t="s">
        <v>929</v>
      </c>
      <c r="E573" s="608" t="s">
        <v>929</v>
      </c>
      <c r="F573" s="594" t="s">
        <v>531</v>
      </c>
      <c r="G573" s="610">
        <v>1.5</v>
      </c>
      <c r="H573" s="609">
        <v>8.9</v>
      </c>
      <c r="I573" s="609" t="s">
        <v>17</v>
      </c>
      <c r="J573" s="609">
        <v>1.85</v>
      </c>
      <c r="K573" s="608" t="s">
        <v>916</v>
      </c>
      <c r="L573" s="591" t="s">
        <v>846</v>
      </c>
    </row>
    <row r="574" spans="1:12">
      <c r="A574" s="611"/>
      <c r="B574" s="612"/>
      <c r="C574" s="613"/>
      <c r="D574" s="612"/>
      <c r="E574" s="612"/>
      <c r="F574" s="594" t="s">
        <v>539</v>
      </c>
      <c r="G574" s="610">
        <v>1.58</v>
      </c>
      <c r="H574" s="609">
        <v>0.4</v>
      </c>
      <c r="I574" s="609" t="s">
        <v>22</v>
      </c>
      <c r="J574" s="609">
        <v>1.89</v>
      </c>
      <c r="K574" s="612"/>
      <c r="L574" s="527"/>
    </row>
    <row r="575" spans="1:12">
      <c r="A575" s="611"/>
      <c r="B575" s="612"/>
      <c r="C575" s="613"/>
      <c r="D575" s="612"/>
      <c r="E575" s="612"/>
      <c r="F575" s="594" t="s">
        <v>503</v>
      </c>
      <c r="G575" s="610">
        <v>2.25</v>
      </c>
      <c r="H575" s="609">
        <v>0.7</v>
      </c>
      <c r="I575" s="599" t="s">
        <v>24</v>
      </c>
      <c r="J575" s="599" t="s">
        <v>24</v>
      </c>
      <c r="K575" s="612"/>
      <c r="L575" s="527"/>
    </row>
    <row r="576" spans="1:12">
      <c r="A576" s="607">
        <v>46248</v>
      </c>
      <c r="B576" s="608" t="s">
        <v>930</v>
      </c>
      <c r="C576" s="609">
        <v>10</v>
      </c>
      <c r="D576" s="608" t="s">
        <v>915</v>
      </c>
      <c r="E576" s="608" t="s">
        <v>915</v>
      </c>
      <c r="F576" s="594" t="s">
        <v>73</v>
      </c>
      <c r="G576" s="610">
        <v>1.7</v>
      </c>
      <c r="H576" s="609">
        <v>8.9</v>
      </c>
      <c r="I576" s="609" t="s">
        <v>17</v>
      </c>
      <c r="J576" s="609">
        <v>1.78</v>
      </c>
      <c r="K576" s="608" t="s">
        <v>927</v>
      </c>
      <c r="L576" s="559"/>
    </row>
    <row r="577" spans="1:12">
      <c r="A577" s="611"/>
      <c r="B577" s="612"/>
      <c r="C577" s="613"/>
      <c r="D577" s="612"/>
      <c r="E577" s="612"/>
      <c r="F577" s="594" t="s">
        <v>75</v>
      </c>
      <c r="G577" s="610">
        <v>1.95</v>
      </c>
      <c r="H577" s="609">
        <v>0.35</v>
      </c>
      <c r="I577" s="609" t="s">
        <v>22</v>
      </c>
      <c r="J577" s="609">
        <v>1.89</v>
      </c>
      <c r="K577" s="612"/>
      <c r="L577" s="569"/>
    </row>
    <row r="578" spans="1:12">
      <c r="A578" s="611"/>
      <c r="B578" s="612"/>
      <c r="C578" s="613"/>
      <c r="D578" s="612"/>
      <c r="E578" s="612"/>
      <c r="F578" s="594" t="s">
        <v>503</v>
      </c>
      <c r="G578" s="610">
        <v>2.45</v>
      </c>
      <c r="H578" s="609">
        <v>0.75</v>
      </c>
      <c r="I578" s="599" t="s">
        <v>24</v>
      </c>
      <c r="J578" s="599" t="s">
        <v>24</v>
      </c>
      <c r="K578" s="612"/>
      <c r="L578" s="570"/>
    </row>
    <row r="579" spans="1:12">
      <c r="A579" s="607">
        <v>46248</v>
      </c>
      <c r="B579" s="608" t="s">
        <v>931</v>
      </c>
      <c r="C579" s="609">
        <v>12</v>
      </c>
      <c r="D579" s="608" t="s">
        <v>932</v>
      </c>
      <c r="E579" s="608" t="s">
        <v>921</v>
      </c>
      <c r="F579" s="515" t="s">
        <v>220</v>
      </c>
      <c r="G579" s="610">
        <v>1</v>
      </c>
      <c r="H579" s="609">
        <v>3.6</v>
      </c>
      <c r="I579" s="609" t="s">
        <v>17</v>
      </c>
      <c r="J579" s="609">
        <v>1.58</v>
      </c>
      <c r="K579" s="608" t="s">
        <v>922</v>
      </c>
      <c r="L579" s="545" t="s">
        <v>256</v>
      </c>
    </row>
    <row r="580" spans="1:12">
      <c r="A580" s="611"/>
      <c r="B580" s="612"/>
      <c r="C580" s="613"/>
      <c r="D580" s="612"/>
      <c r="E580" s="612"/>
      <c r="F580" s="515" t="s">
        <v>221</v>
      </c>
      <c r="G580" s="610">
        <v>1</v>
      </c>
      <c r="H580" s="609">
        <v>6.96</v>
      </c>
      <c r="I580" s="609" t="s">
        <v>17</v>
      </c>
      <c r="J580" s="609">
        <v>1.58</v>
      </c>
      <c r="K580" s="612"/>
      <c r="L580" s="545"/>
    </row>
    <row r="581" spans="1:12">
      <c r="A581" s="611"/>
      <c r="B581" s="612"/>
      <c r="C581" s="613"/>
      <c r="D581" s="612"/>
      <c r="E581" s="612"/>
      <c r="F581" s="515" t="s">
        <v>75</v>
      </c>
      <c r="G581" s="610">
        <v>1</v>
      </c>
      <c r="H581" s="609">
        <v>0.72</v>
      </c>
      <c r="I581" s="609" t="s">
        <v>22</v>
      </c>
      <c r="J581" s="609">
        <v>1.7</v>
      </c>
      <c r="K581" s="612"/>
      <c r="L581" s="545"/>
    </row>
    <row r="582" spans="1:12">
      <c r="A582" s="611"/>
      <c r="B582" s="612"/>
      <c r="C582" s="613"/>
      <c r="D582" s="612"/>
      <c r="E582" s="612"/>
      <c r="F582" s="594" t="s">
        <v>503</v>
      </c>
      <c r="G582" s="610">
        <v>3</v>
      </c>
      <c r="H582" s="609">
        <v>0.72</v>
      </c>
      <c r="I582" s="599" t="s">
        <v>24</v>
      </c>
      <c r="J582" s="599" t="s">
        <v>24</v>
      </c>
      <c r="K582" s="612"/>
      <c r="L582" s="545"/>
    </row>
    <row r="583" spans="1:12">
      <c r="A583" s="607">
        <v>46248</v>
      </c>
      <c r="B583" s="608" t="s">
        <v>933</v>
      </c>
      <c r="C583" s="609">
        <v>10</v>
      </c>
      <c r="D583" s="608" t="s">
        <v>929</v>
      </c>
      <c r="E583" s="608" t="s">
        <v>929</v>
      </c>
      <c r="F583" s="594" t="s">
        <v>531</v>
      </c>
      <c r="G583" s="610">
        <v>1.5</v>
      </c>
      <c r="H583" s="609">
        <v>8.9</v>
      </c>
      <c r="I583" s="609" t="s">
        <v>17</v>
      </c>
      <c r="J583" s="609">
        <v>1.75</v>
      </c>
      <c r="K583" s="608" t="s">
        <v>916</v>
      </c>
      <c r="L583" s="591" t="s">
        <v>846</v>
      </c>
    </row>
    <row r="584" spans="1:12">
      <c r="A584" s="611"/>
      <c r="B584" s="612"/>
      <c r="C584" s="613"/>
      <c r="D584" s="612"/>
      <c r="E584" s="612"/>
      <c r="F584" s="594" t="s">
        <v>539</v>
      </c>
      <c r="G584" s="610">
        <v>1.58</v>
      </c>
      <c r="H584" s="609">
        <v>0.4</v>
      </c>
      <c r="I584" s="609" t="s">
        <v>22</v>
      </c>
      <c r="J584" s="609">
        <v>1.89</v>
      </c>
      <c r="K584" s="612"/>
      <c r="L584" s="527"/>
    </row>
    <row r="585" spans="1:12">
      <c r="A585" s="611"/>
      <c r="B585" s="612"/>
      <c r="C585" s="613"/>
      <c r="D585" s="612"/>
      <c r="E585" s="612"/>
      <c r="F585" s="594" t="s">
        <v>503</v>
      </c>
      <c r="G585" s="610">
        <v>2.25</v>
      </c>
      <c r="H585" s="609">
        <v>0.7</v>
      </c>
      <c r="I585" s="599" t="s">
        <v>24</v>
      </c>
      <c r="J585" s="599" t="s">
        <v>24</v>
      </c>
      <c r="K585" s="612"/>
      <c r="L585" s="527"/>
    </row>
    <row r="586" spans="1:12">
      <c r="A586" s="499">
        <v>46254</v>
      </c>
      <c r="B586" s="500" t="s">
        <v>934</v>
      </c>
      <c r="C586" s="501">
        <v>10</v>
      </c>
      <c r="D586" s="500" t="s">
        <v>214</v>
      </c>
      <c r="E586" s="500" t="s">
        <v>359</v>
      </c>
      <c r="F586" s="596" t="s">
        <v>73</v>
      </c>
      <c r="G586" s="501">
        <v>1.53</v>
      </c>
      <c r="H586" s="501">
        <v>8.9</v>
      </c>
      <c r="I586" s="501" t="s">
        <v>17</v>
      </c>
      <c r="J586" s="501">
        <v>1.75</v>
      </c>
      <c r="K586" s="500" t="s">
        <v>935</v>
      </c>
      <c r="L586" s="500"/>
    </row>
    <row r="587" spans="1:12">
      <c r="A587" s="614"/>
      <c r="B587" s="615"/>
      <c r="C587" s="616"/>
      <c r="D587" s="615"/>
      <c r="E587" s="615"/>
      <c r="F587" s="596" t="s">
        <v>75</v>
      </c>
      <c r="G587" s="501">
        <v>1.78</v>
      </c>
      <c r="H587" s="501">
        <v>0.35</v>
      </c>
      <c r="I587" s="501" t="s">
        <v>22</v>
      </c>
      <c r="J587" s="501">
        <v>1.89</v>
      </c>
      <c r="K587" s="615"/>
      <c r="L587" s="615"/>
    </row>
    <row r="588" spans="1:12">
      <c r="A588" s="617"/>
      <c r="B588" s="618"/>
      <c r="C588" s="619"/>
      <c r="D588" s="618"/>
      <c r="E588" s="618"/>
      <c r="F588" s="596" t="s">
        <v>91</v>
      </c>
      <c r="G588" s="501">
        <v>2.28</v>
      </c>
      <c r="H588" s="501">
        <v>0.75</v>
      </c>
      <c r="I588" s="501" t="s">
        <v>24</v>
      </c>
      <c r="J588" s="501" t="s">
        <v>24</v>
      </c>
      <c r="K588" s="618"/>
      <c r="L588" s="618"/>
    </row>
    <row r="589" spans="1:12">
      <c r="A589" s="499">
        <v>46254</v>
      </c>
      <c r="B589" s="500" t="s">
        <v>936</v>
      </c>
      <c r="C589" s="501">
        <v>5</v>
      </c>
      <c r="D589" s="500" t="s">
        <v>194</v>
      </c>
      <c r="E589" s="500" t="s">
        <v>194</v>
      </c>
      <c r="F589" s="596" t="s">
        <v>128</v>
      </c>
      <c r="G589" s="620">
        <v>0.75</v>
      </c>
      <c r="H589" s="501">
        <v>4.5</v>
      </c>
      <c r="I589" s="501" t="s">
        <v>17</v>
      </c>
      <c r="J589" s="501">
        <v>1.62</v>
      </c>
      <c r="K589" s="590" t="s">
        <v>129</v>
      </c>
      <c r="L589" s="543" t="s">
        <v>691</v>
      </c>
    </row>
    <row r="590" spans="1:12">
      <c r="A590" s="614"/>
      <c r="B590" s="615"/>
      <c r="C590" s="616"/>
      <c r="D590" s="615"/>
      <c r="E590" s="615"/>
      <c r="F590" s="596" t="s">
        <v>131</v>
      </c>
      <c r="G590" s="621">
        <v>1</v>
      </c>
      <c r="H590" s="501">
        <v>0.2</v>
      </c>
      <c r="I590" s="501" t="s">
        <v>22</v>
      </c>
      <c r="J590" s="501">
        <v>1.77</v>
      </c>
      <c r="K590" s="615"/>
      <c r="L590" s="543"/>
    </row>
    <row r="591" spans="1:12">
      <c r="A591" s="617"/>
      <c r="B591" s="618"/>
      <c r="C591" s="619"/>
      <c r="D591" s="618"/>
      <c r="E591" s="618"/>
      <c r="F591" s="596" t="s">
        <v>91</v>
      </c>
      <c r="G591" s="621">
        <v>1.5</v>
      </c>
      <c r="H591" s="501">
        <v>0.3</v>
      </c>
      <c r="I591" s="501" t="s">
        <v>24</v>
      </c>
      <c r="J591" s="501" t="s">
        <v>24</v>
      </c>
      <c r="K591" s="618"/>
      <c r="L591" s="543"/>
    </row>
    <row r="592" spans="1:12">
      <c r="A592" s="499">
        <v>46255</v>
      </c>
      <c r="B592" s="500" t="s">
        <v>937</v>
      </c>
      <c r="C592" s="501">
        <v>10</v>
      </c>
      <c r="D592" s="500" t="s">
        <v>480</v>
      </c>
      <c r="E592" s="500" t="s">
        <v>480</v>
      </c>
      <c r="F592" s="596" t="s">
        <v>128</v>
      </c>
      <c r="G592" s="501">
        <v>1.5</v>
      </c>
      <c r="H592" s="501">
        <v>8.9</v>
      </c>
      <c r="I592" s="501" t="s">
        <v>17</v>
      </c>
      <c r="J592" s="501">
        <v>1.73</v>
      </c>
      <c r="K592" s="500" t="s">
        <v>780</v>
      </c>
      <c r="L592" s="591" t="s">
        <v>846</v>
      </c>
    </row>
    <row r="593" spans="1:12">
      <c r="A593" s="614"/>
      <c r="B593" s="615"/>
      <c r="C593" s="616"/>
      <c r="D593" s="615"/>
      <c r="E593" s="615"/>
      <c r="F593" s="596" t="s">
        <v>131</v>
      </c>
      <c r="G593" s="501">
        <v>1.58</v>
      </c>
      <c r="H593" s="501">
        <v>0.4</v>
      </c>
      <c r="I593" s="501" t="s">
        <v>22</v>
      </c>
      <c r="J593" s="501">
        <v>1.89</v>
      </c>
      <c r="K593" s="615"/>
      <c r="L593" s="527"/>
    </row>
    <row r="594" spans="1:12">
      <c r="A594" s="617"/>
      <c r="B594" s="618"/>
      <c r="C594" s="619"/>
      <c r="D594" s="618"/>
      <c r="E594" s="618"/>
      <c r="F594" s="596" t="s">
        <v>91</v>
      </c>
      <c r="G594" s="501">
        <v>2.25</v>
      </c>
      <c r="H594" s="501">
        <v>0.7</v>
      </c>
      <c r="I594" s="501" t="s">
        <v>24</v>
      </c>
      <c r="J594" s="501" t="s">
        <v>24</v>
      </c>
      <c r="K594" s="618"/>
      <c r="L594" s="527"/>
    </row>
    <row r="595" spans="1:12">
      <c r="A595" s="499">
        <v>46252</v>
      </c>
      <c r="B595" s="500" t="s">
        <v>938</v>
      </c>
      <c r="C595" s="501">
        <v>10</v>
      </c>
      <c r="D595" s="500" t="s">
        <v>82</v>
      </c>
      <c r="E595" s="500" t="s">
        <v>82</v>
      </c>
      <c r="F595" s="510" t="s">
        <v>26</v>
      </c>
      <c r="G595" s="620">
        <v>1.91</v>
      </c>
      <c r="H595" s="501">
        <v>8.4</v>
      </c>
      <c r="I595" s="501" t="s">
        <v>17</v>
      </c>
      <c r="J595" s="501">
        <v>1.65</v>
      </c>
      <c r="K595" s="500" t="s">
        <v>887</v>
      </c>
      <c r="L595" s="500"/>
    </row>
    <row r="596" spans="1:12">
      <c r="A596" s="614"/>
      <c r="B596" s="615"/>
      <c r="C596" s="616"/>
      <c r="D596" s="615"/>
      <c r="E596" s="615"/>
      <c r="F596" s="510" t="s">
        <v>21</v>
      </c>
      <c r="G596" s="620">
        <v>1.86</v>
      </c>
      <c r="H596" s="501">
        <v>0.5</v>
      </c>
      <c r="I596" s="501" t="s">
        <v>22</v>
      </c>
      <c r="J596" s="501">
        <v>1.72</v>
      </c>
      <c r="K596" s="615"/>
      <c r="L596" s="615"/>
    </row>
    <row r="597" spans="1:12">
      <c r="A597" s="614"/>
      <c r="B597" s="615"/>
      <c r="C597" s="616"/>
      <c r="D597" s="615"/>
      <c r="E597" s="615"/>
      <c r="F597" s="510" t="s">
        <v>43</v>
      </c>
      <c r="G597" s="620">
        <v>1.97</v>
      </c>
      <c r="H597" s="501">
        <v>0.3</v>
      </c>
      <c r="I597" s="501" t="s">
        <v>44</v>
      </c>
      <c r="J597" s="501">
        <v>1.9</v>
      </c>
      <c r="K597" s="615"/>
      <c r="L597" s="615"/>
    </row>
    <row r="598" spans="1:12">
      <c r="A598" s="617"/>
      <c r="B598" s="618"/>
      <c r="C598" s="619"/>
      <c r="D598" s="618"/>
      <c r="E598" s="618"/>
      <c r="F598" s="510" t="s">
        <v>23</v>
      </c>
      <c r="G598" s="620">
        <v>2.59</v>
      </c>
      <c r="H598" s="501">
        <v>0.8</v>
      </c>
      <c r="I598" s="501" t="s">
        <v>24</v>
      </c>
      <c r="J598" s="501" t="s">
        <v>24</v>
      </c>
      <c r="K598" s="618"/>
      <c r="L598" s="618"/>
    </row>
    <row r="599" spans="1:12">
      <c r="A599" s="499">
        <v>46252</v>
      </c>
      <c r="B599" s="500" t="s">
        <v>939</v>
      </c>
      <c r="C599" s="501">
        <v>10</v>
      </c>
      <c r="D599" s="500" t="s">
        <v>214</v>
      </c>
      <c r="E599" s="500" t="s">
        <v>359</v>
      </c>
      <c r="F599" s="596" t="s">
        <v>73</v>
      </c>
      <c r="G599" s="501">
        <v>1.54</v>
      </c>
      <c r="H599" s="501">
        <v>8.9</v>
      </c>
      <c r="I599" s="501" t="s">
        <v>17</v>
      </c>
      <c r="J599" s="501">
        <v>1.75</v>
      </c>
      <c r="K599" s="500" t="s">
        <v>935</v>
      </c>
      <c r="L599" s="500"/>
    </row>
    <row r="600" spans="1:12">
      <c r="A600" s="614"/>
      <c r="B600" s="615"/>
      <c r="C600" s="616"/>
      <c r="D600" s="615"/>
      <c r="E600" s="615"/>
      <c r="F600" s="596" t="s">
        <v>75</v>
      </c>
      <c r="G600" s="501">
        <v>1.78</v>
      </c>
      <c r="H600" s="501">
        <v>0.35</v>
      </c>
      <c r="I600" s="501" t="s">
        <v>22</v>
      </c>
      <c r="J600" s="501">
        <v>1.89</v>
      </c>
      <c r="K600" s="615"/>
      <c r="L600" s="615"/>
    </row>
    <row r="601" spans="1:12">
      <c r="A601" s="617"/>
      <c r="B601" s="618"/>
      <c r="C601" s="619"/>
      <c r="D601" s="618"/>
      <c r="E601" s="618"/>
      <c r="F601" s="596" t="s">
        <v>91</v>
      </c>
      <c r="G601" s="501">
        <v>2.28</v>
      </c>
      <c r="H601" s="501">
        <v>0.75</v>
      </c>
      <c r="I601" s="501" t="s">
        <v>24</v>
      </c>
      <c r="J601" s="501" t="s">
        <v>24</v>
      </c>
      <c r="K601" s="618"/>
      <c r="L601" s="618"/>
    </row>
    <row r="602" spans="1:12">
      <c r="A602" s="499">
        <v>46255</v>
      </c>
      <c r="B602" s="500" t="s">
        <v>940</v>
      </c>
      <c r="C602" s="501">
        <v>5</v>
      </c>
      <c r="D602" s="500" t="s">
        <v>194</v>
      </c>
      <c r="E602" s="500" t="s">
        <v>194</v>
      </c>
      <c r="F602" s="596" t="s">
        <v>128</v>
      </c>
      <c r="G602" s="501">
        <v>1.01</v>
      </c>
      <c r="H602" s="501">
        <v>4.5</v>
      </c>
      <c r="I602" s="501" t="s">
        <v>17</v>
      </c>
      <c r="J602" s="501">
        <v>1.62</v>
      </c>
      <c r="K602" s="500" t="s">
        <v>780</v>
      </c>
      <c r="L602" s="543" t="s">
        <v>691</v>
      </c>
    </row>
    <row r="603" spans="1:12">
      <c r="A603" s="614"/>
      <c r="B603" s="615"/>
      <c r="C603" s="616"/>
      <c r="D603" s="615"/>
      <c r="E603" s="615"/>
      <c r="F603" s="596" t="s">
        <v>131</v>
      </c>
      <c r="G603" s="501">
        <v>1.25</v>
      </c>
      <c r="H603" s="501">
        <v>0.2</v>
      </c>
      <c r="I603" s="501" t="s">
        <v>22</v>
      </c>
      <c r="J603" s="501">
        <v>1.77</v>
      </c>
      <c r="K603" s="615"/>
      <c r="L603" s="543"/>
    </row>
    <row r="604" spans="1:12">
      <c r="A604" s="617"/>
      <c r="B604" s="618"/>
      <c r="C604" s="619"/>
      <c r="D604" s="618"/>
      <c r="E604" s="618"/>
      <c r="F604" s="596" t="s">
        <v>91</v>
      </c>
      <c r="G604" s="501">
        <v>1.75</v>
      </c>
      <c r="H604" s="501">
        <v>0.3</v>
      </c>
      <c r="I604" s="501" t="s">
        <v>24</v>
      </c>
      <c r="J604" s="501" t="s">
        <v>24</v>
      </c>
      <c r="K604" s="618"/>
      <c r="L604" s="543"/>
    </row>
    <row r="605" spans="1:12">
      <c r="A605" s="499">
        <v>46247</v>
      </c>
      <c r="B605" s="500" t="s">
        <v>941</v>
      </c>
      <c r="C605" s="501">
        <v>4</v>
      </c>
      <c r="D605" s="500" t="s">
        <v>217</v>
      </c>
      <c r="E605" s="500" t="s">
        <v>82</v>
      </c>
      <c r="F605" s="596" t="s">
        <v>73</v>
      </c>
      <c r="G605" s="501">
        <v>1.4</v>
      </c>
      <c r="H605" s="501">
        <v>3.36</v>
      </c>
      <c r="I605" s="501" t="s">
        <v>17</v>
      </c>
      <c r="J605" s="620">
        <v>2.15</v>
      </c>
      <c r="K605" s="500" t="s">
        <v>892</v>
      </c>
      <c r="L605" s="500"/>
    </row>
    <row r="606" spans="1:12">
      <c r="A606" s="614"/>
      <c r="B606" s="615"/>
      <c r="C606" s="616"/>
      <c r="D606" s="615"/>
      <c r="E606" s="615"/>
      <c r="F606" s="596" t="s">
        <v>75</v>
      </c>
      <c r="G606" s="501">
        <v>1.49</v>
      </c>
      <c r="H606" s="501">
        <v>0.24</v>
      </c>
      <c r="I606" s="501" t="s">
        <v>22</v>
      </c>
      <c r="J606" s="620">
        <v>2.6</v>
      </c>
      <c r="K606" s="615"/>
      <c r="L606" s="615"/>
    </row>
    <row r="607" spans="1:12">
      <c r="A607" s="617"/>
      <c r="B607" s="618"/>
      <c r="C607" s="619"/>
      <c r="D607" s="618"/>
      <c r="E607" s="618"/>
      <c r="F607" s="596" t="s">
        <v>91</v>
      </c>
      <c r="G607" s="501">
        <v>2.51</v>
      </c>
      <c r="H607" s="501">
        <v>0.4</v>
      </c>
      <c r="I607" s="501" t="s">
        <v>24</v>
      </c>
      <c r="J607" s="620" t="s">
        <v>24</v>
      </c>
      <c r="K607" s="618"/>
      <c r="L607" s="618"/>
    </row>
    <row r="608" spans="1:12">
      <c r="A608" s="499">
        <v>46248</v>
      </c>
      <c r="B608" s="500" t="s">
        <v>942</v>
      </c>
      <c r="C608" s="501">
        <v>8</v>
      </c>
      <c r="D608" s="500" t="s">
        <v>217</v>
      </c>
      <c r="E608" s="500" t="s">
        <v>217</v>
      </c>
      <c r="F608" s="515" t="s">
        <v>220</v>
      </c>
      <c r="G608" s="620">
        <v>1.49</v>
      </c>
      <c r="H608" s="501">
        <v>6</v>
      </c>
      <c r="I608" s="501" t="s">
        <v>17</v>
      </c>
      <c r="J608" s="620">
        <v>2.2</v>
      </c>
      <c r="K608" s="500" t="s">
        <v>943</v>
      </c>
      <c r="L608" s="500"/>
    </row>
    <row r="609" spans="1:12">
      <c r="A609" s="614"/>
      <c r="B609" s="615"/>
      <c r="C609" s="616"/>
      <c r="D609" s="615"/>
      <c r="E609" s="615"/>
      <c r="F609" s="515" t="s">
        <v>221</v>
      </c>
      <c r="G609" s="620">
        <v>1.49</v>
      </c>
      <c r="H609" s="501">
        <v>0.72</v>
      </c>
      <c r="I609" s="501" t="s">
        <v>17</v>
      </c>
      <c r="J609" s="620">
        <v>2.4</v>
      </c>
      <c r="K609" s="615"/>
      <c r="L609" s="615"/>
    </row>
    <row r="610" spans="1:12">
      <c r="A610" s="614"/>
      <c r="B610" s="615"/>
      <c r="C610" s="616"/>
      <c r="D610" s="615"/>
      <c r="E610" s="615"/>
      <c r="F610" s="515" t="s">
        <v>75</v>
      </c>
      <c r="G610" s="620">
        <v>1.49</v>
      </c>
      <c r="H610" s="501">
        <v>0.4</v>
      </c>
      <c r="I610" s="501" t="s">
        <v>22</v>
      </c>
      <c r="J610" s="620">
        <v>2.8</v>
      </c>
      <c r="K610" s="615"/>
      <c r="L610" s="615"/>
    </row>
    <row r="611" spans="1:12">
      <c r="A611" s="614"/>
      <c r="B611" s="615"/>
      <c r="C611" s="616"/>
      <c r="D611" s="615"/>
      <c r="E611" s="615"/>
      <c r="F611" s="515" t="s">
        <v>90</v>
      </c>
      <c r="G611" s="620">
        <v>1.49</v>
      </c>
      <c r="H611" s="501">
        <v>0.32</v>
      </c>
      <c r="I611" s="501" t="s">
        <v>44</v>
      </c>
      <c r="J611" s="620">
        <v>4</v>
      </c>
      <c r="K611" s="615"/>
      <c r="L611" s="615"/>
    </row>
    <row r="612" spans="1:12">
      <c r="A612" s="617"/>
      <c r="B612" s="618"/>
      <c r="C612" s="619"/>
      <c r="D612" s="618"/>
      <c r="E612" s="618"/>
      <c r="F612" s="515" t="s">
        <v>91</v>
      </c>
      <c r="G612" s="620">
        <v>1.49</v>
      </c>
      <c r="H612" s="501">
        <v>0.56</v>
      </c>
      <c r="I612" s="501" t="s">
        <v>24</v>
      </c>
      <c r="J612" s="620" t="s">
        <v>24</v>
      </c>
      <c r="K612" s="618"/>
      <c r="L612" s="618"/>
    </row>
    <row r="613" spans="1:12">
      <c r="A613" s="499">
        <v>46260</v>
      </c>
      <c r="B613" s="590" t="s">
        <v>944</v>
      </c>
      <c r="C613" s="501">
        <v>14</v>
      </c>
      <c r="D613" s="590" t="s">
        <v>477</v>
      </c>
      <c r="E613" s="590" t="s">
        <v>477</v>
      </c>
      <c r="F613" s="622" t="s">
        <v>73</v>
      </c>
      <c r="G613" s="621">
        <v>1.53</v>
      </c>
      <c r="H613" s="621">
        <v>12.46</v>
      </c>
      <c r="I613" s="500" t="s">
        <v>17</v>
      </c>
      <c r="J613" s="620">
        <v>1.73</v>
      </c>
      <c r="K613" s="590" t="s">
        <v>74</v>
      </c>
      <c r="L613" s="500"/>
    </row>
    <row r="614" spans="1:12">
      <c r="A614" s="614"/>
      <c r="B614" s="615"/>
      <c r="C614" s="616"/>
      <c r="D614" s="615"/>
      <c r="E614" s="615"/>
      <c r="F614" s="622" t="s">
        <v>75</v>
      </c>
      <c r="G614" s="621">
        <v>1.78</v>
      </c>
      <c r="H614" s="621">
        <v>0.49</v>
      </c>
      <c r="I614" s="500" t="s">
        <v>22</v>
      </c>
      <c r="J614" s="620">
        <v>1.89</v>
      </c>
      <c r="K614" s="615"/>
      <c r="L614" s="615"/>
    </row>
    <row r="615" spans="1:12">
      <c r="A615" s="617"/>
      <c r="B615" s="618"/>
      <c r="C615" s="619"/>
      <c r="D615" s="618"/>
      <c r="E615" s="618"/>
      <c r="F615" s="622" t="s">
        <v>503</v>
      </c>
      <c r="G615" s="621">
        <v>2.28</v>
      </c>
      <c r="H615" s="621">
        <v>1.05</v>
      </c>
      <c r="I615" s="501" t="s">
        <v>24</v>
      </c>
      <c r="J615" s="620" t="s">
        <v>24</v>
      </c>
      <c r="K615" s="618"/>
      <c r="L615" s="618"/>
    </row>
    <row r="616" spans="1:12">
      <c r="A616" s="499">
        <v>46261</v>
      </c>
      <c r="B616" s="590" t="s">
        <v>945</v>
      </c>
      <c r="C616" s="501">
        <v>15</v>
      </c>
      <c r="D616" s="590" t="s">
        <v>536</v>
      </c>
      <c r="E616" s="590" t="s">
        <v>536</v>
      </c>
      <c r="F616" s="594" t="s">
        <v>73</v>
      </c>
      <c r="G616" s="621">
        <v>0.94</v>
      </c>
      <c r="H616" s="621">
        <v>13.5</v>
      </c>
      <c r="I616" s="500" t="s">
        <v>17</v>
      </c>
      <c r="J616" s="620">
        <v>1.57</v>
      </c>
      <c r="K616" s="590" t="s">
        <v>74</v>
      </c>
      <c r="L616" s="500"/>
    </row>
    <row r="617" spans="1:12">
      <c r="A617" s="614"/>
      <c r="B617" s="615"/>
      <c r="C617" s="616"/>
      <c r="D617" s="615"/>
      <c r="E617" s="615"/>
      <c r="F617" s="594" t="s">
        <v>75</v>
      </c>
      <c r="G617" s="621">
        <v>1.25</v>
      </c>
      <c r="H617" s="621">
        <v>0.45</v>
      </c>
      <c r="I617" s="500" t="s">
        <v>22</v>
      </c>
      <c r="J617" s="620">
        <v>1.77</v>
      </c>
      <c r="K617" s="615"/>
      <c r="L617" s="623"/>
    </row>
    <row r="618" spans="1:12">
      <c r="A618" s="617"/>
      <c r="B618" s="618"/>
      <c r="C618" s="619"/>
      <c r="D618" s="618"/>
      <c r="E618" s="618"/>
      <c r="F618" s="594" t="s">
        <v>503</v>
      </c>
      <c r="G618" s="621">
        <v>1.7</v>
      </c>
      <c r="H618" s="621">
        <v>1.05</v>
      </c>
      <c r="I618" s="501" t="s">
        <v>24</v>
      </c>
      <c r="J618" s="620" t="s">
        <v>24</v>
      </c>
      <c r="K618" s="618"/>
      <c r="L618" s="618"/>
    </row>
    <row r="619" spans="1:12">
      <c r="A619" s="499">
        <v>46261</v>
      </c>
      <c r="B619" s="590" t="s">
        <v>946</v>
      </c>
      <c r="C619" s="501">
        <v>10</v>
      </c>
      <c r="D619" s="590" t="s">
        <v>477</v>
      </c>
      <c r="E619" s="590" t="s">
        <v>492</v>
      </c>
      <c r="F619" s="594" t="s">
        <v>73</v>
      </c>
      <c r="G619" s="621">
        <v>0.94</v>
      </c>
      <c r="H619" s="621">
        <v>9</v>
      </c>
      <c r="I619" s="500" t="s">
        <v>17</v>
      </c>
      <c r="J619" s="620">
        <v>1.57</v>
      </c>
      <c r="K619" s="590" t="s">
        <v>74</v>
      </c>
      <c r="L619" s="500"/>
    </row>
    <row r="620" spans="1:12">
      <c r="A620" s="614"/>
      <c r="B620" s="615"/>
      <c r="C620" s="616"/>
      <c r="D620" s="615"/>
      <c r="E620" s="615"/>
      <c r="F620" s="594" t="s">
        <v>75</v>
      </c>
      <c r="G620" s="621">
        <v>1.25</v>
      </c>
      <c r="H620" s="621">
        <v>0.3</v>
      </c>
      <c r="I620" s="500" t="s">
        <v>22</v>
      </c>
      <c r="J620" s="620">
        <v>1.77</v>
      </c>
      <c r="K620" s="615"/>
      <c r="L620" s="623"/>
    </row>
    <row r="621" spans="1:12">
      <c r="A621" s="617"/>
      <c r="B621" s="618"/>
      <c r="C621" s="619"/>
      <c r="D621" s="618"/>
      <c r="E621" s="618"/>
      <c r="F621" s="594" t="s">
        <v>503</v>
      </c>
      <c r="G621" s="621">
        <v>1.7</v>
      </c>
      <c r="H621" s="621">
        <v>0.7</v>
      </c>
      <c r="I621" s="501" t="s">
        <v>24</v>
      </c>
      <c r="J621" s="620" t="s">
        <v>24</v>
      </c>
      <c r="K621" s="618"/>
      <c r="L621" s="618"/>
    </row>
    <row r="622" spans="1:12">
      <c r="A622" s="499">
        <v>46259</v>
      </c>
      <c r="B622" s="590" t="s">
        <v>947</v>
      </c>
      <c r="C622" s="501">
        <v>20</v>
      </c>
      <c r="D622" s="590" t="s">
        <v>911</v>
      </c>
      <c r="E622" s="590" t="s">
        <v>484</v>
      </c>
      <c r="F622" s="594" t="s">
        <v>73</v>
      </c>
      <c r="G622" s="621">
        <v>2</v>
      </c>
      <c r="H622" s="621">
        <v>17.4</v>
      </c>
      <c r="I622" s="500" t="s">
        <v>17</v>
      </c>
      <c r="J622" s="620">
        <v>1.78</v>
      </c>
      <c r="K622" s="590" t="s">
        <v>35</v>
      </c>
      <c r="L622" s="573" t="s">
        <v>912</v>
      </c>
    </row>
    <row r="623" spans="1:12">
      <c r="A623" s="614"/>
      <c r="B623" s="615"/>
      <c r="C623" s="616"/>
      <c r="D623" s="615"/>
      <c r="E623" s="615"/>
      <c r="F623" s="594" t="s">
        <v>75</v>
      </c>
      <c r="G623" s="621">
        <v>2</v>
      </c>
      <c r="H623" s="621">
        <v>0.8</v>
      </c>
      <c r="I623" s="500" t="s">
        <v>22</v>
      </c>
      <c r="J623" s="620">
        <v>1.88</v>
      </c>
      <c r="K623" s="615"/>
      <c r="L623" s="545"/>
    </row>
    <row r="624" spans="1:12">
      <c r="A624" s="614"/>
      <c r="B624" s="615"/>
      <c r="C624" s="616"/>
      <c r="D624" s="615"/>
      <c r="E624" s="615"/>
      <c r="F624" s="594" t="s">
        <v>509</v>
      </c>
      <c r="G624" s="621">
        <v>2</v>
      </c>
      <c r="H624" s="621">
        <v>0.8</v>
      </c>
      <c r="I624" s="500" t="s">
        <v>44</v>
      </c>
      <c r="J624" s="620">
        <v>3.2</v>
      </c>
      <c r="K624" s="615"/>
      <c r="L624" s="545"/>
    </row>
    <row r="625" spans="1:12">
      <c r="A625" s="617"/>
      <c r="B625" s="618"/>
      <c r="C625" s="619"/>
      <c r="D625" s="618"/>
      <c r="E625" s="618"/>
      <c r="F625" s="594" t="s">
        <v>503</v>
      </c>
      <c r="G625" s="621">
        <v>2</v>
      </c>
      <c r="H625" s="621">
        <v>1</v>
      </c>
      <c r="I625" s="501" t="s">
        <v>24</v>
      </c>
      <c r="J625" s="620" t="s">
        <v>24</v>
      </c>
      <c r="K625" s="618"/>
      <c r="L625" s="545"/>
    </row>
    <row r="626" spans="1:12">
      <c r="A626" s="499">
        <v>46261</v>
      </c>
      <c r="B626" s="590" t="s">
        <v>948</v>
      </c>
      <c r="C626" s="501">
        <v>10</v>
      </c>
      <c r="D626" s="590" t="s">
        <v>536</v>
      </c>
      <c r="E626" s="590" t="s">
        <v>536</v>
      </c>
      <c r="F626" s="594" t="s">
        <v>73</v>
      </c>
      <c r="G626" s="621">
        <v>2</v>
      </c>
      <c r="H626" s="621">
        <v>8.35</v>
      </c>
      <c r="I626" s="500" t="s">
        <v>17</v>
      </c>
      <c r="J626" s="620">
        <v>1.78</v>
      </c>
      <c r="K626" s="590" t="s">
        <v>27</v>
      </c>
      <c r="L626" s="591" t="s">
        <v>170</v>
      </c>
    </row>
    <row r="627" spans="1:12">
      <c r="A627" s="614"/>
      <c r="B627" s="615"/>
      <c r="C627" s="616"/>
      <c r="D627" s="615"/>
      <c r="E627" s="615"/>
      <c r="F627" s="594" t="s">
        <v>75</v>
      </c>
      <c r="G627" s="621">
        <v>2</v>
      </c>
      <c r="H627" s="621">
        <v>0.7</v>
      </c>
      <c r="I627" s="500" t="s">
        <v>22</v>
      </c>
      <c r="J627" s="620">
        <v>1.8</v>
      </c>
      <c r="K627" s="615"/>
      <c r="L627" s="527"/>
    </row>
    <row r="628" spans="1:12">
      <c r="A628" s="614"/>
      <c r="B628" s="615"/>
      <c r="C628" s="616"/>
      <c r="D628" s="615"/>
      <c r="E628" s="615"/>
      <c r="F628" s="594" t="s">
        <v>509</v>
      </c>
      <c r="G628" s="621">
        <v>2</v>
      </c>
      <c r="H628" s="621">
        <v>0.45</v>
      </c>
      <c r="I628" s="500" t="s">
        <v>44</v>
      </c>
      <c r="J628" s="620">
        <v>3</v>
      </c>
      <c r="K628" s="615"/>
      <c r="L628" s="527"/>
    </row>
    <row r="629" spans="1:12">
      <c r="A629" s="617"/>
      <c r="B629" s="618"/>
      <c r="C629" s="619"/>
      <c r="D629" s="618"/>
      <c r="E629" s="618"/>
      <c r="F629" s="594" t="s">
        <v>503</v>
      </c>
      <c r="G629" s="621">
        <v>2</v>
      </c>
      <c r="H629" s="621">
        <v>0.5</v>
      </c>
      <c r="I629" s="501" t="s">
        <v>24</v>
      </c>
      <c r="J629" s="620" t="s">
        <v>24</v>
      </c>
      <c r="K629" s="618"/>
      <c r="L629" s="526"/>
    </row>
    <row r="630" spans="1:12">
      <c r="A630" s="499">
        <v>46260</v>
      </c>
      <c r="B630" s="590" t="s">
        <v>949</v>
      </c>
      <c r="C630" s="501">
        <v>5</v>
      </c>
      <c r="D630" s="590" t="s">
        <v>536</v>
      </c>
      <c r="E630" s="590" t="s">
        <v>536</v>
      </c>
      <c r="F630" s="594" t="s">
        <v>73</v>
      </c>
      <c r="G630" s="621">
        <v>1.92</v>
      </c>
      <c r="H630" s="621">
        <v>4.35</v>
      </c>
      <c r="I630" s="500" t="s">
        <v>17</v>
      </c>
      <c r="J630" s="620">
        <v>1.8</v>
      </c>
      <c r="K630" s="590" t="s">
        <v>27</v>
      </c>
      <c r="L630" s="590" t="s">
        <v>403</v>
      </c>
    </row>
    <row r="631" spans="1:12">
      <c r="A631" s="614"/>
      <c r="B631" s="615"/>
      <c r="C631" s="616"/>
      <c r="D631" s="615"/>
      <c r="E631" s="615"/>
      <c r="F631" s="594" t="s">
        <v>75</v>
      </c>
      <c r="G631" s="621">
        <v>1.92</v>
      </c>
      <c r="H631" s="621">
        <v>0.25</v>
      </c>
      <c r="I631" s="500" t="s">
        <v>22</v>
      </c>
      <c r="J631" s="620">
        <v>1.81</v>
      </c>
      <c r="K631" s="615"/>
      <c r="L631" s="615"/>
    </row>
    <row r="632" spans="1:12">
      <c r="A632" s="614"/>
      <c r="B632" s="615"/>
      <c r="C632" s="616"/>
      <c r="D632" s="615"/>
      <c r="E632" s="615"/>
      <c r="F632" s="594" t="s">
        <v>509</v>
      </c>
      <c r="G632" s="621">
        <v>2.5</v>
      </c>
      <c r="H632" s="621">
        <v>0.15</v>
      </c>
      <c r="I632" s="500" t="s">
        <v>44</v>
      </c>
      <c r="J632" s="620">
        <v>3</v>
      </c>
      <c r="K632" s="615"/>
      <c r="L632" s="615"/>
    </row>
    <row r="633" spans="1:12">
      <c r="A633" s="617"/>
      <c r="B633" s="618"/>
      <c r="C633" s="619"/>
      <c r="D633" s="618"/>
      <c r="E633" s="618"/>
      <c r="F633" s="594" t="s">
        <v>503</v>
      </c>
      <c r="G633" s="621">
        <v>2.5</v>
      </c>
      <c r="H633" s="621">
        <v>0.25</v>
      </c>
      <c r="I633" s="501" t="s">
        <v>24</v>
      </c>
      <c r="J633" s="620" t="s">
        <v>24</v>
      </c>
      <c r="K633" s="618"/>
      <c r="L633" s="618"/>
    </row>
    <row r="634" spans="1:12">
      <c r="A634" s="499">
        <v>46259</v>
      </c>
      <c r="B634" s="590" t="s">
        <v>950</v>
      </c>
      <c r="C634" s="501">
        <v>4.7</v>
      </c>
      <c r="D634" s="590" t="s">
        <v>486</v>
      </c>
      <c r="E634" s="590" t="s">
        <v>486</v>
      </c>
      <c r="F634" s="594" t="s">
        <v>73</v>
      </c>
      <c r="G634" s="621">
        <v>1</v>
      </c>
      <c r="H634" s="621">
        <v>4.4</v>
      </c>
      <c r="I634" s="500" t="s">
        <v>17</v>
      </c>
      <c r="J634" s="620">
        <v>1.62</v>
      </c>
      <c r="K634" s="590" t="s">
        <v>86</v>
      </c>
      <c r="L634" s="590" t="s">
        <v>525</v>
      </c>
    </row>
    <row r="635" spans="1:12">
      <c r="A635" s="617"/>
      <c r="B635" s="618"/>
      <c r="C635" s="619"/>
      <c r="D635" s="618"/>
      <c r="E635" s="618"/>
      <c r="F635" s="594" t="s">
        <v>75</v>
      </c>
      <c r="G635" s="621">
        <v>1</v>
      </c>
      <c r="H635" s="621">
        <v>0.3</v>
      </c>
      <c r="I635" s="500" t="s">
        <v>22</v>
      </c>
      <c r="J635" s="620">
        <v>1.8</v>
      </c>
      <c r="K635" s="618"/>
      <c r="L635" s="618"/>
    </row>
    <row r="636" spans="1:12">
      <c r="A636" s="499">
        <v>46259</v>
      </c>
      <c r="B636" s="590" t="s">
        <v>951</v>
      </c>
      <c r="C636" s="501">
        <v>15</v>
      </c>
      <c r="D636" s="590" t="s">
        <v>477</v>
      </c>
      <c r="E636" s="590" t="s">
        <v>477</v>
      </c>
      <c r="F636" s="622" t="s">
        <v>73</v>
      </c>
      <c r="G636" s="621">
        <v>1.71</v>
      </c>
      <c r="H636" s="621">
        <v>13.35</v>
      </c>
      <c r="I636" s="500" t="s">
        <v>17</v>
      </c>
      <c r="J636" s="620">
        <v>1.75</v>
      </c>
      <c r="K636" s="590" t="s">
        <v>74</v>
      </c>
      <c r="L636" s="500"/>
    </row>
    <row r="637" spans="1:12">
      <c r="A637" s="614"/>
      <c r="B637" s="615"/>
      <c r="C637" s="616"/>
      <c r="D637" s="615"/>
      <c r="E637" s="615"/>
      <c r="F637" s="622" t="s">
        <v>75</v>
      </c>
      <c r="G637" s="621">
        <v>1.94</v>
      </c>
      <c r="H637" s="624">
        <v>0.525</v>
      </c>
      <c r="I637" s="500" t="s">
        <v>22</v>
      </c>
      <c r="J637" s="620">
        <v>1.89</v>
      </c>
      <c r="K637" s="615"/>
      <c r="L637" s="623"/>
    </row>
    <row r="638" spans="1:12">
      <c r="A638" s="617"/>
      <c r="B638" s="618"/>
      <c r="C638" s="619"/>
      <c r="D638" s="618"/>
      <c r="E638" s="618"/>
      <c r="F638" s="622" t="s">
        <v>503</v>
      </c>
      <c r="G638" s="621">
        <v>2.45</v>
      </c>
      <c r="H638" s="624">
        <v>1.125</v>
      </c>
      <c r="I638" s="501" t="s">
        <v>24</v>
      </c>
      <c r="J638" s="620" t="s">
        <v>24</v>
      </c>
      <c r="K638" s="618"/>
      <c r="L638" s="618"/>
    </row>
    <row r="639" spans="1:12">
      <c r="A639" s="499">
        <v>46259</v>
      </c>
      <c r="B639" s="590" t="s">
        <v>952</v>
      </c>
      <c r="C639" s="501">
        <v>6.58</v>
      </c>
      <c r="D639" s="590" t="s">
        <v>486</v>
      </c>
      <c r="E639" s="590" t="s">
        <v>486</v>
      </c>
      <c r="F639" s="594" t="s">
        <v>73</v>
      </c>
      <c r="G639" s="621">
        <v>1</v>
      </c>
      <c r="H639" s="621">
        <v>6.16</v>
      </c>
      <c r="I639" s="500" t="s">
        <v>17</v>
      </c>
      <c r="J639" s="620">
        <v>1.62</v>
      </c>
      <c r="K639" s="590" t="s">
        <v>86</v>
      </c>
      <c r="L639" s="590" t="s">
        <v>525</v>
      </c>
    </row>
    <row r="640" spans="1:12">
      <c r="A640" s="617"/>
      <c r="B640" s="618"/>
      <c r="C640" s="619"/>
      <c r="D640" s="618"/>
      <c r="E640" s="618"/>
      <c r="F640" s="594" t="s">
        <v>75</v>
      </c>
      <c r="G640" s="621">
        <v>1</v>
      </c>
      <c r="H640" s="621">
        <v>0.42</v>
      </c>
      <c r="I640" s="500" t="s">
        <v>22</v>
      </c>
      <c r="J640" s="620">
        <v>1.8</v>
      </c>
      <c r="K640" s="618"/>
      <c r="L640" s="618"/>
    </row>
    <row r="641" spans="1:12">
      <c r="A641" s="499">
        <v>46259</v>
      </c>
      <c r="B641" s="590" t="s">
        <v>953</v>
      </c>
      <c r="C641" s="501">
        <v>10</v>
      </c>
      <c r="D641" s="590" t="s">
        <v>481</v>
      </c>
      <c r="E641" s="590" t="s">
        <v>481</v>
      </c>
      <c r="F641" s="594" t="s">
        <v>531</v>
      </c>
      <c r="G641" s="621">
        <v>1.5</v>
      </c>
      <c r="H641" s="621">
        <v>8.9</v>
      </c>
      <c r="I641" s="500" t="s">
        <v>17</v>
      </c>
      <c r="J641" s="620">
        <v>1.73</v>
      </c>
      <c r="K641" s="590" t="s">
        <v>129</v>
      </c>
      <c r="L641" s="591" t="s">
        <v>846</v>
      </c>
    </row>
    <row r="642" spans="1:12">
      <c r="A642" s="614"/>
      <c r="B642" s="615"/>
      <c r="C642" s="616"/>
      <c r="D642" s="615"/>
      <c r="E642" s="615"/>
      <c r="F642" s="594" t="s">
        <v>539</v>
      </c>
      <c r="G642" s="621">
        <v>1.59</v>
      </c>
      <c r="H642" s="621">
        <v>0.4</v>
      </c>
      <c r="I642" s="500" t="s">
        <v>22</v>
      </c>
      <c r="J642" s="620">
        <v>1.89</v>
      </c>
      <c r="K642" s="615"/>
      <c r="L642" s="527"/>
    </row>
    <row r="643" spans="1:12">
      <c r="A643" s="617"/>
      <c r="B643" s="618"/>
      <c r="C643" s="619"/>
      <c r="D643" s="618"/>
      <c r="E643" s="618"/>
      <c r="F643" s="622" t="s">
        <v>503</v>
      </c>
      <c r="G643" s="621">
        <v>2.26</v>
      </c>
      <c r="H643" s="621">
        <v>0.7</v>
      </c>
      <c r="I643" s="501" t="s">
        <v>24</v>
      </c>
      <c r="J643" s="620" t="s">
        <v>24</v>
      </c>
      <c r="K643" s="618"/>
      <c r="L643" s="527"/>
    </row>
    <row r="644" spans="1:12">
      <c r="A644" s="499">
        <v>46259</v>
      </c>
      <c r="B644" s="590" t="s">
        <v>954</v>
      </c>
      <c r="C644" s="501">
        <v>5</v>
      </c>
      <c r="D644" s="590" t="s">
        <v>536</v>
      </c>
      <c r="E644" s="590" t="s">
        <v>536</v>
      </c>
      <c r="F644" s="594" t="s">
        <v>73</v>
      </c>
      <c r="G644" s="621">
        <v>2</v>
      </c>
      <c r="H644" s="624">
        <v>4.175</v>
      </c>
      <c r="I644" s="500" t="s">
        <v>17</v>
      </c>
      <c r="J644" s="620">
        <v>1.78</v>
      </c>
      <c r="K644" s="590" t="s">
        <v>27</v>
      </c>
      <c r="L644" s="590" t="s">
        <v>170</v>
      </c>
    </row>
    <row r="645" spans="1:12">
      <c r="A645" s="614"/>
      <c r="B645" s="615"/>
      <c r="C645" s="616"/>
      <c r="D645" s="615"/>
      <c r="E645" s="615"/>
      <c r="F645" s="594" t="s">
        <v>75</v>
      </c>
      <c r="G645" s="621">
        <v>2</v>
      </c>
      <c r="H645" s="621">
        <v>0.35</v>
      </c>
      <c r="I645" s="500" t="s">
        <v>22</v>
      </c>
      <c r="J645" s="620">
        <v>1.79</v>
      </c>
      <c r="K645" s="615"/>
      <c r="L645" s="615"/>
    </row>
    <row r="646" spans="1:12">
      <c r="A646" s="614"/>
      <c r="B646" s="615"/>
      <c r="C646" s="616"/>
      <c r="D646" s="615"/>
      <c r="E646" s="615"/>
      <c r="F646" s="594" t="s">
        <v>509</v>
      </c>
      <c r="G646" s="621">
        <v>2</v>
      </c>
      <c r="H646" s="624">
        <v>0.225</v>
      </c>
      <c r="I646" s="500" t="s">
        <v>44</v>
      </c>
      <c r="J646" s="620">
        <v>3</v>
      </c>
      <c r="K646" s="615"/>
      <c r="L646" s="615"/>
    </row>
    <row r="647" spans="1:12">
      <c r="A647" s="617"/>
      <c r="B647" s="618"/>
      <c r="C647" s="619"/>
      <c r="D647" s="618"/>
      <c r="E647" s="618"/>
      <c r="F647" s="594" t="s">
        <v>503</v>
      </c>
      <c r="G647" s="621">
        <v>2</v>
      </c>
      <c r="H647" s="621">
        <v>0.25</v>
      </c>
      <c r="I647" s="501" t="s">
        <v>24</v>
      </c>
      <c r="J647" s="620" t="s">
        <v>24</v>
      </c>
      <c r="K647" s="618"/>
      <c r="L647" s="618"/>
    </row>
    <row r="648" spans="1:12">
      <c r="A648" s="499">
        <v>46259</v>
      </c>
      <c r="B648" s="590" t="s">
        <v>955</v>
      </c>
      <c r="C648" s="501">
        <v>6.58</v>
      </c>
      <c r="D648" s="590" t="s">
        <v>492</v>
      </c>
      <c r="E648" s="590" t="s">
        <v>492</v>
      </c>
      <c r="F648" s="622" t="s">
        <v>73</v>
      </c>
      <c r="G648" s="621">
        <v>1</v>
      </c>
      <c r="H648" s="621">
        <v>6.16</v>
      </c>
      <c r="I648" s="500" t="s">
        <v>17</v>
      </c>
      <c r="J648" s="620">
        <v>1.62</v>
      </c>
      <c r="K648" s="590" t="s">
        <v>86</v>
      </c>
      <c r="L648" s="590" t="s">
        <v>525</v>
      </c>
    </row>
    <row r="649" spans="1:12">
      <c r="A649" s="617"/>
      <c r="B649" s="618"/>
      <c r="C649" s="619"/>
      <c r="D649" s="618"/>
      <c r="E649" s="618"/>
      <c r="F649" s="622" t="s">
        <v>75</v>
      </c>
      <c r="G649" s="621">
        <v>1</v>
      </c>
      <c r="H649" s="621">
        <v>0.42</v>
      </c>
      <c r="I649" s="500" t="s">
        <v>22</v>
      </c>
      <c r="J649" s="620">
        <v>1.8</v>
      </c>
      <c r="K649" s="618"/>
      <c r="L649" s="618"/>
    </row>
    <row r="650" spans="1:12">
      <c r="A650" s="499">
        <v>46255</v>
      </c>
      <c r="B650" s="590" t="s">
        <v>956</v>
      </c>
      <c r="C650" s="501">
        <v>5</v>
      </c>
      <c r="D650" s="590" t="s">
        <v>484</v>
      </c>
      <c r="E650" s="590" t="s">
        <v>484</v>
      </c>
      <c r="F650" s="594" t="s">
        <v>531</v>
      </c>
      <c r="G650" s="621">
        <v>1</v>
      </c>
      <c r="H650" s="621">
        <v>4.5</v>
      </c>
      <c r="I650" s="500" t="s">
        <v>17</v>
      </c>
      <c r="J650" s="620">
        <v>1.64</v>
      </c>
      <c r="K650" s="590" t="s">
        <v>129</v>
      </c>
      <c r="L650" s="543" t="s">
        <v>691</v>
      </c>
    </row>
    <row r="651" spans="1:12">
      <c r="A651" s="614"/>
      <c r="B651" s="615"/>
      <c r="C651" s="616"/>
      <c r="D651" s="615"/>
      <c r="E651" s="615"/>
      <c r="F651" s="594" t="s">
        <v>539</v>
      </c>
      <c r="G651" s="621">
        <v>1.25</v>
      </c>
      <c r="H651" s="621">
        <v>0.2</v>
      </c>
      <c r="I651" s="500" t="s">
        <v>22</v>
      </c>
      <c r="J651" s="620">
        <v>1.77</v>
      </c>
      <c r="K651" s="615"/>
      <c r="L651" s="543"/>
    </row>
    <row r="652" spans="1:12">
      <c r="A652" s="617"/>
      <c r="B652" s="618"/>
      <c r="C652" s="619"/>
      <c r="D652" s="618"/>
      <c r="E652" s="618"/>
      <c r="F652" s="594" t="s">
        <v>503</v>
      </c>
      <c r="G652" s="621">
        <v>1.75</v>
      </c>
      <c r="H652" s="621">
        <v>0.3</v>
      </c>
      <c r="I652" s="501" t="s">
        <v>24</v>
      </c>
      <c r="J652" s="501" t="s">
        <v>24</v>
      </c>
      <c r="K652" s="618"/>
      <c r="L652" s="543"/>
    </row>
    <row r="653" spans="1:12">
      <c r="A653" s="499">
        <v>46254</v>
      </c>
      <c r="B653" s="590" t="s">
        <v>957</v>
      </c>
      <c r="C653" s="501">
        <v>5</v>
      </c>
      <c r="D653" s="590" t="s">
        <v>484</v>
      </c>
      <c r="E653" s="590" t="s">
        <v>484</v>
      </c>
      <c r="F653" s="594" t="s">
        <v>531</v>
      </c>
      <c r="G653" s="621">
        <v>0.75</v>
      </c>
      <c r="H653" s="621">
        <v>4.5</v>
      </c>
      <c r="I653" s="500" t="s">
        <v>17</v>
      </c>
      <c r="J653" s="620">
        <v>1.64</v>
      </c>
      <c r="K653" s="590" t="s">
        <v>129</v>
      </c>
      <c r="L653" s="543" t="s">
        <v>691</v>
      </c>
    </row>
    <row r="654" spans="1:12">
      <c r="A654" s="614"/>
      <c r="B654" s="615"/>
      <c r="C654" s="616"/>
      <c r="D654" s="615"/>
      <c r="E654" s="615"/>
      <c r="F654" s="594" t="s">
        <v>539</v>
      </c>
      <c r="G654" s="621">
        <v>1</v>
      </c>
      <c r="H654" s="621">
        <v>0.2</v>
      </c>
      <c r="I654" s="500" t="s">
        <v>22</v>
      </c>
      <c r="J654" s="620">
        <v>1.77</v>
      </c>
      <c r="K654" s="615"/>
      <c r="L654" s="543"/>
    </row>
    <row r="655" spans="1:12">
      <c r="A655" s="617"/>
      <c r="B655" s="618"/>
      <c r="C655" s="619"/>
      <c r="D655" s="618"/>
      <c r="E655" s="618"/>
      <c r="F655" s="594" t="s">
        <v>503</v>
      </c>
      <c r="G655" s="621">
        <v>1.5</v>
      </c>
      <c r="H655" s="621">
        <v>0.3</v>
      </c>
      <c r="I655" s="501" t="s">
        <v>24</v>
      </c>
      <c r="J655" s="501" t="s">
        <v>24</v>
      </c>
      <c r="K655" s="618"/>
      <c r="L655" s="543"/>
    </row>
    <row r="656" spans="1:12">
      <c r="A656" s="499">
        <v>46255</v>
      </c>
      <c r="B656" s="590" t="s">
        <v>958</v>
      </c>
      <c r="C656" s="501">
        <v>10</v>
      </c>
      <c r="D656" s="590" t="s">
        <v>536</v>
      </c>
      <c r="E656" s="590" t="s">
        <v>492</v>
      </c>
      <c r="F656" s="594" t="s">
        <v>73</v>
      </c>
      <c r="G656" s="621">
        <v>0.94</v>
      </c>
      <c r="H656" s="621">
        <v>9</v>
      </c>
      <c r="I656" s="500" t="s">
        <v>17</v>
      </c>
      <c r="J656" s="500">
        <v>1.57</v>
      </c>
      <c r="K656" s="590" t="s">
        <v>74</v>
      </c>
      <c r="L656" s="500"/>
    </row>
    <row r="657" spans="1:12">
      <c r="A657" s="614"/>
      <c r="B657" s="615"/>
      <c r="C657" s="616"/>
      <c r="D657" s="615"/>
      <c r="E657" s="615"/>
      <c r="F657" s="594" t="s">
        <v>75</v>
      </c>
      <c r="G657" s="621">
        <v>1.19</v>
      </c>
      <c r="H657" s="621">
        <v>0.3</v>
      </c>
      <c r="I657" s="500" t="s">
        <v>22</v>
      </c>
      <c r="J657" s="500">
        <v>1.77</v>
      </c>
      <c r="K657" s="615"/>
      <c r="L657" s="615"/>
    </row>
    <row r="658" spans="1:12">
      <c r="A658" s="617"/>
      <c r="B658" s="618"/>
      <c r="C658" s="619"/>
      <c r="D658" s="618"/>
      <c r="E658" s="618"/>
      <c r="F658" s="594" t="s">
        <v>503</v>
      </c>
      <c r="G658" s="621">
        <v>1.7</v>
      </c>
      <c r="H658" s="621">
        <v>0.7</v>
      </c>
      <c r="I658" s="501" t="s">
        <v>24</v>
      </c>
      <c r="J658" s="501" t="s">
        <v>24</v>
      </c>
      <c r="K658" s="618"/>
      <c r="L658" s="618"/>
    </row>
    <row r="659" spans="1:12">
      <c r="A659" s="499">
        <v>46254</v>
      </c>
      <c r="B659" s="590" t="s">
        <v>959</v>
      </c>
      <c r="C659" s="501">
        <v>5</v>
      </c>
      <c r="D659" s="590" t="s">
        <v>486</v>
      </c>
      <c r="E659" s="590" t="s">
        <v>486</v>
      </c>
      <c r="F659" s="594" t="s">
        <v>73</v>
      </c>
      <c r="G659" s="621">
        <v>0.92</v>
      </c>
      <c r="H659" s="621">
        <v>4.09</v>
      </c>
      <c r="I659" s="500" t="s">
        <v>17</v>
      </c>
      <c r="J659" s="620">
        <v>1.8</v>
      </c>
      <c r="K659" s="590" t="s">
        <v>129</v>
      </c>
      <c r="L659" s="526" t="s">
        <v>577</v>
      </c>
    </row>
    <row r="660" spans="1:12">
      <c r="A660" s="614"/>
      <c r="B660" s="615"/>
      <c r="C660" s="616"/>
      <c r="D660" s="615"/>
      <c r="E660" s="615"/>
      <c r="F660" s="622" t="s">
        <v>75</v>
      </c>
      <c r="G660" s="621">
        <v>0.92</v>
      </c>
      <c r="H660" s="621">
        <v>0.24</v>
      </c>
      <c r="I660" s="500" t="s">
        <v>22</v>
      </c>
      <c r="J660" s="620">
        <v>2.35</v>
      </c>
      <c r="K660" s="615"/>
      <c r="L660" s="531"/>
    </row>
    <row r="661" spans="1:12">
      <c r="A661" s="614"/>
      <c r="B661" s="615"/>
      <c r="C661" s="616"/>
      <c r="D661" s="615"/>
      <c r="E661" s="615"/>
      <c r="F661" s="622" t="s">
        <v>90</v>
      </c>
      <c r="G661" s="621">
        <v>0.92</v>
      </c>
      <c r="H661" s="624">
        <v>0.265</v>
      </c>
      <c r="I661" s="500" t="s">
        <v>439</v>
      </c>
      <c r="J661" s="620">
        <v>3.4</v>
      </c>
      <c r="K661" s="615"/>
      <c r="L661" s="531"/>
    </row>
    <row r="662" spans="1:12">
      <c r="A662" s="617"/>
      <c r="B662" s="618"/>
      <c r="C662" s="619"/>
      <c r="D662" s="618"/>
      <c r="E662" s="618"/>
      <c r="F662" s="622" t="s">
        <v>503</v>
      </c>
      <c r="G662" s="621">
        <v>2.83</v>
      </c>
      <c r="H662" s="624">
        <v>0.405</v>
      </c>
      <c r="I662" s="501" t="s">
        <v>24</v>
      </c>
      <c r="J662" s="501" t="s">
        <v>24</v>
      </c>
      <c r="K662" s="618"/>
      <c r="L662" s="534"/>
    </row>
    <row r="663" spans="1:12">
      <c r="A663" s="625">
        <v>46265</v>
      </c>
      <c r="B663" s="626" t="s">
        <v>960</v>
      </c>
      <c r="C663" s="627">
        <v>10</v>
      </c>
      <c r="D663" s="626" t="s">
        <v>961</v>
      </c>
      <c r="E663" s="626" t="s">
        <v>961</v>
      </c>
      <c r="F663" s="544" t="s">
        <v>128</v>
      </c>
      <c r="G663" s="628">
        <v>1.5</v>
      </c>
      <c r="H663" s="628">
        <v>8.9</v>
      </c>
      <c r="I663" s="626" t="s">
        <v>17</v>
      </c>
      <c r="J663" s="627">
        <v>1.73</v>
      </c>
      <c r="K663" s="626" t="s">
        <v>962</v>
      </c>
      <c r="L663" s="527" t="s">
        <v>130</v>
      </c>
    </row>
    <row r="664" spans="1:12">
      <c r="A664" s="625"/>
      <c r="B664" s="626"/>
      <c r="C664" s="627"/>
      <c r="D664" s="626"/>
      <c r="E664" s="626"/>
      <c r="F664" s="544" t="s">
        <v>131</v>
      </c>
      <c r="G664" s="628">
        <v>1.58</v>
      </c>
      <c r="H664" s="628">
        <v>0.4</v>
      </c>
      <c r="I664" s="626" t="s">
        <v>22</v>
      </c>
      <c r="J664" s="627">
        <v>1.89</v>
      </c>
      <c r="K664" s="626"/>
      <c r="L664" s="527"/>
    </row>
    <row r="665" spans="1:12">
      <c r="A665" s="625"/>
      <c r="B665" s="626"/>
      <c r="C665" s="627"/>
      <c r="D665" s="626"/>
      <c r="E665" s="626"/>
      <c r="F665" s="544" t="s">
        <v>91</v>
      </c>
      <c r="G665" s="628">
        <v>2.25</v>
      </c>
      <c r="H665" s="628">
        <v>0.7</v>
      </c>
      <c r="I665" s="626" t="s">
        <v>24</v>
      </c>
      <c r="J665" s="627" t="s">
        <v>24</v>
      </c>
      <c r="K665" s="626"/>
      <c r="L665" s="527"/>
    </row>
    <row r="666" spans="1:12">
      <c r="A666" s="625">
        <v>46262</v>
      </c>
      <c r="B666" s="626" t="s">
        <v>963</v>
      </c>
      <c r="C666" s="627">
        <v>9.45</v>
      </c>
      <c r="D666" s="626" t="s">
        <v>964</v>
      </c>
      <c r="E666" s="626" t="s">
        <v>965</v>
      </c>
      <c r="F666" s="544" t="s">
        <v>128</v>
      </c>
      <c r="G666" s="628">
        <v>1</v>
      </c>
      <c r="H666" s="628">
        <v>9</v>
      </c>
      <c r="I666" s="626" t="s">
        <v>17</v>
      </c>
      <c r="J666" s="627">
        <v>1.57</v>
      </c>
      <c r="K666" s="626" t="s">
        <v>966</v>
      </c>
      <c r="L666" s="626" t="s">
        <v>967</v>
      </c>
    </row>
    <row r="667" spans="1:12">
      <c r="A667" s="625"/>
      <c r="B667" s="626"/>
      <c r="C667" s="627"/>
      <c r="D667" s="626"/>
      <c r="E667" s="626"/>
      <c r="F667" s="544" t="s">
        <v>99</v>
      </c>
      <c r="G667" s="628">
        <v>1</v>
      </c>
      <c r="H667" s="628">
        <v>0.45</v>
      </c>
      <c r="I667" s="626" t="s">
        <v>96</v>
      </c>
      <c r="J667" s="627">
        <v>3.1</v>
      </c>
      <c r="K667" s="626"/>
      <c r="L667" s="626"/>
    </row>
    <row r="668" spans="1:12">
      <c r="A668" s="625">
        <v>46262</v>
      </c>
      <c r="B668" s="626" t="s">
        <v>968</v>
      </c>
      <c r="C668" s="627">
        <v>10</v>
      </c>
      <c r="D668" s="626" t="s">
        <v>964</v>
      </c>
      <c r="E668" s="626" t="s">
        <v>969</v>
      </c>
      <c r="F668" s="545" t="s">
        <v>158</v>
      </c>
      <c r="G668" s="628">
        <v>2</v>
      </c>
      <c r="H668" s="628">
        <v>8.7</v>
      </c>
      <c r="I668" s="626" t="s">
        <v>17</v>
      </c>
      <c r="J668" s="627">
        <v>1.78</v>
      </c>
      <c r="K668" s="626" t="s">
        <v>966</v>
      </c>
      <c r="L668" s="545" t="s">
        <v>277</v>
      </c>
    </row>
    <row r="669" spans="1:12">
      <c r="A669" s="625"/>
      <c r="B669" s="626"/>
      <c r="C669" s="627"/>
      <c r="D669" s="626"/>
      <c r="E669" s="626"/>
      <c r="F669" s="545" t="s">
        <v>159</v>
      </c>
      <c r="G669" s="628">
        <v>2</v>
      </c>
      <c r="H669" s="628">
        <v>0.4</v>
      </c>
      <c r="I669" s="626" t="s">
        <v>22</v>
      </c>
      <c r="J669" s="627">
        <v>1.88</v>
      </c>
      <c r="K669" s="626"/>
      <c r="L669" s="545"/>
    </row>
    <row r="670" spans="1:12">
      <c r="A670" s="625"/>
      <c r="B670" s="626"/>
      <c r="C670" s="627"/>
      <c r="D670" s="626"/>
      <c r="E670" s="626"/>
      <c r="F670" s="545" t="s">
        <v>175</v>
      </c>
      <c r="G670" s="628">
        <v>2</v>
      </c>
      <c r="H670" s="628">
        <v>0.4</v>
      </c>
      <c r="I670" s="626" t="s">
        <v>44</v>
      </c>
      <c r="J670" s="627">
        <v>3.2</v>
      </c>
      <c r="K670" s="626"/>
      <c r="L670" s="545"/>
    </row>
    <row r="671" spans="1:12">
      <c r="A671" s="625"/>
      <c r="B671" s="626"/>
      <c r="C671" s="627"/>
      <c r="D671" s="626"/>
      <c r="E671" s="626"/>
      <c r="F671" s="545" t="s">
        <v>148</v>
      </c>
      <c r="G671" s="628">
        <v>2</v>
      </c>
      <c r="H671" s="628">
        <v>0.5</v>
      </c>
      <c r="I671" s="626" t="s">
        <v>24</v>
      </c>
      <c r="J671" s="627" t="s">
        <v>24</v>
      </c>
      <c r="K671" s="626"/>
      <c r="L671" s="545"/>
    </row>
    <row r="672" spans="1:12">
      <c r="A672" s="593">
        <v>46265</v>
      </c>
      <c r="B672" s="596" t="s">
        <v>970</v>
      </c>
      <c r="C672" s="595">
        <v>10</v>
      </c>
      <c r="D672" s="596" t="s">
        <v>51</v>
      </c>
      <c r="E672" s="596" t="s">
        <v>208</v>
      </c>
      <c r="F672" s="596" t="s">
        <v>361</v>
      </c>
      <c r="G672" s="629">
        <v>2</v>
      </c>
      <c r="H672" s="629">
        <v>8.7</v>
      </c>
      <c r="I672" s="629" t="s">
        <v>17</v>
      </c>
      <c r="J672" s="629">
        <v>1.78</v>
      </c>
      <c r="K672" s="596" t="s">
        <v>607</v>
      </c>
      <c r="L672" s="596" t="s">
        <v>53</v>
      </c>
    </row>
    <row r="673" spans="1:12">
      <c r="A673" s="593"/>
      <c r="B673" s="596"/>
      <c r="C673" s="595"/>
      <c r="D673" s="596"/>
      <c r="E673" s="596"/>
      <c r="F673" s="596" t="s">
        <v>349</v>
      </c>
      <c r="G673" s="629">
        <v>2</v>
      </c>
      <c r="H673" s="629">
        <v>0.4</v>
      </c>
      <c r="I673" s="629" t="s">
        <v>22</v>
      </c>
      <c r="J673" s="629">
        <v>1.88</v>
      </c>
      <c r="K673" s="596"/>
      <c r="L673" s="596"/>
    </row>
    <row r="674" spans="1:12">
      <c r="A674" s="593"/>
      <c r="B674" s="596"/>
      <c r="C674" s="595"/>
      <c r="D674" s="596"/>
      <c r="E674" s="596"/>
      <c r="F674" s="596" t="s">
        <v>99</v>
      </c>
      <c r="G674" s="629">
        <v>2</v>
      </c>
      <c r="H674" s="629">
        <v>0.4</v>
      </c>
      <c r="I674" s="629" t="s">
        <v>44</v>
      </c>
      <c r="J674" s="629">
        <v>3.2</v>
      </c>
      <c r="K674" s="596"/>
      <c r="L674" s="596"/>
    </row>
    <row r="675" spans="1:12">
      <c r="A675" s="593"/>
      <c r="B675" s="596"/>
      <c r="C675" s="595"/>
      <c r="D675" s="596"/>
      <c r="E675" s="596"/>
      <c r="F675" s="596" t="s">
        <v>91</v>
      </c>
      <c r="G675" s="629">
        <v>2</v>
      </c>
      <c r="H675" s="629">
        <v>0.5</v>
      </c>
      <c r="I675" s="595" t="s">
        <v>24</v>
      </c>
      <c r="J675" s="595" t="s">
        <v>24</v>
      </c>
      <c r="K675" s="596"/>
      <c r="L675" s="596"/>
    </row>
    <row r="676" spans="1:12">
      <c r="A676" s="593">
        <v>46266</v>
      </c>
      <c r="B676" s="596" t="s">
        <v>971</v>
      </c>
      <c r="C676" s="595">
        <v>10</v>
      </c>
      <c r="D676" s="596" t="s">
        <v>72</v>
      </c>
      <c r="E676" s="596" t="s">
        <v>72</v>
      </c>
      <c r="F676" s="596" t="s">
        <v>361</v>
      </c>
      <c r="G676" s="629">
        <v>1.69</v>
      </c>
      <c r="H676" s="629">
        <v>8.9</v>
      </c>
      <c r="I676" s="629" t="s">
        <v>17</v>
      </c>
      <c r="J676" s="629">
        <v>1.75</v>
      </c>
      <c r="K676" s="596" t="s">
        <v>713</v>
      </c>
      <c r="L676" s="596"/>
    </row>
    <row r="677" spans="1:12">
      <c r="A677" s="593"/>
      <c r="B677" s="596"/>
      <c r="C677" s="595"/>
      <c r="D677" s="596"/>
      <c r="E677" s="596"/>
      <c r="F677" s="596" t="s">
        <v>349</v>
      </c>
      <c r="G677" s="629">
        <v>1.94</v>
      </c>
      <c r="H677" s="629">
        <v>0.35</v>
      </c>
      <c r="I677" s="629" t="s">
        <v>22</v>
      </c>
      <c r="J677" s="629">
        <v>1.89</v>
      </c>
      <c r="K677" s="596"/>
      <c r="L677" s="596"/>
    </row>
    <row r="678" spans="1:12">
      <c r="A678" s="593"/>
      <c r="B678" s="596"/>
      <c r="C678" s="595"/>
      <c r="D678" s="596"/>
      <c r="E678" s="596"/>
      <c r="F678" s="596" t="s">
        <v>91</v>
      </c>
      <c r="G678" s="629">
        <v>2.47</v>
      </c>
      <c r="H678" s="629">
        <v>0.75</v>
      </c>
      <c r="I678" s="595" t="s">
        <v>24</v>
      </c>
      <c r="J678" s="595" t="s">
        <v>24</v>
      </c>
      <c r="K678" s="596"/>
      <c r="L678" s="596"/>
    </row>
    <row r="679" spans="1:12">
      <c r="A679" s="593">
        <v>46266</v>
      </c>
      <c r="B679" s="596" t="s">
        <v>972</v>
      </c>
      <c r="C679" s="595">
        <v>10</v>
      </c>
      <c r="D679" s="596" t="s">
        <v>72</v>
      </c>
      <c r="E679" s="596" t="s">
        <v>72</v>
      </c>
      <c r="F679" s="596" t="s">
        <v>361</v>
      </c>
      <c r="G679" s="629">
        <v>1.69</v>
      </c>
      <c r="H679" s="629">
        <v>8.9</v>
      </c>
      <c r="I679" s="629" t="s">
        <v>17</v>
      </c>
      <c r="J679" s="629">
        <v>1.75</v>
      </c>
      <c r="K679" s="596" t="s">
        <v>713</v>
      </c>
      <c r="L679" s="596"/>
    </row>
    <row r="680" spans="1:12">
      <c r="A680" s="593"/>
      <c r="B680" s="596"/>
      <c r="C680" s="595"/>
      <c r="D680" s="596"/>
      <c r="E680" s="596"/>
      <c r="F680" s="596" t="s">
        <v>349</v>
      </c>
      <c r="G680" s="629">
        <v>1.94</v>
      </c>
      <c r="H680" s="629">
        <v>0.35</v>
      </c>
      <c r="I680" s="629" t="s">
        <v>22</v>
      </c>
      <c r="J680" s="629">
        <v>1.89</v>
      </c>
      <c r="K680" s="596"/>
      <c r="L680" s="596"/>
    </row>
    <row r="681" spans="1:12">
      <c r="A681" s="593"/>
      <c r="B681" s="596"/>
      <c r="C681" s="595"/>
      <c r="D681" s="596"/>
      <c r="E681" s="596"/>
      <c r="F681" s="596" t="s">
        <v>91</v>
      </c>
      <c r="G681" s="629">
        <v>2.47</v>
      </c>
      <c r="H681" s="629">
        <v>0.75</v>
      </c>
      <c r="I681" s="595" t="s">
        <v>24</v>
      </c>
      <c r="J681" s="595" t="s">
        <v>24</v>
      </c>
      <c r="K681" s="596"/>
      <c r="L681" s="596"/>
    </row>
    <row r="682" spans="1:12">
      <c r="A682" s="593">
        <v>46267</v>
      </c>
      <c r="B682" s="596" t="s">
        <v>973</v>
      </c>
      <c r="C682" s="595">
        <v>5</v>
      </c>
      <c r="D682" s="596" t="s">
        <v>208</v>
      </c>
      <c r="E682" s="596" t="s">
        <v>208</v>
      </c>
      <c r="F682" s="596" t="s">
        <v>128</v>
      </c>
      <c r="G682" s="629">
        <v>1</v>
      </c>
      <c r="H682" s="629">
        <v>4.5</v>
      </c>
      <c r="I682" s="629" t="s">
        <v>17</v>
      </c>
      <c r="J682" s="629">
        <v>1.63</v>
      </c>
      <c r="K682" s="596" t="s">
        <v>603</v>
      </c>
      <c r="L682" s="596" t="s">
        <v>691</v>
      </c>
    </row>
    <row r="683" spans="1:12">
      <c r="A683" s="593"/>
      <c r="B683" s="596"/>
      <c r="C683" s="595"/>
      <c r="D683" s="596"/>
      <c r="E683" s="596"/>
      <c r="F683" s="596" t="s">
        <v>131</v>
      </c>
      <c r="G683" s="629">
        <v>1.25</v>
      </c>
      <c r="H683" s="629">
        <v>0.2</v>
      </c>
      <c r="I683" s="629" t="s">
        <v>22</v>
      </c>
      <c r="J683" s="629">
        <v>1.77</v>
      </c>
      <c r="K683" s="596"/>
      <c r="L683" s="596"/>
    </row>
    <row r="684" spans="1:12">
      <c r="A684" s="593"/>
      <c r="B684" s="596"/>
      <c r="C684" s="595"/>
      <c r="D684" s="596"/>
      <c r="E684" s="596"/>
      <c r="F684" s="596" t="s">
        <v>91</v>
      </c>
      <c r="G684" s="629">
        <v>1.75</v>
      </c>
      <c r="H684" s="629">
        <v>0.3</v>
      </c>
      <c r="I684" s="595" t="s">
        <v>24</v>
      </c>
      <c r="J684" s="595" t="s">
        <v>24</v>
      </c>
      <c r="K684" s="596"/>
      <c r="L684" s="596"/>
    </row>
    <row r="685" spans="1:12">
      <c r="A685" s="593">
        <v>46267</v>
      </c>
      <c r="B685" s="596" t="s">
        <v>974</v>
      </c>
      <c r="C685" s="595">
        <v>5</v>
      </c>
      <c r="D685" s="596" t="s">
        <v>208</v>
      </c>
      <c r="E685" s="596" t="s">
        <v>208</v>
      </c>
      <c r="F685" s="596" t="s">
        <v>128</v>
      </c>
      <c r="G685" s="629">
        <v>1</v>
      </c>
      <c r="H685" s="629">
        <v>4.5</v>
      </c>
      <c r="I685" s="629" t="s">
        <v>17</v>
      </c>
      <c r="J685" s="629">
        <v>1.63</v>
      </c>
      <c r="K685" s="596" t="s">
        <v>603</v>
      </c>
      <c r="L685" s="596" t="s">
        <v>691</v>
      </c>
    </row>
    <row r="686" spans="1:12">
      <c r="A686" s="593"/>
      <c r="B686" s="596"/>
      <c r="C686" s="595"/>
      <c r="D686" s="596"/>
      <c r="E686" s="596"/>
      <c r="F686" s="596" t="s">
        <v>131</v>
      </c>
      <c r="G686" s="629">
        <v>1.25</v>
      </c>
      <c r="H686" s="629">
        <v>0.2</v>
      </c>
      <c r="I686" s="629" t="s">
        <v>22</v>
      </c>
      <c r="J686" s="629">
        <v>1.77</v>
      </c>
      <c r="K686" s="596"/>
      <c r="L686" s="596"/>
    </row>
    <row r="687" spans="1:12">
      <c r="A687" s="593"/>
      <c r="B687" s="596"/>
      <c r="C687" s="595"/>
      <c r="D687" s="596"/>
      <c r="E687" s="596"/>
      <c r="F687" s="596" t="s">
        <v>91</v>
      </c>
      <c r="G687" s="629">
        <v>1.75</v>
      </c>
      <c r="H687" s="629">
        <v>0.3</v>
      </c>
      <c r="I687" s="595" t="s">
        <v>24</v>
      </c>
      <c r="J687" s="595" t="s">
        <v>24</v>
      </c>
      <c r="K687" s="596"/>
      <c r="L687" s="596"/>
    </row>
    <row r="688" spans="1:12">
      <c r="A688" s="593">
        <v>46268</v>
      </c>
      <c r="B688" s="596" t="s">
        <v>975</v>
      </c>
      <c r="C688" s="595">
        <v>5</v>
      </c>
      <c r="D688" s="596" t="s">
        <v>208</v>
      </c>
      <c r="E688" s="596" t="s">
        <v>208</v>
      </c>
      <c r="F688" s="596" t="s">
        <v>128</v>
      </c>
      <c r="G688" s="629">
        <v>1</v>
      </c>
      <c r="H688" s="629">
        <v>4.5</v>
      </c>
      <c r="I688" s="629" t="s">
        <v>17</v>
      </c>
      <c r="J688" s="629">
        <v>1.63</v>
      </c>
      <c r="K688" s="596" t="s">
        <v>603</v>
      </c>
      <c r="L688" s="596" t="s">
        <v>691</v>
      </c>
    </row>
    <row r="689" spans="1:12">
      <c r="A689" s="593"/>
      <c r="B689" s="596"/>
      <c r="C689" s="595"/>
      <c r="D689" s="596"/>
      <c r="E689" s="596"/>
      <c r="F689" s="596" t="s">
        <v>131</v>
      </c>
      <c r="G689" s="629">
        <v>1.25</v>
      </c>
      <c r="H689" s="629">
        <v>0.2</v>
      </c>
      <c r="I689" s="629" t="s">
        <v>22</v>
      </c>
      <c r="J689" s="629">
        <v>1.77</v>
      </c>
      <c r="K689" s="596"/>
      <c r="L689" s="596"/>
    </row>
    <row r="690" spans="1:12">
      <c r="A690" s="593"/>
      <c r="B690" s="596"/>
      <c r="C690" s="595"/>
      <c r="D690" s="596"/>
      <c r="E690" s="596"/>
      <c r="F690" s="596" t="s">
        <v>91</v>
      </c>
      <c r="G690" s="629">
        <v>1.75</v>
      </c>
      <c r="H690" s="629">
        <v>0.3</v>
      </c>
      <c r="I690" s="595" t="s">
        <v>24</v>
      </c>
      <c r="J690" s="595" t="s">
        <v>24</v>
      </c>
      <c r="K690" s="596"/>
      <c r="L690" s="596"/>
    </row>
    <row r="691" spans="1:12">
      <c r="A691" s="593">
        <v>46268</v>
      </c>
      <c r="B691" s="596" t="s">
        <v>976</v>
      </c>
      <c r="C691" s="595">
        <v>5</v>
      </c>
      <c r="D691" s="596" t="s">
        <v>208</v>
      </c>
      <c r="E691" s="596" t="s">
        <v>208</v>
      </c>
      <c r="F691" s="596" t="s">
        <v>128</v>
      </c>
      <c r="G691" s="629">
        <v>1</v>
      </c>
      <c r="H691" s="629">
        <v>4.5</v>
      </c>
      <c r="I691" s="629" t="s">
        <v>17</v>
      </c>
      <c r="J691" s="629">
        <v>1.63</v>
      </c>
      <c r="K691" s="596" t="s">
        <v>603</v>
      </c>
      <c r="L691" s="596" t="s">
        <v>691</v>
      </c>
    </row>
    <row r="692" spans="1:12">
      <c r="A692" s="593"/>
      <c r="B692" s="596"/>
      <c r="C692" s="595"/>
      <c r="D692" s="596"/>
      <c r="E692" s="596"/>
      <c r="F692" s="596" t="s">
        <v>131</v>
      </c>
      <c r="G692" s="629">
        <v>1.25</v>
      </c>
      <c r="H692" s="629">
        <v>0.2</v>
      </c>
      <c r="I692" s="629" t="s">
        <v>22</v>
      </c>
      <c r="J692" s="629">
        <v>1.77</v>
      </c>
      <c r="K692" s="596"/>
      <c r="L692" s="596"/>
    </row>
    <row r="693" spans="1:12">
      <c r="A693" s="593"/>
      <c r="B693" s="596"/>
      <c r="C693" s="595"/>
      <c r="D693" s="596"/>
      <c r="E693" s="596"/>
      <c r="F693" s="596" t="s">
        <v>91</v>
      </c>
      <c r="G693" s="629">
        <v>1.75</v>
      </c>
      <c r="H693" s="629">
        <v>0.3</v>
      </c>
      <c r="I693" s="595" t="s">
        <v>24</v>
      </c>
      <c r="J693" s="595" t="s">
        <v>24</v>
      </c>
      <c r="K693" s="596"/>
      <c r="L693" s="596"/>
    </row>
    <row r="694" spans="1:12">
      <c r="A694" s="593">
        <v>46269</v>
      </c>
      <c r="B694" s="596" t="s">
        <v>977</v>
      </c>
      <c r="C694" s="595">
        <v>10</v>
      </c>
      <c r="D694" s="596" t="s">
        <v>72</v>
      </c>
      <c r="E694" s="596" t="s">
        <v>72</v>
      </c>
      <c r="F694" s="596" t="s">
        <v>361</v>
      </c>
      <c r="G694" s="629">
        <v>1.92</v>
      </c>
      <c r="H694" s="629">
        <v>8.7</v>
      </c>
      <c r="I694" s="629" t="s">
        <v>17</v>
      </c>
      <c r="J694" s="629">
        <v>1.8</v>
      </c>
      <c r="K694" s="596" t="s">
        <v>607</v>
      </c>
      <c r="L694" s="596" t="s">
        <v>36</v>
      </c>
    </row>
    <row r="695" spans="1:12">
      <c r="A695" s="593"/>
      <c r="B695" s="596"/>
      <c r="C695" s="595"/>
      <c r="D695" s="596"/>
      <c r="E695" s="596"/>
      <c r="F695" s="596" t="s">
        <v>349</v>
      </c>
      <c r="G695" s="629">
        <v>1.92</v>
      </c>
      <c r="H695" s="629">
        <v>0.4</v>
      </c>
      <c r="I695" s="629" t="s">
        <v>22</v>
      </c>
      <c r="J695" s="629">
        <v>1.9</v>
      </c>
      <c r="K695" s="596"/>
      <c r="L695" s="596"/>
    </row>
    <row r="696" spans="1:12">
      <c r="A696" s="593"/>
      <c r="B696" s="596"/>
      <c r="C696" s="595"/>
      <c r="D696" s="596"/>
      <c r="E696" s="596"/>
      <c r="F696" s="596" t="s">
        <v>99</v>
      </c>
      <c r="G696" s="629">
        <v>1.92</v>
      </c>
      <c r="H696" s="629">
        <v>0.4</v>
      </c>
      <c r="I696" s="629" t="s">
        <v>64</v>
      </c>
      <c r="J696" s="629">
        <v>3.2</v>
      </c>
      <c r="K696" s="596"/>
      <c r="L696" s="596"/>
    </row>
    <row r="697" spans="1:12">
      <c r="A697" s="593"/>
      <c r="B697" s="596"/>
      <c r="C697" s="595"/>
      <c r="D697" s="596"/>
      <c r="E697" s="596"/>
      <c r="F697" s="596" t="s">
        <v>91</v>
      </c>
      <c r="G697" s="629">
        <v>3.83</v>
      </c>
      <c r="H697" s="629">
        <v>0.5</v>
      </c>
      <c r="I697" s="595" t="s">
        <v>24</v>
      </c>
      <c r="J697" s="595" t="s">
        <v>24</v>
      </c>
      <c r="K697" s="596"/>
      <c r="L697" s="596"/>
    </row>
    <row r="698" spans="1:12">
      <c r="A698" s="593">
        <v>46269</v>
      </c>
      <c r="B698" s="596" t="s">
        <v>978</v>
      </c>
      <c r="C698" s="595">
        <v>10</v>
      </c>
      <c r="D698" s="596" t="s">
        <v>649</v>
      </c>
      <c r="E698" s="596" t="s">
        <v>649</v>
      </c>
      <c r="F698" s="596" t="s">
        <v>128</v>
      </c>
      <c r="G698" s="629">
        <v>1.01</v>
      </c>
      <c r="H698" s="629">
        <v>8.9</v>
      </c>
      <c r="I698" s="629" t="s">
        <v>17</v>
      </c>
      <c r="J698" s="629">
        <v>1.6</v>
      </c>
      <c r="K698" s="596" t="s">
        <v>603</v>
      </c>
      <c r="L698" s="596" t="s">
        <v>130</v>
      </c>
    </row>
    <row r="699" spans="1:12">
      <c r="A699" s="593"/>
      <c r="B699" s="596"/>
      <c r="C699" s="595"/>
      <c r="D699" s="596"/>
      <c r="E699" s="596"/>
      <c r="F699" s="596" t="s">
        <v>131</v>
      </c>
      <c r="G699" s="629">
        <v>1.17</v>
      </c>
      <c r="H699" s="629">
        <v>0.5</v>
      </c>
      <c r="I699" s="629" t="s">
        <v>22</v>
      </c>
      <c r="J699" s="629">
        <v>1.75</v>
      </c>
      <c r="K699" s="596"/>
      <c r="L699" s="596"/>
    </row>
    <row r="700" spans="1:12">
      <c r="A700" s="593"/>
      <c r="B700" s="596"/>
      <c r="C700" s="595"/>
      <c r="D700" s="596"/>
      <c r="E700" s="596"/>
      <c r="F700" s="596" t="s">
        <v>91</v>
      </c>
      <c r="G700" s="629">
        <v>1.75</v>
      </c>
      <c r="H700" s="629">
        <v>0.6</v>
      </c>
      <c r="I700" s="595" t="s">
        <v>24</v>
      </c>
      <c r="J700" s="595" t="s">
        <v>24</v>
      </c>
      <c r="K700" s="596"/>
      <c r="L700" s="596"/>
    </row>
    <row r="701" spans="1:12">
      <c r="A701" s="593">
        <v>46269</v>
      </c>
      <c r="B701" s="596" t="s">
        <v>979</v>
      </c>
      <c r="C701" s="595">
        <v>10</v>
      </c>
      <c r="D701" s="596" t="s">
        <v>72</v>
      </c>
      <c r="E701" s="596" t="s">
        <v>72</v>
      </c>
      <c r="F701" s="596" t="s">
        <v>128</v>
      </c>
      <c r="G701" s="629">
        <v>1.92</v>
      </c>
      <c r="H701" s="629">
        <v>8.9</v>
      </c>
      <c r="I701" s="629" t="s">
        <v>17</v>
      </c>
      <c r="J701" s="629">
        <v>1.77</v>
      </c>
      <c r="K701" s="596" t="s">
        <v>603</v>
      </c>
      <c r="L701" s="596" t="s">
        <v>130</v>
      </c>
    </row>
    <row r="702" spans="1:12">
      <c r="A702" s="593"/>
      <c r="B702" s="596"/>
      <c r="C702" s="595"/>
      <c r="D702" s="596"/>
      <c r="E702" s="596"/>
      <c r="F702" s="596" t="s">
        <v>131</v>
      </c>
      <c r="G702" s="629">
        <v>2</v>
      </c>
      <c r="H702" s="629">
        <v>0.4</v>
      </c>
      <c r="I702" s="629" t="s">
        <v>22</v>
      </c>
      <c r="J702" s="629">
        <v>1.95</v>
      </c>
      <c r="K702" s="596"/>
      <c r="L702" s="596"/>
    </row>
    <row r="703" spans="1:12">
      <c r="A703" s="593"/>
      <c r="B703" s="596"/>
      <c r="C703" s="595"/>
      <c r="D703" s="596"/>
      <c r="E703" s="596"/>
      <c r="F703" s="596" t="s">
        <v>91</v>
      </c>
      <c r="G703" s="629">
        <v>2.66</v>
      </c>
      <c r="H703" s="629">
        <v>0.7</v>
      </c>
      <c r="I703" s="595" t="s">
        <v>24</v>
      </c>
      <c r="J703" s="595" t="s">
        <v>24</v>
      </c>
      <c r="K703" s="596"/>
      <c r="L703" s="596"/>
    </row>
    <row r="704" spans="1:12">
      <c r="A704" s="630" t="s">
        <v>573</v>
      </c>
      <c r="B704" s="630" t="s">
        <v>980</v>
      </c>
      <c r="C704" s="631">
        <v>10</v>
      </c>
      <c r="D704" s="630" t="s">
        <v>14</v>
      </c>
      <c r="E704" s="630" t="s">
        <v>14</v>
      </c>
      <c r="F704" s="630" t="s">
        <v>361</v>
      </c>
      <c r="G704" s="632">
        <v>1.85</v>
      </c>
      <c r="H704" s="632">
        <v>8.4</v>
      </c>
      <c r="I704" s="630" t="s">
        <v>17</v>
      </c>
      <c r="J704" s="630" t="s">
        <v>981</v>
      </c>
      <c r="K704" s="630" t="s">
        <v>595</v>
      </c>
      <c r="L704" s="630" t="s">
        <v>104</v>
      </c>
    </row>
    <row r="705" spans="1:12">
      <c r="A705" s="509"/>
      <c r="B705" s="509"/>
      <c r="C705" s="520"/>
      <c r="D705" s="509"/>
      <c r="E705" s="509"/>
      <c r="F705" s="509" t="s">
        <v>349</v>
      </c>
      <c r="G705" s="633">
        <v>1.94</v>
      </c>
      <c r="H705" s="633">
        <v>0.5</v>
      </c>
      <c r="I705" s="509" t="s">
        <v>22</v>
      </c>
      <c r="J705" s="509" t="s">
        <v>982</v>
      </c>
      <c r="K705" s="509"/>
      <c r="L705" s="509"/>
    </row>
    <row r="706" spans="1:12">
      <c r="A706" s="509"/>
      <c r="B706" s="509"/>
      <c r="C706" s="520"/>
      <c r="D706" s="509"/>
      <c r="E706" s="509"/>
      <c r="F706" s="509" t="s">
        <v>350</v>
      </c>
      <c r="G706" s="633">
        <v>2.02</v>
      </c>
      <c r="H706" s="633">
        <v>0.3</v>
      </c>
      <c r="I706" s="509" t="s">
        <v>44</v>
      </c>
      <c r="J706" s="509" t="s">
        <v>983</v>
      </c>
      <c r="K706" s="509"/>
      <c r="L706" s="509"/>
    </row>
    <row r="707" spans="1:12">
      <c r="A707" s="509"/>
      <c r="B707" s="509"/>
      <c r="C707" s="520"/>
      <c r="D707" s="509"/>
      <c r="E707" s="509"/>
      <c r="F707" s="509" t="s">
        <v>91</v>
      </c>
      <c r="G707" s="633">
        <v>2.68</v>
      </c>
      <c r="H707" s="633">
        <v>0.8</v>
      </c>
      <c r="I707" s="595" t="s">
        <v>24</v>
      </c>
      <c r="J707" s="595" t="s">
        <v>24</v>
      </c>
      <c r="K707" s="509"/>
      <c r="L707" s="509"/>
    </row>
    <row r="708" spans="1:12">
      <c r="A708" s="509" t="s">
        <v>573</v>
      </c>
      <c r="B708" s="509" t="s">
        <v>984</v>
      </c>
      <c r="C708" s="520">
        <v>5</v>
      </c>
      <c r="D708" s="509" t="s">
        <v>72</v>
      </c>
      <c r="E708" s="509" t="s">
        <v>66</v>
      </c>
      <c r="F708" s="509" t="s">
        <v>361</v>
      </c>
      <c r="G708" s="633">
        <v>1.7</v>
      </c>
      <c r="H708" s="633">
        <v>4.45</v>
      </c>
      <c r="I708" s="509" t="s">
        <v>17</v>
      </c>
      <c r="J708" s="509" t="s">
        <v>985</v>
      </c>
      <c r="K708" s="509" t="s">
        <v>713</v>
      </c>
      <c r="L708" s="509"/>
    </row>
    <row r="709" spans="1:12">
      <c r="A709" s="509"/>
      <c r="B709" s="509"/>
      <c r="C709" s="520"/>
      <c r="D709" s="509"/>
      <c r="E709" s="509"/>
      <c r="F709" s="509" t="s">
        <v>349</v>
      </c>
      <c r="G709" s="633">
        <v>1.95</v>
      </c>
      <c r="H709" s="633">
        <v>0.175</v>
      </c>
      <c r="I709" s="509" t="s">
        <v>22</v>
      </c>
      <c r="J709" s="509" t="s">
        <v>986</v>
      </c>
      <c r="K709" s="509"/>
      <c r="L709" s="509"/>
    </row>
    <row r="710" spans="1:12">
      <c r="A710" s="509"/>
      <c r="B710" s="509"/>
      <c r="C710" s="520"/>
      <c r="D710" s="509"/>
      <c r="E710" s="509"/>
      <c r="F710" s="509" t="s">
        <v>91</v>
      </c>
      <c r="G710" s="633">
        <v>2.47</v>
      </c>
      <c r="H710" s="633">
        <v>0.375</v>
      </c>
      <c r="I710" s="595" t="s">
        <v>24</v>
      </c>
      <c r="J710" s="595" t="s">
        <v>24</v>
      </c>
      <c r="K710" s="509"/>
      <c r="L710" s="509"/>
    </row>
    <row r="711" spans="1:12">
      <c r="A711" s="509" t="s">
        <v>573</v>
      </c>
      <c r="B711" s="509" t="s">
        <v>987</v>
      </c>
      <c r="C711" s="520">
        <v>10</v>
      </c>
      <c r="D711" s="509" t="s">
        <v>649</v>
      </c>
      <c r="E711" s="509" t="s">
        <v>649</v>
      </c>
      <c r="F711" s="509" t="s">
        <v>128</v>
      </c>
      <c r="G711" s="633">
        <v>1</v>
      </c>
      <c r="H711" s="633">
        <v>8.9</v>
      </c>
      <c r="I711" s="509" t="s">
        <v>17</v>
      </c>
      <c r="J711" s="509" t="s">
        <v>988</v>
      </c>
      <c r="K711" s="509" t="s">
        <v>603</v>
      </c>
      <c r="L711" s="509" t="s">
        <v>130</v>
      </c>
    </row>
    <row r="712" spans="1:12">
      <c r="A712" s="509"/>
      <c r="B712" s="509"/>
      <c r="C712" s="520"/>
      <c r="D712" s="509"/>
      <c r="E712" s="509"/>
      <c r="F712" s="509" t="s">
        <v>131</v>
      </c>
      <c r="G712" s="633">
        <v>1.17</v>
      </c>
      <c r="H712" s="633">
        <v>0.5</v>
      </c>
      <c r="I712" s="509" t="s">
        <v>22</v>
      </c>
      <c r="J712" s="509" t="s">
        <v>989</v>
      </c>
      <c r="K712" s="509"/>
      <c r="L712" s="509"/>
    </row>
    <row r="713" spans="1:12">
      <c r="A713" s="509"/>
      <c r="B713" s="509"/>
      <c r="C713" s="520"/>
      <c r="D713" s="509"/>
      <c r="E713" s="509"/>
      <c r="F713" s="509" t="s">
        <v>91</v>
      </c>
      <c r="G713" s="633">
        <v>1.75</v>
      </c>
      <c r="H713" s="633">
        <v>0.6</v>
      </c>
      <c r="I713" s="595" t="s">
        <v>24</v>
      </c>
      <c r="J713" s="595" t="s">
        <v>24</v>
      </c>
      <c r="K713" s="509"/>
      <c r="L713" s="509"/>
    </row>
    <row r="714" spans="1:12">
      <c r="A714" s="509" t="s">
        <v>578</v>
      </c>
      <c r="B714" s="509" t="s">
        <v>990</v>
      </c>
      <c r="C714" s="520">
        <v>10</v>
      </c>
      <c r="D714" s="509" t="s">
        <v>649</v>
      </c>
      <c r="E714" s="509" t="s">
        <v>649</v>
      </c>
      <c r="F714" s="509" t="s">
        <v>128</v>
      </c>
      <c r="G714" s="633">
        <v>1</v>
      </c>
      <c r="H714" s="633">
        <v>8.9</v>
      </c>
      <c r="I714" s="509" t="s">
        <v>17</v>
      </c>
      <c r="J714" s="509" t="s">
        <v>991</v>
      </c>
      <c r="K714" s="509" t="s">
        <v>603</v>
      </c>
      <c r="L714" s="509" t="s">
        <v>130</v>
      </c>
    </row>
    <row r="715" spans="1:12">
      <c r="A715" s="509"/>
      <c r="B715" s="509"/>
      <c r="C715" s="520"/>
      <c r="D715" s="509"/>
      <c r="E715" s="509"/>
      <c r="F715" s="509" t="s">
        <v>131</v>
      </c>
      <c r="G715" s="633">
        <v>1.17</v>
      </c>
      <c r="H715" s="633">
        <v>0.5</v>
      </c>
      <c r="I715" s="509" t="s">
        <v>22</v>
      </c>
      <c r="J715" s="509" t="s">
        <v>989</v>
      </c>
      <c r="K715" s="509"/>
      <c r="L715" s="509"/>
    </row>
    <row r="716" spans="1:12">
      <c r="A716" s="509"/>
      <c r="B716" s="509"/>
      <c r="C716" s="520"/>
      <c r="D716" s="509"/>
      <c r="E716" s="509"/>
      <c r="F716" s="509" t="s">
        <v>91</v>
      </c>
      <c r="G716" s="633">
        <v>1.75</v>
      </c>
      <c r="H716" s="633">
        <v>0.6</v>
      </c>
      <c r="I716" s="595" t="s">
        <v>24</v>
      </c>
      <c r="J716" s="595" t="s">
        <v>24</v>
      </c>
      <c r="K716" s="509"/>
      <c r="L716" s="509"/>
    </row>
    <row r="717" spans="1:12">
      <c r="A717" s="509" t="s">
        <v>582</v>
      </c>
      <c r="B717" s="509" t="s">
        <v>992</v>
      </c>
      <c r="C717" s="520">
        <v>15</v>
      </c>
      <c r="D717" s="509" t="s">
        <v>649</v>
      </c>
      <c r="E717" s="509" t="s">
        <v>649</v>
      </c>
      <c r="F717" s="509" t="s">
        <v>128</v>
      </c>
      <c r="G717" s="633">
        <v>1</v>
      </c>
      <c r="H717" s="633">
        <v>13.35</v>
      </c>
      <c r="I717" s="509" t="s">
        <v>17</v>
      </c>
      <c r="J717" s="509" t="s">
        <v>991</v>
      </c>
      <c r="K717" s="509" t="s">
        <v>603</v>
      </c>
      <c r="L717" s="509" t="s">
        <v>130</v>
      </c>
    </row>
    <row r="718" spans="1:12">
      <c r="A718" s="509"/>
      <c r="B718" s="509"/>
      <c r="C718" s="520"/>
      <c r="D718" s="509"/>
      <c r="E718" s="509"/>
      <c r="F718" s="509" t="s">
        <v>131</v>
      </c>
      <c r="G718" s="633">
        <v>1.17</v>
      </c>
      <c r="H718" s="633">
        <v>0.75</v>
      </c>
      <c r="I718" s="509" t="s">
        <v>22</v>
      </c>
      <c r="J718" s="509" t="s">
        <v>989</v>
      </c>
      <c r="K718" s="509"/>
      <c r="L718" s="509"/>
    </row>
    <row r="719" spans="1:12">
      <c r="A719" s="509"/>
      <c r="B719" s="509"/>
      <c r="C719" s="520"/>
      <c r="D719" s="509"/>
      <c r="E719" s="509"/>
      <c r="F719" s="509" t="s">
        <v>91</v>
      </c>
      <c r="G719" s="633">
        <v>1.75</v>
      </c>
      <c r="H719" s="633">
        <v>0.9</v>
      </c>
      <c r="I719" s="595" t="s">
        <v>24</v>
      </c>
      <c r="J719" s="595" t="s">
        <v>24</v>
      </c>
      <c r="K719" s="509"/>
      <c r="L719" s="509"/>
    </row>
    <row r="720" spans="1:12">
      <c r="A720" s="509" t="s">
        <v>582</v>
      </c>
      <c r="B720" s="509" t="s">
        <v>993</v>
      </c>
      <c r="C720" s="520">
        <v>10</v>
      </c>
      <c r="D720" s="509" t="s">
        <v>66</v>
      </c>
      <c r="E720" s="509" t="s">
        <v>66</v>
      </c>
      <c r="F720" s="509" t="s">
        <v>128</v>
      </c>
      <c r="G720" s="633">
        <v>1</v>
      </c>
      <c r="H720" s="633">
        <v>8.8</v>
      </c>
      <c r="I720" s="509" t="s">
        <v>17</v>
      </c>
      <c r="J720" s="509" t="s">
        <v>988</v>
      </c>
      <c r="K720" s="509" t="s">
        <v>603</v>
      </c>
      <c r="L720" s="509" t="s">
        <v>577</v>
      </c>
    </row>
    <row r="721" spans="1:12">
      <c r="A721" s="509"/>
      <c r="B721" s="509"/>
      <c r="C721" s="520"/>
      <c r="D721" s="509"/>
      <c r="E721" s="509"/>
      <c r="F721" s="509" t="s">
        <v>131</v>
      </c>
      <c r="G721" s="633">
        <v>1.08</v>
      </c>
      <c r="H721" s="633">
        <v>0.6</v>
      </c>
      <c r="I721" s="509" t="s">
        <v>22</v>
      </c>
      <c r="J721" s="509" t="s">
        <v>989</v>
      </c>
      <c r="K721" s="509"/>
      <c r="L721" s="509"/>
    </row>
    <row r="722" spans="1:12">
      <c r="A722" s="509"/>
      <c r="B722" s="509"/>
      <c r="C722" s="520"/>
      <c r="D722" s="509"/>
      <c r="E722" s="509"/>
      <c r="F722" s="509" t="s">
        <v>91</v>
      </c>
      <c r="G722" s="633">
        <v>1.66</v>
      </c>
      <c r="H722" s="633">
        <v>0.6</v>
      </c>
      <c r="I722" s="595" t="s">
        <v>24</v>
      </c>
      <c r="J722" s="595" t="s">
        <v>24</v>
      </c>
      <c r="K722" s="509"/>
      <c r="L722" s="509"/>
    </row>
    <row r="723" spans="1:12">
      <c r="A723" s="509" t="s">
        <v>588</v>
      </c>
      <c r="B723" s="509" t="s">
        <v>994</v>
      </c>
      <c r="C723" s="520">
        <v>10</v>
      </c>
      <c r="D723" s="509" t="s">
        <v>66</v>
      </c>
      <c r="E723" s="509" t="s">
        <v>66</v>
      </c>
      <c r="F723" s="509" t="s">
        <v>128</v>
      </c>
      <c r="G723" s="633">
        <v>1</v>
      </c>
      <c r="H723" s="633">
        <v>8.8</v>
      </c>
      <c r="I723" s="509" t="s">
        <v>17</v>
      </c>
      <c r="J723" s="509" t="s">
        <v>988</v>
      </c>
      <c r="K723" s="509" t="s">
        <v>603</v>
      </c>
      <c r="L723" s="509" t="s">
        <v>577</v>
      </c>
    </row>
    <row r="724" spans="1:12">
      <c r="A724" s="509"/>
      <c r="B724" s="509"/>
      <c r="C724" s="520"/>
      <c r="D724" s="509"/>
      <c r="E724" s="509"/>
      <c r="F724" s="509" t="s">
        <v>131</v>
      </c>
      <c r="G724" s="633">
        <v>1.09</v>
      </c>
      <c r="H724" s="633">
        <v>0.6</v>
      </c>
      <c r="I724" s="509" t="s">
        <v>22</v>
      </c>
      <c r="J724" s="509" t="s">
        <v>989</v>
      </c>
      <c r="K724" s="509"/>
      <c r="L724" s="509"/>
    </row>
    <row r="725" spans="1:12">
      <c r="A725" s="509"/>
      <c r="B725" s="509"/>
      <c r="C725" s="520"/>
      <c r="D725" s="509"/>
      <c r="E725" s="509"/>
      <c r="F725" s="509" t="s">
        <v>91</v>
      </c>
      <c r="G725" s="633">
        <v>1.66</v>
      </c>
      <c r="H725" s="633">
        <v>0.6</v>
      </c>
      <c r="I725" s="595" t="s">
        <v>24</v>
      </c>
      <c r="J725" s="595" t="s">
        <v>24</v>
      </c>
      <c r="K725" s="509"/>
      <c r="L725" s="509"/>
    </row>
    <row r="726" spans="1:12">
      <c r="A726" s="596" t="s">
        <v>604</v>
      </c>
      <c r="B726" s="596" t="s">
        <v>995</v>
      </c>
      <c r="C726" s="629">
        <v>10</v>
      </c>
      <c r="D726" s="596" t="s">
        <v>33</v>
      </c>
      <c r="E726" s="596" t="s">
        <v>33</v>
      </c>
      <c r="F726" s="596" t="s">
        <v>347</v>
      </c>
      <c r="G726" s="629">
        <v>1.08</v>
      </c>
      <c r="H726" s="629">
        <v>7.2</v>
      </c>
      <c r="I726" s="629" t="s">
        <v>17</v>
      </c>
      <c r="J726" s="629">
        <v>1.75</v>
      </c>
      <c r="K726" s="596" t="s">
        <v>599</v>
      </c>
      <c r="L726" s="596"/>
    </row>
    <row r="727" spans="1:12">
      <c r="A727" s="596"/>
      <c r="B727" s="596"/>
      <c r="C727" s="629"/>
      <c r="D727" s="596"/>
      <c r="E727" s="596"/>
      <c r="F727" s="596" t="s">
        <v>348</v>
      </c>
      <c r="G727" s="629">
        <v>1.25</v>
      </c>
      <c r="H727" s="629">
        <v>1.6</v>
      </c>
      <c r="I727" s="629" t="s">
        <v>17</v>
      </c>
      <c r="J727" s="629">
        <v>1.75</v>
      </c>
      <c r="K727" s="596"/>
      <c r="L727" s="596"/>
    </row>
    <row r="728" spans="1:12">
      <c r="A728" s="596"/>
      <c r="B728" s="596"/>
      <c r="C728" s="629"/>
      <c r="D728" s="596"/>
      <c r="E728" s="596"/>
      <c r="F728" s="596" t="s">
        <v>349</v>
      </c>
      <c r="G728" s="629">
        <v>1.29</v>
      </c>
      <c r="H728" s="629">
        <v>0.35</v>
      </c>
      <c r="I728" s="629" t="s">
        <v>22</v>
      </c>
      <c r="J728" s="629">
        <v>1.85</v>
      </c>
      <c r="K728" s="596"/>
      <c r="L728" s="596"/>
    </row>
    <row r="729" spans="1:12">
      <c r="A729" s="596"/>
      <c r="B729" s="596"/>
      <c r="C729" s="629"/>
      <c r="D729" s="596"/>
      <c r="E729" s="596"/>
      <c r="F729" s="596" t="s">
        <v>350</v>
      </c>
      <c r="G729" s="629">
        <v>1.38</v>
      </c>
      <c r="H729" s="629">
        <v>0.35</v>
      </c>
      <c r="I729" s="629" t="s">
        <v>136</v>
      </c>
      <c r="J729" s="629">
        <v>4.4</v>
      </c>
      <c r="K729" s="596"/>
      <c r="L729" s="596"/>
    </row>
    <row r="730" spans="1:12">
      <c r="A730" s="596"/>
      <c r="B730" s="596"/>
      <c r="C730" s="629"/>
      <c r="D730" s="596"/>
      <c r="E730" s="596"/>
      <c r="F730" s="596" t="s">
        <v>91</v>
      </c>
      <c r="G730" s="629">
        <v>1.75</v>
      </c>
      <c r="H730" s="629">
        <v>0.5</v>
      </c>
      <c r="I730" s="629" t="s">
        <v>24</v>
      </c>
      <c r="J730" s="629" t="s">
        <v>24</v>
      </c>
      <c r="K730" s="596"/>
      <c r="L730" s="596"/>
    </row>
    <row r="731" spans="1:12">
      <c r="A731" s="596" t="s">
        <v>604</v>
      </c>
      <c r="B731" s="596" t="s">
        <v>996</v>
      </c>
      <c r="C731" s="629">
        <v>10</v>
      </c>
      <c r="D731" s="596" t="s">
        <v>85</v>
      </c>
      <c r="E731" s="596" t="s">
        <v>66</v>
      </c>
      <c r="F731" s="596" t="s">
        <v>348</v>
      </c>
      <c r="G731" s="629">
        <v>1</v>
      </c>
      <c r="H731" s="629">
        <v>5.8</v>
      </c>
      <c r="I731" s="629" t="s">
        <v>17</v>
      </c>
      <c r="J731" s="629">
        <v>1.6</v>
      </c>
      <c r="K731" s="596" t="s">
        <v>630</v>
      </c>
      <c r="L731" s="596" t="s">
        <v>95</v>
      </c>
    </row>
    <row r="732" spans="1:12">
      <c r="A732" s="596"/>
      <c r="B732" s="596"/>
      <c r="C732" s="629"/>
      <c r="D732" s="596"/>
      <c r="E732" s="596"/>
      <c r="F732" s="596" t="s">
        <v>347</v>
      </c>
      <c r="G732" s="629">
        <v>1</v>
      </c>
      <c r="H732" s="629">
        <v>3</v>
      </c>
      <c r="I732" s="629" t="s">
        <v>17</v>
      </c>
      <c r="J732" s="629">
        <v>1.58</v>
      </c>
      <c r="K732" s="596"/>
      <c r="L732" s="596"/>
    </row>
    <row r="733" spans="1:12">
      <c r="A733" s="596"/>
      <c r="B733" s="596"/>
      <c r="C733" s="629"/>
      <c r="D733" s="596"/>
      <c r="E733" s="596"/>
      <c r="F733" s="596" t="s">
        <v>349</v>
      </c>
      <c r="G733" s="629">
        <v>1</v>
      </c>
      <c r="H733" s="629">
        <v>0.6</v>
      </c>
      <c r="I733" s="629" t="s">
        <v>22</v>
      </c>
      <c r="J733" s="629">
        <v>1.8</v>
      </c>
      <c r="K733" s="596"/>
      <c r="L733" s="596"/>
    </row>
    <row r="734" spans="1:12">
      <c r="A734" s="596"/>
      <c r="B734" s="596"/>
      <c r="C734" s="629"/>
      <c r="D734" s="596"/>
      <c r="E734" s="596"/>
      <c r="F734" s="596" t="s">
        <v>91</v>
      </c>
      <c r="G734" s="629">
        <v>3</v>
      </c>
      <c r="H734" s="629">
        <v>0.6</v>
      </c>
      <c r="I734" s="629" t="s">
        <v>24</v>
      </c>
      <c r="J734" s="629" t="s">
        <v>24</v>
      </c>
      <c r="K734" s="596"/>
      <c r="L734" s="596"/>
    </row>
    <row r="735" spans="1:12">
      <c r="A735" s="596" t="s">
        <v>610</v>
      </c>
      <c r="B735" s="596" t="s">
        <v>997</v>
      </c>
      <c r="C735" s="629">
        <v>10</v>
      </c>
      <c r="D735" s="596" t="s">
        <v>72</v>
      </c>
      <c r="E735" s="596" t="s">
        <v>33</v>
      </c>
      <c r="F735" s="596" t="s">
        <v>361</v>
      </c>
      <c r="G735" s="629">
        <v>1.98</v>
      </c>
      <c r="H735" s="629">
        <v>8.6</v>
      </c>
      <c r="I735" s="629" t="s">
        <v>17</v>
      </c>
      <c r="J735" s="629">
        <v>1.79</v>
      </c>
      <c r="K735" s="596" t="s">
        <v>601</v>
      </c>
      <c r="L735" s="596" t="s">
        <v>28</v>
      </c>
    </row>
    <row r="736" spans="1:12">
      <c r="A736" s="596"/>
      <c r="B736" s="596"/>
      <c r="C736" s="629"/>
      <c r="D736" s="596"/>
      <c r="E736" s="596"/>
      <c r="F736" s="596" t="s">
        <v>349</v>
      </c>
      <c r="G736" s="629">
        <v>1.98</v>
      </c>
      <c r="H736" s="629">
        <v>0.5</v>
      </c>
      <c r="I736" s="629" t="s">
        <v>22</v>
      </c>
      <c r="J736" s="629">
        <v>1.82</v>
      </c>
      <c r="K736" s="596"/>
      <c r="L736" s="596"/>
    </row>
    <row r="737" spans="1:12">
      <c r="A737" s="596"/>
      <c r="B737" s="596"/>
      <c r="C737" s="629"/>
      <c r="D737" s="596"/>
      <c r="E737" s="596"/>
      <c r="F737" s="596" t="s">
        <v>99</v>
      </c>
      <c r="G737" s="629">
        <v>1.98</v>
      </c>
      <c r="H737" s="629">
        <v>0.4</v>
      </c>
      <c r="I737" s="629" t="s">
        <v>44</v>
      </c>
      <c r="J737" s="629">
        <v>3</v>
      </c>
      <c r="K737" s="596"/>
      <c r="L737" s="596"/>
    </row>
    <row r="738" spans="1:12">
      <c r="A738" s="596"/>
      <c r="B738" s="596"/>
      <c r="C738" s="629"/>
      <c r="D738" s="596"/>
      <c r="E738" s="596"/>
      <c r="F738" s="596" t="s">
        <v>91</v>
      </c>
      <c r="G738" s="629">
        <v>1.98</v>
      </c>
      <c r="H738" s="629">
        <v>0.5</v>
      </c>
      <c r="I738" s="629" t="s">
        <v>24</v>
      </c>
      <c r="J738" s="629" t="s">
        <v>24</v>
      </c>
      <c r="K738" s="596"/>
      <c r="L738" s="596"/>
    </row>
    <row r="739" spans="1:12">
      <c r="A739" s="596" t="s">
        <v>623</v>
      </c>
      <c r="B739" s="596" t="s">
        <v>998</v>
      </c>
      <c r="C739" s="629">
        <v>10</v>
      </c>
      <c r="D739" s="596" t="s">
        <v>51</v>
      </c>
      <c r="E739" s="596" t="s">
        <v>208</v>
      </c>
      <c r="F739" s="596" t="s">
        <v>361</v>
      </c>
      <c r="G739" s="629">
        <v>2</v>
      </c>
      <c r="H739" s="629">
        <v>8.7</v>
      </c>
      <c r="I739" s="596" t="s">
        <v>17</v>
      </c>
      <c r="J739" s="596" t="s">
        <v>999</v>
      </c>
      <c r="K739" s="596" t="s">
        <v>607</v>
      </c>
      <c r="L739" s="596" t="s">
        <v>53</v>
      </c>
    </row>
    <row r="740" spans="1:12">
      <c r="A740" s="596"/>
      <c r="B740" s="596"/>
      <c r="C740" s="629"/>
      <c r="D740" s="596"/>
      <c r="E740" s="596"/>
      <c r="F740" s="596" t="s">
        <v>349</v>
      </c>
      <c r="G740" s="629">
        <v>2</v>
      </c>
      <c r="H740" s="629">
        <v>0.4</v>
      </c>
      <c r="I740" s="596" t="s">
        <v>22</v>
      </c>
      <c r="J740" s="596" t="s">
        <v>1000</v>
      </c>
      <c r="K740" s="596"/>
      <c r="L740" s="596"/>
    </row>
    <row r="741" spans="1:12">
      <c r="A741" s="596"/>
      <c r="B741" s="596"/>
      <c r="C741" s="629"/>
      <c r="D741" s="596"/>
      <c r="E741" s="596"/>
      <c r="F741" s="596" t="s">
        <v>99</v>
      </c>
      <c r="G741" s="629">
        <v>2</v>
      </c>
      <c r="H741" s="629">
        <v>0.4</v>
      </c>
      <c r="I741" s="596" t="s">
        <v>44</v>
      </c>
      <c r="J741" s="596" t="s">
        <v>1001</v>
      </c>
      <c r="K741" s="596"/>
      <c r="L741" s="596"/>
    </row>
    <row r="742" spans="1:12">
      <c r="A742" s="596"/>
      <c r="B742" s="596"/>
      <c r="C742" s="629"/>
      <c r="D742" s="596"/>
      <c r="E742" s="596"/>
      <c r="F742" s="596" t="s">
        <v>91</v>
      </c>
      <c r="G742" s="629">
        <v>2</v>
      </c>
      <c r="H742" s="629">
        <v>0.5</v>
      </c>
      <c r="I742" s="596" t="s">
        <v>24</v>
      </c>
      <c r="J742" s="596" t="s">
        <v>24</v>
      </c>
      <c r="K742" s="596"/>
      <c r="L742" s="596"/>
    </row>
    <row r="743" spans="1:12">
      <c r="A743" s="596" t="s">
        <v>617</v>
      </c>
      <c r="B743" s="596" t="s">
        <v>1002</v>
      </c>
      <c r="C743" s="629">
        <v>6</v>
      </c>
      <c r="D743" s="596" t="s">
        <v>14</v>
      </c>
      <c r="E743" s="596" t="s">
        <v>66</v>
      </c>
      <c r="F743" s="596" t="s">
        <v>361</v>
      </c>
      <c r="G743" s="629">
        <v>1</v>
      </c>
      <c r="H743" s="629">
        <v>5.28</v>
      </c>
      <c r="I743" s="596" t="s">
        <v>17</v>
      </c>
      <c r="J743" s="596" t="s">
        <v>991</v>
      </c>
      <c r="K743" s="596" t="s">
        <v>630</v>
      </c>
      <c r="L743" s="596" t="s">
        <v>95</v>
      </c>
    </row>
    <row r="744" spans="1:12">
      <c r="A744" s="596"/>
      <c r="B744" s="596"/>
      <c r="C744" s="629"/>
      <c r="D744" s="596"/>
      <c r="E744" s="596"/>
      <c r="F744" s="596" t="s">
        <v>349</v>
      </c>
      <c r="G744" s="629">
        <v>1</v>
      </c>
      <c r="H744" s="629">
        <v>0.36</v>
      </c>
      <c r="I744" s="596" t="s">
        <v>22</v>
      </c>
      <c r="J744" s="596" t="s">
        <v>989</v>
      </c>
      <c r="K744" s="596"/>
      <c r="L744" s="596"/>
    </row>
    <row r="745" spans="1:12">
      <c r="A745" s="596"/>
      <c r="B745" s="596"/>
      <c r="C745" s="629"/>
      <c r="D745" s="596"/>
      <c r="E745" s="596"/>
      <c r="F745" s="596" t="s">
        <v>91</v>
      </c>
      <c r="G745" s="629">
        <v>3.99</v>
      </c>
      <c r="H745" s="629">
        <v>0.36</v>
      </c>
      <c r="I745" s="596" t="s">
        <v>24</v>
      </c>
      <c r="J745" s="596" t="s">
        <v>24</v>
      </c>
      <c r="K745" s="596"/>
      <c r="L745" s="596"/>
    </row>
    <row r="746" spans="1:12">
      <c r="A746" s="596" t="s">
        <v>1003</v>
      </c>
      <c r="B746" s="596" t="s">
        <v>1004</v>
      </c>
      <c r="C746" s="629">
        <v>7.52</v>
      </c>
      <c r="D746" s="596" t="s">
        <v>14</v>
      </c>
      <c r="E746" s="596" t="s">
        <v>14</v>
      </c>
      <c r="F746" s="596" t="s">
        <v>361</v>
      </c>
      <c r="G746" s="629">
        <v>1</v>
      </c>
      <c r="H746" s="629">
        <v>7.04</v>
      </c>
      <c r="I746" s="596" t="s">
        <v>17</v>
      </c>
      <c r="J746" s="596" t="s">
        <v>991</v>
      </c>
      <c r="K746" s="606" t="s">
        <v>630</v>
      </c>
      <c r="L746" s="606" t="s">
        <v>95</v>
      </c>
    </row>
    <row r="747" spans="1:12">
      <c r="A747" s="596"/>
      <c r="B747" s="596"/>
      <c r="C747" s="629"/>
      <c r="D747" s="596"/>
      <c r="E747" s="596"/>
      <c r="F747" s="596" t="s">
        <v>349</v>
      </c>
      <c r="G747" s="629">
        <v>1</v>
      </c>
      <c r="H747" s="629">
        <v>0.48</v>
      </c>
      <c r="I747" s="596" t="s">
        <v>22</v>
      </c>
      <c r="J747" s="596" t="s">
        <v>982</v>
      </c>
      <c r="K747" s="604"/>
      <c r="L747" s="604"/>
    </row>
    <row r="748" spans="1:12">
      <c r="A748" s="596" t="s">
        <v>1003</v>
      </c>
      <c r="B748" s="596" t="s">
        <v>1005</v>
      </c>
      <c r="C748" s="629">
        <v>5.64</v>
      </c>
      <c r="D748" s="596" t="s">
        <v>14</v>
      </c>
      <c r="E748" s="596" t="s">
        <v>14</v>
      </c>
      <c r="F748" s="596" t="s">
        <v>361</v>
      </c>
      <c r="G748" s="629">
        <v>1</v>
      </c>
      <c r="H748" s="629">
        <v>5.28</v>
      </c>
      <c r="I748" s="596" t="s">
        <v>17</v>
      </c>
      <c r="J748" s="596" t="s">
        <v>991</v>
      </c>
      <c r="K748" s="606" t="s">
        <v>630</v>
      </c>
      <c r="L748" s="606" t="s">
        <v>95</v>
      </c>
    </row>
    <row r="749" spans="1:12">
      <c r="A749" s="596"/>
      <c r="B749" s="596"/>
      <c r="C749" s="629"/>
      <c r="D749" s="596"/>
      <c r="E749" s="596"/>
      <c r="F749" s="596" t="s">
        <v>349</v>
      </c>
      <c r="G749" s="629">
        <v>1</v>
      </c>
      <c r="H749" s="629">
        <v>0.36</v>
      </c>
      <c r="I749" s="596" t="s">
        <v>22</v>
      </c>
      <c r="J749" s="596" t="s">
        <v>989</v>
      </c>
      <c r="K749" s="604"/>
      <c r="L749" s="604"/>
    </row>
    <row r="750" spans="1:12">
      <c r="A750" s="596" t="s">
        <v>1003</v>
      </c>
      <c r="B750" s="596" t="s">
        <v>1006</v>
      </c>
      <c r="C750" s="629">
        <v>7.52</v>
      </c>
      <c r="D750" s="596" t="s">
        <v>66</v>
      </c>
      <c r="E750" s="596" t="s">
        <v>14</v>
      </c>
      <c r="F750" s="596" t="s">
        <v>361</v>
      </c>
      <c r="G750" s="629">
        <v>0.99</v>
      </c>
      <c r="H750" s="629">
        <v>7.04</v>
      </c>
      <c r="I750" s="596" t="s">
        <v>17</v>
      </c>
      <c r="J750" s="596" t="s">
        <v>1007</v>
      </c>
      <c r="K750" s="606" t="s">
        <v>630</v>
      </c>
      <c r="L750" s="606" t="s">
        <v>95</v>
      </c>
    </row>
    <row r="751" spans="1:12">
      <c r="A751" s="596"/>
      <c r="B751" s="596"/>
      <c r="C751" s="629"/>
      <c r="D751" s="596"/>
      <c r="E751" s="596"/>
      <c r="F751" s="596" t="s">
        <v>349</v>
      </c>
      <c r="G751" s="629">
        <v>0.99</v>
      </c>
      <c r="H751" s="629">
        <v>0.48</v>
      </c>
      <c r="I751" s="596" t="s">
        <v>22</v>
      </c>
      <c r="J751" s="596" t="s">
        <v>982</v>
      </c>
      <c r="K751" s="604"/>
      <c r="L751" s="604"/>
    </row>
    <row r="752" spans="1:12">
      <c r="A752" s="596" t="s">
        <v>1003</v>
      </c>
      <c r="B752" s="596" t="s">
        <v>1008</v>
      </c>
      <c r="C752" s="629">
        <v>7.52</v>
      </c>
      <c r="D752" s="596" t="s">
        <v>66</v>
      </c>
      <c r="E752" s="596" t="s">
        <v>14</v>
      </c>
      <c r="F752" s="596" t="s">
        <v>361</v>
      </c>
      <c r="G752" s="629">
        <v>0.99</v>
      </c>
      <c r="H752" s="629">
        <v>7.04</v>
      </c>
      <c r="I752" s="596" t="s">
        <v>17</v>
      </c>
      <c r="J752" s="596" t="s">
        <v>1007</v>
      </c>
      <c r="K752" s="606" t="s">
        <v>630</v>
      </c>
      <c r="L752" s="606" t="s">
        <v>95</v>
      </c>
    </row>
    <row r="753" spans="1:12">
      <c r="A753" s="596"/>
      <c r="B753" s="596"/>
      <c r="C753" s="629"/>
      <c r="D753" s="596"/>
      <c r="E753" s="596"/>
      <c r="F753" s="596" t="s">
        <v>349</v>
      </c>
      <c r="G753" s="629">
        <v>0.99</v>
      </c>
      <c r="H753" s="629">
        <v>0.48</v>
      </c>
      <c r="I753" s="596" t="s">
        <v>22</v>
      </c>
      <c r="J753" s="596" t="s">
        <v>982</v>
      </c>
      <c r="K753" s="604"/>
      <c r="L753" s="604"/>
    </row>
    <row r="754" spans="1:12">
      <c r="A754" s="596" t="s">
        <v>617</v>
      </c>
      <c r="B754" s="596" t="s">
        <v>1009</v>
      </c>
      <c r="C754" s="629">
        <v>10</v>
      </c>
      <c r="D754" s="596" t="s">
        <v>33</v>
      </c>
      <c r="E754" s="596" t="s">
        <v>33</v>
      </c>
      <c r="F754" s="596" t="s">
        <v>361</v>
      </c>
      <c r="G754" s="629">
        <v>1.69</v>
      </c>
      <c r="H754" s="629">
        <v>8.9</v>
      </c>
      <c r="I754" s="596" t="s">
        <v>17</v>
      </c>
      <c r="J754" s="596" t="s">
        <v>985</v>
      </c>
      <c r="K754" s="596" t="s">
        <v>603</v>
      </c>
      <c r="L754" s="596" t="s">
        <v>130</v>
      </c>
    </row>
    <row r="755" spans="1:12">
      <c r="A755" s="596"/>
      <c r="B755" s="596"/>
      <c r="C755" s="629"/>
      <c r="D755" s="596"/>
      <c r="E755" s="596"/>
      <c r="F755" s="596" t="s">
        <v>349</v>
      </c>
      <c r="G755" s="629">
        <v>1.94</v>
      </c>
      <c r="H755" s="629">
        <v>0.35</v>
      </c>
      <c r="I755" s="596" t="s">
        <v>22</v>
      </c>
      <c r="J755" s="596" t="s">
        <v>1010</v>
      </c>
      <c r="K755" s="596"/>
      <c r="L755" s="596"/>
    </row>
    <row r="756" spans="1:12">
      <c r="A756" s="596"/>
      <c r="B756" s="596"/>
      <c r="C756" s="629"/>
      <c r="D756" s="596"/>
      <c r="E756" s="596"/>
      <c r="F756" s="596" t="s">
        <v>91</v>
      </c>
      <c r="G756" s="629">
        <v>2.45</v>
      </c>
      <c r="H756" s="629">
        <v>0.75</v>
      </c>
      <c r="I756" s="596" t="s">
        <v>24</v>
      </c>
      <c r="J756" s="596" t="s">
        <v>24</v>
      </c>
      <c r="K756" s="596"/>
      <c r="L756" s="596"/>
    </row>
    <row r="757" spans="1:12">
      <c r="A757" s="596" t="s">
        <v>617</v>
      </c>
      <c r="B757" s="596" t="s">
        <v>1011</v>
      </c>
      <c r="C757" s="629">
        <v>10</v>
      </c>
      <c r="D757" s="596" t="s">
        <v>208</v>
      </c>
      <c r="E757" s="596" t="s">
        <v>208</v>
      </c>
      <c r="F757" s="596" t="s">
        <v>128</v>
      </c>
      <c r="G757" s="629">
        <v>1.92</v>
      </c>
      <c r="H757" s="629">
        <v>8.9</v>
      </c>
      <c r="I757" s="596" t="s">
        <v>17</v>
      </c>
      <c r="J757" s="596" t="s">
        <v>989</v>
      </c>
      <c r="K757" s="596" t="s">
        <v>603</v>
      </c>
      <c r="L757" s="596" t="s">
        <v>130</v>
      </c>
    </row>
    <row r="758" spans="1:12">
      <c r="A758" s="596"/>
      <c r="B758" s="596"/>
      <c r="C758" s="629"/>
      <c r="D758" s="596"/>
      <c r="E758" s="596"/>
      <c r="F758" s="596" t="s">
        <v>131</v>
      </c>
      <c r="G758" s="629">
        <v>2</v>
      </c>
      <c r="H758" s="629">
        <v>0.4</v>
      </c>
      <c r="I758" s="596" t="s">
        <v>22</v>
      </c>
      <c r="J758" s="596" t="s">
        <v>621</v>
      </c>
      <c r="K758" s="596"/>
      <c r="L758" s="596"/>
    </row>
    <row r="759" spans="1:12">
      <c r="A759" s="596"/>
      <c r="B759" s="596"/>
      <c r="C759" s="629"/>
      <c r="D759" s="596"/>
      <c r="E759" s="596"/>
      <c r="F759" s="596" t="s">
        <v>91</v>
      </c>
      <c r="G759" s="629">
        <v>2.66</v>
      </c>
      <c r="H759" s="629">
        <v>0.7</v>
      </c>
      <c r="I759" s="596" t="s">
        <v>24</v>
      </c>
      <c r="J759" s="596" t="s">
        <v>24</v>
      </c>
      <c r="K759" s="596"/>
      <c r="L759" s="596"/>
    </row>
    <row r="760" spans="1:12">
      <c r="A760" s="596" t="s">
        <v>628</v>
      </c>
      <c r="B760" s="596" t="s">
        <v>1012</v>
      </c>
      <c r="C760" s="629">
        <v>10</v>
      </c>
      <c r="D760" s="596" t="s">
        <v>51</v>
      </c>
      <c r="E760" s="596" t="s">
        <v>208</v>
      </c>
      <c r="F760" s="596" t="s">
        <v>73</v>
      </c>
      <c r="G760" s="629">
        <v>2</v>
      </c>
      <c r="H760" s="629">
        <v>8.7</v>
      </c>
      <c r="I760" s="629" t="s">
        <v>17</v>
      </c>
      <c r="J760" s="629">
        <v>1.78</v>
      </c>
      <c r="K760" s="596" t="s">
        <v>607</v>
      </c>
      <c r="L760" s="596" t="s">
        <v>53</v>
      </c>
    </row>
    <row r="761" spans="1:12">
      <c r="A761" s="596"/>
      <c r="B761" s="596"/>
      <c r="C761" s="629"/>
      <c r="D761" s="596"/>
      <c r="E761" s="596"/>
      <c r="F761" s="596" t="s">
        <v>75</v>
      </c>
      <c r="G761" s="629">
        <v>2</v>
      </c>
      <c r="H761" s="629">
        <v>0.4</v>
      </c>
      <c r="I761" s="629" t="s">
        <v>22</v>
      </c>
      <c r="J761" s="629">
        <v>1.88</v>
      </c>
      <c r="K761" s="596"/>
      <c r="L761" s="596"/>
    </row>
    <row r="762" spans="1:12">
      <c r="A762" s="596"/>
      <c r="B762" s="596"/>
      <c r="C762" s="629"/>
      <c r="D762" s="596"/>
      <c r="E762" s="596"/>
      <c r="F762" s="596" t="s">
        <v>99</v>
      </c>
      <c r="G762" s="629">
        <v>2</v>
      </c>
      <c r="H762" s="629">
        <v>0.4</v>
      </c>
      <c r="I762" s="629" t="s">
        <v>44</v>
      </c>
      <c r="J762" s="629">
        <v>3.2</v>
      </c>
      <c r="K762" s="596"/>
      <c r="L762" s="596"/>
    </row>
    <row r="763" spans="1:12">
      <c r="A763" s="596"/>
      <c r="B763" s="596"/>
      <c r="C763" s="629"/>
      <c r="D763" s="596"/>
      <c r="E763" s="596"/>
      <c r="F763" s="596" t="s">
        <v>91</v>
      </c>
      <c r="G763" s="629">
        <v>2</v>
      </c>
      <c r="H763" s="629">
        <v>0.5</v>
      </c>
      <c r="I763" s="629" t="s">
        <v>24</v>
      </c>
      <c r="J763" s="629" t="s">
        <v>24</v>
      </c>
      <c r="K763" s="596"/>
      <c r="L763" s="596"/>
    </row>
    <row r="764" spans="1:12">
      <c r="A764" s="596" t="s">
        <v>628</v>
      </c>
      <c r="B764" s="596" t="s">
        <v>1013</v>
      </c>
      <c r="C764" s="629">
        <v>10</v>
      </c>
      <c r="D764" s="596" t="s">
        <v>51</v>
      </c>
      <c r="E764" s="596" t="s">
        <v>208</v>
      </c>
      <c r="F764" s="596" t="s">
        <v>73</v>
      </c>
      <c r="G764" s="629">
        <v>2</v>
      </c>
      <c r="H764" s="629">
        <v>8.7</v>
      </c>
      <c r="I764" s="629" t="s">
        <v>17</v>
      </c>
      <c r="J764" s="629">
        <v>1.78</v>
      </c>
      <c r="K764" s="596" t="s">
        <v>607</v>
      </c>
      <c r="L764" s="596" t="s">
        <v>53</v>
      </c>
    </row>
    <row r="765" spans="1:12">
      <c r="A765" s="596"/>
      <c r="B765" s="596"/>
      <c r="C765" s="629"/>
      <c r="D765" s="596"/>
      <c r="E765" s="596"/>
      <c r="F765" s="596" t="s">
        <v>75</v>
      </c>
      <c r="G765" s="629">
        <v>2</v>
      </c>
      <c r="H765" s="629">
        <v>0.4</v>
      </c>
      <c r="I765" s="629" t="s">
        <v>22</v>
      </c>
      <c r="J765" s="629">
        <v>1.88</v>
      </c>
      <c r="K765" s="596"/>
      <c r="L765" s="596"/>
    </row>
    <row r="766" spans="1:12">
      <c r="A766" s="596"/>
      <c r="B766" s="596"/>
      <c r="C766" s="629"/>
      <c r="D766" s="596"/>
      <c r="E766" s="596"/>
      <c r="F766" s="596" t="s">
        <v>99</v>
      </c>
      <c r="G766" s="629">
        <v>2</v>
      </c>
      <c r="H766" s="629">
        <v>0.4</v>
      </c>
      <c r="I766" s="629" t="s">
        <v>44</v>
      </c>
      <c r="J766" s="629">
        <v>3.2</v>
      </c>
      <c r="K766" s="596"/>
      <c r="L766" s="596"/>
    </row>
    <row r="767" spans="1:12">
      <c r="A767" s="596"/>
      <c r="B767" s="596"/>
      <c r="C767" s="629"/>
      <c r="D767" s="596"/>
      <c r="E767" s="596"/>
      <c r="F767" s="596" t="s">
        <v>91</v>
      </c>
      <c r="G767" s="629">
        <v>2</v>
      </c>
      <c r="H767" s="629">
        <v>0.5</v>
      </c>
      <c r="I767" s="629" t="s">
        <v>24</v>
      </c>
      <c r="J767" s="629" t="s">
        <v>24</v>
      </c>
      <c r="K767" s="596"/>
      <c r="L767" s="596"/>
    </row>
    <row r="768" spans="1:12">
      <c r="A768" s="596" t="s">
        <v>628</v>
      </c>
      <c r="B768" s="596" t="s">
        <v>1014</v>
      </c>
      <c r="C768" s="629">
        <v>5</v>
      </c>
      <c r="D768" s="596" t="s">
        <v>208</v>
      </c>
      <c r="E768" s="596" t="s">
        <v>208</v>
      </c>
      <c r="F768" s="596" t="s">
        <v>128</v>
      </c>
      <c r="G768" s="629">
        <v>1.75</v>
      </c>
      <c r="H768" s="629">
        <v>4.45</v>
      </c>
      <c r="I768" s="629" t="s">
        <v>17</v>
      </c>
      <c r="J768" s="629">
        <v>1.8</v>
      </c>
      <c r="K768" s="596" t="s">
        <v>603</v>
      </c>
      <c r="L768" s="596" t="s">
        <v>130</v>
      </c>
    </row>
    <row r="769" spans="1:12">
      <c r="A769" s="596"/>
      <c r="B769" s="596"/>
      <c r="C769" s="629"/>
      <c r="D769" s="596"/>
      <c r="E769" s="596"/>
      <c r="F769" s="596" t="s">
        <v>131</v>
      </c>
      <c r="G769" s="629">
        <v>2</v>
      </c>
      <c r="H769" s="629">
        <v>0.2</v>
      </c>
      <c r="I769" s="629" t="s">
        <v>22</v>
      </c>
      <c r="J769" s="629">
        <v>1.94</v>
      </c>
      <c r="K769" s="596"/>
      <c r="L769" s="596"/>
    </row>
    <row r="770" spans="1:12">
      <c r="A770" s="596"/>
      <c r="B770" s="596"/>
      <c r="C770" s="629"/>
      <c r="D770" s="596"/>
      <c r="E770" s="596"/>
      <c r="F770" s="596" t="s">
        <v>91</v>
      </c>
      <c r="G770" s="629">
        <v>2.5</v>
      </c>
      <c r="H770" s="629">
        <v>0.35</v>
      </c>
      <c r="I770" s="629" t="s">
        <v>24</v>
      </c>
      <c r="J770" s="629" t="s">
        <v>24</v>
      </c>
      <c r="K770" s="596"/>
      <c r="L770" s="596"/>
    </row>
    <row r="771" spans="1:12">
      <c r="A771" s="596" t="s">
        <v>631</v>
      </c>
      <c r="B771" s="596" t="s">
        <v>1015</v>
      </c>
      <c r="C771" s="629">
        <v>3</v>
      </c>
      <c r="D771" s="596" t="s">
        <v>14</v>
      </c>
      <c r="E771" s="596" t="s">
        <v>14</v>
      </c>
      <c r="F771" s="596" t="s">
        <v>73</v>
      </c>
      <c r="G771" s="629">
        <v>1.83</v>
      </c>
      <c r="H771" s="629">
        <v>2.52</v>
      </c>
      <c r="I771" s="629" t="s">
        <v>17</v>
      </c>
      <c r="J771" s="629">
        <v>2.49</v>
      </c>
      <c r="K771" s="596" t="s">
        <v>609</v>
      </c>
      <c r="L771" s="596"/>
    </row>
    <row r="772" spans="1:12">
      <c r="A772" s="596"/>
      <c r="B772" s="596"/>
      <c r="C772" s="629"/>
      <c r="D772" s="596"/>
      <c r="E772" s="596"/>
      <c r="F772" s="596" t="s">
        <v>75</v>
      </c>
      <c r="G772" s="629">
        <v>1.91</v>
      </c>
      <c r="H772" s="629">
        <v>0.18</v>
      </c>
      <c r="I772" s="629" t="s">
        <v>22</v>
      </c>
      <c r="J772" s="629">
        <v>3</v>
      </c>
      <c r="K772" s="596"/>
      <c r="L772" s="596"/>
    </row>
    <row r="773" spans="1:12">
      <c r="A773" s="596"/>
      <c r="B773" s="596"/>
      <c r="C773" s="629"/>
      <c r="D773" s="596"/>
      <c r="E773" s="596"/>
      <c r="F773" s="596" t="s">
        <v>91</v>
      </c>
      <c r="G773" s="629">
        <v>2.91</v>
      </c>
      <c r="H773" s="629">
        <v>0.3</v>
      </c>
      <c r="I773" s="629" t="s">
        <v>24</v>
      </c>
      <c r="J773" s="629" t="s">
        <v>24</v>
      </c>
      <c r="K773" s="596"/>
      <c r="L773" s="596"/>
    </row>
    <row r="774" spans="1:12">
      <c r="A774" s="596" t="s">
        <v>631</v>
      </c>
      <c r="B774" s="596" t="s">
        <v>1016</v>
      </c>
      <c r="C774" s="629">
        <v>5</v>
      </c>
      <c r="D774" s="596" t="s">
        <v>208</v>
      </c>
      <c r="E774" s="596" t="s">
        <v>208</v>
      </c>
      <c r="F774" s="596" t="s">
        <v>128</v>
      </c>
      <c r="G774" s="629">
        <v>1</v>
      </c>
      <c r="H774" s="629">
        <v>4.5</v>
      </c>
      <c r="I774" s="629" t="s">
        <v>17</v>
      </c>
      <c r="J774" s="629">
        <v>1.64</v>
      </c>
      <c r="K774" s="596" t="s">
        <v>603</v>
      </c>
      <c r="L774" s="596" t="s">
        <v>691</v>
      </c>
    </row>
    <row r="775" spans="1:12">
      <c r="A775" s="596"/>
      <c r="B775" s="596"/>
      <c r="C775" s="629"/>
      <c r="D775" s="596"/>
      <c r="E775" s="596"/>
      <c r="F775" s="596" t="s">
        <v>131</v>
      </c>
      <c r="G775" s="629">
        <v>1.25</v>
      </c>
      <c r="H775" s="629">
        <v>0.2</v>
      </c>
      <c r="I775" s="629" t="s">
        <v>22</v>
      </c>
      <c r="J775" s="629">
        <v>1.77</v>
      </c>
      <c r="K775" s="596"/>
      <c r="L775" s="596"/>
    </row>
    <row r="776" spans="1:12">
      <c r="A776" s="596"/>
      <c r="B776" s="596"/>
      <c r="C776" s="629"/>
      <c r="D776" s="596"/>
      <c r="E776" s="596"/>
      <c r="F776" s="596" t="s">
        <v>91</v>
      </c>
      <c r="G776" s="629">
        <v>1.75</v>
      </c>
      <c r="H776" s="629">
        <v>0.3</v>
      </c>
      <c r="I776" s="629" t="s">
        <v>24</v>
      </c>
      <c r="J776" s="629" t="s">
        <v>24</v>
      </c>
      <c r="K776" s="596"/>
      <c r="L776" s="596"/>
    </row>
    <row r="777" spans="1:12">
      <c r="A777" s="596" t="s">
        <v>637</v>
      </c>
      <c r="B777" s="596" t="s">
        <v>1017</v>
      </c>
      <c r="C777" s="629">
        <v>10</v>
      </c>
      <c r="D777" s="596" t="s">
        <v>51</v>
      </c>
      <c r="E777" s="596" t="s">
        <v>208</v>
      </c>
      <c r="F777" s="596" t="s">
        <v>73</v>
      </c>
      <c r="G777" s="629">
        <v>1.99</v>
      </c>
      <c r="H777" s="629">
        <v>8.7</v>
      </c>
      <c r="I777" s="629" t="s">
        <v>17</v>
      </c>
      <c r="J777" s="629">
        <v>1.77</v>
      </c>
      <c r="K777" s="596" t="s">
        <v>607</v>
      </c>
      <c r="L777" s="596" t="s">
        <v>53</v>
      </c>
    </row>
    <row r="778" spans="1:12">
      <c r="A778" s="596"/>
      <c r="B778" s="596"/>
      <c r="C778" s="629"/>
      <c r="D778" s="596"/>
      <c r="E778" s="596"/>
      <c r="F778" s="596" t="s">
        <v>75</v>
      </c>
      <c r="G778" s="629">
        <v>1.99</v>
      </c>
      <c r="H778" s="629">
        <v>0.4</v>
      </c>
      <c r="I778" s="629" t="s">
        <v>22</v>
      </c>
      <c r="J778" s="629">
        <v>1.88</v>
      </c>
      <c r="K778" s="596"/>
      <c r="L778" s="596"/>
    </row>
    <row r="779" spans="1:12">
      <c r="A779" s="596"/>
      <c r="B779" s="596"/>
      <c r="C779" s="629"/>
      <c r="D779" s="596"/>
      <c r="E779" s="596"/>
      <c r="F779" s="596" t="s">
        <v>99</v>
      </c>
      <c r="G779" s="629">
        <v>1.99</v>
      </c>
      <c r="H779" s="629">
        <v>0.4</v>
      </c>
      <c r="I779" s="629" t="s">
        <v>44</v>
      </c>
      <c r="J779" s="629">
        <v>3.2</v>
      </c>
      <c r="K779" s="596"/>
      <c r="L779" s="596"/>
    </row>
    <row r="780" spans="1:12">
      <c r="A780" s="596"/>
      <c r="B780" s="596"/>
      <c r="C780" s="629"/>
      <c r="D780" s="596"/>
      <c r="E780" s="596"/>
      <c r="F780" s="596" t="s">
        <v>91</v>
      </c>
      <c r="G780" s="629">
        <v>1.99</v>
      </c>
      <c r="H780" s="629">
        <v>0.5</v>
      </c>
      <c r="I780" s="629" t="s">
        <v>24</v>
      </c>
      <c r="J780" s="629" t="s">
        <v>24</v>
      </c>
      <c r="K780" s="596"/>
      <c r="L780" s="596"/>
    </row>
    <row r="781" spans="1:12">
      <c r="A781" s="596" t="s">
        <v>637</v>
      </c>
      <c r="B781" s="596" t="s">
        <v>1018</v>
      </c>
      <c r="C781" s="629">
        <v>10</v>
      </c>
      <c r="D781" s="596" t="s">
        <v>51</v>
      </c>
      <c r="E781" s="596" t="s">
        <v>208</v>
      </c>
      <c r="F781" s="596" t="s">
        <v>73</v>
      </c>
      <c r="G781" s="629">
        <v>1.99</v>
      </c>
      <c r="H781" s="629">
        <v>8.7</v>
      </c>
      <c r="I781" s="629" t="s">
        <v>17</v>
      </c>
      <c r="J781" s="629">
        <v>1.77</v>
      </c>
      <c r="K781" s="596" t="s">
        <v>607</v>
      </c>
      <c r="L781" s="596" t="s">
        <v>53</v>
      </c>
    </row>
    <row r="782" spans="1:12">
      <c r="A782" s="596"/>
      <c r="B782" s="596"/>
      <c r="C782" s="629"/>
      <c r="D782" s="596"/>
      <c r="E782" s="596"/>
      <c r="F782" s="596" t="s">
        <v>75</v>
      </c>
      <c r="G782" s="629">
        <v>1.99</v>
      </c>
      <c r="H782" s="629">
        <v>0.4</v>
      </c>
      <c r="I782" s="629" t="s">
        <v>22</v>
      </c>
      <c r="J782" s="629">
        <v>1.88</v>
      </c>
      <c r="K782" s="596"/>
      <c r="L782" s="596"/>
    </row>
    <row r="783" spans="1:12">
      <c r="A783" s="596"/>
      <c r="B783" s="596"/>
      <c r="C783" s="629"/>
      <c r="D783" s="596"/>
      <c r="E783" s="596"/>
      <c r="F783" s="596" t="s">
        <v>99</v>
      </c>
      <c r="G783" s="629">
        <v>1.99</v>
      </c>
      <c r="H783" s="629">
        <v>0.4</v>
      </c>
      <c r="I783" s="629" t="s">
        <v>44</v>
      </c>
      <c r="J783" s="629">
        <v>3.2</v>
      </c>
      <c r="K783" s="596"/>
      <c r="L783" s="596"/>
    </row>
    <row r="784" spans="1:12">
      <c r="A784" s="596"/>
      <c r="B784" s="596"/>
      <c r="C784" s="629"/>
      <c r="D784" s="596"/>
      <c r="E784" s="596"/>
      <c r="F784" s="596" t="s">
        <v>91</v>
      </c>
      <c r="G784" s="629">
        <v>1.99</v>
      </c>
      <c r="H784" s="629">
        <v>0.5</v>
      </c>
      <c r="I784" s="629" t="s">
        <v>24</v>
      </c>
      <c r="J784" s="629" t="s">
        <v>24</v>
      </c>
      <c r="K784" s="596"/>
      <c r="L784" s="596"/>
    </row>
    <row r="785" spans="1:12">
      <c r="A785" s="596" t="s">
        <v>637</v>
      </c>
      <c r="B785" s="596" t="s">
        <v>1019</v>
      </c>
      <c r="C785" s="629">
        <v>10</v>
      </c>
      <c r="D785" s="596" t="s">
        <v>66</v>
      </c>
      <c r="E785" s="596" t="s">
        <v>66</v>
      </c>
      <c r="F785" s="596" t="s">
        <v>73</v>
      </c>
      <c r="G785" s="629">
        <v>1.7</v>
      </c>
      <c r="H785" s="629">
        <v>8.9</v>
      </c>
      <c r="I785" s="629" t="s">
        <v>17</v>
      </c>
      <c r="J785" s="629">
        <v>1.73</v>
      </c>
      <c r="K785" s="596" t="s">
        <v>603</v>
      </c>
      <c r="L785" s="596" t="s">
        <v>130</v>
      </c>
    </row>
    <row r="786" spans="1:12">
      <c r="A786" s="596"/>
      <c r="B786" s="596"/>
      <c r="C786" s="629"/>
      <c r="D786" s="596"/>
      <c r="E786" s="596"/>
      <c r="F786" s="596" t="s">
        <v>75</v>
      </c>
      <c r="G786" s="629">
        <v>1.95</v>
      </c>
      <c r="H786" s="629">
        <v>0.35</v>
      </c>
      <c r="I786" s="629" t="s">
        <v>22</v>
      </c>
      <c r="J786" s="629">
        <v>1.84</v>
      </c>
      <c r="K786" s="596"/>
      <c r="L786" s="596"/>
    </row>
    <row r="787" spans="1:12">
      <c r="A787" s="596"/>
      <c r="B787" s="596"/>
      <c r="C787" s="629"/>
      <c r="D787" s="596"/>
      <c r="E787" s="596"/>
      <c r="F787" s="596" t="s">
        <v>91</v>
      </c>
      <c r="G787" s="629">
        <v>2.45</v>
      </c>
      <c r="H787" s="629">
        <v>0.75</v>
      </c>
      <c r="I787" s="629" t="s">
        <v>24</v>
      </c>
      <c r="J787" s="629" t="s">
        <v>24</v>
      </c>
      <c r="K787" s="596"/>
      <c r="L787" s="596"/>
    </row>
    <row r="788" spans="1:12">
      <c r="A788" s="596" t="s">
        <v>637</v>
      </c>
      <c r="B788" s="596" t="s">
        <v>1020</v>
      </c>
      <c r="C788" s="629">
        <v>10</v>
      </c>
      <c r="D788" s="596" t="s">
        <v>51</v>
      </c>
      <c r="E788" s="596" t="s">
        <v>208</v>
      </c>
      <c r="F788" s="596" t="s">
        <v>73</v>
      </c>
      <c r="G788" s="629">
        <v>1.99</v>
      </c>
      <c r="H788" s="629">
        <v>8.7</v>
      </c>
      <c r="I788" s="629" t="s">
        <v>17</v>
      </c>
      <c r="J788" s="629">
        <v>1.77</v>
      </c>
      <c r="K788" s="596" t="s">
        <v>607</v>
      </c>
      <c r="L788" s="596" t="s">
        <v>53</v>
      </c>
    </row>
    <row r="789" spans="1:12">
      <c r="A789" s="596"/>
      <c r="B789" s="596"/>
      <c r="C789" s="629"/>
      <c r="D789" s="596"/>
      <c r="E789" s="596"/>
      <c r="F789" s="596" t="s">
        <v>75</v>
      </c>
      <c r="G789" s="629">
        <v>1.99</v>
      </c>
      <c r="H789" s="629">
        <v>0.4</v>
      </c>
      <c r="I789" s="629" t="s">
        <v>22</v>
      </c>
      <c r="J789" s="629">
        <v>1.88</v>
      </c>
      <c r="K789" s="596"/>
      <c r="L789" s="596"/>
    </row>
    <row r="790" spans="1:12">
      <c r="A790" s="596"/>
      <c r="B790" s="596"/>
      <c r="C790" s="629"/>
      <c r="D790" s="596"/>
      <c r="E790" s="596"/>
      <c r="F790" s="596" t="s">
        <v>99</v>
      </c>
      <c r="G790" s="629">
        <v>1.99</v>
      </c>
      <c r="H790" s="629">
        <v>0.4</v>
      </c>
      <c r="I790" s="629" t="s">
        <v>44</v>
      </c>
      <c r="J790" s="629">
        <v>3.2</v>
      </c>
      <c r="K790" s="596"/>
      <c r="L790" s="596"/>
    </row>
    <row r="791" spans="1:12">
      <c r="A791" s="596"/>
      <c r="B791" s="596"/>
      <c r="C791" s="629"/>
      <c r="D791" s="596"/>
      <c r="E791" s="596"/>
      <c r="F791" s="596" t="s">
        <v>91</v>
      </c>
      <c r="G791" s="634">
        <v>1.99</v>
      </c>
      <c r="H791" s="629">
        <v>0.5</v>
      </c>
      <c r="I791" s="596" t="s">
        <v>24</v>
      </c>
      <c r="J791" s="596" t="s">
        <v>24</v>
      </c>
      <c r="K791" s="596"/>
      <c r="L791" s="596"/>
    </row>
    <row r="792" spans="1:12">
      <c r="A792" s="635" t="s">
        <v>646</v>
      </c>
      <c r="B792" s="635" t="s">
        <v>1021</v>
      </c>
      <c r="C792" s="636">
        <v>6</v>
      </c>
      <c r="D792" s="635" t="s">
        <v>85</v>
      </c>
      <c r="E792" s="635" t="s">
        <v>66</v>
      </c>
      <c r="F792" s="635" t="s">
        <v>347</v>
      </c>
      <c r="G792" s="636">
        <v>1.34</v>
      </c>
      <c r="H792" s="636">
        <v>1.8</v>
      </c>
      <c r="I792" s="636" t="s">
        <v>17</v>
      </c>
      <c r="J792" s="636">
        <v>1.58</v>
      </c>
      <c r="K792" s="635" t="s">
        <v>630</v>
      </c>
      <c r="L792" s="635" t="s">
        <v>95</v>
      </c>
    </row>
    <row r="793" spans="1:12">
      <c r="A793" s="635"/>
      <c r="B793" s="635"/>
      <c r="C793" s="636"/>
      <c r="D793" s="635"/>
      <c r="E793" s="635"/>
      <c r="F793" s="635" t="s">
        <v>348</v>
      </c>
      <c r="G793" s="636">
        <v>1.92</v>
      </c>
      <c r="H793" s="636">
        <v>3.48</v>
      </c>
      <c r="I793" s="636" t="s">
        <v>17</v>
      </c>
      <c r="J793" s="636">
        <v>1.68</v>
      </c>
      <c r="K793" s="635"/>
      <c r="L793" s="635"/>
    </row>
    <row r="794" spans="1:12">
      <c r="A794" s="635"/>
      <c r="B794" s="635"/>
      <c r="C794" s="636"/>
      <c r="D794" s="635"/>
      <c r="E794" s="635"/>
      <c r="F794" s="635" t="s">
        <v>349</v>
      </c>
      <c r="G794" s="636">
        <v>1.99</v>
      </c>
      <c r="H794" s="636">
        <v>0.36</v>
      </c>
      <c r="I794" s="636" t="s">
        <v>22</v>
      </c>
      <c r="J794" s="636">
        <v>1.8</v>
      </c>
      <c r="K794" s="635"/>
      <c r="L794" s="635"/>
    </row>
    <row r="795" spans="1:12">
      <c r="A795" s="635"/>
      <c r="B795" s="635"/>
      <c r="C795" s="636"/>
      <c r="D795" s="635"/>
      <c r="E795" s="635"/>
      <c r="F795" s="635" t="s">
        <v>91</v>
      </c>
      <c r="G795" s="636">
        <v>1.99</v>
      </c>
      <c r="H795" s="636">
        <v>0.36</v>
      </c>
      <c r="I795" s="636" t="s">
        <v>24</v>
      </c>
      <c r="J795" s="636" t="s">
        <v>24</v>
      </c>
      <c r="K795" s="635"/>
      <c r="L795" s="635"/>
    </row>
    <row r="796" spans="1:12">
      <c r="A796" s="635" t="s">
        <v>652</v>
      </c>
      <c r="B796" s="635" t="s">
        <v>1022</v>
      </c>
      <c r="C796" s="636">
        <v>5</v>
      </c>
      <c r="D796" s="635" t="s">
        <v>14</v>
      </c>
      <c r="E796" s="635" t="s">
        <v>143</v>
      </c>
      <c r="F796" s="635" t="s">
        <v>347</v>
      </c>
      <c r="G796" s="636">
        <v>0.58</v>
      </c>
      <c r="H796" s="636">
        <v>1.5</v>
      </c>
      <c r="I796" s="636" t="s">
        <v>17</v>
      </c>
      <c r="J796" s="636">
        <v>2.3</v>
      </c>
      <c r="K796" s="635" t="s">
        <v>627</v>
      </c>
      <c r="L796" s="635"/>
    </row>
    <row r="797" spans="1:12">
      <c r="A797" s="635"/>
      <c r="B797" s="635"/>
      <c r="C797" s="636"/>
      <c r="D797" s="635"/>
      <c r="E797" s="635"/>
      <c r="F797" s="635" t="s">
        <v>348</v>
      </c>
      <c r="G797" s="636">
        <v>1.41</v>
      </c>
      <c r="H797" s="636">
        <v>2</v>
      </c>
      <c r="I797" s="636" t="s">
        <v>17</v>
      </c>
      <c r="J797" s="636">
        <v>2.6</v>
      </c>
      <c r="K797" s="635"/>
      <c r="L797" s="635"/>
    </row>
    <row r="798" spans="1:12">
      <c r="A798" s="635"/>
      <c r="B798" s="635"/>
      <c r="C798" s="636"/>
      <c r="D798" s="635"/>
      <c r="E798" s="635"/>
      <c r="F798" s="635" t="s">
        <v>568</v>
      </c>
      <c r="G798" s="636">
        <v>2.41</v>
      </c>
      <c r="H798" s="637">
        <v>1.425</v>
      </c>
      <c r="I798" s="636" t="s">
        <v>17</v>
      </c>
      <c r="J798" s="636">
        <v>3.3</v>
      </c>
      <c r="K798" s="635"/>
      <c r="L798" s="635"/>
    </row>
    <row r="799" spans="1:12">
      <c r="A799" s="635"/>
      <c r="B799" s="635"/>
      <c r="C799" s="636"/>
      <c r="D799" s="635"/>
      <c r="E799" s="635"/>
      <c r="F799" s="635" t="s">
        <v>91</v>
      </c>
      <c r="G799" s="636">
        <v>3.17</v>
      </c>
      <c r="H799" s="637">
        <v>0.075</v>
      </c>
      <c r="I799" s="636" t="s">
        <v>24</v>
      </c>
      <c r="J799" s="636" t="s">
        <v>24</v>
      </c>
      <c r="K799" s="635"/>
      <c r="L799" s="635"/>
    </row>
    <row r="800" spans="1:12">
      <c r="A800" s="638" t="s">
        <v>659</v>
      </c>
      <c r="B800" s="638" t="s">
        <v>1023</v>
      </c>
      <c r="C800" s="639">
        <v>10</v>
      </c>
      <c r="D800" s="638" t="s">
        <v>72</v>
      </c>
      <c r="E800" s="638" t="s">
        <v>72</v>
      </c>
      <c r="F800" s="640" t="s">
        <v>361</v>
      </c>
      <c r="G800" s="639">
        <v>1.69</v>
      </c>
      <c r="H800" s="639">
        <v>8.9</v>
      </c>
      <c r="I800" s="638" t="s">
        <v>17</v>
      </c>
      <c r="J800" s="639">
        <v>1.7</v>
      </c>
      <c r="K800" s="638" t="s">
        <v>603</v>
      </c>
      <c r="L800" s="638" t="s">
        <v>130</v>
      </c>
    </row>
    <row r="801" spans="1:12">
      <c r="A801" s="641"/>
      <c r="B801" s="641"/>
      <c r="C801" s="639"/>
      <c r="D801" s="641"/>
      <c r="E801" s="641"/>
      <c r="F801" s="640" t="s">
        <v>349</v>
      </c>
      <c r="G801" s="639">
        <v>2.44</v>
      </c>
      <c r="H801" s="639">
        <v>0.75</v>
      </c>
      <c r="I801" s="638" t="s">
        <v>24</v>
      </c>
      <c r="J801" s="642" t="s">
        <v>24</v>
      </c>
      <c r="K801" s="641"/>
      <c r="L801" s="641"/>
    </row>
    <row r="802" spans="1:12">
      <c r="A802" s="641"/>
      <c r="B802" s="641"/>
      <c r="C802" s="639"/>
      <c r="D802" s="641"/>
      <c r="E802" s="641"/>
      <c r="F802" s="640" t="s">
        <v>91</v>
      </c>
      <c r="G802" s="639">
        <v>1.97</v>
      </c>
      <c r="H802" s="639">
        <v>0.35</v>
      </c>
      <c r="I802" s="638" t="s">
        <v>22</v>
      </c>
      <c r="J802" s="639">
        <v>1.83</v>
      </c>
      <c r="K802" s="641"/>
      <c r="L802" s="641"/>
    </row>
    <row r="803" spans="1:12">
      <c r="A803" s="638" t="s">
        <v>659</v>
      </c>
      <c r="B803" s="638" t="s">
        <v>1024</v>
      </c>
      <c r="C803" s="639">
        <v>10</v>
      </c>
      <c r="D803" s="638" t="s">
        <v>72</v>
      </c>
      <c r="E803" s="638" t="s">
        <v>72</v>
      </c>
      <c r="F803" s="640" t="s">
        <v>128</v>
      </c>
      <c r="G803" s="639">
        <v>1.92</v>
      </c>
      <c r="H803" s="639">
        <v>8.9</v>
      </c>
      <c r="I803" s="638" t="s">
        <v>17</v>
      </c>
      <c r="J803" s="639">
        <v>1.73</v>
      </c>
      <c r="K803" s="638" t="s">
        <v>603</v>
      </c>
      <c r="L803" s="638" t="s">
        <v>130</v>
      </c>
    </row>
    <row r="804" spans="1:12">
      <c r="A804" s="641"/>
      <c r="B804" s="641"/>
      <c r="C804" s="639"/>
      <c r="D804" s="641"/>
      <c r="E804" s="641"/>
      <c r="F804" s="640" t="s">
        <v>131</v>
      </c>
      <c r="G804" s="639">
        <v>2.67</v>
      </c>
      <c r="H804" s="639">
        <v>0.7</v>
      </c>
      <c r="I804" s="638" t="s">
        <v>24</v>
      </c>
      <c r="J804" s="642" t="s">
        <v>24</v>
      </c>
      <c r="K804" s="641"/>
      <c r="L804" s="641"/>
    </row>
    <row r="805" spans="1:12">
      <c r="A805" s="641"/>
      <c r="B805" s="641"/>
      <c r="C805" s="639"/>
      <c r="D805" s="641"/>
      <c r="E805" s="641"/>
      <c r="F805" s="640" t="s">
        <v>91</v>
      </c>
      <c r="G805" s="639">
        <v>2</v>
      </c>
      <c r="H805" s="639">
        <v>0.4</v>
      </c>
      <c r="I805" s="638" t="s">
        <v>22</v>
      </c>
      <c r="J805" s="639">
        <v>1.83</v>
      </c>
      <c r="K805" s="641"/>
      <c r="L805" s="641"/>
    </row>
    <row r="806" spans="1:12">
      <c r="A806" s="638" t="s">
        <v>1025</v>
      </c>
      <c r="B806" s="638" t="s">
        <v>1026</v>
      </c>
      <c r="C806" s="639">
        <v>10</v>
      </c>
      <c r="D806" s="638" t="s">
        <v>51</v>
      </c>
      <c r="E806" s="638" t="s">
        <v>66</v>
      </c>
      <c r="F806" s="638" t="s">
        <v>361</v>
      </c>
      <c r="G806" s="639">
        <v>2</v>
      </c>
      <c r="H806" s="639">
        <v>8.7</v>
      </c>
      <c r="I806" s="638" t="s">
        <v>17</v>
      </c>
      <c r="J806" s="639">
        <v>1.74</v>
      </c>
      <c r="K806" s="638" t="s">
        <v>607</v>
      </c>
      <c r="L806" s="638" t="s">
        <v>53</v>
      </c>
    </row>
    <row r="807" spans="1:12">
      <c r="A807" s="641"/>
      <c r="B807" s="641"/>
      <c r="C807" s="639"/>
      <c r="D807" s="641"/>
      <c r="E807" s="641"/>
      <c r="F807" s="638" t="s">
        <v>349</v>
      </c>
      <c r="G807" s="639">
        <v>2</v>
      </c>
      <c r="H807" s="639">
        <v>0.4</v>
      </c>
      <c r="I807" s="638" t="s">
        <v>22</v>
      </c>
      <c r="J807" s="639">
        <v>1.85</v>
      </c>
      <c r="K807" s="641"/>
      <c r="L807" s="641"/>
    </row>
    <row r="808" spans="1:12">
      <c r="A808" s="641"/>
      <c r="B808" s="641"/>
      <c r="C808" s="639"/>
      <c r="D808" s="641"/>
      <c r="E808" s="641"/>
      <c r="F808" s="638" t="s">
        <v>99</v>
      </c>
      <c r="G808" s="639">
        <v>2</v>
      </c>
      <c r="H808" s="639">
        <v>0.4</v>
      </c>
      <c r="I808" s="638" t="s">
        <v>44</v>
      </c>
      <c r="J808" s="639">
        <v>3.2</v>
      </c>
      <c r="K808" s="641"/>
      <c r="L808" s="641"/>
    </row>
    <row r="809" spans="1:12">
      <c r="A809" s="641"/>
      <c r="B809" s="641"/>
      <c r="C809" s="639"/>
      <c r="D809" s="641"/>
      <c r="E809" s="641"/>
      <c r="F809" s="638" t="s">
        <v>91</v>
      </c>
      <c r="G809" s="639">
        <v>2</v>
      </c>
      <c r="H809" s="639">
        <v>0.5</v>
      </c>
      <c r="I809" s="638" t="s">
        <v>24</v>
      </c>
      <c r="J809" s="642" t="s">
        <v>24</v>
      </c>
      <c r="K809" s="641"/>
      <c r="L809" s="641"/>
    </row>
    <row r="810" spans="1:12">
      <c r="A810" s="638" t="s">
        <v>1025</v>
      </c>
      <c r="B810" s="638" t="s">
        <v>1027</v>
      </c>
      <c r="C810" s="639">
        <v>10</v>
      </c>
      <c r="D810" s="638" t="s">
        <v>51</v>
      </c>
      <c r="E810" s="638" t="s">
        <v>72</v>
      </c>
      <c r="F810" s="638" t="s">
        <v>361</v>
      </c>
      <c r="G810" s="639">
        <v>2</v>
      </c>
      <c r="H810" s="639">
        <v>8.7</v>
      </c>
      <c r="I810" s="638" t="s">
        <v>17</v>
      </c>
      <c r="J810" s="639">
        <v>1.74</v>
      </c>
      <c r="K810" s="638" t="s">
        <v>607</v>
      </c>
      <c r="L810" s="638" t="s">
        <v>53</v>
      </c>
    </row>
    <row r="811" spans="1:12">
      <c r="A811" s="641"/>
      <c r="B811" s="641"/>
      <c r="C811" s="639"/>
      <c r="D811" s="641"/>
      <c r="E811" s="641"/>
      <c r="F811" s="638" t="s">
        <v>349</v>
      </c>
      <c r="G811" s="639">
        <v>2</v>
      </c>
      <c r="H811" s="639">
        <v>0.4</v>
      </c>
      <c r="I811" s="638" t="s">
        <v>22</v>
      </c>
      <c r="J811" s="639">
        <v>1.85</v>
      </c>
      <c r="K811" s="641"/>
      <c r="L811" s="641"/>
    </row>
    <row r="812" spans="1:12">
      <c r="A812" s="641"/>
      <c r="B812" s="641"/>
      <c r="C812" s="639"/>
      <c r="D812" s="641"/>
      <c r="E812" s="641"/>
      <c r="F812" s="638" t="s">
        <v>99</v>
      </c>
      <c r="G812" s="639">
        <v>2</v>
      </c>
      <c r="H812" s="639">
        <v>0.4</v>
      </c>
      <c r="I812" s="638" t="s">
        <v>44</v>
      </c>
      <c r="J812" s="639">
        <v>3.2</v>
      </c>
      <c r="K812" s="641"/>
      <c r="L812" s="641"/>
    </row>
    <row r="813" spans="1:12">
      <c r="A813" s="641"/>
      <c r="B813" s="641"/>
      <c r="C813" s="639"/>
      <c r="D813" s="641"/>
      <c r="E813" s="641"/>
      <c r="F813" s="638" t="s">
        <v>91</v>
      </c>
      <c r="G813" s="639">
        <v>2</v>
      </c>
      <c r="H813" s="639">
        <v>0.5</v>
      </c>
      <c r="I813" s="638" t="s">
        <v>24</v>
      </c>
      <c r="J813" s="642" t="s">
        <v>24</v>
      </c>
      <c r="K813" s="641"/>
      <c r="L813" s="641"/>
    </row>
    <row r="814" spans="1:12">
      <c r="A814" s="638" t="s">
        <v>666</v>
      </c>
      <c r="B814" s="638" t="s">
        <v>1028</v>
      </c>
      <c r="C814" s="639">
        <v>10</v>
      </c>
      <c r="D814" s="638" t="s">
        <v>66</v>
      </c>
      <c r="E814" s="638" t="s">
        <v>66</v>
      </c>
      <c r="F814" s="638" t="s">
        <v>128</v>
      </c>
      <c r="G814" s="639">
        <v>1</v>
      </c>
      <c r="H814" s="639">
        <v>8.8</v>
      </c>
      <c r="I814" s="638" t="s">
        <v>17</v>
      </c>
      <c r="J814" s="639">
        <v>1.55</v>
      </c>
      <c r="K814" s="638" t="s">
        <v>603</v>
      </c>
      <c r="L814" s="638" t="s">
        <v>577</v>
      </c>
    </row>
    <row r="815" spans="1:12">
      <c r="A815" s="641"/>
      <c r="B815" s="641"/>
      <c r="C815" s="639"/>
      <c r="D815" s="641"/>
      <c r="E815" s="641"/>
      <c r="F815" s="638" t="s">
        <v>131</v>
      </c>
      <c r="G815" s="639">
        <v>1.08</v>
      </c>
      <c r="H815" s="639">
        <v>0.6</v>
      </c>
      <c r="I815" s="638" t="s">
        <v>22</v>
      </c>
      <c r="J815" s="639">
        <v>1.65</v>
      </c>
      <c r="K815" s="641"/>
      <c r="L815" s="641"/>
    </row>
    <row r="816" spans="1:12">
      <c r="A816" s="641"/>
      <c r="B816" s="641"/>
      <c r="C816" s="639"/>
      <c r="D816" s="641"/>
      <c r="E816" s="641"/>
      <c r="F816" s="638" t="s">
        <v>91</v>
      </c>
      <c r="G816" s="639">
        <v>1.67</v>
      </c>
      <c r="H816" s="639">
        <v>0.6</v>
      </c>
      <c r="I816" s="638" t="s">
        <v>24</v>
      </c>
      <c r="J816" s="642" t="s">
        <v>24</v>
      </c>
      <c r="K816" s="641"/>
      <c r="L816" s="641"/>
    </row>
    <row r="817" spans="1:12">
      <c r="A817" s="638" t="s">
        <v>666</v>
      </c>
      <c r="B817" s="638" t="s">
        <v>1029</v>
      </c>
      <c r="C817" s="639">
        <v>10</v>
      </c>
      <c r="D817" s="638" t="s">
        <v>66</v>
      </c>
      <c r="E817" s="638" t="s">
        <v>66</v>
      </c>
      <c r="F817" s="638" t="s">
        <v>128</v>
      </c>
      <c r="G817" s="639">
        <v>1</v>
      </c>
      <c r="H817" s="639">
        <v>8.8</v>
      </c>
      <c r="I817" s="638" t="s">
        <v>17</v>
      </c>
      <c r="J817" s="639">
        <v>1.55</v>
      </c>
      <c r="K817" s="638" t="s">
        <v>603</v>
      </c>
      <c r="L817" s="638" t="s">
        <v>577</v>
      </c>
    </row>
    <row r="818" spans="1:12">
      <c r="A818" s="641"/>
      <c r="B818" s="641"/>
      <c r="C818" s="639"/>
      <c r="D818" s="641"/>
      <c r="E818" s="641"/>
      <c r="F818" s="638" t="s">
        <v>131</v>
      </c>
      <c r="G818" s="639">
        <v>1.08</v>
      </c>
      <c r="H818" s="639">
        <v>0.6</v>
      </c>
      <c r="I818" s="638" t="s">
        <v>22</v>
      </c>
      <c r="J818" s="639">
        <v>1.65</v>
      </c>
      <c r="K818" s="641"/>
      <c r="L818" s="641"/>
    </row>
    <row r="819" spans="1:12">
      <c r="A819" s="641"/>
      <c r="B819" s="641"/>
      <c r="C819" s="639"/>
      <c r="D819" s="641"/>
      <c r="E819" s="641"/>
      <c r="F819" s="638" t="s">
        <v>91</v>
      </c>
      <c r="G819" s="639">
        <v>1.67</v>
      </c>
      <c r="H819" s="639">
        <v>0.6</v>
      </c>
      <c r="I819" s="638" t="s">
        <v>24</v>
      </c>
      <c r="J819" s="642" t="s">
        <v>24</v>
      </c>
      <c r="K819" s="641"/>
      <c r="L819" s="641"/>
    </row>
    <row r="820" spans="1:12">
      <c r="A820" s="638" t="s">
        <v>666</v>
      </c>
      <c r="B820" s="638" t="s">
        <v>1030</v>
      </c>
      <c r="C820" s="639">
        <v>10</v>
      </c>
      <c r="D820" s="638" t="s">
        <v>72</v>
      </c>
      <c r="E820" s="638" t="s">
        <v>72</v>
      </c>
      <c r="F820" s="638" t="s">
        <v>128</v>
      </c>
      <c r="G820" s="639">
        <v>1.92</v>
      </c>
      <c r="H820" s="639">
        <v>8.9</v>
      </c>
      <c r="I820" s="638" t="s">
        <v>17</v>
      </c>
      <c r="J820" s="639">
        <v>1.72</v>
      </c>
      <c r="K820" s="638" t="s">
        <v>603</v>
      </c>
      <c r="L820" s="638" t="s">
        <v>130</v>
      </c>
    </row>
    <row r="821" spans="1:12">
      <c r="A821" s="641"/>
      <c r="B821" s="641"/>
      <c r="C821" s="639"/>
      <c r="D821" s="641"/>
      <c r="E821" s="641"/>
      <c r="F821" s="638" t="s">
        <v>131</v>
      </c>
      <c r="G821" s="639">
        <v>2</v>
      </c>
      <c r="H821" s="639">
        <v>0.4</v>
      </c>
      <c r="I821" s="638" t="s">
        <v>22</v>
      </c>
      <c r="J821" s="639">
        <v>1.83</v>
      </c>
      <c r="K821" s="641"/>
      <c r="L821" s="641"/>
    </row>
    <row r="822" spans="1:12">
      <c r="A822" s="641"/>
      <c r="B822" s="641"/>
      <c r="C822" s="639"/>
      <c r="D822" s="641"/>
      <c r="E822" s="641"/>
      <c r="F822" s="638" t="s">
        <v>91</v>
      </c>
      <c r="G822" s="639">
        <v>2.67</v>
      </c>
      <c r="H822" s="639">
        <v>0.7</v>
      </c>
      <c r="I822" s="638" t="s">
        <v>24</v>
      </c>
      <c r="J822" s="642" t="s">
        <v>24</v>
      </c>
      <c r="K822" s="641"/>
      <c r="L822" s="641"/>
    </row>
    <row r="823" spans="1:12">
      <c r="A823" s="638" t="s">
        <v>668</v>
      </c>
      <c r="B823" s="638" t="s">
        <v>1031</v>
      </c>
      <c r="C823" s="639">
        <v>10</v>
      </c>
      <c r="D823" s="638" t="s">
        <v>51</v>
      </c>
      <c r="E823" s="638" t="s">
        <v>760</v>
      </c>
      <c r="F823" s="638" t="s">
        <v>361</v>
      </c>
      <c r="G823" s="639">
        <v>2</v>
      </c>
      <c r="H823" s="639">
        <v>8.7</v>
      </c>
      <c r="I823" s="638" t="s">
        <v>17</v>
      </c>
      <c r="J823" s="639">
        <v>1.71</v>
      </c>
      <c r="K823" s="638" t="s">
        <v>607</v>
      </c>
      <c r="L823" s="638" t="s">
        <v>53</v>
      </c>
    </row>
    <row r="824" spans="1:12">
      <c r="A824" s="641"/>
      <c r="B824" s="641"/>
      <c r="C824" s="639"/>
      <c r="D824" s="641"/>
      <c r="E824" s="641"/>
      <c r="F824" s="638" t="s">
        <v>349</v>
      </c>
      <c r="G824" s="639">
        <v>2</v>
      </c>
      <c r="H824" s="639">
        <v>0.4</v>
      </c>
      <c r="I824" s="638" t="s">
        <v>22</v>
      </c>
      <c r="J824" s="639">
        <v>1.8</v>
      </c>
      <c r="K824" s="641"/>
      <c r="L824" s="641"/>
    </row>
    <row r="825" spans="1:12">
      <c r="A825" s="641"/>
      <c r="B825" s="641"/>
      <c r="C825" s="639"/>
      <c r="D825" s="641"/>
      <c r="E825" s="641"/>
      <c r="F825" s="638" t="s">
        <v>99</v>
      </c>
      <c r="G825" s="639">
        <v>2</v>
      </c>
      <c r="H825" s="639">
        <v>0.4</v>
      </c>
      <c r="I825" s="638" t="s">
        <v>44</v>
      </c>
      <c r="J825" s="639">
        <v>3.2</v>
      </c>
      <c r="K825" s="641"/>
      <c r="L825" s="641"/>
    </row>
    <row r="826" spans="1:12">
      <c r="A826" s="641"/>
      <c r="B826" s="641"/>
      <c r="C826" s="639"/>
      <c r="D826" s="641"/>
      <c r="E826" s="641"/>
      <c r="F826" s="638" t="s">
        <v>91</v>
      </c>
      <c r="G826" s="639">
        <v>2</v>
      </c>
      <c r="H826" s="639">
        <v>0.5</v>
      </c>
      <c r="I826" s="638" t="s">
        <v>24</v>
      </c>
      <c r="J826" s="642" t="s">
        <v>24</v>
      </c>
      <c r="K826" s="641"/>
      <c r="L826" s="641"/>
    </row>
    <row r="827" spans="1:12">
      <c r="A827" s="638" t="s">
        <v>668</v>
      </c>
      <c r="B827" s="638" t="s">
        <v>1032</v>
      </c>
      <c r="C827" s="639">
        <v>10</v>
      </c>
      <c r="D827" s="638" t="s">
        <v>14</v>
      </c>
      <c r="E827" s="638" t="s">
        <v>14</v>
      </c>
      <c r="F827" s="638" t="s">
        <v>361</v>
      </c>
      <c r="G827" s="639">
        <v>1.82</v>
      </c>
      <c r="H827" s="639">
        <v>8.4</v>
      </c>
      <c r="I827" s="638" t="s">
        <v>17</v>
      </c>
      <c r="J827" s="639">
        <v>1.64</v>
      </c>
      <c r="K827" s="638" t="s">
        <v>595</v>
      </c>
      <c r="L827" s="638" t="s">
        <v>104</v>
      </c>
    </row>
    <row r="828" spans="1:12">
      <c r="A828" s="641"/>
      <c r="B828" s="641"/>
      <c r="C828" s="639"/>
      <c r="D828" s="641"/>
      <c r="E828" s="641"/>
      <c r="F828" s="638" t="s">
        <v>349</v>
      </c>
      <c r="G828" s="639">
        <v>1.9</v>
      </c>
      <c r="H828" s="639">
        <v>0.5</v>
      </c>
      <c r="I828" s="638" t="s">
        <v>22</v>
      </c>
      <c r="J828" s="639">
        <v>1.68</v>
      </c>
      <c r="K828" s="641"/>
      <c r="L828" s="641"/>
    </row>
    <row r="829" spans="1:12">
      <c r="A829" s="641"/>
      <c r="B829" s="641"/>
      <c r="C829" s="639"/>
      <c r="D829" s="641"/>
      <c r="E829" s="641"/>
      <c r="F829" s="638" t="s">
        <v>350</v>
      </c>
      <c r="G829" s="639">
        <v>1.99</v>
      </c>
      <c r="H829" s="639">
        <v>0.3</v>
      </c>
      <c r="I829" s="638" t="s">
        <v>44</v>
      </c>
      <c r="J829" s="639">
        <v>1.9</v>
      </c>
      <c r="K829" s="641"/>
      <c r="L829" s="641"/>
    </row>
    <row r="830" spans="1:12">
      <c r="A830" s="641"/>
      <c r="B830" s="641"/>
      <c r="C830" s="639"/>
      <c r="D830" s="641"/>
      <c r="E830" s="641"/>
      <c r="F830" s="638" t="s">
        <v>91</v>
      </c>
      <c r="G830" s="639">
        <v>2.65</v>
      </c>
      <c r="H830" s="639">
        <v>0.8</v>
      </c>
      <c r="I830" s="638" t="s">
        <v>24</v>
      </c>
      <c r="J830" s="642" t="s">
        <v>24</v>
      </c>
      <c r="K830" s="641"/>
      <c r="L830" s="641"/>
    </row>
    <row r="831" spans="1:12">
      <c r="A831" s="638" t="s">
        <v>668</v>
      </c>
      <c r="B831" s="638" t="s">
        <v>1033</v>
      </c>
      <c r="C831" s="639">
        <v>5</v>
      </c>
      <c r="D831" s="638" t="s">
        <v>66</v>
      </c>
      <c r="E831" s="638" t="s">
        <v>66</v>
      </c>
      <c r="F831" s="638" t="s">
        <v>361</v>
      </c>
      <c r="G831" s="639">
        <v>1.7</v>
      </c>
      <c r="H831" s="639">
        <v>4.45</v>
      </c>
      <c r="I831" s="638" t="s">
        <v>17</v>
      </c>
      <c r="J831" s="639">
        <v>1.68</v>
      </c>
      <c r="K831" s="638" t="s">
        <v>603</v>
      </c>
      <c r="L831" s="638" t="s">
        <v>130</v>
      </c>
    </row>
    <row r="832" spans="1:12">
      <c r="A832" s="641"/>
      <c r="B832" s="641"/>
      <c r="C832" s="639"/>
      <c r="D832" s="641"/>
      <c r="E832" s="641"/>
      <c r="F832" s="638" t="s">
        <v>349</v>
      </c>
      <c r="G832" s="639">
        <v>1.96</v>
      </c>
      <c r="H832" s="643">
        <v>0.175</v>
      </c>
      <c r="I832" s="638" t="s">
        <v>22</v>
      </c>
      <c r="J832" s="639">
        <v>1.83</v>
      </c>
      <c r="K832" s="641"/>
      <c r="L832" s="641"/>
    </row>
    <row r="833" spans="1:12">
      <c r="A833" s="641"/>
      <c r="B833" s="641"/>
      <c r="C833" s="639"/>
      <c r="D833" s="641"/>
      <c r="E833" s="641"/>
      <c r="F833" s="638" t="s">
        <v>91</v>
      </c>
      <c r="G833" s="639">
        <v>2.45</v>
      </c>
      <c r="H833" s="643">
        <v>0.375</v>
      </c>
      <c r="I833" s="638" t="s">
        <v>24</v>
      </c>
      <c r="J833" s="642" t="s">
        <v>24</v>
      </c>
      <c r="K833" s="641"/>
      <c r="L833" s="641"/>
    </row>
    <row r="834" spans="1:12">
      <c r="A834" s="638" t="s">
        <v>668</v>
      </c>
      <c r="B834" s="638" t="s">
        <v>1034</v>
      </c>
      <c r="C834" s="639">
        <v>5</v>
      </c>
      <c r="D834" s="638" t="s">
        <v>66</v>
      </c>
      <c r="E834" s="638" t="s">
        <v>66</v>
      </c>
      <c r="F834" s="638" t="s">
        <v>128</v>
      </c>
      <c r="G834" s="639">
        <v>1.83</v>
      </c>
      <c r="H834" s="639">
        <v>4.4</v>
      </c>
      <c r="I834" s="638" t="s">
        <v>17</v>
      </c>
      <c r="J834" s="639">
        <v>1.7</v>
      </c>
      <c r="K834" s="638" t="s">
        <v>603</v>
      </c>
      <c r="L834" s="638" t="s">
        <v>577</v>
      </c>
    </row>
    <row r="835" spans="1:12">
      <c r="A835" s="641"/>
      <c r="B835" s="641"/>
      <c r="C835" s="639"/>
      <c r="D835" s="641"/>
      <c r="E835" s="641"/>
      <c r="F835" s="638" t="s">
        <v>131</v>
      </c>
      <c r="G835" s="639">
        <v>1.92</v>
      </c>
      <c r="H835" s="639">
        <v>0.3</v>
      </c>
      <c r="I835" s="638" t="s">
        <v>22</v>
      </c>
      <c r="J835" s="639">
        <v>1.83</v>
      </c>
      <c r="K835" s="641"/>
      <c r="L835" s="641"/>
    </row>
    <row r="836" spans="1:12">
      <c r="A836" s="641"/>
      <c r="B836" s="641"/>
      <c r="C836" s="639"/>
      <c r="D836" s="641"/>
      <c r="E836" s="641"/>
      <c r="F836" s="638" t="s">
        <v>91</v>
      </c>
      <c r="G836" s="639">
        <v>2.5</v>
      </c>
      <c r="H836" s="639">
        <v>0.3</v>
      </c>
      <c r="I836" s="638" t="s">
        <v>24</v>
      </c>
      <c r="J836" s="642" t="s">
        <v>24</v>
      </c>
      <c r="K836" s="641"/>
      <c r="L836" s="641"/>
    </row>
  </sheetData>
  <autoFilter xmlns:etc="http://www.wps.cn/officeDocument/2017/etCustomData" ref="A1:L799" etc:filterBottomFollowUsedRange="0">
    <extLst/>
  </autoFilter>
  <mergeCells count="1841">
    <mergeCell ref="A2:A4"/>
    <mergeCell ref="A5:A8"/>
    <mergeCell ref="A9:A11"/>
    <mergeCell ref="A12:A13"/>
    <mergeCell ref="A14:A17"/>
    <mergeCell ref="A18:A20"/>
    <mergeCell ref="A21:A23"/>
    <mergeCell ref="A24:A27"/>
    <mergeCell ref="A28:A31"/>
    <mergeCell ref="A32:A34"/>
    <mergeCell ref="A35:A37"/>
    <mergeCell ref="A38:A39"/>
    <mergeCell ref="A40:A42"/>
    <mergeCell ref="A43:A45"/>
    <mergeCell ref="A46:A48"/>
    <mergeCell ref="A49:A50"/>
    <mergeCell ref="A51:A52"/>
    <mergeCell ref="A53:A54"/>
    <mergeCell ref="A55:A57"/>
    <mergeCell ref="A58:A61"/>
    <mergeCell ref="A62:A64"/>
    <mergeCell ref="A65:A67"/>
    <mergeCell ref="A68:A71"/>
    <mergeCell ref="A72:A74"/>
    <mergeCell ref="A75:A77"/>
    <mergeCell ref="A78:A80"/>
    <mergeCell ref="A81:A83"/>
    <mergeCell ref="A84:A86"/>
    <mergeCell ref="A87:A90"/>
    <mergeCell ref="A91:A93"/>
    <mergeCell ref="A94:A95"/>
    <mergeCell ref="A96:A98"/>
    <mergeCell ref="A99:A102"/>
    <mergeCell ref="A103:A105"/>
    <mergeCell ref="A106:A108"/>
    <mergeCell ref="A109:A111"/>
    <mergeCell ref="A112:A114"/>
    <mergeCell ref="A115:A119"/>
    <mergeCell ref="A120:A122"/>
    <mergeCell ref="A123:A125"/>
    <mergeCell ref="A126:A128"/>
    <mergeCell ref="A129:A131"/>
    <mergeCell ref="A132:A134"/>
    <mergeCell ref="A135:A138"/>
    <mergeCell ref="A139:A141"/>
    <mergeCell ref="A142:A144"/>
    <mergeCell ref="A145:A147"/>
    <mergeCell ref="A148:A149"/>
    <mergeCell ref="A150:A153"/>
    <mergeCell ref="A154:A156"/>
    <mergeCell ref="A157:A159"/>
    <mergeCell ref="A160:A163"/>
    <mergeCell ref="A164:A165"/>
    <mergeCell ref="A166:A168"/>
    <mergeCell ref="A169:A171"/>
    <mergeCell ref="A172:A174"/>
    <mergeCell ref="A175:A176"/>
    <mergeCell ref="A177:A178"/>
    <mergeCell ref="A179:A182"/>
    <mergeCell ref="A183:A186"/>
    <mergeCell ref="A187:A188"/>
    <mergeCell ref="A189:A191"/>
    <mergeCell ref="A192:A194"/>
    <mergeCell ref="A195:A198"/>
    <mergeCell ref="A199:A200"/>
    <mergeCell ref="A201:A203"/>
    <mergeCell ref="A204:A205"/>
    <mergeCell ref="A206:A208"/>
    <mergeCell ref="A209:A211"/>
    <mergeCell ref="A212:A214"/>
    <mergeCell ref="A215:A216"/>
    <mergeCell ref="A217:A219"/>
    <mergeCell ref="A220:A222"/>
    <mergeCell ref="A223:A226"/>
    <mergeCell ref="A227:A229"/>
    <mergeCell ref="A230:A233"/>
    <mergeCell ref="A234:A237"/>
    <mergeCell ref="A238:A241"/>
    <mergeCell ref="A242:A245"/>
    <mergeCell ref="A246:A248"/>
    <mergeCell ref="A249:A252"/>
    <mergeCell ref="A253:A255"/>
    <mergeCell ref="A256:A258"/>
    <mergeCell ref="A259:A261"/>
    <mergeCell ref="A262:A265"/>
    <mergeCell ref="A266:A268"/>
    <mergeCell ref="A269:A271"/>
    <mergeCell ref="A272:A274"/>
    <mergeCell ref="A275:A277"/>
    <mergeCell ref="A278:A281"/>
    <mergeCell ref="A282:A283"/>
    <mergeCell ref="A284:A286"/>
    <mergeCell ref="A287:A288"/>
    <mergeCell ref="A289:A292"/>
    <mergeCell ref="A293:A296"/>
    <mergeCell ref="A297:A299"/>
    <mergeCell ref="A300:A303"/>
    <mergeCell ref="A304:A306"/>
    <mergeCell ref="A307:A309"/>
    <mergeCell ref="A310:A312"/>
    <mergeCell ref="A313:A316"/>
    <mergeCell ref="A317:A320"/>
    <mergeCell ref="A321:A323"/>
    <mergeCell ref="A324:A326"/>
    <mergeCell ref="A327:A329"/>
    <mergeCell ref="A330:A332"/>
    <mergeCell ref="A333:A335"/>
    <mergeCell ref="A336:A338"/>
    <mergeCell ref="A339:A342"/>
    <mergeCell ref="A343:A345"/>
    <mergeCell ref="A346:A348"/>
    <mergeCell ref="A349:A351"/>
    <mergeCell ref="A352:A354"/>
    <mergeCell ref="A355:A357"/>
    <mergeCell ref="A358:A361"/>
    <mergeCell ref="A362:A365"/>
    <mergeCell ref="A366:A367"/>
    <mergeCell ref="A368:A370"/>
    <mergeCell ref="A371:A373"/>
    <mergeCell ref="A374:A375"/>
    <mergeCell ref="A376:A378"/>
    <mergeCell ref="A379:A381"/>
    <mergeCell ref="A382:A384"/>
    <mergeCell ref="A385:A387"/>
    <mergeCell ref="A388:A390"/>
    <mergeCell ref="A391:A393"/>
    <mergeCell ref="A394:A397"/>
    <mergeCell ref="A398:A399"/>
    <mergeCell ref="A400:A401"/>
    <mergeCell ref="A402:A404"/>
    <mergeCell ref="A405:A407"/>
    <mergeCell ref="A408:A410"/>
    <mergeCell ref="A411:A414"/>
    <mergeCell ref="A415:A418"/>
    <mergeCell ref="A419:A421"/>
    <mergeCell ref="A422:A424"/>
    <mergeCell ref="A425:A428"/>
    <mergeCell ref="A429:A432"/>
    <mergeCell ref="A433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1"/>
    <mergeCell ref="A472:A475"/>
    <mergeCell ref="A476:A479"/>
    <mergeCell ref="A480:A482"/>
    <mergeCell ref="A483:A485"/>
    <mergeCell ref="A486:A489"/>
    <mergeCell ref="A490:A491"/>
    <mergeCell ref="A492:A494"/>
    <mergeCell ref="A495:A498"/>
    <mergeCell ref="A499:A500"/>
    <mergeCell ref="A501:A503"/>
    <mergeCell ref="A504:A507"/>
    <mergeCell ref="A508:A510"/>
    <mergeCell ref="A511:A512"/>
    <mergeCell ref="A513:A514"/>
    <mergeCell ref="A515:A518"/>
    <mergeCell ref="A519:A521"/>
    <mergeCell ref="A522:A525"/>
    <mergeCell ref="A526:A529"/>
    <mergeCell ref="A530:A532"/>
    <mergeCell ref="A533:A535"/>
    <mergeCell ref="A536:A538"/>
    <mergeCell ref="A539:A542"/>
    <mergeCell ref="A543:A545"/>
    <mergeCell ref="A546:A548"/>
    <mergeCell ref="A549:A552"/>
    <mergeCell ref="A553:A556"/>
    <mergeCell ref="A557:A559"/>
    <mergeCell ref="A560:A563"/>
    <mergeCell ref="A564:A565"/>
    <mergeCell ref="A566:A569"/>
    <mergeCell ref="A570:A572"/>
    <mergeCell ref="A573:A575"/>
    <mergeCell ref="A576:A578"/>
    <mergeCell ref="A579:A582"/>
    <mergeCell ref="A583:A585"/>
    <mergeCell ref="A586:A588"/>
    <mergeCell ref="A589:A591"/>
    <mergeCell ref="A592:A594"/>
    <mergeCell ref="A595:A598"/>
    <mergeCell ref="A599:A601"/>
    <mergeCell ref="A602:A604"/>
    <mergeCell ref="A605:A607"/>
    <mergeCell ref="A608:A612"/>
    <mergeCell ref="A613:A615"/>
    <mergeCell ref="A616:A618"/>
    <mergeCell ref="A619:A621"/>
    <mergeCell ref="A622:A625"/>
    <mergeCell ref="A626:A629"/>
    <mergeCell ref="A630:A633"/>
    <mergeCell ref="A634:A635"/>
    <mergeCell ref="A636:A638"/>
    <mergeCell ref="A639:A640"/>
    <mergeCell ref="A641:A643"/>
    <mergeCell ref="A644:A647"/>
    <mergeCell ref="A648:A649"/>
    <mergeCell ref="A650:A652"/>
    <mergeCell ref="A653:A655"/>
    <mergeCell ref="A656:A658"/>
    <mergeCell ref="A659:A662"/>
    <mergeCell ref="A663:A665"/>
    <mergeCell ref="A666:A667"/>
    <mergeCell ref="A668:A671"/>
    <mergeCell ref="A672:A675"/>
    <mergeCell ref="A676:A678"/>
    <mergeCell ref="A679:A681"/>
    <mergeCell ref="A682:A684"/>
    <mergeCell ref="A685:A687"/>
    <mergeCell ref="A688:A690"/>
    <mergeCell ref="A691:A693"/>
    <mergeCell ref="A694:A697"/>
    <mergeCell ref="A698:A700"/>
    <mergeCell ref="A701:A703"/>
    <mergeCell ref="A704:A707"/>
    <mergeCell ref="A708:A710"/>
    <mergeCell ref="A711:A713"/>
    <mergeCell ref="A714:A716"/>
    <mergeCell ref="A717:A719"/>
    <mergeCell ref="A720:A722"/>
    <mergeCell ref="A723:A725"/>
    <mergeCell ref="A726:A730"/>
    <mergeCell ref="A731:A734"/>
    <mergeCell ref="A735:A738"/>
    <mergeCell ref="A739:A742"/>
    <mergeCell ref="A743:A745"/>
    <mergeCell ref="A746:A747"/>
    <mergeCell ref="A748:A749"/>
    <mergeCell ref="A750:A751"/>
    <mergeCell ref="A752:A753"/>
    <mergeCell ref="A754:A756"/>
    <mergeCell ref="A757:A759"/>
    <mergeCell ref="A760:A763"/>
    <mergeCell ref="A764:A767"/>
    <mergeCell ref="A768:A770"/>
    <mergeCell ref="A771:A773"/>
    <mergeCell ref="A774:A776"/>
    <mergeCell ref="A777:A780"/>
    <mergeCell ref="A781:A784"/>
    <mergeCell ref="A785:A787"/>
    <mergeCell ref="A788:A791"/>
    <mergeCell ref="A792:A795"/>
    <mergeCell ref="A796:A799"/>
    <mergeCell ref="A800:A802"/>
    <mergeCell ref="A803:A805"/>
    <mergeCell ref="A806:A809"/>
    <mergeCell ref="A810:A813"/>
    <mergeCell ref="A814:A816"/>
    <mergeCell ref="A817:A819"/>
    <mergeCell ref="A820:A822"/>
    <mergeCell ref="A823:A826"/>
    <mergeCell ref="A827:A830"/>
    <mergeCell ref="A831:A833"/>
    <mergeCell ref="A834:A836"/>
    <mergeCell ref="B2:B4"/>
    <mergeCell ref="B5:B8"/>
    <mergeCell ref="B9:B11"/>
    <mergeCell ref="B12:B13"/>
    <mergeCell ref="B14:B17"/>
    <mergeCell ref="B18:B20"/>
    <mergeCell ref="B21:B23"/>
    <mergeCell ref="B24:B27"/>
    <mergeCell ref="B28:B31"/>
    <mergeCell ref="B32:B34"/>
    <mergeCell ref="B35:B37"/>
    <mergeCell ref="B38:B39"/>
    <mergeCell ref="B40:B42"/>
    <mergeCell ref="B43:B45"/>
    <mergeCell ref="B46:B48"/>
    <mergeCell ref="B49:B50"/>
    <mergeCell ref="B51:B52"/>
    <mergeCell ref="B53:B54"/>
    <mergeCell ref="B55:B57"/>
    <mergeCell ref="B58:B61"/>
    <mergeCell ref="B62:B64"/>
    <mergeCell ref="B65:B67"/>
    <mergeCell ref="B68:B71"/>
    <mergeCell ref="B72:B74"/>
    <mergeCell ref="B75:B77"/>
    <mergeCell ref="B78:B80"/>
    <mergeCell ref="B81:B83"/>
    <mergeCell ref="B84:B86"/>
    <mergeCell ref="B87:B90"/>
    <mergeCell ref="B91:B93"/>
    <mergeCell ref="B94:B95"/>
    <mergeCell ref="B96:B98"/>
    <mergeCell ref="B99:B102"/>
    <mergeCell ref="B103:B105"/>
    <mergeCell ref="B106:B108"/>
    <mergeCell ref="B109:B111"/>
    <mergeCell ref="B112:B114"/>
    <mergeCell ref="B115:B119"/>
    <mergeCell ref="B120:B122"/>
    <mergeCell ref="B123:B125"/>
    <mergeCell ref="B126:B128"/>
    <mergeCell ref="B129:B131"/>
    <mergeCell ref="B132:B134"/>
    <mergeCell ref="B135:B138"/>
    <mergeCell ref="B139:B141"/>
    <mergeCell ref="B142:B144"/>
    <mergeCell ref="B145:B147"/>
    <mergeCell ref="B148:B149"/>
    <mergeCell ref="B150:B153"/>
    <mergeCell ref="B154:B156"/>
    <mergeCell ref="B157:B159"/>
    <mergeCell ref="B160:B163"/>
    <mergeCell ref="B164:B165"/>
    <mergeCell ref="B166:B168"/>
    <mergeCell ref="B169:B171"/>
    <mergeCell ref="B172:B174"/>
    <mergeCell ref="B175:B176"/>
    <mergeCell ref="B177:B178"/>
    <mergeCell ref="B179:B182"/>
    <mergeCell ref="B183:B186"/>
    <mergeCell ref="B187:B188"/>
    <mergeCell ref="B189:B191"/>
    <mergeCell ref="B192:B194"/>
    <mergeCell ref="B195:B198"/>
    <mergeCell ref="B199:B200"/>
    <mergeCell ref="B201:B203"/>
    <mergeCell ref="B204:B205"/>
    <mergeCell ref="B206:B208"/>
    <mergeCell ref="B209:B211"/>
    <mergeCell ref="B212:B214"/>
    <mergeCell ref="B215:B216"/>
    <mergeCell ref="B217:B219"/>
    <mergeCell ref="B220:B222"/>
    <mergeCell ref="B223:B226"/>
    <mergeCell ref="B227:B229"/>
    <mergeCell ref="B230:B233"/>
    <mergeCell ref="B234:B237"/>
    <mergeCell ref="B238:B241"/>
    <mergeCell ref="B242:B245"/>
    <mergeCell ref="B246:B248"/>
    <mergeCell ref="B249:B252"/>
    <mergeCell ref="B253:B255"/>
    <mergeCell ref="B256:B258"/>
    <mergeCell ref="B259:B261"/>
    <mergeCell ref="B262:B265"/>
    <mergeCell ref="B266:B268"/>
    <mergeCell ref="B269:B271"/>
    <mergeCell ref="B272:B274"/>
    <mergeCell ref="B275:B277"/>
    <mergeCell ref="B278:B281"/>
    <mergeCell ref="B282:B283"/>
    <mergeCell ref="B284:B286"/>
    <mergeCell ref="B287:B288"/>
    <mergeCell ref="B289:B292"/>
    <mergeCell ref="B293:B296"/>
    <mergeCell ref="B297:B299"/>
    <mergeCell ref="B300:B303"/>
    <mergeCell ref="B304:B306"/>
    <mergeCell ref="B307:B309"/>
    <mergeCell ref="B310:B312"/>
    <mergeCell ref="B313:B316"/>
    <mergeCell ref="B317:B320"/>
    <mergeCell ref="B321:B323"/>
    <mergeCell ref="B324:B326"/>
    <mergeCell ref="B327:B329"/>
    <mergeCell ref="B330:B332"/>
    <mergeCell ref="B333:B335"/>
    <mergeCell ref="B336:B338"/>
    <mergeCell ref="B339:B342"/>
    <mergeCell ref="B343:B345"/>
    <mergeCell ref="B346:B348"/>
    <mergeCell ref="B349:B351"/>
    <mergeCell ref="B352:B354"/>
    <mergeCell ref="B355:B357"/>
    <mergeCell ref="B358:B361"/>
    <mergeCell ref="B362:B365"/>
    <mergeCell ref="B366:B367"/>
    <mergeCell ref="B368:B370"/>
    <mergeCell ref="B371:B373"/>
    <mergeCell ref="B374:B375"/>
    <mergeCell ref="B376:B378"/>
    <mergeCell ref="B379:B381"/>
    <mergeCell ref="B382:B384"/>
    <mergeCell ref="B385:B387"/>
    <mergeCell ref="B388:B390"/>
    <mergeCell ref="B391:B393"/>
    <mergeCell ref="B394:B397"/>
    <mergeCell ref="B398:B399"/>
    <mergeCell ref="B400:B401"/>
    <mergeCell ref="B402:B404"/>
    <mergeCell ref="B405:B407"/>
    <mergeCell ref="B408:B410"/>
    <mergeCell ref="B411:B414"/>
    <mergeCell ref="B415:B418"/>
    <mergeCell ref="B419:B421"/>
    <mergeCell ref="B422:B424"/>
    <mergeCell ref="B425:B428"/>
    <mergeCell ref="B429:B432"/>
    <mergeCell ref="B433:B436"/>
    <mergeCell ref="B437:B439"/>
    <mergeCell ref="B440:B442"/>
    <mergeCell ref="B443:B445"/>
    <mergeCell ref="B446:B448"/>
    <mergeCell ref="B449:B451"/>
    <mergeCell ref="B452:B454"/>
    <mergeCell ref="B455:B457"/>
    <mergeCell ref="B458:B460"/>
    <mergeCell ref="B461:B463"/>
    <mergeCell ref="B464:B466"/>
    <mergeCell ref="B467:B469"/>
    <mergeCell ref="B470:B471"/>
    <mergeCell ref="B472:B475"/>
    <mergeCell ref="B476:B479"/>
    <mergeCell ref="B480:B482"/>
    <mergeCell ref="B483:B485"/>
    <mergeCell ref="B486:B489"/>
    <mergeCell ref="B490:B491"/>
    <mergeCell ref="B492:B494"/>
    <mergeCell ref="B495:B498"/>
    <mergeCell ref="B499:B500"/>
    <mergeCell ref="B501:B503"/>
    <mergeCell ref="B504:B507"/>
    <mergeCell ref="B508:B510"/>
    <mergeCell ref="B511:B512"/>
    <mergeCell ref="B513:B514"/>
    <mergeCell ref="B515:B518"/>
    <mergeCell ref="B519:B521"/>
    <mergeCell ref="B522:B525"/>
    <mergeCell ref="B526:B529"/>
    <mergeCell ref="B530:B532"/>
    <mergeCell ref="B533:B535"/>
    <mergeCell ref="B536:B538"/>
    <mergeCell ref="B539:B542"/>
    <mergeCell ref="B543:B545"/>
    <mergeCell ref="B546:B548"/>
    <mergeCell ref="B549:B552"/>
    <mergeCell ref="B553:B556"/>
    <mergeCell ref="B557:B559"/>
    <mergeCell ref="B560:B563"/>
    <mergeCell ref="B564:B565"/>
    <mergeCell ref="B566:B569"/>
    <mergeCell ref="B570:B572"/>
    <mergeCell ref="B573:B575"/>
    <mergeCell ref="B576:B578"/>
    <mergeCell ref="B579:B582"/>
    <mergeCell ref="B583:B585"/>
    <mergeCell ref="B586:B588"/>
    <mergeCell ref="B589:B591"/>
    <mergeCell ref="B592:B594"/>
    <mergeCell ref="B595:B598"/>
    <mergeCell ref="B599:B601"/>
    <mergeCell ref="B602:B604"/>
    <mergeCell ref="B605:B607"/>
    <mergeCell ref="B608:B612"/>
    <mergeCell ref="B613:B615"/>
    <mergeCell ref="B616:B618"/>
    <mergeCell ref="B619:B621"/>
    <mergeCell ref="B622:B625"/>
    <mergeCell ref="B626:B629"/>
    <mergeCell ref="B630:B633"/>
    <mergeCell ref="B634:B635"/>
    <mergeCell ref="B636:B638"/>
    <mergeCell ref="B639:B640"/>
    <mergeCell ref="B641:B643"/>
    <mergeCell ref="B644:B647"/>
    <mergeCell ref="B648:B649"/>
    <mergeCell ref="B650:B652"/>
    <mergeCell ref="B653:B655"/>
    <mergeCell ref="B656:B658"/>
    <mergeCell ref="B659:B662"/>
    <mergeCell ref="B663:B665"/>
    <mergeCell ref="B666:B667"/>
    <mergeCell ref="B668:B671"/>
    <mergeCell ref="B672:B675"/>
    <mergeCell ref="B676:B678"/>
    <mergeCell ref="B679:B681"/>
    <mergeCell ref="B682:B684"/>
    <mergeCell ref="B685:B687"/>
    <mergeCell ref="B688:B690"/>
    <mergeCell ref="B691:B693"/>
    <mergeCell ref="B694:B697"/>
    <mergeCell ref="B698:B700"/>
    <mergeCell ref="B701:B703"/>
    <mergeCell ref="B704:B707"/>
    <mergeCell ref="B708:B710"/>
    <mergeCell ref="B711:B713"/>
    <mergeCell ref="B714:B716"/>
    <mergeCell ref="B717:B719"/>
    <mergeCell ref="B720:B722"/>
    <mergeCell ref="B723:B725"/>
    <mergeCell ref="B726:B730"/>
    <mergeCell ref="B731:B734"/>
    <mergeCell ref="B735:B738"/>
    <mergeCell ref="B739:B742"/>
    <mergeCell ref="B743:B745"/>
    <mergeCell ref="B746:B747"/>
    <mergeCell ref="B748:B749"/>
    <mergeCell ref="B750:B751"/>
    <mergeCell ref="B752:B753"/>
    <mergeCell ref="B754:B756"/>
    <mergeCell ref="B757:B759"/>
    <mergeCell ref="B760:B763"/>
    <mergeCell ref="B764:B767"/>
    <mergeCell ref="B768:B770"/>
    <mergeCell ref="B771:B773"/>
    <mergeCell ref="B774:B776"/>
    <mergeCell ref="B777:B780"/>
    <mergeCell ref="B781:B784"/>
    <mergeCell ref="B785:B787"/>
    <mergeCell ref="B788:B791"/>
    <mergeCell ref="B792:B795"/>
    <mergeCell ref="B796:B799"/>
    <mergeCell ref="B800:B802"/>
    <mergeCell ref="B803:B805"/>
    <mergeCell ref="B806:B809"/>
    <mergeCell ref="B810:B813"/>
    <mergeCell ref="B814:B816"/>
    <mergeCell ref="B817:B819"/>
    <mergeCell ref="B820:B822"/>
    <mergeCell ref="B823:B826"/>
    <mergeCell ref="B827:B830"/>
    <mergeCell ref="B831:B833"/>
    <mergeCell ref="B834:B836"/>
    <mergeCell ref="C2:C4"/>
    <mergeCell ref="C5:C8"/>
    <mergeCell ref="C9:C11"/>
    <mergeCell ref="C12:C13"/>
    <mergeCell ref="C14:C17"/>
    <mergeCell ref="C18:C20"/>
    <mergeCell ref="C21:C23"/>
    <mergeCell ref="C24:C27"/>
    <mergeCell ref="C28:C31"/>
    <mergeCell ref="C32:C34"/>
    <mergeCell ref="C35:C37"/>
    <mergeCell ref="C38:C39"/>
    <mergeCell ref="C40:C42"/>
    <mergeCell ref="C43:C45"/>
    <mergeCell ref="C46:C48"/>
    <mergeCell ref="C49:C50"/>
    <mergeCell ref="C51:C52"/>
    <mergeCell ref="C53:C54"/>
    <mergeCell ref="C55:C57"/>
    <mergeCell ref="C58:C61"/>
    <mergeCell ref="C62:C64"/>
    <mergeCell ref="C65:C67"/>
    <mergeCell ref="C68:C71"/>
    <mergeCell ref="C72:C74"/>
    <mergeCell ref="C75:C77"/>
    <mergeCell ref="C78:C80"/>
    <mergeCell ref="C81:C83"/>
    <mergeCell ref="C84:C86"/>
    <mergeCell ref="C87:C90"/>
    <mergeCell ref="C91:C93"/>
    <mergeCell ref="C94:C95"/>
    <mergeCell ref="C96:C98"/>
    <mergeCell ref="C99:C102"/>
    <mergeCell ref="C103:C105"/>
    <mergeCell ref="C106:C108"/>
    <mergeCell ref="C109:C111"/>
    <mergeCell ref="C112:C114"/>
    <mergeCell ref="C115:C119"/>
    <mergeCell ref="C120:C122"/>
    <mergeCell ref="C123:C125"/>
    <mergeCell ref="C126:C128"/>
    <mergeCell ref="C129:C131"/>
    <mergeCell ref="C132:C134"/>
    <mergeCell ref="C135:C138"/>
    <mergeCell ref="C139:C141"/>
    <mergeCell ref="C142:C144"/>
    <mergeCell ref="C145:C147"/>
    <mergeCell ref="C148:C149"/>
    <mergeCell ref="C150:C153"/>
    <mergeCell ref="C154:C156"/>
    <mergeCell ref="C157:C159"/>
    <mergeCell ref="C160:C163"/>
    <mergeCell ref="C164:C165"/>
    <mergeCell ref="C166:C168"/>
    <mergeCell ref="C169:C171"/>
    <mergeCell ref="C172:C174"/>
    <mergeCell ref="C175:C176"/>
    <mergeCell ref="C177:C178"/>
    <mergeCell ref="C179:C182"/>
    <mergeCell ref="C183:C186"/>
    <mergeCell ref="C187:C188"/>
    <mergeCell ref="C189:C191"/>
    <mergeCell ref="C192:C194"/>
    <mergeCell ref="C195:C198"/>
    <mergeCell ref="C199:C200"/>
    <mergeCell ref="C201:C203"/>
    <mergeCell ref="C204:C205"/>
    <mergeCell ref="C206:C208"/>
    <mergeCell ref="C209:C211"/>
    <mergeCell ref="C212:C214"/>
    <mergeCell ref="C215:C216"/>
    <mergeCell ref="C217:C219"/>
    <mergeCell ref="C220:C222"/>
    <mergeCell ref="C223:C226"/>
    <mergeCell ref="C227:C229"/>
    <mergeCell ref="C230:C233"/>
    <mergeCell ref="C234:C237"/>
    <mergeCell ref="C238:C241"/>
    <mergeCell ref="C242:C245"/>
    <mergeCell ref="C246:C248"/>
    <mergeCell ref="C249:C252"/>
    <mergeCell ref="C253:C255"/>
    <mergeCell ref="C256:C258"/>
    <mergeCell ref="C259:C261"/>
    <mergeCell ref="C262:C265"/>
    <mergeCell ref="C266:C268"/>
    <mergeCell ref="C269:C271"/>
    <mergeCell ref="C272:C274"/>
    <mergeCell ref="C275:C277"/>
    <mergeCell ref="C278:C281"/>
    <mergeCell ref="C282:C283"/>
    <mergeCell ref="C284:C286"/>
    <mergeCell ref="C287:C288"/>
    <mergeCell ref="C289:C292"/>
    <mergeCell ref="C293:C296"/>
    <mergeCell ref="C297:C299"/>
    <mergeCell ref="C300:C303"/>
    <mergeCell ref="C304:C306"/>
    <mergeCell ref="C307:C309"/>
    <mergeCell ref="C310:C312"/>
    <mergeCell ref="C313:C316"/>
    <mergeCell ref="C317:C320"/>
    <mergeCell ref="C321:C323"/>
    <mergeCell ref="C324:C326"/>
    <mergeCell ref="C327:C329"/>
    <mergeCell ref="C330:C332"/>
    <mergeCell ref="C333:C335"/>
    <mergeCell ref="C336:C338"/>
    <mergeCell ref="C339:C342"/>
    <mergeCell ref="C343:C345"/>
    <mergeCell ref="C346:C348"/>
    <mergeCell ref="C349:C351"/>
    <mergeCell ref="C352:C354"/>
    <mergeCell ref="C355:C357"/>
    <mergeCell ref="C358:C361"/>
    <mergeCell ref="C362:C365"/>
    <mergeCell ref="C366:C367"/>
    <mergeCell ref="C368:C370"/>
    <mergeCell ref="C371:C373"/>
    <mergeCell ref="C374:C375"/>
    <mergeCell ref="C376:C378"/>
    <mergeCell ref="C379:C381"/>
    <mergeCell ref="C382:C384"/>
    <mergeCell ref="C385:C387"/>
    <mergeCell ref="C388:C390"/>
    <mergeCell ref="C391:C393"/>
    <mergeCell ref="C394:C397"/>
    <mergeCell ref="C398:C399"/>
    <mergeCell ref="C400:C401"/>
    <mergeCell ref="C402:C404"/>
    <mergeCell ref="C405:C407"/>
    <mergeCell ref="C408:C410"/>
    <mergeCell ref="C411:C414"/>
    <mergeCell ref="C415:C418"/>
    <mergeCell ref="C419:C421"/>
    <mergeCell ref="C422:C424"/>
    <mergeCell ref="C425:C428"/>
    <mergeCell ref="C429:C432"/>
    <mergeCell ref="C433:C436"/>
    <mergeCell ref="C437:C439"/>
    <mergeCell ref="C440:C442"/>
    <mergeCell ref="C443:C445"/>
    <mergeCell ref="C446:C448"/>
    <mergeCell ref="C449:C451"/>
    <mergeCell ref="C452:C454"/>
    <mergeCell ref="C455:C457"/>
    <mergeCell ref="C458:C460"/>
    <mergeCell ref="C461:C463"/>
    <mergeCell ref="C464:C466"/>
    <mergeCell ref="C467:C469"/>
    <mergeCell ref="C470:C471"/>
    <mergeCell ref="C472:C475"/>
    <mergeCell ref="C476:C479"/>
    <mergeCell ref="C480:C482"/>
    <mergeCell ref="C483:C485"/>
    <mergeCell ref="C486:C489"/>
    <mergeCell ref="C490:C491"/>
    <mergeCell ref="C492:C494"/>
    <mergeCell ref="C495:C498"/>
    <mergeCell ref="C499:C500"/>
    <mergeCell ref="C501:C503"/>
    <mergeCell ref="C504:C507"/>
    <mergeCell ref="C508:C510"/>
    <mergeCell ref="C511:C512"/>
    <mergeCell ref="C513:C514"/>
    <mergeCell ref="C515:C518"/>
    <mergeCell ref="C519:C521"/>
    <mergeCell ref="C522:C525"/>
    <mergeCell ref="C526:C529"/>
    <mergeCell ref="C530:C532"/>
    <mergeCell ref="C533:C535"/>
    <mergeCell ref="C536:C538"/>
    <mergeCell ref="C539:C542"/>
    <mergeCell ref="C543:C545"/>
    <mergeCell ref="C546:C548"/>
    <mergeCell ref="C549:C552"/>
    <mergeCell ref="C553:C556"/>
    <mergeCell ref="C557:C559"/>
    <mergeCell ref="C560:C563"/>
    <mergeCell ref="C564:C565"/>
    <mergeCell ref="C566:C569"/>
    <mergeCell ref="C570:C572"/>
    <mergeCell ref="C573:C575"/>
    <mergeCell ref="C576:C578"/>
    <mergeCell ref="C579:C582"/>
    <mergeCell ref="C583:C585"/>
    <mergeCell ref="C586:C588"/>
    <mergeCell ref="C589:C591"/>
    <mergeCell ref="C592:C594"/>
    <mergeCell ref="C595:C598"/>
    <mergeCell ref="C599:C601"/>
    <mergeCell ref="C602:C604"/>
    <mergeCell ref="C605:C607"/>
    <mergeCell ref="C608:C612"/>
    <mergeCell ref="C613:C615"/>
    <mergeCell ref="C616:C618"/>
    <mergeCell ref="C619:C621"/>
    <mergeCell ref="C622:C625"/>
    <mergeCell ref="C626:C629"/>
    <mergeCell ref="C630:C633"/>
    <mergeCell ref="C634:C635"/>
    <mergeCell ref="C636:C638"/>
    <mergeCell ref="C639:C640"/>
    <mergeCell ref="C641:C643"/>
    <mergeCell ref="C644:C647"/>
    <mergeCell ref="C648:C649"/>
    <mergeCell ref="C650:C652"/>
    <mergeCell ref="C653:C655"/>
    <mergeCell ref="C656:C658"/>
    <mergeCell ref="C659:C662"/>
    <mergeCell ref="C663:C665"/>
    <mergeCell ref="C666:C667"/>
    <mergeCell ref="C668:C671"/>
    <mergeCell ref="C672:C675"/>
    <mergeCell ref="C676:C678"/>
    <mergeCell ref="C679:C681"/>
    <mergeCell ref="C682:C684"/>
    <mergeCell ref="C685:C687"/>
    <mergeCell ref="C688:C690"/>
    <mergeCell ref="C691:C693"/>
    <mergeCell ref="C694:C697"/>
    <mergeCell ref="C698:C700"/>
    <mergeCell ref="C701:C703"/>
    <mergeCell ref="C704:C707"/>
    <mergeCell ref="C708:C710"/>
    <mergeCell ref="C711:C713"/>
    <mergeCell ref="C714:C716"/>
    <mergeCell ref="C717:C719"/>
    <mergeCell ref="C720:C722"/>
    <mergeCell ref="C723:C725"/>
    <mergeCell ref="C726:C730"/>
    <mergeCell ref="C731:C734"/>
    <mergeCell ref="C735:C738"/>
    <mergeCell ref="C739:C742"/>
    <mergeCell ref="C743:C745"/>
    <mergeCell ref="C746:C747"/>
    <mergeCell ref="C748:C749"/>
    <mergeCell ref="C750:C751"/>
    <mergeCell ref="C752:C753"/>
    <mergeCell ref="C754:C756"/>
    <mergeCell ref="C757:C759"/>
    <mergeCell ref="C760:C763"/>
    <mergeCell ref="C764:C767"/>
    <mergeCell ref="C768:C770"/>
    <mergeCell ref="C771:C773"/>
    <mergeCell ref="C774:C776"/>
    <mergeCell ref="C777:C780"/>
    <mergeCell ref="C781:C784"/>
    <mergeCell ref="C785:C787"/>
    <mergeCell ref="C788:C791"/>
    <mergeCell ref="C792:C795"/>
    <mergeCell ref="C796:C799"/>
    <mergeCell ref="C800:C802"/>
    <mergeCell ref="C803:C805"/>
    <mergeCell ref="C806:C809"/>
    <mergeCell ref="C810:C813"/>
    <mergeCell ref="C814:C816"/>
    <mergeCell ref="C817:C819"/>
    <mergeCell ref="C820:C822"/>
    <mergeCell ref="C823:C826"/>
    <mergeCell ref="C827:C830"/>
    <mergeCell ref="C831:C833"/>
    <mergeCell ref="C834:C836"/>
    <mergeCell ref="D2:D4"/>
    <mergeCell ref="D5:D8"/>
    <mergeCell ref="D9:D11"/>
    <mergeCell ref="D12:D13"/>
    <mergeCell ref="D14:D17"/>
    <mergeCell ref="D18:D20"/>
    <mergeCell ref="D21:D23"/>
    <mergeCell ref="D24:D27"/>
    <mergeCell ref="D28:D31"/>
    <mergeCell ref="D32:D34"/>
    <mergeCell ref="D35:D37"/>
    <mergeCell ref="D38:D39"/>
    <mergeCell ref="D40:D42"/>
    <mergeCell ref="D43:D45"/>
    <mergeCell ref="D46:D48"/>
    <mergeCell ref="D49:D50"/>
    <mergeCell ref="D51:D52"/>
    <mergeCell ref="D53:D54"/>
    <mergeCell ref="D55:D57"/>
    <mergeCell ref="D58:D61"/>
    <mergeCell ref="D62:D64"/>
    <mergeCell ref="D65:D67"/>
    <mergeCell ref="D68:D71"/>
    <mergeCell ref="D72:D74"/>
    <mergeCell ref="D75:D77"/>
    <mergeCell ref="D78:D80"/>
    <mergeCell ref="D81:D83"/>
    <mergeCell ref="D84:D86"/>
    <mergeCell ref="D87:D90"/>
    <mergeCell ref="D91:D93"/>
    <mergeCell ref="D94:D95"/>
    <mergeCell ref="D96:D98"/>
    <mergeCell ref="D99:D102"/>
    <mergeCell ref="D103:D105"/>
    <mergeCell ref="D106:D108"/>
    <mergeCell ref="D109:D111"/>
    <mergeCell ref="D112:D114"/>
    <mergeCell ref="D115:D119"/>
    <mergeCell ref="D120:D122"/>
    <mergeCell ref="D123:D125"/>
    <mergeCell ref="D126:D128"/>
    <mergeCell ref="D129:D131"/>
    <mergeCell ref="D132:D134"/>
    <mergeCell ref="D135:D138"/>
    <mergeCell ref="D139:D141"/>
    <mergeCell ref="D142:D144"/>
    <mergeCell ref="D145:D147"/>
    <mergeCell ref="D148:D149"/>
    <mergeCell ref="D150:D153"/>
    <mergeCell ref="D154:D156"/>
    <mergeCell ref="D157:D159"/>
    <mergeCell ref="D160:D163"/>
    <mergeCell ref="D164:D165"/>
    <mergeCell ref="D166:D168"/>
    <mergeCell ref="D169:D171"/>
    <mergeCell ref="D172:D174"/>
    <mergeCell ref="D175:D176"/>
    <mergeCell ref="D177:D178"/>
    <mergeCell ref="D179:D182"/>
    <mergeCell ref="D183:D186"/>
    <mergeCell ref="D187:D188"/>
    <mergeCell ref="D189:D191"/>
    <mergeCell ref="D192:D194"/>
    <mergeCell ref="D195:D198"/>
    <mergeCell ref="D199:D200"/>
    <mergeCell ref="D201:D203"/>
    <mergeCell ref="D204:D205"/>
    <mergeCell ref="D206:D208"/>
    <mergeCell ref="D209:D211"/>
    <mergeCell ref="D212:D214"/>
    <mergeCell ref="D215:D216"/>
    <mergeCell ref="D217:D219"/>
    <mergeCell ref="D220:D222"/>
    <mergeCell ref="D223:D226"/>
    <mergeCell ref="D227:D229"/>
    <mergeCell ref="D230:D233"/>
    <mergeCell ref="D234:D237"/>
    <mergeCell ref="D238:D241"/>
    <mergeCell ref="D242:D245"/>
    <mergeCell ref="D246:D248"/>
    <mergeCell ref="D249:D252"/>
    <mergeCell ref="D253:D255"/>
    <mergeCell ref="D256:D258"/>
    <mergeCell ref="D259:D261"/>
    <mergeCell ref="D262:D265"/>
    <mergeCell ref="D266:D268"/>
    <mergeCell ref="D269:D271"/>
    <mergeCell ref="D272:D274"/>
    <mergeCell ref="D275:D277"/>
    <mergeCell ref="D278:D281"/>
    <mergeCell ref="D282:D283"/>
    <mergeCell ref="D284:D286"/>
    <mergeCell ref="D287:D288"/>
    <mergeCell ref="D289:D292"/>
    <mergeCell ref="D293:D296"/>
    <mergeCell ref="D297:D299"/>
    <mergeCell ref="D300:D303"/>
    <mergeCell ref="D304:D306"/>
    <mergeCell ref="D307:D309"/>
    <mergeCell ref="D310:D312"/>
    <mergeCell ref="D313:D316"/>
    <mergeCell ref="D317:D320"/>
    <mergeCell ref="D321:D323"/>
    <mergeCell ref="D324:D326"/>
    <mergeCell ref="D327:D329"/>
    <mergeCell ref="D330:D332"/>
    <mergeCell ref="D333:D335"/>
    <mergeCell ref="D336:D338"/>
    <mergeCell ref="D339:D342"/>
    <mergeCell ref="D343:D345"/>
    <mergeCell ref="D346:D348"/>
    <mergeCell ref="D349:D351"/>
    <mergeCell ref="D352:D354"/>
    <mergeCell ref="D355:D357"/>
    <mergeCell ref="D358:D361"/>
    <mergeCell ref="D362:D365"/>
    <mergeCell ref="D366:D367"/>
    <mergeCell ref="D368:D370"/>
    <mergeCell ref="D371:D373"/>
    <mergeCell ref="D374:D375"/>
    <mergeCell ref="D376:D378"/>
    <mergeCell ref="D379:D381"/>
    <mergeCell ref="D382:D384"/>
    <mergeCell ref="D385:D387"/>
    <mergeCell ref="D388:D390"/>
    <mergeCell ref="D391:D393"/>
    <mergeCell ref="D394:D397"/>
    <mergeCell ref="D398:D399"/>
    <mergeCell ref="D400:D401"/>
    <mergeCell ref="D402:D404"/>
    <mergeCell ref="D405:D407"/>
    <mergeCell ref="D408:D410"/>
    <mergeCell ref="D411:D414"/>
    <mergeCell ref="D415:D418"/>
    <mergeCell ref="D419:D421"/>
    <mergeCell ref="D422:D424"/>
    <mergeCell ref="D425:D428"/>
    <mergeCell ref="D429:D432"/>
    <mergeCell ref="D433:D436"/>
    <mergeCell ref="D437:D439"/>
    <mergeCell ref="D440:D442"/>
    <mergeCell ref="D443:D445"/>
    <mergeCell ref="D446:D448"/>
    <mergeCell ref="D449:D451"/>
    <mergeCell ref="D452:D454"/>
    <mergeCell ref="D455:D457"/>
    <mergeCell ref="D458:D460"/>
    <mergeCell ref="D461:D463"/>
    <mergeCell ref="D464:D466"/>
    <mergeCell ref="D467:D469"/>
    <mergeCell ref="D470:D471"/>
    <mergeCell ref="D472:D475"/>
    <mergeCell ref="D476:D479"/>
    <mergeCell ref="D480:D482"/>
    <mergeCell ref="D483:D485"/>
    <mergeCell ref="D486:D489"/>
    <mergeCell ref="D490:D491"/>
    <mergeCell ref="D492:D494"/>
    <mergeCell ref="D495:D498"/>
    <mergeCell ref="D499:D500"/>
    <mergeCell ref="D501:D503"/>
    <mergeCell ref="D504:D507"/>
    <mergeCell ref="D508:D510"/>
    <mergeCell ref="D511:D512"/>
    <mergeCell ref="D513:D514"/>
    <mergeCell ref="D515:D518"/>
    <mergeCell ref="D519:D521"/>
    <mergeCell ref="D522:D525"/>
    <mergeCell ref="D526:D529"/>
    <mergeCell ref="D530:D532"/>
    <mergeCell ref="D533:D535"/>
    <mergeCell ref="D536:D538"/>
    <mergeCell ref="D539:D542"/>
    <mergeCell ref="D543:D545"/>
    <mergeCell ref="D546:D548"/>
    <mergeCell ref="D549:D552"/>
    <mergeCell ref="D553:D556"/>
    <mergeCell ref="D557:D559"/>
    <mergeCell ref="D560:D563"/>
    <mergeCell ref="D564:D565"/>
    <mergeCell ref="D566:D569"/>
    <mergeCell ref="D570:D572"/>
    <mergeCell ref="D573:D575"/>
    <mergeCell ref="D576:D578"/>
    <mergeCell ref="D579:D582"/>
    <mergeCell ref="D583:D585"/>
    <mergeCell ref="D586:D588"/>
    <mergeCell ref="D589:D591"/>
    <mergeCell ref="D592:D594"/>
    <mergeCell ref="D595:D598"/>
    <mergeCell ref="D599:D601"/>
    <mergeCell ref="D602:D604"/>
    <mergeCell ref="D605:D607"/>
    <mergeCell ref="D608:D612"/>
    <mergeCell ref="D613:D615"/>
    <mergeCell ref="D616:D618"/>
    <mergeCell ref="D619:D621"/>
    <mergeCell ref="D622:D625"/>
    <mergeCell ref="D626:D629"/>
    <mergeCell ref="D630:D633"/>
    <mergeCell ref="D634:D635"/>
    <mergeCell ref="D636:D638"/>
    <mergeCell ref="D639:D640"/>
    <mergeCell ref="D641:D643"/>
    <mergeCell ref="D644:D647"/>
    <mergeCell ref="D648:D649"/>
    <mergeCell ref="D650:D652"/>
    <mergeCell ref="D653:D655"/>
    <mergeCell ref="D656:D658"/>
    <mergeCell ref="D659:D662"/>
    <mergeCell ref="D663:D665"/>
    <mergeCell ref="D666:D667"/>
    <mergeCell ref="D668:D671"/>
    <mergeCell ref="D672:D675"/>
    <mergeCell ref="D676:D678"/>
    <mergeCell ref="D679:D681"/>
    <mergeCell ref="D682:D684"/>
    <mergeCell ref="D685:D687"/>
    <mergeCell ref="D688:D690"/>
    <mergeCell ref="D691:D693"/>
    <mergeCell ref="D694:D697"/>
    <mergeCell ref="D698:D700"/>
    <mergeCell ref="D701:D703"/>
    <mergeCell ref="D704:D707"/>
    <mergeCell ref="D708:D710"/>
    <mergeCell ref="D711:D713"/>
    <mergeCell ref="D714:D716"/>
    <mergeCell ref="D717:D719"/>
    <mergeCell ref="D720:D722"/>
    <mergeCell ref="D723:D725"/>
    <mergeCell ref="D726:D730"/>
    <mergeCell ref="D731:D734"/>
    <mergeCell ref="D735:D738"/>
    <mergeCell ref="D739:D742"/>
    <mergeCell ref="D743:D745"/>
    <mergeCell ref="D746:D747"/>
    <mergeCell ref="D748:D749"/>
    <mergeCell ref="D750:D751"/>
    <mergeCell ref="D752:D753"/>
    <mergeCell ref="D754:D756"/>
    <mergeCell ref="D757:D759"/>
    <mergeCell ref="D760:D763"/>
    <mergeCell ref="D764:D767"/>
    <mergeCell ref="D768:D770"/>
    <mergeCell ref="D771:D773"/>
    <mergeCell ref="D774:D776"/>
    <mergeCell ref="D777:D780"/>
    <mergeCell ref="D781:D784"/>
    <mergeCell ref="D785:D787"/>
    <mergeCell ref="D788:D791"/>
    <mergeCell ref="D792:D795"/>
    <mergeCell ref="D796:D799"/>
    <mergeCell ref="D800:D802"/>
    <mergeCell ref="D803:D805"/>
    <mergeCell ref="D806:D809"/>
    <mergeCell ref="D810:D813"/>
    <mergeCell ref="D814:D816"/>
    <mergeCell ref="D817:D819"/>
    <mergeCell ref="D820:D822"/>
    <mergeCell ref="D823:D826"/>
    <mergeCell ref="D827:D830"/>
    <mergeCell ref="D831:D833"/>
    <mergeCell ref="D834:D836"/>
    <mergeCell ref="E2:E4"/>
    <mergeCell ref="E5:E8"/>
    <mergeCell ref="E9:E11"/>
    <mergeCell ref="E12:E13"/>
    <mergeCell ref="E14:E17"/>
    <mergeCell ref="E18:E20"/>
    <mergeCell ref="E21:E23"/>
    <mergeCell ref="E24:E27"/>
    <mergeCell ref="E28:E31"/>
    <mergeCell ref="E32:E34"/>
    <mergeCell ref="E35:E37"/>
    <mergeCell ref="E38:E39"/>
    <mergeCell ref="E40:E42"/>
    <mergeCell ref="E43:E45"/>
    <mergeCell ref="E46:E48"/>
    <mergeCell ref="E49:E50"/>
    <mergeCell ref="E51:E52"/>
    <mergeCell ref="E53:E54"/>
    <mergeCell ref="E55:E57"/>
    <mergeCell ref="E58:E61"/>
    <mergeCell ref="E62:E64"/>
    <mergeCell ref="E65:E67"/>
    <mergeCell ref="E68:E71"/>
    <mergeCell ref="E72:E74"/>
    <mergeCell ref="E75:E77"/>
    <mergeCell ref="E78:E80"/>
    <mergeCell ref="E81:E83"/>
    <mergeCell ref="E84:E86"/>
    <mergeCell ref="E87:E90"/>
    <mergeCell ref="E91:E93"/>
    <mergeCell ref="E94:E95"/>
    <mergeCell ref="E96:E98"/>
    <mergeCell ref="E99:E102"/>
    <mergeCell ref="E103:E105"/>
    <mergeCell ref="E106:E108"/>
    <mergeCell ref="E109:E111"/>
    <mergeCell ref="E112:E114"/>
    <mergeCell ref="E115:E119"/>
    <mergeCell ref="E120:E122"/>
    <mergeCell ref="E123:E125"/>
    <mergeCell ref="E126:E128"/>
    <mergeCell ref="E129:E131"/>
    <mergeCell ref="E132:E134"/>
    <mergeCell ref="E135:E138"/>
    <mergeCell ref="E139:E141"/>
    <mergeCell ref="E142:E144"/>
    <mergeCell ref="E145:E147"/>
    <mergeCell ref="E148:E149"/>
    <mergeCell ref="E150:E153"/>
    <mergeCell ref="E154:E156"/>
    <mergeCell ref="E157:E159"/>
    <mergeCell ref="E160:E163"/>
    <mergeCell ref="E164:E165"/>
    <mergeCell ref="E166:E168"/>
    <mergeCell ref="E169:E171"/>
    <mergeCell ref="E172:E174"/>
    <mergeCell ref="E175:E176"/>
    <mergeCell ref="E177:E178"/>
    <mergeCell ref="E179:E182"/>
    <mergeCell ref="E183:E186"/>
    <mergeCell ref="E187:E188"/>
    <mergeCell ref="E189:E191"/>
    <mergeCell ref="E192:E194"/>
    <mergeCell ref="E195:E198"/>
    <mergeCell ref="E199:E200"/>
    <mergeCell ref="E201:E203"/>
    <mergeCell ref="E204:E205"/>
    <mergeCell ref="E206:E208"/>
    <mergeCell ref="E209:E211"/>
    <mergeCell ref="E212:E214"/>
    <mergeCell ref="E215:E216"/>
    <mergeCell ref="E217:E219"/>
    <mergeCell ref="E220:E222"/>
    <mergeCell ref="E223:E226"/>
    <mergeCell ref="E227:E229"/>
    <mergeCell ref="E230:E233"/>
    <mergeCell ref="E234:E237"/>
    <mergeCell ref="E238:E241"/>
    <mergeCell ref="E242:E245"/>
    <mergeCell ref="E246:E248"/>
    <mergeCell ref="E249:E252"/>
    <mergeCell ref="E253:E255"/>
    <mergeCell ref="E256:E258"/>
    <mergeCell ref="E259:E261"/>
    <mergeCell ref="E262:E265"/>
    <mergeCell ref="E266:E268"/>
    <mergeCell ref="E269:E271"/>
    <mergeCell ref="E272:E274"/>
    <mergeCell ref="E275:E277"/>
    <mergeCell ref="E278:E281"/>
    <mergeCell ref="E282:E283"/>
    <mergeCell ref="E284:E286"/>
    <mergeCell ref="E287:E288"/>
    <mergeCell ref="E289:E292"/>
    <mergeCell ref="E293:E296"/>
    <mergeCell ref="E297:E299"/>
    <mergeCell ref="E300:E303"/>
    <mergeCell ref="E304:E306"/>
    <mergeCell ref="E307:E309"/>
    <mergeCell ref="E310:E312"/>
    <mergeCell ref="E313:E316"/>
    <mergeCell ref="E317:E320"/>
    <mergeCell ref="E321:E323"/>
    <mergeCell ref="E324:E326"/>
    <mergeCell ref="E327:E329"/>
    <mergeCell ref="E330:E332"/>
    <mergeCell ref="E333:E335"/>
    <mergeCell ref="E336:E338"/>
    <mergeCell ref="E339:E342"/>
    <mergeCell ref="E343:E345"/>
    <mergeCell ref="E346:E348"/>
    <mergeCell ref="E349:E351"/>
    <mergeCell ref="E352:E354"/>
    <mergeCell ref="E355:E357"/>
    <mergeCell ref="E358:E361"/>
    <mergeCell ref="E362:E365"/>
    <mergeCell ref="E366:E367"/>
    <mergeCell ref="E368:E370"/>
    <mergeCell ref="E371:E373"/>
    <mergeCell ref="E374:E375"/>
    <mergeCell ref="E376:E378"/>
    <mergeCell ref="E379:E381"/>
    <mergeCell ref="E382:E384"/>
    <mergeCell ref="E385:E387"/>
    <mergeCell ref="E388:E390"/>
    <mergeCell ref="E391:E393"/>
    <mergeCell ref="E394:E397"/>
    <mergeCell ref="E398:E399"/>
    <mergeCell ref="E400:E401"/>
    <mergeCell ref="E402:E404"/>
    <mergeCell ref="E405:E407"/>
    <mergeCell ref="E408:E410"/>
    <mergeCell ref="E411:E414"/>
    <mergeCell ref="E415:E418"/>
    <mergeCell ref="E419:E421"/>
    <mergeCell ref="E422:E424"/>
    <mergeCell ref="E425:E428"/>
    <mergeCell ref="E429:E432"/>
    <mergeCell ref="E433:E436"/>
    <mergeCell ref="E437:E439"/>
    <mergeCell ref="E440:E442"/>
    <mergeCell ref="E443:E445"/>
    <mergeCell ref="E446:E448"/>
    <mergeCell ref="E449:E451"/>
    <mergeCell ref="E452:E454"/>
    <mergeCell ref="E455:E457"/>
    <mergeCell ref="E458:E460"/>
    <mergeCell ref="E461:E463"/>
    <mergeCell ref="E464:E466"/>
    <mergeCell ref="E467:E469"/>
    <mergeCell ref="E470:E471"/>
    <mergeCell ref="E472:E475"/>
    <mergeCell ref="E476:E479"/>
    <mergeCell ref="E480:E482"/>
    <mergeCell ref="E483:E485"/>
    <mergeCell ref="E486:E489"/>
    <mergeCell ref="E490:E491"/>
    <mergeCell ref="E492:E494"/>
    <mergeCell ref="E495:E498"/>
    <mergeCell ref="E499:E500"/>
    <mergeCell ref="E501:E503"/>
    <mergeCell ref="E504:E507"/>
    <mergeCell ref="E508:E510"/>
    <mergeCell ref="E511:E512"/>
    <mergeCell ref="E513:E514"/>
    <mergeCell ref="E515:E518"/>
    <mergeCell ref="E519:E521"/>
    <mergeCell ref="E522:E525"/>
    <mergeCell ref="E526:E529"/>
    <mergeCell ref="E530:E532"/>
    <mergeCell ref="E533:E535"/>
    <mergeCell ref="E536:E538"/>
    <mergeCell ref="E539:E542"/>
    <mergeCell ref="E543:E545"/>
    <mergeCell ref="E546:E548"/>
    <mergeCell ref="E549:E552"/>
    <mergeCell ref="E553:E556"/>
    <mergeCell ref="E557:E559"/>
    <mergeCell ref="E560:E563"/>
    <mergeCell ref="E564:E565"/>
    <mergeCell ref="E566:E569"/>
    <mergeCell ref="E570:E572"/>
    <mergeCell ref="E573:E575"/>
    <mergeCell ref="E576:E578"/>
    <mergeCell ref="E579:E582"/>
    <mergeCell ref="E583:E585"/>
    <mergeCell ref="E586:E588"/>
    <mergeCell ref="E589:E591"/>
    <mergeCell ref="E592:E594"/>
    <mergeCell ref="E595:E598"/>
    <mergeCell ref="E599:E601"/>
    <mergeCell ref="E602:E604"/>
    <mergeCell ref="E605:E607"/>
    <mergeCell ref="E608:E612"/>
    <mergeCell ref="E613:E615"/>
    <mergeCell ref="E616:E618"/>
    <mergeCell ref="E619:E621"/>
    <mergeCell ref="E622:E625"/>
    <mergeCell ref="E626:E629"/>
    <mergeCell ref="E630:E633"/>
    <mergeCell ref="E634:E635"/>
    <mergeCell ref="E636:E638"/>
    <mergeCell ref="E639:E640"/>
    <mergeCell ref="E641:E643"/>
    <mergeCell ref="E644:E647"/>
    <mergeCell ref="E648:E649"/>
    <mergeCell ref="E650:E652"/>
    <mergeCell ref="E653:E655"/>
    <mergeCell ref="E656:E658"/>
    <mergeCell ref="E659:E662"/>
    <mergeCell ref="E663:E665"/>
    <mergeCell ref="E666:E667"/>
    <mergeCell ref="E668:E671"/>
    <mergeCell ref="E672:E675"/>
    <mergeCell ref="E676:E678"/>
    <mergeCell ref="E679:E681"/>
    <mergeCell ref="E682:E684"/>
    <mergeCell ref="E685:E687"/>
    <mergeCell ref="E688:E690"/>
    <mergeCell ref="E691:E693"/>
    <mergeCell ref="E694:E697"/>
    <mergeCell ref="E698:E700"/>
    <mergeCell ref="E701:E703"/>
    <mergeCell ref="E704:E707"/>
    <mergeCell ref="E708:E710"/>
    <mergeCell ref="E711:E713"/>
    <mergeCell ref="E714:E716"/>
    <mergeCell ref="E717:E719"/>
    <mergeCell ref="E720:E722"/>
    <mergeCell ref="E723:E725"/>
    <mergeCell ref="E726:E730"/>
    <mergeCell ref="E731:E734"/>
    <mergeCell ref="E735:E738"/>
    <mergeCell ref="E739:E742"/>
    <mergeCell ref="E743:E745"/>
    <mergeCell ref="E746:E747"/>
    <mergeCell ref="E748:E749"/>
    <mergeCell ref="E750:E751"/>
    <mergeCell ref="E752:E753"/>
    <mergeCell ref="E754:E756"/>
    <mergeCell ref="E757:E759"/>
    <mergeCell ref="E760:E763"/>
    <mergeCell ref="E764:E767"/>
    <mergeCell ref="E768:E770"/>
    <mergeCell ref="E771:E773"/>
    <mergeCell ref="E774:E776"/>
    <mergeCell ref="E777:E780"/>
    <mergeCell ref="E781:E784"/>
    <mergeCell ref="E785:E787"/>
    <mergeCell ref="E788:E791"/>
    <mergeCell ref="E792:E795"/>
    <mergeCell ref="E796:E799"/>
    <mergeCell ref="E800:E802"/>
    <mergeCell ref="E803:E805"/>
    <mergeCell ref="E806:E809"/>
    <mergeCell ref="E810:E813"/>
    <mergeCell ref="E814:E816"/>
    <mergeCell ref="E817:E819"/>
    <mergeCell ref="E820:E822"/>
    <mergeCell ref="E823:E826"/>
    <mergeCell ref="E827:E830"/>
    <mergeCell ref="E831:E833"/>
    <mergeCell ref="E834:E836"/>
    <mergeCell ref="K2:K4"/>
    <mergeCell ref="K5:K8"/>
    <mergeCell ref="K9:K11"/>
    <mergeCell ref="K12:K13"/>
    <mergeCell ref="K14:K17"/>
    <mergeCell ref="K18:K20"/>
    <mergeCell ref="K21:K23"/>
    <mergeCell ref="K24:K27"/>
    <mergeCell ref="K28:K31"/>
    <mergeCell ref="K32:K34"/>
    <mergeCell ref="K35:K37"/>
    <mergeCell ref="K38:K39"/>
    <mergeCell ref="K40:K42"/>
    <mergeCell ref="K43:K45"/>
    <mergeCell ref="K46:K48"/>
    <mergeCell ref="K49:K50"/>
    <mergeCell ref="K51:K52"/>
    <mergeCell ref="K53:K54"/>
    <mergeCell ref="K55:K57"/>
    <mergeCell ref="K58:K61"/>
    <mergeCell ref="K62:K64"/>
    <mergeCell ref="K65:K67"/>
    <mergeCell ref="K68:K71"/>
    <mergeCell ref="K72:K74"/>
    <mergeCell ref="K75:K77"/>
    <mergeCell ref="K78:K80"/>
    <mergeCell ref="K81:K83"/>
    <mergeCell ref="K84:K86"/>
    <mergeCell ref="K87:K90"/>
    <mergeCell ref="K91:K93"/>
    <mergeCell ref="K94:K95"/>
    <mergeCell ref="K96:K98"/>
    <mergeCell ref="K99:K102"/>
    <mergeCell ref="K103:K105"/>
    <mergeCell ref="K106:K108"/>
    <mergeCell ref="K109:K111"/>
    <mergeCell ref="K112:K114"/>
    <mergeCell ref="K115:K119"/>
    <mergeCell ref="K120:K122"/>
    <mergeCell ref="K123:K125"/>
    <mergeCell ref="K126:K128"/>
    <mergeCell ref="K129:K131"/>
    <mergeCell ref="K132:K134"/>
    <mergeCell ref="K135:K138"/>
    <mergeCell ref="K139:K141"/>
    <mergeCell ref="K142:K144"/>
    <mergeCell ref="K145:K147"/>
    <mergeCell ref="K148:K149"/>
    <mergeCell ref="K150:K153"/>
    <mergeCell ref="K154:K156"/>
    <mergeCell ref="K157:K159"/>
    <mergeCell ref="K160:K163"/>
    <mergeCell ref="K164:K165"/>
    <mergeCell ref="K166:K168"/>
    <mergeCell ref="K169:K171"/>
    <mergeCell ref="K172:K174"/>
    <mergeCell ref="K175:K176"/>
    <mergeCell ref="K177:K178"/>
    <mergeCell ref="K179:K182"/>
    <mergeCell ref="K183:K186"/>
    <mergeCell ref="K187:K188"/>
    <mergeCell ref="K189:K191"/>
    <mergeCell ref="K192:K194"/>
    <mergeCell ref="K195:K198"/>
    <mergeCell ref="K199:K200"/>
    <mergeCell ref="K201:K203"/>
    <mergeCell ref="K204:K205"/>
    <mergeCell ref="K206:K208"/>
    <mergeCell ref="K209:K211"/>
    <mergeCell ref="K212:K214"/>
    <mergeCell ref="K215:K216"/>
    <mergeCell ref="K217:K219"/>
    <mergeCell ref="K220:K222"/>
    <mergeCell ref="K223:K226"/>
    <mergeCell ref="K227:K229"/>
    <mergeCell ref="K230:K233"/>
    <mergeCell ref="K234:K237"/>
    <mergeCell ref="K238:K241"/>
    <mergeCell ref="K242:K245"/>
    <mergeCell ref="K246:K248"/>
    <mergeCell ref="K249:K252"/>
    <mergeCell ref="K253:K255"/>
    <mergeCell ref="K256:K258"/>
    <mergeCell ref="K259:K261"/>
    <mergeCell ref="K262:K265"/>
    <mergeCell ref="K266:K268"/>
    <mergeCell ref="K269:K271"/>
    <mergeCell ref="K272:K274"/>
    <mergeCell ref="K275:K277"/>
    <mergeCell ref="K278:K281"/>
    <mergeCell ref="K282:K283"/>
    <mergeCell ref="K284:K286"/>
    <mergeCell ref="K287:K288"/>
    <mergeCell ref="K289:K292"/>
    <mergeCell ref="K293:K296"/>
    <mergeCell ref="K297:K299"/>
    <mergeCell ref="K300:K303"/>
    <mergeCell ref="K304:K306"/>
    <mergeCell ref="K307:K309"/>
    <mergeCell ref="K310:K312"/>
    <mergeCell ref="K313:K316"/>
    <mergeCell ref="K317:K320"/>
    <mergeCell ref="K321:K323"/>
    <mergeCell ref="K324:K326"/>
    <mergeCell ref="K327:K329"/>
    <mergeCell ref="K330:K332"/>
    <mergeCell ref="K333:K335"/>
    <mergeCell ref="K336:K338"/>
    <mergeCell ref="K339:K342"/>
    <mergeCell ref="K343:K345"/>
    <mergeCell ref="K346:K348"/>
    <mergeCell ref="K349:K351"/>
    <mergeCell ref="K352:K354"/>
    <mergeCell ref="K355:K357"/>
    <mergeCell ref="K358:K361"/>
    <mergeCell ref="K362:K365"/>
    <mergeCell ref="K366:K367"/>
    <mergeCell ref="K368:K370"/>
    <mergeCell ref="K371:K373"/>
    <mergeCell ref="K374:K375"/>
    <mergeCell ref="K376:K378"/>
    <mergeCell ref="K379:K381"/>
    <mergeCell ref="K382:K384"/>
    <mergeCell ref="K385:K387"/>
    <mergeCell ref="K388:K390"/>
    <mergeCell ref="K391:K393"/>
    <mergeCell ref="K394:K397"/>
    <mergeCell ref="K398:K399"/>
    <mergeCell ref="K400:K401"/>
    <mergeCell ref="K402:K404"/>
    <mergeCell ref="K405:K407"/>
    <mergeCell ref="K408:K410"/>
    <mergeCell ref="K411:K414"/>
    <mergeCell ref="K415:K418"/>
    <mergeCell ref="K419:K421"/>
    <mergeCell ref="K422:K424"/>
    <mergeCell ref="K425:K428"/>
    <mergeCell ref="K429:K432"/>
    <mergeCell ref="K433:K436"/>
    <mergeCell ref="K437:K439"/>
    <mergeCell ref="K440:K442"/>
    <mergeCell ref="K443:K445"/>
    <mergeCell ref="K446:K448"/>
    <mergeCell ref="K449:K451"/>
    <mergeCell ref="K452:K454"/>
    <mergeCell ref="K455:K457"/>
    <mergeCell ref="K458:K460"/>
    <mergeCell ref="K461:K463"/>
    <mergeCell ref="K464:K466"/>
    <mergeCell ref="K467:K469"/>
    <mergeCell ref="K470:K471"/>
    <mergeCell ref="K472:K475"/>
    <mergeCell ref="K476:K479"/>
    <mergeCell ref="K480:K482"/>
    <mergeCell ref="K483:K485"/>
    <mergeCell ref="K486:K489"/>
    <mergeCell ref="K490:K491"/>
    <mergeCell ref="K492:K494"/>
    <mergeCell ref="K495:K498"/>
    <mergeCell ref="K499:K500"/>
    <mergeCell ref="K501:K503"/>
    <mergeCell ref="K504:K507"/>
    <mergeCell ref="K508:K510"/>
    <mergeCell ref="K511:K512"/>
    <mergeCell ref="K513:K514"/>
    <mergeCell ref="K515:K518"/>
    <mergeCell ref="K519:K521"/>
    <mergeCell ref="K522:K525"/>
    <mergeCell ref="K526:K529"/>
    <mergeCell ref="K530:K532"/>
    <mergeCell ref="K533:K535"/>
    <mergeCell ref="K536:K538"/>
    <mergeCell ref="K539:K542"/>
    <mergeCell ref="K543:K545"/>
    <mergeCell ref="K546:K548"/>
    <mergeCell ref="K549:K552"/>
    <mergeCell ref="K553:K556"/>
    <mergeCell ref="K557:K559"/>
    <mergeCell ref="K560:K563"/>
    <mergeCell ref="K564:K565"/>
    <mergeCell ref="K566:K569"/>
    <mergeCell ref="K570:K572"/>
    <mergeCell ref="K573:K575"/>
    <mergeCell ref="K576:K578"/>
    <mergeCell ref="K579:K582"/>
    <mergeCell ref="K583:K585"/>
    <mergeCell ref="K586:K588"/>
    <mergeCell ref="K589:K591"/>
    <mergeCell ref="K592:K594"/>
    <mergeCell ref="K595:K598"/>
    <mergeCell ref="K599:K601"/>
    <mergeCell ref="K602:K604"/>
    <mergeCell ref="K605:K607"/>
    <mergeCell ref="K608:K612"/>
    <mergeCell ref="K613:K615"/>
    <mergeCell ref="K616:K618"/>
    <mergeCell ref="K619:K621"/>
    <mergeCell ref="K622:K625"/>
    <mergeCell ref="K626:K629"/>
    <mergeCell ref="K630:K633"/>
    <mergeCell ref="K634:K635"/>
    <mergeCell ref="K636:K638"/>
    <mergeCell ref="K639:K640"/>
    <mergeCell ref="K641:K643"/>
    <mergeCell ref="K644:K647"/>
    <mergeCell ref="K648:K649"/>
    <mergeCell ref="K650:K652"/>
    <mergeCell ref="K653:K655"/>
    <mergeCell ref="K656:K658"/>
    <mergeCell ref="K659:K662"/>
    <mergeCell ref="K663:K665"/>
    <mergeCell ref="K666:K667"/>
    <mergeCell ref="K668:K671"/>
    <mergeCell ref="K672:K675"/>
    <mergeCell ref="K676:K678"/>
    <mergeCell ref="K679:K681"/>
    <mergeCell ref="K682:K684"/>
    <mergeCell ref="K685:K687"/>
    <mergeCell ref="K688:K690"/>
    <mergeCell ref="K691:K693"/>
    <mergeCell ref="K694:K697"/>
    <mergeCell ref="K698:K700"/>
    <mergeCell ref="K701:K703"/>
    <mergeCell ref="K704:K707"/>
    <mergeCell ref="K708:K710"/>
    <mergeCell ref="K711:K713"/>
    <mergeCell ref="K714:K716"/>
    <mergeCell ref="K717:K719"/>
    <mergeCell ref="K720:K722"/>
    <mergeCell ref="K723:K725"/>
    <mergeCell ref="K726:K730"/>
    <mergeCell ref="K731:K734"/>
    <mergeCell ref="K735:K738"/>
    <mergeCell ref="K739:K742"/>
    <mergeCell ref="K743:K745"/>
    <mergeCell ref="K746:K747"/>
    <mergeCell ref="K748:K749"/>
    <mergeCell ref="K750:K751"/>
    <mergeCell ref="K752:K753"/>
    <mergeCell ref="K754:K756"/>
    <mergeCell ref="K757:K759"/>
    <mergeCell ref="K760:K763"/>
    <mergeCell ref="K764:K767"/>
    <mergeCell ref="K768:K770"/>
    <mergeCell ref="K771:K773"/>
    <mergeCell ref="K774:K776"/>
    <mergeCell ref="K777:K780"/>
    <mergeCell ref="K781:K784"/>
    <mergeCell ref="K785:K787"/>
    <mergeCell ref="K788:K791"/>
    <mergeCell ref="K792:K795"/>
    <mergeCell ref="K796:K799"/>
    <mergeCell ref="K800:K802"/>
    <mergeCell ref="K803:K805"/>
    <mergeCell ref="K806:K809"/>
    <mergeCell ref="K810:K813"/>
    <mergeCell ref="K814:K816"/>
    <mergeCell ref="K817:K819"/>
    <mergeCell ref="K820:K822"/>
    <mergeCell ref="K823:K826"/>
    <mergeCell ref="K827:K830"/>
    <mergeCell ref="K831:K833"/>
    <mergeCell ref="K834:K836"/>
    <mergeCell ref="L2:L4"/>
    <mergeCell ref="L5:L8"/>
    <mergeCell ref="L9:L11"/>
    <mergeCell ref="L12:L13"/>
    <mergeCell ref="L14:L17"/>
    <mergeCell ref="L18:L20"/>
    <mergeCell ref="L21:L23"/>
    <mergeCell ref="L24:L27"/>
    <mergeCell ref="L28:L31"/>
    <mergeCell ref="L32:L34"/>
    <mergeCell ref="L35:L37"/>
    <mergeCell ref="L38:L39"/>
    <mergeCell ref="L40:L42"/>
    <mergeCell ref="L43:L45"/>
    <mergeCell ref="L46:L48"/>
    <mergeCell ref="L49:L50"/>
    <mergeCell ref="L51:L52"/>
    <mergeCell ref="L53:L54"/>
    <mergeCell ref="L55:L57"/>
    <mergeCell ref="L58:L61"/>
    <mergeCell ref="L62:L64"/>
    <mergeCell ref="L65:L67"/>
    <mergeCell ref="L68:L71"/>
    <mergeCell ref="L72:L74"/>
    <mergeCell ref="L75:L77"/>
    <mergeCell ref="L78:L80"/>
    <mergeCell ref="L81:L83"/>
    <mergeCell ref="L84:L86"/>
    <mergeCell ref="L87:L90"/>
    <mergeCell ref="L91:L93"/>
    <mergeCell ref="L94:L95"/>
    <mergeCell ref="L96:L98"/>
    <mergeCell ref="L99:L102"/>
    <mergeCell ref="L103:L105"/>
    <mergeCell ref="L106:L108"/>
    <mergeCell ref="L109:L111"/>
    <mergeCell ref="L112:L114"/>
    <mergeCell ref="L115:L119"/>
    <mergeCell ref="L120:L122"/>
    <mergeCell ref="L123:L125"/>
    <mergeCell ref="L126:L128"/>
    <mergeCell ref="L129:L131"/>
    <mergeCell ref="L132:L134"/>
    <mergeCell ref="L135:L138"/>
    <mergeCell ref="L139:L141"/>
    <mergeCell ref="L142:L144"/>
    <mergeCell ref="L145:L147"/>
    <mergeCell ref="L148:L149"/>
    <mergeCell ref="L150:L153"/>
    <mergeCell ref="L154:L156"/>
    <mergeCell ref="L157:L159"/>
    <mergeCell ref="L160:L163"/>
    <mergeCell ref="L164:L165"/>
    <mergeCell ref="L166:L168"/>
    <mergeCell ref="L169:L171"/>
    <mergeCell ref="L172:L174"/>
    <mergeCell ref="L175:L176"/>
    <mergeCell ref="L177:L178"/>
    <mergeCell ref="L179:L182"/>
    <mergeCell ref="L183:L186"/>
    <mergeCell ref="L187:L188"/>
    <mergeCell ref="L189:L191"/>
    <mergeCell ref="L192:L194"/>
    <mergeCell ref="L195:L198"/>
    <mergeCell ref="L199:L200"/>
    <mergeCell ref="L201:L203"/>
    <mergeCell ref="L204:L205"/>
    <mergeCell ref="L206:L208"/>
    <mergeCell ref="L209:L211"/>
    <mergeCell ref="L212:L214"/>
    <mergeCell ref="L215:L216"/>
    <mergeCell ref="L217:L219"/>
    <mergeCell ref="L220:L222"/>
    <mergeCell ref="L223:L226"/>
    <mergeCell ref="L227:L229"/>
    <mergeCell ref="L230:L233"/>
    <mergeCell ref="L234:L237"/>
    <mergeCell ref="L238:L241"/>
    <mergeCell ref="L242:L245"/>
    <mergeCell ref="L246:L248"/>
    <mergeCell ref="L249:L252"/>
    <mergeCell ref="L253:L255"/>
    <mergeCell ref="L256:L258"/>
    <mergeCell ref="L259:L261"/>
    <mergeCell ref="L262:L265"/>
    <mergeCell ref="L266:L268"/>
    <mergeCell ref="L269:L271"/>
    <mergeCell ref="L272:L274"/>
    <mergeCell ref="L275:L277"/>
    <mergeCell ref="L278:L281"/>
    <mergeCell ref="L282:L283"/>
    <mergeCell ref="L284:L286"/>
    <mergeCell ref="L287:L288"/>
    <mergeCell ref="L289:L292"/>
    <mergeCell ref="L293:L296"/>
    <mergeCell ref="L297:L299"/>
    <mergeCell ref="L300:L303"/>
    <mergeCell ref="L304:L306"/>
    <mergeCell ref="L307:L309"/>
    <mergeCell ref="L310:L312"/>
    <mergeCell ref="L313:L316"/>
    <mergeCell ref="L317:L320"/>
    <mergeCell ref="L321:L323"/>
    <mergeCell ref="L324:L326"/>
    <mergeCell ref="L327:L329"/>
    <mergeCell ref="L330:L332"/>
    <mergeCell ref="L333:L335"/>
    <mergeCell ref="L336:L338"/>
    <mergeCell ref="L339:L342"/>
    <mergeCell ref="L343:L345"/>
    <mergeCell ref="L346:L348"/>
    <mergeCell ref="L349:L351"/>
    <mergeCell ref="L352:L354"/>
    <mergeCell ref="L355:L357"/>
    <mergeCell ref="L358:L361"/>
    <mergeCell ref="L362:L365"/>
    <mergeCell ref="L366:L367"/>
    <mergeCell ref="L368:L370"/>
    <mergeCell ref="L371:L373"/>
    <mergeCell ref="L374:L375"/>
    <mergeCell ref="L376:L378"/>
    <mergeCell ref="L379:L381"/>
    <mergeCell ref="L382:L384"/>
    <mergeCell ref="L385:L387"/>
    <mergeCell ref="L388:L390"/>
    <mergeCell ref="L391:L393"/>
    <mergeCell ref="L394:L397"/>
    <mergeCell ref="L398:L399"/>
    <mergeCell ref="L400:L401"/>
    <mergeCell ref="L402:L404"/>
    <mergeCell ref="L405:L407"/>
    <mergeCell ref="L408:L410"/>
    <mergeCell ref="L411:L414"/>
    <mergeCell ref="L415:L418"/>
    <mergeCell ref="L419:L421"/>
    <mergeCell ref="L422:L424"/>
    <mergeCell ref="L425:L428"/>
    <mergeCell ref="L429:L432"/>
    <mergeCell ref="L433:L436"/>
    <mergeCell ref="L437:L439"/>
    <mergeCell ref="L440:L442"/>
    <mergeCell ref="L443:L445"/>
    <mergeCell ref="L446:L448"/>
    <mergeCell ref="L449:L451"/>
    <mergeCell ref="L452:L454"/>
    <mergeCell ref="L455:L457"/>
    <mergeCell ref="L458:L460"/>
    <mergeCell ref="L461:L463"/>
    <mergeCell ref="L464:L466"/>
    <mergeCell ref="L467:L469"/>
    <mergeCell ref="L470:L471"/>
    <mergeCell ref="L472:L475"/>
    <mergeCell ref="L476:L479"/>
    <mergeCell ref="L480:L482"/>
    <mergeCell ref="L483:L485"/>
    <mergeCell ref="L486:L489"/>
    <mergeCell ref="L490:L491"/>
    <mergeCell ref="L492:L494"/>
    <mergeCell ref="L495:L498"/>
    <mergeCell ref="L499:L500"/>
    <mergeCell ref="L501:L503"/>
    <mergeCell ref="L504:L507"/>
    <mergeCell ref="L508:L510"/>
    <mergeCell ref="L511:L512"/>
    <mergeCell ref="L513:L514"/>
    <mergeCell ref="L515:L518"/>
    <mergeCell ref="L519:L521"/>
    <mergeCell ref="L522:L525"/>
    <mergeCell ref="L526:L529"/>
    <mergeCell ref="L530:L532"/>
    <mergeCell ref="L533:L535"/>
    <mergeCell ref="L536:L538"/>
    <mergeCell ref="L539:L542"/>
    <mergeCell ref="L543:L545"/>
    <mergeCell ref="L546:L548"/>
    <mergeCell ref="L549:L552"/>
    <mergeCell ref="L553:L556"/>
    <mergeCell ref="L557:L559"/>
    <mergeCell ref="L560:L563"/>
    <mergeCell ref="L564:L565"/>
    <mergeCell ref="L566:L569"/>
    <mergeCell ref="L570:L572"/>
    <mergeCell ref="L573:L575"/>
    <mergeCell ref="L576:L578"/>
    <mergeCell ref="L579:L582"/>
    <mergeCell ref="L583:L585"/>
    <mergeCell ref="L586:L588"/>
    <mergeCell ref="L589:L591"/>
    <mergeCell ref="L592:L594"/>
    <mergeCell ref="L595:L598"/>
    <mergeCell ref="L599:L601"/>
    <mergeCell ref="L602:L604"/>
    <mergeCell ref="L605:L607"/>
    <mergeCell ref="L608:L612"/>
    <mergeCell ref="L613:L615"/>
    <mergeCell ref="L616:L618"/>
    <mergeCell ref="L619:L621"/>
    <mergeCell ref="L622:L625"/>
    <mergeCell ref="L626:L629"/>
    <mergeCell ref="L630:L633"/>
    <mergeCell ref="L634:L635"/>
    <mergeCell ref="L636:L638"/>
    <mergeCell ref="L639:L640"/>
    <mergeCell ref="L641:L643"/>
    <mergeCell ref="L644:L647"/>
    <mergeCell ref="L648:L649"/>
    <mergeCell ref="L650:L652"/>
    <mergeCell ref="L653:L655"/>
    <mergeCell ref="L656:L658"/>
    <mergeCell ref="L659:L662"/>
    <mergeCell ref="L663:L665"/>
    <mergeCell ref="L666:L667"/>
    <mergeCell ref="L668:L671"/>
    <mergeCell ref="L672:L675"/>
    <mergeCell ref="L676:L678"/>
    <mergeCell ref="L679:L681"/>
    <mergeCell ref="L682:L684"/>
    <mergeCell ref="L685:L687"/>
    <mergeCell ref="L688:L690"/>
    <mergeCell ref="L691:L693"/>
    <mergeCell ref="L694:L697"/>
    <mergeCell ref="L698:L700"/>
    <mergeCell ref="L701:L703"/>
    <mergeCell ref="L704:L707"/>
    <mergeCell ref="L708:L710"/>
    <mergeCell ref="L711:L713"/>
    <mergeCell ref="L714:L716"/>
    <mergeCell ref="L717:L719"/>
    <mergeCell ref="L720:L722"/>
    <mergeCell ref="L723:L725"/>
    <mergeCell ref="L726:L730"/>
    <mergeCell ref="L731:L734"/>
    <mergeCell ref="L735:L738"/>
    <mergeCell ref="L739:L742"/>
    <mergeCell ref="L743:L745"/>
    <mergeCell ref="L746:L747"/>
    <mergeCell ref="L748:L749"/>
    <mergeCell ref="L750:L751"/>
    <mergeCell ref="L752:L753"/>
    <mergeCell ref="L754:L756"/>
    <mergeCell ref="L757:L759"/>
    <mergeCell ref="L760:L763"/>
    <mergeCell ref="L764:L767"/>
    <mergeCell ref="L768:L770"/>
    <mergeCell ref="L771:L773"/>
    <mergeCell ref="L774:L776"/>
    <mergeCell ref="L777:L780"/>
    <mergeCell ref="L781:L784"/>
    <mergeCell ref="L785:L787"/>
    <mergeCell ref="L788:L791"/>
    <mergeCell ref="L792:L795"/>
    <mergeCell ref="L796:L799"/>
    <mergeCell ref="L800:L802"/>
    <mergeCell ref="L803:L805"/>
    <mergeCell ref="L806:L809"/>
    <mergeCell ref="L810:L813"/>
    <mergeCell ref="L814:L816"/>
    <mergeCell ref="L817:L819"/>
    <mergeCell ref="L820:L822"/>
    <mergeCell ref="L823:L826"/>
    <mergeCell ref="L827:L830"/>
    <mergeCell ref="L831:L833"/>
    <mergeCell ref="L834:L836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I1551"/>
  <sheetViews>
    <sheetView zoomScale="85" zoomScaleNormal="85" workbookViewId="0">
      <pane ySplit="1" topLeftCell="A1486" activePane="bottomLeft" state="frozen"/>
      <selection/>
      <selection pane="bottomLeft" activeCell="F1512" sqref="F1512"/>
    </sheetView>
  </sheetViews>
  <sheetFormatPr defaultColWidth="9" defaultRowHeight="12"/>
  <cols>
    <col min="1" max="1" width="9.8" style="299" customWidth="1"/>
    <col min="2" max="2" width="42.7363636363636" style="48" customWidth="1"/>
    <col min="3" max="3" width="9" style="48" customWidth="1"/>
    <col min="4" max="4" width="9" style="51" customWidth="1"/>
    <col min="5" max="5" width="27" style="48" customWidth="1"/>
    <col min="6" max="6" width="30.8" style="48" customWidth="1"/>
    <col min="7" max="7" width="9" style="112"/>
    <col min="8" max="11" width="9" style="105"/>
    <col min="12" max="12" width="9" style="217"/>
    <col min="13" max="13" width="9" style="39"/>
    <col min="14" max="14" width="17.3363636363636" style="39"/>
    <col min="15" max="15" width="10.4636363636364" style="39"/>
    <col min="16" max="16384" width="9" style="39"/>
  </cols>
  <sheetData>
    <row r="1" s="294" customFormat="1" ht="47" customHeight="1" spans="1:12">
      <c r="A1" s="300" t="s">
        <v>1035</v>
      </c>
      <c r="B1" s="43" t="s">
        <v>1036</v>
      </c>
      <c r="C1" s="43" t="s">
        <v>1037</v>
      </c>
      <c r="D1" s="45" t="s">
        <v>1038</v>
      </c>
      <c r="E1" s="43" t="s">
        <v>1039</v>
      </c>
      <c r="F1" s="43" t="s">
        <v>1040</v>
      </c>
      <c r="G1" s="41" t="s">
        <v>1041</v>
      </c>
      <c r="H1" s="45" t="s">
        <v>1042</v>
      </c>
      <c r="I1" s="45" t="s">
        <v>1038</v>
      </c>
      <c r="J1" s="45" t="s">
        <v>8</v>
      </c>
      <c r="K1" s="45" t="s">
        <v>1043</v>
      </c>
      <c r="L1" s="43" t="s">
        <v>10</v>
      </c>
    </row>
    <row r="2" customHeight="1" spans="1:12">
      <c r="A2" s="299">
        <v>45666</v>
      </c>
      <c r="B2" s="214" t="s">
        <v>1044</v>
      </c>
      <c r="C2" s="214" t="s">
        <v>462</v>
      </c>
      <c r="D2" s="51">
        <v>3</v>
      </c>
      <c r="E2" s="214" t="s">
        <v>1045</v>
      </c>
      <c r="F2" s="214" t="s">
        <v>1046</v>
      </c>
      <c r="G2" s="48" t="s">
        <v>1047</v>
      </c>
      <c r="H2" s="51">
        <v>1.25</v>
      </c>
      <c r="I2" s="51">
        <v>2.46</v>
      </c>
      <c r="J2" s="51" t="s">
        <v>17</v>
      </c>
      <c r="K2" s="51">
        <v>2.5</v>
      </c>
      <c r="L2" s="214" t="s">
        <v>123</v>
      </c>
    </row>
    <row r="3" customHeight="1" spans="1:12">
      <c r="G3" s="48" t="s">
        <v>1048</v>
      </c>
      <c r="H3" s="51">
        <v>1.25</v>
      </c>
      <c r="I3" s="51">
        <v>0.21</v>
      </c>
      <c r="J3" s="51" t="s">
        <v>1049</v>
      </c>
      <c r="K3" s="51">
        <v>3.5</v>
      </c>
      <c r="L3" s="214"/>
    </row>
    <row r="4" customHeight="1" spans="1:12">
      <c r="G4" s="48" t="s">
        <v>1050</v>
      </c>
      <c r="H4" s="51">
        <v>1.25</v>
      </c>
      <c r="I4" s="51">
        <v>0.18</v>
      </c>
      <c r="J4" s="51" t="s">
        <v>44</v>
      </c>
      <c r="K4" s="51">
        <v>3.8</v>
      </c>
      <c r="L4" s="214"/>
    </row>
    <row r="5" customHeight="1" spans="1:12">
      <c r="G5" s="48" t="s">
        <v>1051</v>
      </c>
      <c r="H5" s="51">
        <v>1.25</v>
      </c>
      <c r="I5" s="51">
        <v>0.15</v>
      </c>
      <c r="J5" s="51" t="s">
        <v>24</v>
      </c>
      <c r="K5" s="51" t="s">
        <v>24</v>
      </c>
      <c r="L5" s="214"/>
    </row>
    <row r="6" customHeight="1" spans="1:12">
      <c r="A6" s="299">
        <v>45665</v>
      </c>
      <c r="B6" s="214" t="s">
        <v>1052</v>
      </c>
      <c r="C6" s="214" t="s">
        <v>462</v>
      </c>
      <c r="D6" s="51">
        <v>3</v>
      </c>
      <c r="E6" s="214" t="s">
        <v>477</v>
      </c>
      <c r="F6" s="214" t="s">
        <v>460</v>
      </c>
      <c r="G6" s="48" t="s">
        <v>1047</v>
      </c>
      <c r="H6" s="51">
        <v>1</v>
      </c>
      <c r="I6" s="51">
        <v>2.52</v>
      </c>
      <c r="J6" s="51" t="s">
        <v>17</v>
      </c>
      <c r="K6" s="51">
        <v>1.85</v>
      </c>
      <c r="L6" s="214" t="s">
        <v>27</v>
      </c>
    </row>
    <row r="7" customHeight="1" spans="1:12">
      <c r="G7" s="48" t="s">
        <v>1048</v>
      </c>
      <c r="H7" s="51">
        <v>1</v>
      </c>
      <c r="I7" s="51">
        <v>0.17</v>
      </c>
      <c r="J7" s="51" t="s">
        <v>1049</v>
      </c>
      <c r="K7" s="51">
        <v>2</v>
      </c>
      <c r="L7" s="214"/>
    </row>
    <row r="8" customHeight="1" spans="1:12">
      <c r="G8" s="48" t="s">
        <v>1051</v>
      </c>
      <c r="H8" s="51">
        <v>2</v>
      </c>
      <c r="I8" s="51">
        <v>0.31</v>
      </c>
      <c r="J8" s="51" t="s">
        <v>24</v>
      </c>
      <c r="K8" s="51" t="s">
        <v>24</v>
      </c>
      <c r="L8" s="214"/>
    </row>
    <row r="9" customHeight="1" spans="1:12">
      <c r="A9" s="299">
        <v>45665</v>
      </c>
      <c r="B9" s="214" t="s">
        <v>1053</v>
      </c>
      <c r="C9" s="214" t="s">
        <v>459</v>
      </c>
      <c r="D9" s="51">
        <v>10</v>
      </c>
      <c r="E9" s="214" t="s">
        <v>477</v>
      </c>
      <c r="F9" s="214" t="s">
        <v>1054</v>
      </c>
      <c r="G9" s="48" t="s">
        <v>1047</v>
      </c>
      <c r="H9" s="51">
        <v>1</v>
      </c>
      <c r="I9" s="51">
        <v>9</v>
      </c>
      <c r="J9" s="51" t="s">
        <v>17</v>
      </c>
      <c r="K9" s="51">
        <v>1.8</v>
      </c>
      <c r="L9" s="214" t="s">
        <v>35</v>
      </c>
    </row>
    <row r="10" customHeight="1" spans="1:12">
      <c r="G10" s="48" t="s">
        <v>1048</v>
      </c>
      <c r="H10" s="51">
        <v>1</v>
      </c>
      <c r="I10" s="51">
        <v>0.3</v>
      </c>
      <c r="J10" s="51" t="s">
        <v>1049</v>
      </c>
      <c r="K10" s="51">
        <v>2.15</v>
      </c>
      <c r="L10" s="214"/>
    </row>
    <row r="11" customHeight="1" spans="1:12">
      <c r="G11" s="48" t="s">
        <v>1055</v>
      </c>
      <c r="H11" s="51">
        <v>2</v>
      </c>
      <c r="I11" s="51">
        <v>0.2</v>
      </c>
      <c r="J11" s="51" t="s">
        <v>96</v>
      </c>
      <c r="K11" s="51">
        <v>3.7</v>
      </c>
      <c r="L11" s="214"/>
    </row>
    <row r="12" customHeight="1" spans="1:12">
      <c r="G12" s="48" t="s">
        <v>1051</v>
      </c>
      <c r="H12" s="51">
        <v>2</v>
      </c>
      <c r="I12" s="51">
        <v>0.5</v>
      </c>
      <c r="J12" s="51" t="s">
        <v>24</v>
      </c>
      <c r="K12" s="51" t="s">
        <v>24</v>
      </c>
      <c r="L12" s="214"/>
    </row>
    <row r="13" customHeight="1" spans="1:12">
      <c r="A13" s="301">
        <v>45667</v>
      </c>
      <c r="B13" s="148" t="s">
        <v>1056</v>
      </c>
      <c r="C13" s="148" t="s">
        <v>459</v>
      </c>
      <c r="D13" s="56">
        <v>10</v>
      </c>
      <c r="E13" s="148" t="s">
        <v>1057</v>
      </c>
      <c r="F13" s="148" t="s">
        <v>482</v>
      </c>
      <c r="G13" s="54" t="s">
        <v>1058</v>
      </c>
      <c r="H13" s="56">
        <v>1.04</v>
      </c>
      <c r="I13" s="56">
        <v>7</v>
      </c>
      <c r="J13" s="51" t="s">
        <v>17</v>
      </c>
      <c r="K13" s="51">
        <v>1.9</v>
      </c>
      <c r="L13" s="148" t="s">
        <v>41</v>
      </c>
    </row>
    <row r="14" customHeight="1" spans="1:12">
      <c r="A14" s="301"/>
      <c r="B14" s="54"/>
      <c r="C14" s="54"/>
      <c r="D14" s="56"/>
      <c r="E14" s="54"/>
      <c r="F14" s="54"/>
      <c r="G14" s="54" t="s">
        <v>1059</v>
      </c>
      <c r="H14" s="56">
        <v>1.16</v>
      </c>
      <c r="I14" s="56">
        <v>1.4</v>
      </c>
      <c r="J14" s="51" t="s">
        <v>17</v>
      </c>
      <c r="K14" s="51">
        <v>2</v>
      </c>
      <c r="L14" s="148"/>
    </row>
    <row r="15" customHeight="1" spans="1:12">
      <c r="A15" s="301"/>
      <c r="B15" s="54"/>
      <c r="C15" s="54"/>
      <c r="D15" s="56"/>
      <c r="E15" s="54"/>
      <c r="F15" s="54"/>
      <c r="G15" s="54" t="s">
        <v>1060</v>
      </c>
      <c r="H15" s="56">
        <v>1.21</v>
      </c>
      <c r="I15" s="56">
        <v>0.55</v>
      </c>
      <c r="J15" s="56" t="s">
        <v>1049</v>
      </c>
      <c r="K15" s="51">
        <v>2.2</v>
      </c>
      <c r="L15" s="148"/>
    </row>
    <row r="16" customHeight="1" spans="1:12">
      <c r="A16" s="301"/>
      <c r="B16" s="54"/>
      <c r="C16" s="54"/>
      <c r="D16" s="56"/>
      <c r="E16" s="54"/>
      <c r="F16" s="54"/>
      <c r="G16" s="54" t="s">
        <v>1061</v>
      </c>
      <c r="H16" s="56">
        <v>1.29</v>
      </c>
      <c r="I16" s="56">
        <v>0.55</v>
      </c>
      <c r="J16" s="56" t="s">
        <v>351</v>
      </c>
      <c r="K16" s="51">
        <v>4.8</v>
      </c>
      <c r="L16" s="148"/>
    </row>
    <row r="17" customHeight="1" spans="1:12">
      <c r="A17" s="301"/>
      <c r="B17" s="54"/>
      <c r="C17" s="54"/>
      <c r="D17" s="56"/>
      <c r="E17" s="54"/>
      <c r="F17" s="54"/>
      <c r="G17" s="48" t="s">
        <v>1051</v>
      </c>
      <c r="H17" s="56">
        <v>1.75</v>
      </c>
      <c r="I17" s="56">
        <v>0.5</v>
      </c>
      <c r="J17" s="56" t="s">
        <v>24</v>
      </c>
      <c r="K17" s="51" t="s">
        <v>24</v>
      </c>
      <c r="L17" s="148"/>
    </row>
    <row r="18" customHeight="1" spans="1:12">
      <c r="A18" s="301">
        <v>45673</v>
      </c>
      <c r="B18" s="148" t="s">
        <v>1062</v>
      </c>
      <c r="C18" s="148" t="s">
        <v>462</v>
      </c>
      <c r="D18" s="56">
        <v>10</v>
      </c>
      <c r="E18" s="148" t="s">
        <v>552</v>
      </c>
      <c r="F18" s="148" t="s">
        <v>1063</v>
      </c>
      <c r="G18" s="54" t="s">
        <v>1064</v>
      </c>
      <c r="H18" s="56">
        <v>1.25</v>
      </c>
      <c r="I18" s="56">
        <v>8.46</v>
      </c>
      <c r="J18" s="51" t="s">
        <v>17</v>
      </c>
      <c r="K18" s="51">
        <v>2.3</v>
      </c>
      <c r="L18" s="148" t="s">
        <v>67</v>
      </c>
    </row>
    <row r="19" customHeight="1" spans="1:12">
      <c r="A19" s="301"/>
      <c r="B19" s="54"/>
      <c r="C19" s="54"/>
      <c r="D19" s="56"/>
      <c r="E19" s="54"/>
      <c r="F19" s="54"/>
      <c r="G19" s="54" t="s">
        <v>1060</v>
      </c>
      <c r="H19" s="56">
        <v>1.25</v>
      </c>
      <c r="I19" s="56">
        <v>0.5</v>
      </c>
      <c r="J19" s="56" t="s">
        <v>1049</v>
      </c>
      <c r="K19" s="51">
        <v>2.6</v>
      </c>
      <c r="L19" s="148"/>
    </row>
    <row r="20" customHeight="1" spans="1:12">
      <c r="A20" s="301"/>
      <c r="B20" s="54"/>
      <c r="C20" s="54"/>
      <c r="D20" s="56"/>
      <c r="E20" s="54"/>
      <c r="F20" s="54"/>
      <c r="G20" s="54" t="s">
        <v>1061</v>
      </c>
      <c r="H20" s="56">
        <v>1.25</v>
      </c>
      <c r="I20" s="56">
        <v>0.4</v>
      </c>
      <c r="J20" s="56" t="s">
        <v>44</v>
      </c>
      <c r="K20" s="51">
        <v>4</v>
      </c>
      <c r="L20" s="148"/>
    </row>
    <row r="21" customHeight="1" spans="1:12">
      <c r="A21" s="301"/>
      <c r="B21" s="54"/>
      <c r="C21" s="54"/>
      <c r="D21" s="56"/>
      <c r="E21" s="54"/>
      <c r="F21" s="54"/>
      <c r="G21" s="48" t="s">
        <v>1051</v>
      </c>
      <c r="H21" s="56">
        <v>1.25</v>
      </c>
      <c r="I21" s="56">
        <v>0.64</v>
      </c>
      <c r="J21" s="56" t="s">
        <v>24</v>
      </c>
      <c r="K21" s="51" t="s">
        <v>24</v>
      </c>
      <c r="L21" s="148"/>
    </row>
    <row r="22" customHeight="1" spans="1:12">
      <c r="A22" s="301">
        <v>45674</v>
      </c>
      <c r="B22" s="148" t="s">
        <v>1065</v>
      </c>
      <c r="C22" s="148" t="s">
        <v>459</v>
      </c>
      <c r="D22" s="56">
        <v>9.2</v>
      </c>
      <c r="E22" s="148" t="s">
        <v>1066</v>
      </c>
      <c r="F22" s="148" t="s">
        <v>482</v>
      </c>
      <c r="G22" s="54" t="s">
        <v>1064</v>
      </c>
      <c r="H22" s="56">
        <v>1</v>
      </c>
      <c r="I22" s="56">
        <v>8.9</v>
      </c>
      <c r="J22" s="51" t="s">
        <v>17</v>
      </c>
      <c r="K22" s="51">
        <v>1.9</v>
      </c>
      <c r="L22" s="148" t="s">
        <v>35</v>
      </c>
    </row>
    <row r="23" customHeight="1" spans="1:12">
      <c r="A23" s="301"/>
      <c r="B23" s="54"/>
      <c r="C23" s="54"/>
      <c r="D23" s="56"/>
      <c r="E23" s="54"/>
      <c r="F23" s="54"/>
      <c r="G23" s="54" t="s">
        <v>1060</v>
      </c>
      <c r="H23" s="56">
        <v>1</v>
      </c>
      <c r="I23" s="56">
        <v>0.3</v>
      </c>
      <c r="J23" s="56" t="s">
        <v>1049</v>
      </c>
      <c r="K23" s="51">
        <v>2.2</v>
      </c>
      <c r="L23" s="148"/>
    </row>
    <row r="24" customHeight="1" spans="1:12">
      <c r="A24" s="301">
        <v>45672</v>
      </c>
      <c r="B24" s="148" t="s">
        <v>1067</v>
      </c>
      <c r="C24" s="148" t="s">
        <v>459</v>
      </c>
      <c r="D24" s="56">
        <v>10</v>
      </c>
      <c r="E24" s="148" t="s">
        <v>1066</v>
      </c>
      <c r="F24" s="148" t="s">
        <v>1054</v>
      </c>
      <c r="G24" s="54" t="s">
        <v>1064</v>
      </c>
      <c r="H24" s="56">
        <v>0.92</v>
      </c>
      <c r="I24" s="56">
        <v>9</v>
      </c>
      <c r="J24" s="51" t="s">
        <v>17</v>
      </c>
      <c r="K24" s="51">
        <v>1.89</v>
      </c>
      <c r="L24" s="148" t="s">
        <v>35</v>
      </c>
    </row>
    <row r="25" customHeight="1" spans="1:12">
      <c r="A25" s="301"/>
      <c r="B25" s="54"/>
      <c r="C25" s="54"/>
      <c r="D25" s="56"/>
      <c r="E25" s="54"/>
      <c r="F25" s="54"/>
      <c r="G25" s="54" t="s">
        <v>1060</v>
      </c>
      <c r="H25" s="56">
        <v>0.92</v>
      </c>
      <c r="I25" s="56">
        <v>0.3</v>
      </c>
      <c r="J25" s="56" t="s">
        <v>1049</v>
      </c>
      <c r="K25" s="51">
        <v>2.1</v>
      </c>
      <c r="L25" s="148"/>
    </row>
    <row r="26" customHeight="1" spans="1:12">
      <c r="A26" s="301"/>
      <c r="B26" s="54"/>
      <c r="C26" s="54"/>
      <c r="D26" s="56"/>
      <c r="E26" s="54"/>
      <c r="F26" s="54"/>
      <c r="G26" s="48" t="s">
        <v>1055</v>
      </c>
      <c r="H26" s="56">
        <v>2.75</v>
      </c>
      <c r="I26" s="56">
        <v>0.2</v>
      </c>
      <c r="J26" s="56" t="s">
        <v>96</v>
      </c>
      <c r="K26" s="51">
        <v>3.7</v>
      </c>
      <c r="L26" s="148"/>
    </row>
    <row r="27" customHeight="1" spans="1:12">
      <c r="A27" s="301"/>
      <c r="B27" s="54"/>
      <c r="C27" s="54"/>
      <c r="D27" s="56"/>
      <c r="E27" s="54"/>
      <c r="F27" s="54"/>
      <c r="G27" s="48" t="s">
        <v>1051</v>
      </c>
      <c r="H27" s="56">
        <v>2.75</v>
      </c>
      <c r="I27" s="56">
        <v>0.5</v>
      </c>
      <c r="J27" s="56" t="s">
        <v>24</v>
      </c>
      <c r="K27" s="51" t="s">
        <v>24</v>
      </c>
      <c r="L27" s="148"/>
    </row>
    <row r="28" customHeight="1" spans="1:12">
      <c r="A28" s="301">
        <v>45674</v>
      </c>
      <c r="B28" s="148" t="s">
        <v>1068</v>
      </c>
      <c r="C28" s="148" t="s">
        <v>462</v>
      </c>
      <c r="D28" s="56">
        <v>2.15</v>
      </c>
      <c r="E28" s="148" t="s">
        <v>1069</v>
      </c>
      <c r="F28" s="148" t="s">
        <v>1070</v>
      </c>
      <c r="G28" s="54" t="s">
        <v>1064</v>
      </c>
      <c r="H28" s="56">
        <v>3</v>
      </c>
      <c r="I28" s="56">
        <v>2</v>
      </c>
      <c r="J28" s="51" t="s">
        <v>17</v>
      </c>
      <c r="K28" s="51">
        <v>1.89</v>
      </c>
      <c r="L28" s="148" t="s">
        <v>1071</v>
      </c>
    </row>
    <row r="29" customHeight="1" spans="1:12">
      <c r="A29" s="301"/>
      <c r="B29" s="54"/>
      <c r="C29" s="54"/>
      <c r="D29" s="56"/>
      <c r="E29" s="54"/>
      <c r="F29" s="54"/>
      <c r="G29" s="48" t="s">
        <v>1051</v>
      </c>
      <c r="H29" s="56">
        <v>3</v>
      </c>
      <c r="I29" s="56">
        <v>0.15</v>
      </c>
      <c r="J29" s="56" t="s">
        <v>24</v>
      </c>
      <c r="K29" s="51" t="s">
        <v>24</v>
      </c>
      <c r="L29" s="148"/>
    </row>
    <row r="30" customHeight="1" spans="1:12">
      <c r="A30" s="301">
        <v>45672</v>
      </c>
      <c r="B30" s="148" t="s">
        <v>1072</v>
      </c>
      <c r="C30" s="148" t="s">
        <v>459</v>
      </c>
      <c r="D30" s="56">
        <v>8</v>
      </c>
      <c r="E30" s="148" t="s">
        <v>486</v>
      </c>
      <c r="F30" s="148" t="s">
        <v>487</v>
      </c>
      <c r="G30" s="54" t="s">
        <v>1064</v>
      </c>
      <c r="H30" s="56">
        <v>1.86</v>
      </c>
      <c r="I30" s="56">
        <v>7.04</v>
      </c>
      <c r="J30" s="51" t="s">
        <v>17</v>
      </c>
      <c r="K30" s="51">
        <v>1.86</v>
      </c>
      <c r="L30" s="148" t="s">
        <v>86</v>
      </c>
    </row>
    <row r="31" customHeight="1" spans="1:12">
      <c r="A31" s="301"/>
      <c r="B31" s="54"/>
      <c r="C31" s="54"/>
      <c r="D31" s="56"/>
      <c r="E31" s="54"/>
      <c r="F31" s="54"/>
      <c r="G31" s="54" t="s">
        <v>1060</v>
      </c>
      <c r="H31" s="56">
        <v>1.94</v>
      </c>
      <c r="I31" s="56">
        <v>0.48</v>
      </c>
      <c r="J31" s="56" t="s">
        <v>1049</v>
      </c>
      <c r="K31" s="51">
        <v>2</v>
      </c>
      <c r="L31" s="148"/>
    </row>
    <row r="32" customHeight="1" spans="1:12">
      <c r="A32" s="301"/>
      <c r="B32" s="54"/>
      <c r="C32" s="54"/>
      <c r="D32" s="56"/>
      <c r="E32" s="54"/>
      <c r="F32" s="54"/>
      <c r="G32" s="48" t="s">
        <v>1051</v>
      </c>
      <c r="H32" s="56">
        <v>2.03</v>
      </c>
      <c r="I32" s="56">
        <v>0.48</v>
      </c>
      <c r="J32" s="56" t="s">
        <v>24</v>
      </c>
      <c r="K32" s="51" t="s">
        <v>24</v>
      </c>
      <c r="L32" s="148"/>
    </row>
    <row r="33" customHeight="1" spans="1:12">
      <c r="A33" s="301">
        <v>45672</v>
      </c>
      <c r="B33" s="148" t="s">
        <v>1073</v>
      </c>
      <c r="C33" s="148" t="s">
        <v>462</v>
      </c>
      <c r="D33" s="56">
        <v>2.11</v>
      </c>
      <c r="E33" s="148" t="s">
        <v>1074</v>
      </c>
      <c r="F33" s="148" t="s">
        <v>1063</v>
      </c>
      <c r="G33" s="54" t="s">
        <v>1064</v>
      </c>
      <c r="H33" s="56">
        <v>1.57</v>
      </c>
      <c r="I33" s="56">
        <v>2</v>
      </c>
      <c r="J33" s="51" t="s">
        <v>17</v>
      </c>
      <c r="K33" s="51">
        <v>2.8</v>
      </c>
      <c r="L33" s="148" t="s">
        <v>1075</v>
      </c>
    </row>
    <row r="34" customHeight="1" spans="1:12">
      <c r="A34" s="301"/>
      <c r="B34" s="54"/>
      <c r="C34" s="54"/>
      <c r="D34" s="56"/>
      <c r="E34" s="54"/>
      <c r="F34" s="54"/>
      <c r="G34" s="48" t="s">
        <v>1051</v>
      </c>
      <c r="H34" s="56">
        <v>1.57</v>
      </c>
      <c r="I34" s="56">
        <v>0.11</v>
      </c>
      <c r="J34" s="56" t="s">
        <v>24</v>
      </c>
      <c r="K34" s="51" t="s">
        <v>24</v>
      </c>
      <c r="L34" s="148"/>
    </row>
    <row r="35" customHeight="1" spans="1:12">
      <c r="A35" s="301">
        <v>45667</v>
      </c>
      <c r="B35" s="148" t="s">
        <v>1076</v>
      </c>
      <c r="C35" s="148" t="s">
        <v>459</v>
      </c>
      <c r="D35" s="56">
        <v>6</v>
      </c>
      <c r="E35" s="148" t="s">
        <v>477</v>
      </c>
      <c r="F35" s="148" t="s">
        <v>487</v>
      </c>
      <c r="G35" s="54" t="s">
        <v>1064</v>
      </c>
      <c r="H35" s="56">
        <v>1.05</v>
      </c>
      <c r="I35" s="56">
        <v>5.37</v>
      </c>
      <c r="J35" s="51" t="s">
        <v>17</v>
      </c>
      <c r="K35" s="51">
        <v>1.85</v>
      </c>
      <c r="L35" s="148" t="s">
        <v>112</v>
      </c>
    </row>
    <row r="36" customHeight="1" spans="1:12">
      <c r="A36" s="301"/>
      <c r="B36" s="54"/>
      <c r="C36" s="54"/>
      <c r="D36" s="56"/>
      <c r="E36" s="54"/>
      <c r="F36" s="54"/>
      <c r="G36" s="54" t="s">
        <v>1060</v>
      </c>
      <c r="H36" s="56">
        <v>1.05</v>
      </c>
      <c r="I36" s="56">
        <v>0.33</v>
      </c>
      <c r="J36" s="56" t="s">
        <v>1049</v>
      </c>
      <c r="K36" s="51">
        <v>1.98</v>
      </c>
      <c r="L36" s="148"/>
    </row>
    <row r="37" customHeight="1" spans="1:12">
      <c r="A37" s="301"/>
      <c r="B37" s="54"/>
      <c r="C37" s="54"/>
      <c r="D37" s="56"/>
      <c r="E37" s="54"/>
      <c r="F37" s="54"/>
      <c r="G37" s="54" t="s">
        <v>1061</v>
      </c>
      <c r="H37" s="56">
        <v>1.05</v>
      </c>
      <c r="I37" s="56">
        <v>0.12</v>
      </c>
      <c r="J37" s="56" t="s">
        <v>24</v>
      </c>
      <c r="K37" s="51" t="s">
        <v>24</v>
      </c>
      <c r="L37" s="148"/>
    </row>
    <row r="38" customHeight="1" spans="1:12">
      <c r="A38" s="301"/>
      <c r="B38" s="54"/>
      <c r="C38" s="54"/>
      <c r="D38" s="56"/>
      <c r="E38" s="54"/>
      <c r="F38" s="54"/>
      <c r="G38" s="48" t="s">
        <v>1051</v>
      </c>
      <c r="H38" s="56">
        <v>1.05</v>
      </c>
      <c r="I38" s="56">
        <v>0.18</v>
      </c>
      <c r="J38" s="56" t="s">
        <v>24</v>
      </c>
      <c r="K38" s="51" t="s">
        <v>24</v>
      </c>
      <c r="L38" s="148"/>
    </row>
    <row r="39" customHeight="1" spans="1:12">
      <c r="A39" s="301">
        <v>45667</v>
      </c>
      <c r="B39" s="148" t="s">
        <v>1077</v>
      </c>
      <c r="C39" s="148" t="s">
        <v>462</v>
      </c>
      <c r="D39" s="56">
        <v>4</v>
      </c>
      <c r="E39" s="148" t="s">
        <v>536</v>
      </c>
      <c r="F39" s="148" t="s">
        <v>460</v>
      </c>
      <c r="G39" s="54" t="s">
        <v>1064</v>
      </c>
      <c r="H39" s="56">
        <v>1.79</v>
      </c>
      <c r="I39" s="56">
        <v>3.3</v>
      </c>
      <c r="J39" s="51" t="s">
        <v>17</v>
      </c>
      <c r="K39" s="51">
        <v>1.9</v>
      </c>
      <c r="L39" s="148" t="s">
        <v>27</v>
      </c>
    </row>
    <row r="40" customHeight="1" spans="1:12">
      <c r="A40" s="301"/>
      <c r="B40" s="54"/>
      <c r="C40" s="54"/>
      <c r="D40" s="56"/>
      <c r="E40" s="54"/>
      <c r="F40" s="54"/>
      <c r="G40" s="54" t="s">
        <v>1060</v>
      </c>
      <c r="H40" s="56">
        <v>1.79</v>
      </c>
      <c r="I40" s="56">
        <v>0.22</v>
      </c>
      <c r="J40" s="56" t="s">
        <v>1049</v>
      </c>
      <c r="K40" s="51">
        <v>1.98</v>
      </c>
      <c r="L40" s="148"/>
    </row>
    <row r="41" customHeight="1" spans="1:12">
      <c r="A41" s="301"/>
      <c r="B41" s="54"/>
      <c r="C41" s="54"/>
      <c r="D41" s="56"/>
      <c r="E41" s="54"/>
      <c r="F41" s="54"/>
      <c r="G41" s="54" t="s">
        <v>1061</v>
      </c>
      <c r="H41" s="56">
        <v>1.88</v>
      </c>
      <c r="I41" s="56">
        <v>0.28</v>
      </c>
      <c r="J41" s="56" t="s">
        <v>24</v>
      </c>
      <c r="K41" s="51" t="s">
        <v>24</v>
      </c>
      <c r="L41" s="148"/>
    </row>
    <row r="42" customHeight="1" spans="1:12">
      <c r="A42" s="301"/>
      <c r="B42" s="54"/>
      <c r="C42" s="54"/>
      <c r="D42" s="56"/>
      <c r="E42" s="54"/>
      <c r="F42" s="54"/>
      <c r="G42" s="48" t="s">
        <v>1051</v>
      </c>
      <c r="H42" s="56">
        <v>1.88</v>
      </c>
      <c r="I42" s="56">
        <v>0.2</v>
      </c>
      <c r="J42" s="56" t="s">
        <v>24</v>
      </c>
      <c r="K42" s="51" t="s">
        <v>24</v>
      </c>
      <c r="L42" s="148"/>
    </row>
    <row r="43" customHeight="1" spans="1:12">
      <c r="A43" s="301">
        <v>45667</v>
      </c>
      <c r="B43" s="148" t="s">
        <v>1078</v>
      </c>
      <c r="C43" s="148" t="s">
        <v>459</v>
      </c>
      <c r="D43" s="56">
        <v>12</v>
      </c>
      <c r="E43" s="148" t="s">
        <v>1079</v>
      </c>
      <c r="F43" s="148" t="s">
        <v>1054</v>
      </c>
      <c r="G43" s="54" t="s">
        <v>1064</v>
      </c>
      <c r="H43" s="56">
        <v>1.99</v>
      </c>
      <c r="I43" s="56">
        <v>10.8</v>
      </c>
      <c r="J43" s="51" t="s">
        <v>17</v>
      </c>
      <c r="K43" s="51">
        <v>2.1</v>
      </c>
      <c r="L43" s="148" t="s">
        <v>35</v>
      </c>
    </row>
    <row r="44" customHeight="1" spans="1:12">
      <c r="A44" s="301"/>
      <c r="B44" s="54"/>
      <c r="C44" s="54"/>
      <c r="D44" s="56"/>
      <c r="E44" s="54"/>
      <c r="F44" s="54"/>
      <c r="G44" s="48" t="s">
        <v>1051</v>
      </c>
      <c r="H44" s="56">
        <v>1.99</v>
      </c>
      <c r="I44" s="56">
        <v>1.2</v>
      </c>
      <c r="J44" s="56" t="s">
        <v>24</v>
      </c>
      <c r="K44" s="51" t="s">
        <v>24</v>
      </c>
      <c r="L44" s="148"/>
    </row>
    <row r="45" customHeight="1" spans="1:12">
      <c r="A45" s="301">
        <v>45679</v>
      </c>
      <c r="B45" s="148" t="s">
        <v>1080</v>
      </c>
      <c r="C45" s="148" t="s">
        <v>462</v>
      </c>
      <c r="D45" s="56">
        <v>8</v>
      </c>
      <c r="E45" s="148" t="s">
        <v>486</v>
      </c>
      <c r="F45" s="148" t="s">
        <v>1063</v>
      </c>
      <c r="G45" s="54" t="s">
        <v>1081</v>
      </c>
      <c r="H45" s="56">
        <v>0.98</v>
      </c>
      <c r="I45" s="56">
        <v>7.88</v>
      </c>
      <c r="J45" s="56" t="s">
        <v>17</v>
      </c>
      <c r="K45" s="51">
        <v>2.75</v>
      </c>
      <c r="L45" s="148" t="s">
        <v>1082</v>
      </c>
    </row>
    <row r="46" customHeight="1" spans="1:12">
      <c r="A46" s="301"/>
      <c r="B46" s="54"/>
      <c r="C46" s="54"/>
      <c r="D46" s="56"/>
      <c r="E46" s="54"/>
      <c r="F46" s="54"/>
      <c r="G46" s="54" t="s">
        <v>1083</v>
      </c>
      <c r="H46" s="56">
        <v>2.99</v>
      </c>
      <c r="I46" s="56">
        <v>0.12</v>
      </c>
      <c r="J46" s="56" t="s">
        <v>24</v>
      </c>
      <c r="K46" s="51" t="s">
        <v>24</v>
      </c>
      <c r="L46" s="148"/>
    </row>
    <row r="47" customHeight="1" spans="1:12">
      <c r="A47" s="301">
        <v>45679</v>
      </c>
      <c r="B47" s="148" t="s">
        <v>1084</v>
      </c>
      <c r="C47" s="148" t="s">
        <v>462</v>
      </c>
      <c r="D47" s="56">
        <v>4</v>
      </c>
      <c r="E47" s="148" t="s">
        <v>1085</v>
      </c>
      <c r="F47" s="148" t="s">
        <v>523</v>
      </c>
      <c r="G47" s="54" t="s">
        <v>1064</v>
      </c>
      <c r="H47" s="56">
        <v>1.02</v>
      </c>
      <c r="I47" s="56">
        <v>3.56</v>
      </c>
      <c r="J47" s="56" t="s">
        <v>17</v>
      </c>
      <c r="K47" s="51">
        <v>1.9</v>
      </c>
      <c r="L47" s="148" t="s">
        <v>112</v>
      </c>
    </row>
    <row r="48" customHeight="1" spans="1:12">
      <c r="A48" s="301"/>
      <c r="B48" s="54"/>
      <c r="C48" s="54"/>
      <c r="D48" s="56"/>
      <c r="E48" s="54"/>
      <c r="F48" s="54"/>
      <c r="G48" s="54" t="s">
        <v>1060</v>
      </c>
      <c r="H48" s="56">
        <v>1.02</v>
      </c>
      <c r="I48" s="56">
        <v>0.24</v>
      </c>
      <c r="J48" s="56" t="s">
        <v>22</v>
      </c>
      <c r="K48" s="51">
        <v>2.1</v>
      </c>
      <c r="L48" s="148"/>
    </row>
    <row r="49" customHeight="1" spans="1:12">
      <c r="A49" s="301"/>
      <c r="B49" s="54"/>
      <c r="C49" s="54"/>
      <c r="D49" s="56"/>
      <c r="E49" s="54"/>
      <c r="F49" s="54"/>
      <c r="G49" s="54" t="s">
        <v>1086</v>
      </c>
      <c r="H49" s="56">
        <v>1.02</v>
      </c>
      <c r="I49" s="56">
        <v>0.08</v>
      </c>
      <c r="J49" s="56" t="s">
        <v>24</v>
      </c>
      <c r="K49" s="51" t="s">
        <v>24</v>
      </c>
      <c r="L49" s="148"/>
    </row>
    <row r="50" customHeight="1" spans="1:12">
      <c r="A50" s="301"/>
      <c r="B50" s="54"/>
      <c r="C50" s="54"/>
      <c r="D50" s="56"/>
      <c r="E50" s="54"/>
      <c r="F50" s="54"/>
      <c r="G50" s="54" t="s">
        <v>1087</v>
      </c>
      <c r="H50" s="56">
        <v>1.02</v>
      </c>
      <c r="I50" s="56">
        <v>0.12</v>
      </c>
      <c r="J50" s="56" t="s">
        <v>24</v>
      </c>
      <c r="K50" s="51" t="s">
        <v>24</v>
      </c>
      <c r="L50" s="148"/>
    </row>
    <row r="51" customHeight="1" spans="1:12">
      <c r="A51" s="301">
        <v>45679</v>
      </c>
      <c r="B51" s="148" t="s">
        <v>1088</v>
      </c>
      <c r="C51" s="148" t="s">
        <v>459</v>
      </c>
      <c r="D51" s="56">
        <v>5</v>
      </c>
      <c r="E51" s="148" t="s">
        <v>552</v>
      </c>
      <c r="F51" s="148" t="s">
        <v>474</v>
      </c>
      <c r="G51" s="54" t="s">
        <v>1064</v>
      </c>
      <c r="H51" s="56">
        <v>1.5</v>
      </c>
      <c r="I51" s="56">
        <v>4.23</v>
      </c>
      <c r="J51" s="56" t="s">
        <v>17</v>
      </c>
      <c r="K51" s="51">
        <v>2.33</v>
      </c>
      <c r="L51" s="148" t="s">
        <v>67</v>
      </c>
    </row>
    <row r="52" customHeight="1" spans="1:12">
      <c r="A52" s="301"/>
      <c r="B52" s="54"/>
      <c r="C52" s="54"/>
      <c r="D52" s="56"/>
      <c r="E52" s="54"/>
      <c r="F52" s="54"/>
      <c r="G52" s="54" t="s">
        <v>1060</v>
      </c>
      <c r="H52" s="56">
        <v>1.5</v>
      </c>
      <c r="I52" s="56">
        <v>0.22</v>
      </c>
      <c r="J52" s="56" t="s">
        <v>22</v>
      </c>
      <c r="K52" s="51">
        <v>2.6</v>
      </c>
      <c r="L52" s="148"/>
    </row>
    <row r="53" customHeight="1" spans="1:12">
      <c r="A53" s="301"/>
      <c r="B53" s="54"/>
      <c r="C53" s="54"/>
      <c r="D53" s="56"/>
      <c r="E53" s="54"/>
      <c r="F53" s="54"/>
      <c r="G53" s="54" t="s">
        <v>1061</v>
      </c>
      <c r="H53" s="56">
        <v>1.5</v>
      </c>
      <c r="I53" s="56">
        <v>0.2</v>
      </c>
      <c r="J53" s="56" t="s">
        <v>44</v>
      </c>
      <c r="K53" s="51">
        <v>4</v>
      </c>
      <c r="L53" s="148"/>
    </row>
    <row r="54" customHeight="1" spans="1:12">
      <c r="A54" s="301"/>
      <c r="B54" s="54"/>
      <c r="C54" s="54"/>
      <c r="D54" s="56"/>
      <c r="E54" s="54"/>
      <c r="F54" s="54"/>
      <c r="G54" s="54" t="s">
        <v>1083</v>
      </c>
      <c r="H54" s="56">
        <v>1.5</v>
      </c>
      <c r="I54" s="56">
        <v>0.35</v>
      </c>
      <c r="J54" s="56" t="s">
        <v>24</v>
      </c>
      <c r="K54" s="51" t="s">
        <v>24</v>
      </c>
      <c r="L54" s="148"/>
    </row>
    <row r="55" customHeight="1" spans="1:12">
      <c r="A55" s="301">
        <v>45679</v>
      </c>
      <c r="B55" s="148" t="s">
        <v>1089</v>
      </c>
      <c r="C55" s="148" t="s">
        <v>462</v>
      </c>
      <c r="D55" s="56">
        <v>3</v>
      </c>
      <c r="E55" s="148" t="s">
        <v>477</v>
      </c>
      <c r="F55" s="148" t="s">
        <v>460</v>
      </c>
      <c r="G55" s="54" t="s">
        <v>1064</v>
      </c>
      <c r="H55" s="56">
        <v>1.04</v>
      </c>
      <c r="I55" s="56">
        <v>2.51</v>
      </c>
      <c r="J55" s="56" t="s">
        <v>17</v>
      </c>
      <c r="K55" s="51">
        <v>2.04</v>
      </c>
      <c r="L55" s="148" t="s">
        <v>27</v>
      </c>
    </row>
    <row r="56" customHeight="1" spans="1:12">
      <c r="A56" s="301"/>
      <c r="B56" s="54"/>
      <c r="C56" s="54"/>
      <c r="D56" s="56"/>
      <c r="E56" s="54"/>
      <c r="F56" s="54"/>
      <c r="G56" s="54" t="s">
        <v>1060</v>
      </c>
      <c r="H56" s="56">
        <v>1.04</v>
      </c>
      <c r="I56" s="56">
        <v>0.17</v>
      </c>
      <c r="J56" s="56" t="s">
        <v>22</v>
      </c>
      <c r="K56" s="51">
        <v>2.14</v>
      </c>
      <c r="L56" s="148"/>
    </row>
    <row r="57" customHeight="1" spans="1:12">
      <c r="A57" s="301"/>
      <c r="B57" s="54"/>
      <c r="C57" s="54"/>
      <c r="D57" s="56"/>
      <c r="E57" s="54"/>
      <c r="F57" s="54"/>
      <c r="G57" s="54" t="s">
        <v>1083</v>
      </c>
      <c r="H57" s="56">
        <v>1.12</v>
      </c>
      <c r="I57" s="56">
        <v>0.32</v>
      </c>
      <c r="J57" s="56" t="s">
        <v>24</v>
      </c>
      <c r="K57" s="51" t="s">
        <v>24</v>
      </c>
      <c r="L57" s="148"/>
    </row>
    <row r="58" customHeight="1" spans="1:12">
      <c r="A58" s="301">
        <v>45678</v>
      </c>
      <c r="B58" s="148" t="s">
        <v>1090</v>
      </c>
      <c r="C58" s="148" t="s">
        <v>462</v>
      </c>
      <c r="D58" s="56">
        <v>10</v>
      </c>
      <c r="E58" s="148" t="s">
        <v>1079</v>
      </c>
      <c r="F58" s="148" t="s">
        <v>1091</v>
      </c>
      <c r="G58" s="54" t="s">
        <v>1064</v>
      </c>
      <c r="H58" s="56">
        <v>1.5</v>
      </c>
      <c r="I58" s="56">
        <v>8.9</v>
      </c>
      <c r="J58" s="56" t="s">
        <v>17</v>
      </c>
      <c r="K58" s="51">
        <v>1.93</v>
      </c>
      <c r="L58" s="148" t="s">
        <v>35</v>
      </c>
    </row>
    <row r="59" customHeight="1" spans="1:12">
      <c r="A59" s="301"/>
      <c r="B59" s="54"/>
      <c r="C59" s="54"/>
      <c r="D59" s="56"/>
      <c r="E59" s="54"/>
      <c r="F59" s="54"/>
      <c r="G59" s="54" t="s">
        <v>1060</v>
      </c>
      <c r="H59" s="56">
        <v>1.58</v>
      </c>
      <c r="I59" s="56">
        <v>0.3</v>
      </c>
      <c r="J59" s="56" t="s">
        <v>22</v>
      </c>
      <c r="K59" s="51">
        <v>2.25</v>
      </c>
      <c r="L59" s="148"/>
    </row>
    <row r="60" customHeight="1" spans="1:12">
      <c r="A60" s="301"/>
      <c r="B60" s="54"/>
      <c r="C60" s="54"/>
      <c r="D60" s="56"/>
      <c r="E60" s="54"/>
      <c r="F60" s="54"/>
      <c r="G60" s="54" t="s">
        <v>1061</v>
      </c>
      <c r="H60" s="56">
        <v>1.58</v>
      </c>
      <c r="I60" s="56">
        <v>0.3</v>
      </c>
      <c r="J60" s="56" t="s">
        <v>439</v>
      </c>
      <c r="K60" s="51">
        <v>3.6</v>
      </c>
      <c r="L60" s="148"/>
    </row>
    <row r="61" customHeight="1" spans="1:12">
      <c r="A61" s="301"/>
      <c r="B61" s="54"/>
      <c r="C61" s="54"/>
      <c r="D61" s="56"/>
      <c r="E61" s="54"/>
      <c r="F61" s="54"/>
      <c r="G61" s="54" t="s">
        <v>1083</v>
      </c>
      <c r="H61" s="56">
        <v>2</v>
      </c>
      <c r="I61" s="56">
        <v>0.5</v>
      </c>
      <c r="J61" s="56" t="s">
        <v>24</v>
      </c>
      <c r="K61" s="51" t="s">
        <v>24</v>
      </c>
      <c r="L61" s="148"/>
    </row>
    <row r="62" customHeight="1" spans="1:12">
      <c r="A62" s="301">
        <v>45679</v>
      </c>
      <c r="B62" s="148" t="s">
        <v>1092</v>
      </c>
      <c r="C62" s="148" t="s">
        <v>462</v>
      </c>
      <c r="D62" s="56">
        <v>10</v>
      </c>
      <c r="E62" s="148" t="s">
        <v>484</v>
      </c>
      <c r="F62" s="148" t="s">
        <v>1054</v>
      </c>
      <c r="G62" s="54" t="s">
        <v>1064</v>
      </c>
      <c r="H62" s="56">
        <v>1.92</v>
      </c>
      <c r="I62" s="56">
        <v>8.7</v>
      </c>
      <c r="J62" s="56" t="s">
        <v>17</v>
      </c>
      <c r="K62" s="51">
        <v>2.14</v>
      </c>
      <c r="L62" s="148" t="s">
        <v>35</v>
      </c>
    </row>
    <row r="63" customHeight="1" spans="1:12">
      <c r="A63" s="301"/>
      <c r="B63" s="54"/>
      <c r="C63" s="54"/>
      <c r="D63" s="56"/>
      <c r="E63" s="54"/>
      <c r="F63" s="54"/>
      <c r="G63" s="54" t="s">
        <v>1060</v>
      </c>
      <c r="H63" s="56">
        <v>2</v>
      </c>
      <c r="I63" s="56">
        <v>0.4</v>
      </c>
      <c r="J63" s="56" t="s">
        <v>22</v>
      </c>
      <c r="K63" s="51">
        <v>2.28</v>
      </c>
      <c r="L63" s="148"/>
    </row>
    <row r="64" customHeight="1" spans="1:12">
      <c r="A64" s="301"/>
      <c r="B64" s="54"/>
      <c r="C64" s="54"/>
      <c r="D64" s="56"/>
      <c r="E64" s="54"/>
      <c r="F64" s="54"/>
      <c r="G64" s="54" t="s">
        <v>1061</v>
      </c>
      <c r="H64" s="56">
        <v>2</v>
      </c>
      <c r="I64" s="56">
        <v>0.4</v>
      </c>
      <c r="J64" s="56" t="s">
        <v>439</v>
      </c>
      <c r="K64" s="51">
        <v>3.6</v>
      </c>
      <c r="L64" s="148"/>
    </row>
    <row r="65" customHeight="1" spans="1:12">
      <c r="A65" s="301"/>
      <c r="B65" s="54"/>
      <c r="C65" s="54"/>
      <c r="D65" s="56"/>
      <c r="E65" s="54"/>
      <c r="F65" s="54"/>
      <c r="G65" s="54" t="s">
        <v>1083</v>
      </c>
      <c r="H65" s="56">
        <v>2.75</v>
      </c>
      <c r="I65" s="56">
        <v>0.5</v>
      </c>
      <c r="J65" s="56" t="s">
        <v>24</v>
      </c>
      <c r="K65" s="51" t="s">
        <v>24</v>
      </c>
      <c r="L65" s="148"/>
    </row>
    <row r="66" customHeight="1" spans="1:12">
      <c r="A66" s="301">
        <v>45678</v>
      </c>
      <c r="B66" s="148" t="s">
        <v>1093</v>
      </c>
      <c r="C66" s="148" t="s">
        <v>462</v>
      </c>
      <c r="D66" s="56">
        <v>10</v>
      </c>
      <c r="E66" s="148" t="s">
        <v>521</v>
      </c>
      <c r="F66" s="148" t="s">
        <v>487</v>
      </c>
      <c r="G66" s="54" t="s">
        <v>1058</v>
      </c>
      <c r="H66" s="56">
        <v>1.06</v>
      </c>
      <c r="I66" s="56">
        <v>3.2</v>
      </c>
      <c r="J66" s="56" t="s">
        <v>17</v>
      </c>
      <c r="K66" s="51">
        <v>1.89</v>
      </c>
      <c r="L66" s="148" t="s">
        <v>86</v>
      </c>
    </row>
    <row r="67" customHeight="1" spans="1:12">
      <c r="A67" s="301"/>
      <c r="B67" s="54"/>
      <c r="C67" s="54"/>
      <c r="D67" s="56"/>
      <c r="E67" s="54"/>
      <c r="F67" s="54"/>
      <c r="G67" s="54" t="s">
        <v>1059</v>
      </c>
      <c r="H67" s="56">
        <v>1.65</v>
      </c>
      <c r="I67" s="56">
        <v>5.8</v>
      </c>
      <c r="J67" s="56" t="s">
        <v>17</v>
      </c>
      <c r="K67" s="51">
        <v>1.98</v>
      </c>
      <c r="L67" s="148"/>
    </row>
    <row r="68" customHeight="1" spans="1:12">
      <c r="A68" s="301"/>
      <c r="B68" s="54"/>
      <c r="C68" s="54"/>
      <c r="D68" s="56"/>
      <c r="E68" s="54"/>
      <c r="F68" s="54"/>
      <c r="G68" s="54" t="s">
        <v>1060</v>
      </c>
      <c r="H68" s="56">
        <v>1.65</v>
      </c>
      <c r="I68" s="56">
        <v>0.5</v>
      </c>
      <c r="J68" s="56" t="s">
        <v>22</v>
      </c>
      <c r="K68" s="51">
        <v>2.1</v>
      </c>
      <c r="L68" s="148"/>
    </row>
    <row r="69" customHeight="1" spans="1:12">
      <c r="A69" s="301"/>
      <c r="B69" s="54"/>
      <c r="C69" s="54"/>
      <c r="D69" s="56"/>
      <c r="E69" s="54"/>
      <c r="F69" s="54"/>
      <c r="G69" s="54" t="s">
        <v>1083</v>
      </c>
      <c r="H69" s="56">
        <v>1.73</v>
      </c>
      <c r="I69" s="56">
        <v>0.5</v>
      </c>
      <c r="J69" s="56" t="s">
        <v>24</v>
      </c>
      <c r="K69" s="51" t="s">
        <v>24</v>
      </c>
      <c r="L69" s="148"/>
    </row>
    <row r="70" customHeight="1" spans="1:12">
      <c r="A70" s="301">
        <v>45678</v>
      </c>
      <c r="B70" s="148" t="s">
        <v>1094</v>
      </c>
      <c r="C70" s="148" t="s">
        <v>462</v>
      </c>
      <c r="D70" s="56">
        <v>30</v>
      </c>
      <c r="E70" s="148" t="s">
        <v>1095</v>
      </c>
      <c r="F70" s="148" t="s">
        <v>1096</v>
      </c>
      <c r="G70" s="54" t="s">
        <v>1064</v>
      </c>
      <c r="H70" s="56">
        <v>1</v>
      </c>
      <c r="I70" s="56">
        <v>27.6</v>
      </c>
      <c r="J70" s="56" t="s">
        <v>17</v>
      </c>
      <c r="K70" s="51">
        <v>1.8</v>
      </c>
      <c r="L70" s="148" t="s">
        <v>1097</v>
      </c>
    </row>
    <row r="71" customHeight="1" spans="1:12">
      <c r="A71" s="301"/>
      <c r="B71" s="54"/>
      <c r="C71" s="54"/>
      <c r="D71" s="56"/>
      <c r="E71" s="54"/>
      <c r="F71" s="54"/>
      <c r="G71" s="54" t="s">
        <v>1060</v>
      </c>
      <c r="H71" s="56">
        <v>1</v>
      </c>
      <c r="I71" s="56">
        <v>2.05</v>
      </c>
      <c r="J71" s="56" t="s">
        <v>136</v>
      </c>
      <c r="K71" s="51">
        <v>8</v>
      </c>
      <c r="L71" s="148"/>
    </row>
    <row r="72" customHeight="1" spans="1:12">
      <c r="A72" s="301"/>
      <c r="B72" s="54"/>
      <c r="C72" s="54"/>
      <c r="D72" s="56"/>
      <c r="E72" s="54"/>
      <c r="F72" s="54"/>
      <c r="G72" s="54" t="s">
        <v>1061</v>
      </c>
      <c r="H72" s="56">
        <v>1</v>
      </c>
      <c r="I72" s="56">
        <v>0.35</v>
      </c>
      <c r="J72" s="56" t="s">
        <v>44</v>
      </c>
      <c r="K72" s="51" t="s">
        <v>24</v>
      </c>
      <c r="L72" s="148"/>
    </row>
    <row r="73" customHeight="1" spans="1:12">
      <c r="A73" s="301">
        <v>45678</v>
      </c>
      <c r="B73" s="148" t="s">
        <v>1098</v>
      </c>
      <c r="C73" s="148" t="s">
        <v>462</v>
      </c>
      <c r="D73" s="56">
        <v>5.2</v>
      </c>
      <c r="E73" s="148" t="s">
        <v>486</v>
      </c>
      <c r="F73" s="148" t="s">
        <v>490</v>
      </c>
      <c r="G73" s="54" t="s">
        <v>1058</v>
      </c>
      <c r="H73" s="56">
        <v>0.9</v>
      </c>
      <c r="I73" s="56">
        <v>1.56</v>
      </c>
      <c r="J73" s="56" t="s">
        <v>17</v>
      </c>
      <c r="K73" s="51">
        <v>2.65</v>
      </c>
      <c r="L73" s="148" t="s">
        <v>1082</v>
      </c>
    </row>
    <row r="74" customHeight="1" spans="1:12">
      <c r="A74" s="301"/>
      <c r="B74" s="54"/>
      <c r="C74" s="54"/>
      <c r="D74" s="56"/>
      <c r="E74" s="54"/>
      <c r="F74" s="54"/>
      <c r="G74" s="54" t="s">
        <v>1059</v>
      </c>
      <c r="H74" s="56">
        <v>1.9</v>
      </c>
      <c r="I74" s="56">
        <v>2.08</v>
      </c>
      <c r="J74" s="56" t="s">
        <v>17</v>
      </c>
      <c r="K74" s="51">
        <v>3</v>
      </c>
      <c r="L74" s="148"/>
    </row>
    <row r="75" customHeight="1" spans="1:12">
      <c r="A75" s="301"/>
      <c r="B75" s="54"/>
      <c r="C75" s="54"/>
      <c r="D75" s="56"/>
      <c r="E75" s="54"/>
      <c r="F75" s="54"/>
      <c r="G75" s="54" t="s">
        <v>1099</v>
      </c>
      <c r="H75" s="56">
        <v>2.9</v>
      </c>
      <c r="I75" s="56">
        <v>1.482</v>
      </c>
      <c r="J75" s="56" t="s">
        <v>17</v>
      </c>
      <c r="K75" s="51">
        <v>4.3</v>
      </c>
      <c r="L75" s="148"/>
    </row>
    <row r="76" customHeight="1" spans="1:12">
      <c r="A76" s="301"/>
      <c r="B76" s="54"/>
      <c r="C76" s="54"/>
      <c r="D76" s="56"/>
      <c r="E76" s="54"/>
      <c r="F76" s="54"/>
      <c r="G76" s="54" t="s">
        <v>1083</v>
      </c>
      <c r="H76" s="56">
        <v>3.18</v>
      </c>
      <c r="I76" s="56">
        <v>0.078</v>
      </c>
      <c r="J76" s="56" t="s">
        <v>24</v>
      </c>
      <c r="K76" s="51" t="s">
        <v>24</v>
      </c>
      <c r="L76" s="148"/>
    </row>
    <row r="77" customHeight="1" spans="1:12">
      <c r="A77" s="301">
        <v>45673</v>
      </c>
      <c r="B77" s="148" t="s">
        <v>1100</v>
      </c>
      <c r="C77" s="148" t="s">
        <v>462</v>
      </c>
      <c r="D77" s="56">
        <v>10</v>
      </c>
      <c r="E77" s="148" t="s">
        <v>484</v>
      </c>
      <c r="F77" s="148" t="s">
        <v>1054</v>
      </c>
      <c r="G77" s="54" t="s">
        <v>1064</v>
      </c>
      <c r="H77" s="56">
        <v>1.83</v>
      </c>
      <c r="I77" s="56">
        <v>8.7</v>
      </c>
      <c r="J77" s="56" t="s">
        <v>17</v>
      </c>
      <c r="K77" s="51">
        <v>2.15</v>
      </c>
      <c r="L77" s="148" t="s">
        <v>35</v>
      </c>
    </row>
    <row r="78" customHeight="1" spans="1:12">
      <c r="A78" s="301"/>
      <c r="B78" s="54"/>
      <c r="C78" s="54"/>
      <c r="D78" s="56"/>
      <c r="E78" s="54"/>
      <c r="F78" s="54"/>
      <c r="G78" s="54" t="s">
        <v>1060</v>
      </c>
      <c r="H78" s="56">
        <v>1.91</v>
      </c>
      <c r="I78" s="56">
        <v>0.4</v>
      </c>
      <c r="J78" s="56" t="s">
        <v>22</v>
      </c>
      <c r="K78" s="51">
        <v>2.28</v>
      </c>
      <c r="L78" s="148"/>
    </row>
    <row r="79" customHeight="1" spans="1:12">
      <c r="A79" s="301"/>
      <c r="B79" s="54"/>
      <c r="C79" s="54"/>
      <c r="D79" s="56"/>
      <c r="E79" s="54"/>
      <c r="F79" s="54"/>
      <c r="G79" s="54" t="s">
        <v>1061</v>
      </c>
      <c r="H79" s="56">
        <v>1.91</v>
      </c>
      <c r="I79" s="56">
        <v>0.4</v>
      </c>
      <c r="J79" s="56" t="s">
        <v>439</v>
      </c>
      <c r="K79" s="51">
        <v>3.6</v>
      </c>
      <c r="L79" s="148"/>
    </row>
    <row r="80" customHeight="1" spans="1:12">
      <c r="A80" s="301"/>
      <c r="B80" s="54"/>
      <c r="C80" s="54"/>
      <c r="D80" s="56"/>
      <c r="E80" s="54"/>
      <c r="F80" s="54"/>
      <c r="G80" s="54" t="s">
        <v>1083</v>
      </c>
      <c r="H80" s="56">
        <v>2.66</v>
      </c>
      <c r="I80" s="56">
        <v>0.5</v>
      </c>
      <c r="J80" s="56" t="s">
        <v>24</v>
      </c>
      <c r="K80" s="51" t="s">
        <v>24</v>
      </c>
      <c r="L80" s="148"/>
    </row>
    <row r="81" customHeight="1" spans="1:12">
      <c r="A81" s="301">
        <v>45681</v>
      </c>
      <c r="B81" s="148" t="s">
        <v>1101</v>
      </c>
      <c r="C81" s="148" t="s">
        <v>462</v>
      </c>
      <c r="D81" s="56">
        <v>3</v>
      </c>
      <c r="E81" s="148" t="s">
        <v>536</v>
      </c>
      <c r="F81" s="148" t="s">
        <v>460</v>
      </c>
      <c r="G81" s="54" t="s">
        <v>1064</v>
      </c>
      <c r="H81" s="56">
        <v>1.01</v>
      </c>
      <c r="I81" s="56">
        <v>2.47</v>
      </c>
      <c r="J81" s="56" t="s">
        <v>17</v>
      </c>
      <c r="K81" s="51">
        <v>1.86</v>
      </c>
      <c r="L81" s="148" t="s">
        <v>27</v>
      </c>
    </row>
    <row r="82" customHeight="1" spans="1:12">
      <c r="A82" s="301"/>
      <c r="B82" s="54"/>
      <c r="C82" s="54"/>
      <c r="D82" s="56"/>
      <c r="E82" s="54"/>
      <c r="F82" s="54"/>
      <c r="G82" s="54" t="s">
        <v>1060</v>
      </c>
      <c r="H82" s="56">
        <v>1.01</v>
      </c>
      <c r="I82" s="56">
        <v>0.17</v>
      </c>
      <c r="J82" s="56" t="s">
        <v>22</v>
      </c>
      <c r="K82" s="51">
        <v>1.93</v>
      </c>
      <c r="L82" s="148"/>
    </row>
    <row r="83" customHeight="1" spans="1:12">
      <c r="A83" s="301"/>
      <c r="B83" s="54"/>
      <c r="C83" s="54"/>
      <c r="D83" s="56"/>
      <c r="E83" s="54"/>
      <c r="F83" s="54"/>
      <c r="G83" s="54" t="s">
        <v>1102</v>
      </c>
      <c r="H83" s="56">
        <v>1.84</v>
      </c>
      <c r="I83" s="56">
        <v>0.21</v>
      </c>
      <c r="J83" s="56" t="s">
        <v>24</v>
      </c>
      <c r="K83" s="51" t="s">
        <v>24</v>
      </c>
      <c r="L83" s="148"/>
    </row>
    <row r="84" customHeight="1" spans="1:12">
      <c r="A84" s="301"/>
      <c r="B84" s="54"/>
      <c r="C84" s="54"/>
      <c r="D84" s="56"/>
      <c r="E84" s="54"/>
      <c r="F84" s="54"/>
      <c r="G84" s="54" t="s">
        <v>1103</v>
      </c>
      <c r="H84" s="56">
        <v>1.84</v>
      </c>
      <c r="I84" s="56">
        <v>0.15</v>
      </c>
      <c r="J84" s="56" t="s">
        <v>24</v>
      </c>
      <c r="K84" s="51" t="s">
        <v>24</v>
      </c>
      <c r="L84" s="148"/>
    </row>
    <row r="85" customHeight="1" spans="1:12">
      <c r="A85" s="301">
        <v>45681</v>
      </c>
      <c r="B85" s="148" t="s">
        <v>1104</v>
      </c>
      <c r="C85" s="148" t="s">
        <v>459</v>
      </c>
      <c r="D85" s="56">
        <v>5.4</v>
      </c>
      <c r="E85" s="148" t="s">
        <v>477</v>
      </c>
      <c r="F85" s="148" t="s">
        <v>1063</v>
      </c>
      <c r="G85" s="54" t="s">
        <v>1058</v>
      </c>
      <c r="H85" s="56">
        <v>0.98</v>
      </c>
      <c r="I85" s="56">
        <v>1.62</v>
      </c>
      <c r="J85" s="56" t="s">
        <v>17</v>
      </c>
      <c r="K85" s="51">
        <v>2.65</v>
      </c>
      <c r="L85" s="148" t="s">
        <v>1082</v>
      </c>
    </row>
    <row r="86" customHeight="1" spans="1:12">
      <c r="A86" s="301"/>
      <c r="B86" s="54"/>
      <c r="C86" s="54"/>
      <c r="D86" s="56"/>
      <c r="E86" s="54"/>
      <c r="F86" s="54"/>
      <c r="G86" s="54" t="s">
        <v>1059</v>
      </c>
      <c r="H86" s="56">
        <v>1.98</v>
      </c>
      <c r="I86" s="56">
        <v>2.16</v>
      </c>
      <c r="J86" s="56" t="s">
        <v>17</v>
      </c>
      <c r="K86" s="51">
        <v>3</v>
      </c>
      <c r="L86" s="148"/>
    </row>
    <row r="87" customHeight="1" spans="1:12">
      <c r="A87" s="301"/>
      <c r="B87" s="54"/>
      <c r="C87" s="54"/>
      <c r="D87" s="56"/>
      <c r="E87" s="54"/>
      <c r="F87" s="54"/>
      <c r="G87" s="54" t="s">
        <v>1099</v>
      </c>
      <c r="H87" s="56">
        <v>2.98</v>
      </c>
      <c r="I87" s="56">
        <v>1.539</v>
      </c>
      <c r="J87" s="56" t="s">
        <v>17</v>
      </c>
      <c r="K87" s="51">
        <v>4.3</v>
      </c>
      <c r="L87" s="148"/>
    </row>
    <row r="88" customHeight="1" spans="1:12">
      <c r="A88" s="301"/>
      <c r="B88" s="54"/>
      <c r="C88" s="54"/>
      <c r="D88" s="56"/>
      <c r="E88" s="54"/>
      <c r="F88" s="54"/>
      <c r="G88" s="48" t="s">
        <v>1051</v>
      </c>
      <c r="H88" s="56">
        <v>3.06</v>
      </c>
      <c r="I88" s="56">
        <v>0.081</v>
      </c>
      <c r="J88" s="56" t="s">
        <v>24</v>
      </c>
      <c r="K88" s="51" t="s">
        <v>24</v>
      </c>
      <c r="L88" s="148"/>
    </row>
    <row r="89" customHeight="1" spans="1:12">
      <c r="A89" s="301">
        <v>45681</v>
      </c>
      <c r="B89" s="148" t="s">
        <v>1105</v>
      </c>
      <c r="C89" s="148" t="s">
        <v>462</v>
      </c>
      <c r="D89" s="56">
        <v>10</v>
      </c>
      <c r="E89" s="148" t="s">
        <v>484</v>
      </c>
      <c r="F89" s="148" t="s">
        <v>1063</v>
      </c>
      <c r="G89" s="54" t="s">
        <v>1064</v>
      </c>
      <c r="H89" s="56">
        <v>1</v>
      </c>
      <c r="I89" s="56">
        <v>9</v>
      </c>
      <c r="J89" s="56" t="s">
        <v>17</v>
      </c>
      <c r="K89" s="51">
        <v>1.98</v>
      </c>
      <c r="L89" s="148" t="s">
        <v>35</v>
      </c>
    </row>
    <row r="90" customHeight="1" spans="1:12">
      <c r="A90" s="301"/>
      <c r="B90" s="54"/>
      <c r="C90" s="54"/>
      <c r="D90" s="56"/>
      <c r="E90" s="54"/>
      <c r="F90" s="54"/>
      <c r="G90" s="54" t="s">
        <v>1060</v>
      </c>
      <c r="H90" s="56">
        <v>1.08</v>
      </c>
      <c r="I90" s="56">
        <v>0.3</v>
      </c>
      <c r="J90" s="56" t="s">
        <v>22</v>
      </c>
      <c r="K90" s="51">
        <v>2.2</v>
      </c>
      <c r="L90" s="148"/>
    </row>
    <row r="91" customHeight="1" spans="1:12">
      <c r="A91" s="301"/>
      <c r="B91" s="54"/>
      <c r="C91" s="54"/>
      <c r="D91" s="56"/>
      <c r="E91" s="54"/>
      <c r="F91" s="54"/>
      <c r="G91" s="54" t="s">
        <v>1061</v>
      </c>
      <c r="H91" s="56">
        <v>1.08</v>
      </c>
      <c r="I91" s="56">
        <v>0.2</v>
      </c>
      <c r="J91" s="56" t="s">
        <v>96</v>
      </c>
      <c r="K91" s="51">
        <v>3.5</v>
      </c>
      <c r="L91" s="148"/>
    </row>
    <row r="92" customHeight="1" spans="1:12">
      <c r="A92" s="301"/>
      <c r="B92" s="54"/>
      <c r="C92" s="54"/>
      <c r="D92" s="56"/>
      <c r="E92" s="54"/>
      <c r="F92" s="54"/>
      <c r="G92" s="48" t="s">
        <v>1051</v>
      </c>
      <c r="H92" s="56">
        <v>1.83</v>
      </c>
      <c r="I92" s="56">
        <v>0.5</v>
      </c>
      <c r="J92" s="56" t="s">
        <v>24</v>
      </c>
      <c r="K92" s="51" t="s">
        <v>24</v>
      </c>
      <c r="L92" s="148"/>
    </row>
    <row r="93" customHeight="1" spans="1:12">
      <c r="A93" s="301">
        <v>45680</v>
      </c>
      <c r="B93" s="148" t="s">
        <v>1106</v>
      </c>
      <c r="C93" s="148" t="s">
        <v>459</v>
      </c>
      <c r="D93" s="56">
        <v>6</v>
      </c>
      <c r="E93" s="148" t="s">
        <v>486</v>
      </c>
      <c r="F93" s="148" t="s">
        <v>487</v>
      </c>
      <c r="G93" s="54" t="s">
        <v>1064</v>
      </c>
      <c r="H93" s="56">
        <v>1.04</v>
      </c>
      <c r="I93" s="56">
        <v>5.28</v>
      </c>
      <c r="J93" s="56" t="s">
        <v>17</v>
      </c>
      <c r="K93" s="51">
        <v>1.87</v>
      </c>
      <c r="L93" s="148" t="s">
        <v>86</v>
      </c>
    </row>
    <row r="94" customHeight="1" spans="1:12">
      <c r="A94" s="301"/>
      <c r="B94" s="54"/>
      <c r="C94" s="54"/>
      <c r="D94" s="56"/>
      <c r="E94" s="54"/>
      <c r="F94" s="54"/>
      <c r="G94" s="54" t="s">
        <v>1060</v>
      </c>
      <c r="H94" s="56">
        <v>1.04</v>
      </c>
      <c r="I94" s="56">
        <v>0.36</v>
      </c>
      <c r="J94" s="56" t="s">
        <v>22</v>
      </c>
      <c r="K94" s="51">
        <v>1.95</v>
      </c>
      <c r="L94" s="148"/>
    </row>
    <row r="95" customHeight="1" spans="1:12">
      <c r="A95" s="301"/>
      <c r="B95" s="54"/>
      <c r="C95" s="54"/>
      <c r="D95" s="56"/>
      <c r="E95" s="54"/>
      <c r="F95" s="54"/>
      <c r="G95" s="48" t="s">
        <v>1051</v>
      </c>
      <c r="H95" s="56">
        <v>1.12</v>
      </c>
      <c r="I95" s="56">
        <v>0.36</v>
      </c>
      <c r="J95" s="56" t="s">
        <v>24</v>
      </c>
      <c r="K95" s="51" t="s">
        <v>24</v>
      </c>
      <c r="L95" s="148"/>
    </row>
    <row r="96" customHeight="1" spans="1:12">
      <c r="A96" s="301">
        <v>45680</v>
      </c>
      <c r="B96" s="148" t="s">
        <v>1107</v>
      </c>
      <c r="C96" s="148" t="s">
        <v>462</v>
      </c>
      <c r="D96" s="56">
        <v>7.5</v>
      </c>
      <c r="E96" s="148" t="s">
        <v>486</v>
      </c>
      <c r="F96" s="148" t="s">
        <v>530</v>
      </c>
      <c r="G96" s="54" t="s">
        <v>1081</v>
      </c>
      <c r="H96" s="56">
        <v>1</v>
      </c>
      <c r="I96" s="56">
        <v>7.38</v>
      </c>
      <c r="J96" s="56" t="s">
        <v>17</v>
      </c>
      <c r="K96" s="51">
        <v>2.75</v>
      </c>
      <c r="L96" s="148" t="s">
        <v>1082</v>
      </c>
    </row>
    <row r="97" customHeight="1" spans="1:12">
      <c r="A97" s="301"/>
      <c r="B97" s="54"/>
      <c r="C97" s="54"/>
      <c r="D97" s="56"/>
      <c r="E97" s="54"/>
      <c r="F97" s="54"/>
      <c r="G97" s="48" t="s">
        <v>1051</v>
      </c>
      <c r="H97" s="56">
        <v>3.06</v>
      </c>
      <c r="I97" s="56">
        <v>0.12</v>
      </c>
      <c r="J97" s="56" t="s">
        <v>24</v>
      </c>
      <c r="K97" s="51" t="s">
        <v>24</v>
      </c>
      <c r="L97" s="148"/>
    </row>
    <row r="98" s="31" customFormat="1" customHeight="1" spans="1:12">
      <c r="A98" s="299">
        <v>45700</v>
      </c>
      <c r="B98" s="214" t="s">
        <v>1108</v>
      </c>
      <c r="C98" s="214" t="s">
        <v>462</v>
      </c>
      <c r="D98" s="51">
        <v>10</v>
      </c>
      <c r="E98" s="214" t="s">
        <v>1109</v>
      </c>
      <c r="F98" s="214" t="s">
        <v>482</v>
      </c>
      <c r="G98" s="48" t="s">
        <v>1047</v>
      </c>
      <c r="H98" s="56">
        <v>1.95</v>
      </c>
      <c r="I98" s="56">
        <v>8.35</v>
      </c>
      <c r="J98" s="51" t="s">
        <v>17</v>
      </c>
      <c r="K98" s="51">
        <v>1.99</v>
      </c>
      <c r="L98" s="214" t="s">
        <v>27</v>
      </c>
    </row>
    <row r="99" s="31" customFormat="1" customHeight="1" spans="1:12">
      <c r="A99" s="299"/>
      <c r="B99" s="48"/>
      <c r="C99" s="48"/>
      <c r="D99" s="51"/>
      <c r="E99" s="48"/>
      <c r="F99" s="48"/>
      <c r="G99" s="48" t="s">
        <v>1048</v>
      </c>
      <c r="H99" s="56">
        <v>1.95</v>
      </c>
      <c r="I99" s="56">
        <v>0.7</v>
      </c>
      <c r="J99" s="51" t="s">
        <v>22</v>
      </c>
      <c r="K99" s="51">
        <v>2.05</v>
      </c>
      <c r="L99" s="214"/>
    </row>
    <row r="100" s="31" customFormat="1" customHeight="1" spans="1:12">
      <c r="A100" s="299"/>
      <c r="B100" s="48"/>
      <c r="C100" s="48"/>
      <c r="D100" s="51"/>
      <c r="E100" s="48"/>
      <c r="F100" s="48"/>
      <c r="G100" s="48" t="s">
        <v>1051</v>
      </c>
      <c r="H100" s="56">
        <v>2.04</v>
      </c>
      <c r="I100" s="56">
        <v>0.95</v>
      </c>
      <c r="J100" s="51" t="s">
        <v>24</v>
      </c>
      <c r="K100" s="51" t="s">
        <v>24</v>
      </c>
      <c r="L100" s="214"/>
    </row>
    <row r="101" s="31" customFormat="1" customHeight="1" spans="1:12">
      <c r="A101" s="299">
        <v>45701</v>
      </c>
      <c r="B101" s="214" t="s">
        <v>1110</v>
      </c>
      <c r="C101" s="214" t="s">
        <v>462</v>
      </c>
      <c r="D101" s="51">
        <v>10</v>
      </c>
      <c r="E101" s="214" t="s">
        <v>1109</v>
      </c>
      <c r="F101" s="214" t="s">
        <v>482</v>
      </c>
      <c r="G101" s="48" t="s">
        <v>1047</v>
      </c>
      <c r="H101" s="56">
        <v>1.95</v>
      </c>
      <c r="I101" s="56">
        <v>8.35</v>
      </c>
      <c r="J101" s="51" t="s">
        <v>17</v>
      </c>
      <c r="K101" s="51">
        <v>1.95</v>
      </c>
      <c r="L101" s="214" t="s">
        <v>27</v>
      </c>
    </row>
    <row r="102" s="31" customFormat="1" customHeight="1" spans="1:12">
      <c r="A102" s="299"/>
      <c r="B102" s="48"/>
      <c r="C102" s="48"/>
      <c r="D102" s="51"/>
      <c r="E102" s="48"/>
      <c r="F102" s="48"/>
      <c r="G102" s="48" t="s">
        <v>1048</v>
      </c>
      <c r="H102" s="56">
        <v>1.95</v>
      </c>
      <c r="I102" s="56">
        <v>0.7</v>
      </c>
      <c r="J102" s="51" t="s">
        <v>22</v>
      </c>
      <c r="K102" s="51">
        <v>2.03</v>
      </c>
      <c r="L102" s="214"/>
    </row>
    <row r="103" s="31" customFormat="1" customHeight="1" spans="1:12">
      <c r="A103" s="299"/>
      <c r="B103" s="48"/>
      <c r="C103" s="48"/>
      <c r="D103" s="51"/>
      <c r="E103" s="48"/>
      <c r="F103" s="48"/>
      <c r="G103" s="48" t="s">
        <v>1051</v>
      </c>
      <c r="H103" s="56">
        <v>2.04</v>
      </c>
      <c r="I103" s="56">
        <v>0.95</v>
      </c>
      <c r="J103" s="51" t="s">
        <v>24</v>
      </c>
      <c r="K103" s="51" t="s">
        <v>24</v>
      </c>
      <c r="L103" s="214"/>
    </row>
    <row r="104" s="31" customFormat="1" customHeight="1" spans="1:12">
      <c r="A104" s="301">
        <v>45702</v>
      </c>
      <c r="B104" s="148" t="s">
        <v>1111</v>
      </c>
      <c r="C104" s="148" t="s">
        <v>462</v>
      </c>
      <c r="D104" s="56">
        <v>3</v>
      </c>
      <c r="E104" s="148" t="s">
        <v>536</v>
      </c>
      <c r="F104" s="148" t="s">
        <v>460</v>
      </c>
      <c r="G104" s="54" t="s">
        <v>1064</v>
      </c>
      <c r="H104" s="56">
        <v>1.02</v>
      </c>
      <c r="I104" s="56">
        <v>2.47</v>
      </c>
      <c r="J104" s="56" t="s">
        <v>17</v>
      </c>
      <c r="K104" s="51">
        <v>1.97</v>
      </c>
      <c r="L104" s="148" t="s">
        <v>27</v>
      </c>
    </row>
    <row r="105" s="31" customFormat="1" customHeight="1" spans="1:12">
      <c r="A105" s="301"/>
      <c r="B105" s="54"/>
      <c r="C105" s="54"/>
      <c r="D105" s="56"/>
      <c r="E105" s="54"/>
      <c r="F105" s="54"/>
      <c r="G105" s="54" t="s">
        <v>1060</v>
      </c>
      <c r="H105" s="56">
        <v>1.02</v>
      </c>
      <c r="I105" s="56">
        <v>0.17</v>
      </c>
      <c r="J105" s="56" t="s">
        <v>22</v>
      </c>
      <c r="K105" s="51">
        <v>2</v>
      </c>
      <c r="L105" s="148"/>
    </row>
    <row r="106" s="31" customFormat="1" customHeight="1" spans="1:12">
      <c r="A106" s="301"/>
      <c r="B106" s="54"/>
      <c r="C106" s="54"/>
      <c r="D106" s="56"/>
      <c r="E106" s="54"/>
      <c r="F106" s="54"/>
      <c r="G106" s="54" t="s">
        <v>1102</v>
      </c>
      <c r="H106" s="56">
        <v>1.86</v>
      </c>
      <c r="I106" s="56">
        <v>0.21</v>
      </c>
      <c r="J106" s="56" t="s">
        <v>24</v>
      </c>
      <c r="K106" s="51" t="s">
        <v>24</v>
      </c>
      <c r="L106" s="148"/>
    </row>
    <row r="107" s="31" customFormat="1" customHeight="1" spans="1:12">
      <c r="A107" s="301"/>
      <c r="B107" s="54"/>
      <c r="C107" s="54"/>
      <c r="D107" s="56"/>
      <c r="E107" s="54"/>
      <c r="F107" s="54"/>
      <c r="G107" s="54" t="s">
        <v>1103</v>
      </c>
      <c r="H107" s="56">
        <v>1.86</v>
      </c>
      <c r="I107" s="56">
        <v>0.15</v>
      </c>
      <c r="J107" s="56" t="s">
        <v>24</v>
      </c>
      <c r="K107" s="51" t="s">
        <v>24</v>
      </c>
      <c r="L107" s="148"/>
    </row>
    <row r="108" s="31" customFormat="1" customHeight="1" spans="1:12">
      <c r="A108" s="301">
        <v>45702</v>
      </c>
      <c r="B108" s="214" t="s">
        <v>1112</v>
      </c>
      <c r="C108" s="214" t="s">
        <v>459</v>
      </c>
      <c r="D108" s="51">
        <v>3</v>
      </c>
      <c r="E108" s="214" t="s">
        <v>536</v>
      </c>
      <c r="F108" s="214" t="s">
        <v>460</v>
      </c>
      <c r="G108" s="48" t="s">
        <v>1047</v>
      </c>
      <c r="H108" s="56">
        <v>1.02</v>
      </c>
      <c r="I108" s="56">
        <v>2.6</v>
      </c>
      <c r="J108" s="51" t="s">
        <v>17</v>
      </c>
      <c r="K108" s="51">
        <v>1.94</v>
      </c>
      <c r="L108" s="214" t="s">
        <v>27</v>
      </c>
    </row>
    <row r="109" s="31" customFormat="1" customHeight="1" spans="1:12">
      <c r="A109" s="301"/>
      <c r="B109" s="48"/>
      <c r="C109" s="48"/>
      <c r="D109" s="51"/>
      <c r="E109" s="48"/>
      <c r="F109" s="48"/>
      <c r="G109" s="48" t="s">
        <v>1048</v>
      </c>
      <c r="H109" s="56">
        <v>1.02</v>
      </c>
      <c r="I109" s="56">
        <v>0.16</v>
      </c>
      <c r="J109" s="51" t="s">
        <v>22</v>
      </c>
      <c r="K109" s="51">
        <v>1.99</v>
      </c>
      <c r="L109" s="214"/>
    </row>
    <row r="110" s="31" customFormat="1" customHeight="1" spans="1:12">
      <c r="A110" s="301"/>
      <c r="B110" s="48"/>
      <c r="C110" s="48"/>
      <c r="D110" s="51"/>
      <c r="E110" s="48"/>
      <c r="F110" s="48"/>
      <c r="G110" s="48" t="s">
        <v>1113</v>
      </c>
      <c r="H110" s="56">
        <v>1.61</v>
      </c>
      <c r="I110" s="56">
        <v>0.09</v>
      </c>
      <c r="J110" s="51" t="s">
        <v>24</v>
      </c>
      <c r="K110" s="51" t="s">
        <v>24</v>
      </c>
      <c r="L110" s="214"/>
    </row>
    <row r="111" s="31" customFormat="1" customHeight="1" spans="1:12">
      <c r="A111" s="301"/>
      <c r="B111" s="48"/>
      <c r="C111" s="48"/>
      <c r="D111" s="51"/>
      <c r="E111" s="48"/>
      <c r="F111" s="48"/>
      <c r="G111" s="48" t="s">
        <v>1114</v>
      </c>
      <c r="H111" s="56">
        <v>1.61</v>
      </c>
      <c r="I111" s="56">
        <v>0.15</v>
      </c>
      <c r="J111" s="51" t="s">
        <v>24</v>
      </c>
      <c r="K111" s="51" t="s">
        <v>24</v>
      </c>
      <c r="L111" s="214"/>
    </row>
    <row r="112" s="31" customFormat="1" customHeight="1" spans="1:12">
      <c r="A112" s="299">
        <v>45701</v>
      </c>
      <c r="B112" s="214" t="s">
        <v>1115</v>
      </c>
      <c r="C112" s="214" t="s">
        <v>462</v>
      </c>
      <c r="D112" s="51">
        <v>3</v>
      </c>
      <c r="E112" s="214" t="s">
        <v>477</v>
      </c>
      <c r="F112" s="214" t="s">
        <v>460</v>
      </c>
      <c r="G112" s="48" t="s">
        <v>1047</v>
      </c>
      <c r="H112" s="56">
        <v>1.06</v>
      </c>
      <c r="I112" s="56">
        <v>2.51</v>
      </c>
      <c r="J112" s="51" t="s">
        <v>17</v>
      </c>
      <c r="K112" s="51">
        <v>1.94</v>
      </c>
      <c r="L112" s="214" t="s">
        <v>27</v>
      </c>
    </row>
    <row r="113" s="31" customFormat="1" customHeight="1" spans="1:12">
      <c r="A113" s="299"/>
      <c r="B113" s="48"/>
      <c r="C113" s="48"/>
      <c r="D113" s="51"/>
      <c r="E113" s="48"/>
      <c r="F113" s="48"/>
      <c r="G113" s="48" t="s">
        <v>1048</v>
      </c>
      <c r="H113" s="56">
        <v>1.06</v>
      </c>
      <c r="I113" s="56">
        <v>0.17</v>
      </c>
      <c r="J113" s="51" t="s">
        <v>22</v>
      </c>
      <c r="K113" s="51">
        <v>1.95</v>
      </c>
      <c r="L113" s="214"/>
    </row>
    <row r="114" s="31" customFormat="1" customHeight="1" spans="1:12">
      <c r="A114" s="299"/>
      <c r="B114" s="48"/>
      <c r="C114" s="48"/>
      <c r="D114" s="51"/>
      <c r="E114" s="48"/>
      <c r="F114" s="48"/>
      <c r="G114" s="48" t="s">
        <v>1051</v>
      </c>
      <c r="H114" s="56">
        <v>1.11</v>
      </c>
      <c r="I114" s="56">
        <v>0.32</v>
      </c>
      <c r="J114" s="51" t="s">
        <v>24</v>
      </c>
      <c r="K114" s="51" t="s">
        <v>24</v>
      </c>
      <c r="L114" s="214"/>
    </row>
    <row r="115" s="31" customFormat="1" customHeight="1" spans="1:12">
      <c r="A115" s="301">
        <v>45701</v>
      </c>
      <c r="B115" s="214" t="s">
        <v>1116</v>
      </c>
      <c r="C115" s="214" t="s">
        <v>462</v>
      </c>
      <c r="D115" s="51">
        <v>10</v>
      </c>
      <c r="E115" s="214" t="s">
        <v>484</v>
      </c>
      <c r="F115" s="214" t="s">
        <v>1117</v>
      </c>
      <c r="G115" s="48" t="s">
        <v>1047</v>
      </c>
      <c r="H115" s="56">
        <v>1.81</v>
      </c>
      <c r="I115" s="56">
        <v>8.7</v>
      </c>
      <c r="J115" s="51" t="s">
        <v>17</v>
      </c>
      <c r="K115" s="51">
        <v>2.12</v>
      </c>
      <c r="L115" s="214" t="s">
        <v>35</v>
      </c>
    </row>
    <row r="116" s="31" customFormat="1" customHeight="1" spans="1:12">
      <c r="A116" s="301"/>
      <c r="B116" s="48"/>
      <c r="C116" s="48"/>
      <c r="D116" s="51"/>
      <c r="E116" s="48"/>
      <c r="F116" s="48"/>
      <c r="G116" s="48" t="s">
        <v>1048</v>
      </c>
      <c r="H116" s="56">
        <v>1.9</v>
      </c>
      <c r="I116" s="56">
        <v>0.4</v>
      </c>
      <c r="J116" s="51" t="s">
        <v>22</v>
      </c>
      <c r="K116" s="51">
        <v>2.28</v>
      </c>
      <c r="L116" s="214"/>
    </row>
    <row r="117" s="31" customFormat="1" customHeight="1" spans="1:12">
      <c r="A117" s="301"/>
      <c r="B117" s="48"/>
      <c r="C117" s="48"/>
      <c r="D117" s="51"/>
      <c r="E117" s="48"/>
      <c r="F117" s="48"/>
      <c r="G117" s="48" t="s">
        <v>1055</v>
      </c>
      <c r="H117" s="56">
        <v>1.9</v>
      </c>
      <c r="I117" s="56">
        <v>0.4</v>
      </c>
      <c r="J117" s="51" t="s">
        <v>439</v>
      </c>
      <c r="K117" s="51">
        <v>3.6</v>
      </c>
      <c r="L117" s="214"/>
    </row>
    <row r="118" s="31" customFormat="1" customHeight="1" spans="1:12">
      <c r="A118" s="301"/>
      <c r="B118" s="48"/>
      <c r="C118" s="48"/>
      <c r="D118" s="51"/>
      <c r="E118" s="48"/>
      <c r="F118" s="48"/>
      <c r="G118" s="48" t="s">
        <v>1051</v>
      </c>
      <c r="H118" s="56">
        <v>2.65</v>
      </c>
      <c r="I118" s="56">
        <v>0.5</v>
      </c>
      <c r="J118" s="51" t="s">
        <v>24</v>
      </c>
      <c r="K118" s="51" t="s">
        <v>24</v>
      </c>
      <c r="L118" s="214"/>
    </row>
    <row r="119" s="31" customFormat="1" customHeight="1" spans="1:12">
      <c r="A119" s="299">
        <v>45699</v>
      </c>
      <c r="B119" s="214" t="s">
        <v>1118</v>
      </c>
      <c r="C119" s="214" t="s">
        <v>462</v>
      </c>
      <c r="D119" s="51">
        <v>4</v>
      </c>
      <c r="E119" s="214" t="s">
        <v>486</v>
      </c>
      <c r="F119" s="214" t="s">
        <v>1091</v>
      </c>
      <c r="G119" s="48" t="s">
        <v>1047</v>
      </c>
      <c r="H119" s="56">
        <v>1.54</v>
      </c>
      <c r="I119" s="56">
        <v>3.26</v>
      </c>
      <c r="J119" s="51" t="s">
        <v>17</v>
      </c>
      <c r="K119" s="51">
        <v>2.13</v>
      </c>
      <c r="L119" s="214" t="s">
        <v>27</v>
      </c>
    </row>
    <row r="120" s="31" customFormat="1" customHeight="1" spans="1:12">
      <c r="A120" s="299"/>
      <c r="B120" s="48"/>
      <c r="C120" s="48"/>
      <c r="D120" s="51"/>
      <c r="E120" s="48"/>
      <c r="F120" s="48"/>
      <c r="G120" s="48" t="s">
        <v>1048</v>
      </c>
      <c r="H120" s="56">
        <v>2.02</v>
      </c>
      <c r="I120" s="56">
        <v>0.16</v>
      </c>
      <c r="J120" s="51" t="s">
        <v>22</v>
      </c>
      <c r="K120" s="51">
        <v>2.3</v>
      </c>
      <c r="L120" s="214"/>
    </row>
    <row r="121" s="31" customFormat="1" customHeight="1" spans="1:12">
      <c r="A121" s="299"/>
      <c r="B121" s="48"/>
      <c r="C121" s="48"/>
      <c r="D121" s="51"/>
      <c r="E121" s="48"/>
      <c r="F121" s="48"/>
      <c r="G121" s="48" t="s">
        <v>1113</v>
      </c>
      <c r="H121" s="56">
        <v>3.05</v>
      </c>
      <c r="I121" s="56">
        <v>0.38</v>
      </c>
      <c r="J121" s="51" t="s">
        <v>24</v>
      </c>
      <c r="K121" s="51" t="s">
        <v>24</v>
      </c>
      <c r="L121" s="214"/>
    </row>
    <row r="122" s="31" customFormat="1" customHeight="1" spans="1:12">
      <c r="A122" s="299"/>
      <c r="B122" s="48"/>
      <c r="C122" s="48"/>
      <c r="D122" s="51"/>
      <c r="E122" s="48"/>
      <c r="F122" s="48"/>
      <c r="G122" s="48" t="s">
        <v>1114</v>
      </c>
      <c r="H122" s="56">
        <v>3.05</v>
      </c>
      <c r="I122" s="56">
        <v>0.2</v>
      </c>
      <c r="J122" s="51" t="s">
        <v>24</v>
      </c>
      <c r="K122" s="51" t="s">
        <v>24</v>
      </c>
      <c r="L122" s="214"/>
    </row>
    <row r="123" customHeight="1" spans="1:12">
      <c r="A123" s="299">
        <v>45708</v>
      </c>
      <c r="B123" s="214" t="s">
        <v>1119</v>
      </c>
      <c r="C123" s="214" t="s">
        <v>459</v>
      </c>
      <c r="D123" s="51">
        <v>10</v>
      </c>
      <c r="E123" s="214" t="s">
        <v>484</v>
      </c>
      <c r="F123" s="214" t="s">
        <v>523</v>
      </c>
      <c r="G123" s="48" t="s">
        <v>1047</v>
      </c>
      <c r="H123" s="56">
        <v>2</v>
      </c>
      <c r="I123" s="56">
        <v>8.7</v>
      </c>
      <c r="J123" s="105" t="s">
        <v>17</v>
      </c>
      <c r="K123" s="51">
        <v>2.19</v>
      </c>
      <c r="L123" s="214" t="s">
        <v>35</v>
      </c>
    </row>
    <row r="124" customHeight="1" spans="1:12">
      <c r="G124" s="48" t="s">
        <v>1048</v>
      </c>
      <c r="H124" s="56">
        <v>2.07</v>
      </c>
      <c r="I124" s="56">
        <v>0.4</v>
      </c>
      <c r="J124" s="105" t="s">
        <v>22</v>
      </c>
      <c r="K124" s="51">
        <v>2.28</v>
      </c>
      <c r="L124" s="214"/>
    </row>
    <row r="125" customHeight="1" spans="1:12">
      <c r="G125" s="48" t="s">
        <v>1050</v>
      </c>
      <c r="H125" s="56">
        <v>2.07</v>
      </c>
      <c r="I125" s="56">
        <v>0.4</v>
      </c>
      <c r="J125" s="105" t="s">
        <v>439</v>
      </c>
      <c r="K125" s="51">
        <v>3.6</v>
      </c>
      <c r="L125" s="214"/>
    </row>
    <row r="126" customHeight="1" spans="1:12">
      <c r="G126" s="48" t="s">
        <v>1051</v>
      </c>
      <c r="H126" s="56">
        <v>2.83</v>
      </c>
      <c r="I126" s="56">
        <v>0.5</v>
      </c>
      <c r="J126" s="105" t="s">
        <v>24</v>
      </c>
      <c r="K126" s="51" t="s">
        <v>24</v>
      </c>
      <c r="L126" s="214"/>
    </row>
    <row r="127" customHeight="1" spans="1:12">
      <c r="A127" s="302">
        <v>45707</v>
      </c>
      <c r="B127" s="303" t="s">
        <v>1120</v>
      </c>
      <c r="C127" s="303" t="s">
        <v>462</v>
      </c>
      <c r="D127" s="304">
        <v>10</v>
      </c>
      <c r="E127" s="303" t="s">
        <v>1057</v>
      </c>
      <c r="F127" s="303" t="s">
        <v>474</v>
      </c>
      <c r="G127" s="48" t="s">
        <v>1121</v>
      </c>
      <c r="H127" s="56">
        <v>1.07</v>
      </c>
      <c r="I127" s="56">
        <v>7</v>
      </c>
      <c r="J127" s="105" t="s">
        <v>17</v>
      </c>
      <c r="K127" s="51">
        <v>2</v>
      </c>
      <c r="L127" s="305" t="s">
        <v>41</v>
      </c>
    </row>
    <row r="128" customHeight="1" spans="1:12">
      <c r="A128" s="306"/>
      <c r="B128" s="89"/>
      <c r="C128" s="89"/>
      <c r="D128" s="307"/>
      <c r="E128" s="89"/>
      <c r="F128" s="89"/>
      <c r="G128" s="48" t="s">
        <v>1122</v>
      </c>
      <c r="H128" s="56">
        <v>1.24</v>
      </c>
      <c r="I128" s="56">
        <v>1.55</v>
      </c>
      <c r="J128" s="105" t="s">
        <v>17</v>
      </c>
      <c r="K128" s="51">
        <v>2.09</v>
      </c>
      <c r="L128" s="308"/>
    </row>
    <row r="129" customHeight="1" spans="1:12">
      <c r="A129" s="306"/>
      <c r="B129" s="89"/>
      <c r="C129" s="89"/>
      <c r="D129" s="307"/>
      <c r="E129" s="89"/>
      <c r="F129" s="89"/>
      <c r="G129" s="48" t="s">
        <v>1048</v>
      </c>
      <c r="H129" s="56">
        <v>1.29</v>
      </c>
      <c r="I129" s="56">
        <v>0.5</v>
      </c>
      <c r="J129" s="105" t="s">
        <v>22</v>
      </c>
      <c r="K129" s="51">
        <v>2.28</v>
      </c>
      <c r="L129" s="308"/>
    </row>
    <row r="130" customHeight="1" spans="1:12">
      <c r="A130" s="306"/>
      <c r="B130" s="89"/>
      <c r="C130" s="89"/>
      <c r="D130" s="307"/>
      <c r="E130" s="89"/>
      <c r="F130" s="89"/>
      <c r="G130" s="48" t="s">
        <v>1050</v>
      </c>
      <c r="H130" s="56">
        <v>1.37</v>
      </c>
      <c r="I130" s="56">
        <v>0.45</v>
      </c>
      <c r="J130" s="105" t="s">
        <v>351</v>
      </c>
      <c r="K130" s="51">
        <v>4.7</v>
      </c>
      <c r="L130" s="308"/>
    </row>
    <row r="131" customHeight="1" spans="1:12">
      <c r="A131" s="309"/>
      <c r="B131" s="90"/>
      <c r="C131" s="90"/>
      <c r="D131" s="310"/>
      <c r="E131" s="90"/>
      <c r="F131" s="90"/>
      <c r="G131" s="48" t="s">
        <v>1051</v>
      </c>
      <c r="H131" s="56">
        <v>1.75</v>
      </c>
      <c r="I131" s="56">
        <v>0.5</v>
      </c>
      <c r="J131" s="105" t="s">
        <v>24</v>
      </c>
      <c r="K131" s="51" t="s">
        <v>24</v>
      </c>
      <c r="L131" s="311"/>
    </row>
    <row r="132" customHeight="1" spans="1:12">
      <c r="A132" s="299">
        <v>45706</v>
      </c>
      <c r="B132" s="214" t="s">
        <v>1123</v>
      </c>
      <c r="C132" s="214" t="s">
        <v>459</v>
      </c>
      <c r="D132" s="51">
        <v>10</v>
      </c>
      <c r="E132" s="214" t="s">
        <v>552</v>
      </c>
      <c r="F132" s="214" t="s">
        <v>474</v>
      </c>
      <c r="G132" s="48" t="s">
        <v>1047</v>
      </c>
      <c r="H132" s="56">
        <v>2</v>
      </c>
      <c r="I132" s="56">
        <v>8.35</v>
      </c>
      <c r="J132" s="105" t="s">
        <v>17</v>
      </c>
      <c r="K132" s="51">
        <v>2.28</v>
      </c>
      <c r="L132" s="214" t="s">
        <v>67</v>
      </c>
    </row>
    <row r="133" customHeight="1" spans="1:12">
      <c r="G133" s="48" t="s">
        <v>1048</v>
      </c>
      <c r="H133" s="56">
        <v>2</v>
      </c>
      <c r="I133" s="56">
        <v>0.45</v>
      </c>
      <c r="J133" s="105" t="s">
        <v>22</v>
      </c>
      <c r="K133" s="51">
        <v>2.6</v>
      </c>
      <c r="L133" s="214"/>
    </row>
    <row r="134" customHeight="1" spans="1:12">
      <c r="G134" s="48" t="s">
        <v>1050</v>
      </c>
      <c r="H134" s="56">
        <v>2</v>
      </c>
      <c r="I134" s="56">
        <v>0.75</v>
      </c>
      <c r="J134" s="105" t="s">
        <v>44</v>
      </c>
      <c r="K134" s="51">
        <v>4</v>
      </c>
      <c r="L134" s="214"/>
    </row>
    <row r="135" customHeight="1" spans="1:12">
      <c r="G135" s="48" t="s">
        <v>1051</v>
      </c>
      <c r="H135" s="56">
        <v>2</v>
      </c>
      <c r="I135" s="56">
        <v>0.45</v>
      </c>
      <c r="J135" s="105" t="s">
        <v>24</v>
      </c>
      <c r="K135" s="51" t="s">
        <v>24</v>
      </c>
      <c r="L135" s="214"/>
    </row>
    <row r="136" customHeight="1" spans="1:12">
      <c r="A136" s="299">
        <v>45702</v>
      </c>
      <c r="B136" s="214" t="s">
        <v>1124</v>
      </c>
      <c r="C136" s="214" t="s">
        <v>462</v>
      </c>
      <c r="D136" s="51">
        <v>5</v>
      </c>
      <c r="E136" s="214" t="s">
        <v>486</v>
      </c>
      <c r="F136" s="214" t="s">
        <v>1117</v>
      </c>
      <c r="G136" s="48" t="s">
        <v>1047</v>
      </c>
      <c r="H136" s="56">
        <v>1.03</v>
      </c>
      <c r="I136" s="56">
        <v>4.2</v>
      </c>
      <c r="J136" s="105" t="s">
        <v>17</v>
      </c>
      <c r="K136" s="51">
        <v>1.96</v>
      </c>
      <c r="L136" s="214" t="s">
        <v>27</v>
      </c>
    </row>
    <row r="137" customHeight="1" spans="1:12">
      <c r="G137" s="48" t="s">
        <v>1048</v>
      </c>
      <c r="H137" s="56">
        <v>1.03</v>
      </c>
      <c r="I137" s="56">
        <v>0.3</v>
      </c>
      <c r="J137" s="105" t="s">
        <v>22</v>
      </c>
      <c r="K137" s="51">
        <v>2.05</v>
      </c>
      <c r="L137" s="214"/>
    </row>
    <row r="138" customHeight="1" spans="1:12">
      <c r="G138" s="48" t="s">
        <v>1125</v>
      </c>
      <c r="H138" s="56">
        <v>1.44</v>
      </c>
      <c r="I138" s="56">
        <v>0.25</v>
      </c>
      <c r="J138" s="105" t="s">
        <v>24</v>
      </c>
      <c r="K138" s="51" t="s">
        <v>24</v>
      </c>
      <c r="L138" s="214"/>
    </row>
    <row r="139" customHeight="1" spans="1:12">
      <c r="G139" s="48" t="s">
        <v>1126</v>
      </c>
      <c r="H139" s="56">
        <v>1.44</v>
      </c>
      <c r="I139" s="56">
        <v>0.25</v>
      </c>
      <c r="J139" s="105" t="s">
        <v>24</v>
      </c>
      <c r="K139" s="51" t="s">
        <v>24</v>
      </c>
      <c r="L139" s="214"/>
    </row>
    <row r="140" customHeight="1" spans="1:12">
      <c r="A140" s="299">
        <v>45702</v>
      </c>
      <c r="B140" s="214" t="s">
        <v>1127</v>
      </c>
      <c r="C140" s="214" t="s">
        <v>462</v>
      </c>
      <c r="D140" s="51">
        <v>10</v>
      </c>
      <c r="E140" s="214" t="s">
        <v>484</v>
      </c>
      <c r="F140" s="214" t="s">
        <v>1054</v>
      </c>
      <c r="G140" s="48" t="s">
        <v>1047</v>
      </c>
      <c r="H140" s="56">
        <v>1.83</v>
      </c>
      <c r="I140" s="56">
        <v>8.7</v>
      </c>
      <c r="J140" s="105" t="s">
        <v>17</v>
      </c>
      <c r="K140" s="51">
        <v>2.12</v>
      </c>
      <c r="L140" s="214" t="s">
        <v>35</v>
      </c>
    </row>
    <row r="141" customHeight="1" spans="1:12">
      <c r="G141" s="48" t="s">
        <v>1048</v>
      </c>
      <c r="H141" s="56">
        <v>1.91</v>
      </c>
      <c r="I141" s="56">
        <v>0.4</v>
      </c>
      <c r="J141" s="105" t="s">
        <v>22</v>
      </c>
      <c r="K141" s="51">
        <v>2.28</v>
      </c>
      <c r="L141" s="214"/>
    </row>
    <row r="142" customHeight="1" spans="1:12">
      <c r="G142" s="48" t="s">
        <v>1050</v>
      </c>
      <c r="H142" s="56">
        <v>1.91</v>
      </c>
      <c r="I142" s="56">
        <v>0.4</v>
      </c>
      <c r="J142" s="105" t="s">
        <v>439</v>
      </c>
      <c r="K142" s="105">
        <v>3.6</v>
      </c>
      <c r="L142" s="214"/>
    </row>
    <row r="143" customHeight="1" spans="1:12">
      <c r="G143" s="48" t="s">
        <v>1051</v>
      </c>
      <c r="H143" s="56">
        <v>2.66</v>
      </c>
      <c r="I143" s="56">
        <v>0.5</v>
      </c>
      <c r="J143" s="105" t="s">
        <v>24</v>
      </c>
      <c r="K143" s="105" t="s">
        <v>24</v>
      </c>
      <c r="L143" s="214"/>
    </row>
    <row r="144" customHeight="1" spans="1:12">
      <c r="A144" s="302">
        <v>45714</v>
      </c>
      <c r="B144" s="303" t="s">
        <v>1128</v>
      </c>
      <c r="C144" s="303" t="s">
        <v>462</v>
      </c>
      <c r="D144" s="304">
        <v>5</v>
      </c>
      <c r="E144" s="303" t="s">
        <v>911</v>
      </c>
      <c r="F144" s="303" t="s">
        <v>482</v>
      </c>
      <c r="G144" s="112" t="s">
        <v>1047</v>
      </c>
      <c r="H144" s="56">
        <v>2</v>
      </c>
      <c r="I144" s="56">
        <v>4.35</v>
      </c>
      <c r="J144" s="105" t="s">
        <v>17</v>
      </c>
      <c r="K144" s="105">
        <v>1.97</v>
      </c>
      <c r="L144" s="303" t="s">
        <v>35</v>
      </c>
    </row>
    <row r="145" customHeight="1" spans="1:12">
      <c r="A145" s="306"/>
      <c r="B145" s="89"/>
      <c r="C145" s="89"/>
      <c r="D145" s="307"/>
      <c r="E145" s="89"/>
      <c r="F145" s="89"/>
      <c r="G145" s="112" t="s">
        <v>1048</v>
      </c>
      <c r="H145" s="56">
        <v>2</v>
      </c>
      <c r="I145" s="56">
        <v>0.15</v>
      </c>
      <c r="J145" s="105" t="s">
        <v>22</v>
      </c>
      <c r="K145" s="105">
        <v>2.15</v>
      </c>
      <c r="L145" s="312"/>
    </row>
    <row r="146" customHeight="1" spans="1:12">
      <c r="A146" s="306"/>
      <c r="B146" s="89"/>
      <c r="C146" s="89"/>
      <c r="D146" s="307"/>
      <c r="E146" s="89"/>
      <c r="F146" s="89"/>
      <c r="G146" s="112" t="s">
        <v>1050</v>
      </c>
      <c r="H146" s="56">
        <v>2</v>
      </c>
      <c r="I146" s="56">
        <v>0.25</v>
      </c>
      <c r="J146" s="105" t="s">
        <v>439</v>
      </c>
      <c r="K146" s="105">
        <v>3.6</v>
      </c>
      <c r="L146" s="312"/>
    </row>
    <row r="147" customHeight="1" spans="1:12">
      <c r="A147" s="309"/>
      <c r="B147" s="90"/>
      <c r="C147" s="90"/>
      <c r="D147" s="310"/>
      <c r="E147" s="90"/>
      <c r="F147" s="90"/>
      <c r="G147" s="112" t="s">
        <v>1051</v>
      </c>
      <c r="H147" s="56">
        <v>2</v>
      </c>
      <c r="I147" s="56">
        <v>0.25</v>
      </c>
      <c r="J147" s="105" t="s">
        <v>24</v>
      </c>
      <c r="K147" s="105" t="s">
        <v>24</v>
      </c>
      <c r="L147" s="313"/>
    </row>
    <row r="148" customHeight="1" spans="1:12">
      <c r="A148" s="299">
        <v>45714</v>
      </c>
      <c r="B148" s="214" t="s">
        <v>1129</v>
      </c>
      <c r="C148" s="214" t="s">
        <v>462</v>
      </c>
      <c r="D148" s="51">
        <v>10</v>
      </c>
      <c r="E148" s="214" t="s">
        <v>1109</v>
      </c>
      <c r="F148" s="214" t="s">
        <v>460</v>
      </c>
      <c r="G148" s="112" t="s">
        <v>1047</v>
      </c>
      <c r="H148" s="56">
        <v>1.5</v>
      </c>
      <c r="I148" s="56">
        <v>8.46</v>
      </c>
      <c r="J148" s="105" t="s">
        <v>17</v>
      </c>
      <c r="K148" s="105">
        <v>2.23</v>
      </c>
      <c r="L148" s="305" t="s">
        <v>27</v>
      </c>
    </row>
    <row r="149" customHeight="1" spans="1:12">
      <c r="G149" s="112" t="s">
        <v>1048</v>
      </c>
      <c r="H149" s="56">
        <v>1.67</v>
      </c>
      <c r="I149" s="56">
        <v>0.464</v>
      </c>
      <c r="J149" s="105" t="s">
        <v>22</v>
      </c>
      <c r="K149" s="105">
        <v>2.33</v>
      </c>
      <c r="L149" s="308"/>
    </row>
    <row r="150" customHeight="1" spans="1:12">
      <c r="G150" s="112" t="s">
        <v>1051</v>
      </c>
      <c r="H150" s="56">
        <v>1.75</v>
      </c>
      <c r="I150" s="56">
        <v>1.076</v>
      </c>
      <c r="J150" s="105" t="s">
        <v>24</v>
      </c>
      <c r="K150" s="105" t="s">
        <v>24</v>
      </c>
      <c r="L150" s="311"/>
    </row>
    <row r="151" customHeight="1" spans="1:12">
      <c r="A151" s="302">
        <v>45715</v>
      </c>
      <c r="B151" s="303" t="s">
        <v>1130</v>
      </c>
      <c r="C151" s="303" t="s">
        <v>459</v>
      </c>
      <c r="D151" s="304">
        <v>10</v>
      </c>
      <c r="E151" s="303" t="s">
        <v>1057</v>
      </c>
      <c r="F151" s="303" t="s">
        <v>474</v>
      </c>
      <c r="G151" s="112" t="s">
        <v>1121</v>
      </c>
      <c r="H151" s="56">
        <v>1.08</v>
      </c>
      <c r="I151" s="56">
        <v>7</v>
      </c>
      <c r="J151" s="105" t="s">
        <v>17</v>
      </c>
      <c r="K151" s="105">
        <v>2.18</v>
      </c>
      <c r="L151" s="305" t="s">
        <v>41</v>
      </c>
    </row>
    <row r="152" customHeight="1" spans="1:12">
      <c r="A152" s="306"/>
      <c r="B152" s="89"/>
      <c r="C152" s="89"/>
      <c r="D152" s="307"/>
      <c r="E152" s="89"/>
      <c r="F152" s="89"/>
      <c r="G152" s="112" t="s">
        <v>1122</v>
      </c>
      <c r="H152" s="56">
        <v>1.25</v>
      </c>
      <c r="I152" s="56">
        <v>1.55</v>
      </c>
      <c r="J152" s="105" t="s">
        <v>17</v>
      </c>
      <c r="K152" s="105">
        <v>2.28</v>
      </c>
      <c r="L152" s="308"/>
    </row>
    <row r="153" customHeight="1" spans="1:12">
      <c r="A153" s="306"/>
      <c r="B153" s="89"/>
      <c r="C153" s="89"/>
      <c r="D153" s="307"/>
      <c r="E153" s="89"/>
      <c r="F153" s="89"/>
      <c r="G153" s="112" t="s">
        <v>1048</v>
      </c>
      <c r="H153" s="56">
        <v>1.25</v>
      </c>
      <c r="I153" s="56">
        <v>0.5</v>
      </c>
      <c r="J153" s="105" t="s">
        <v>22</v>
      </c>
      <c r="K153" s="105">
        <v>2.39</v>
      </c>
      <c r="L153" s="308"/>
    </row>
    <row r="154" customHeight="1" spans="1:12">
      <c r="A154" s="306"/>
      <c r="B154" s="89"/>
      <c r="C154" s="89"/>
      <c r="D154" s="307"/>
      <c r="E154" s="89"/>
      <c r="F154" s="89"/>
      <c r="G154" s="112" t="s">
        <v>1050</v>
      </c>
      <c r="H154" s="56">
        <v>1.42</v>
      </c>
      <c r="I154" s="56">
        <v>0.45</v>
      </c>
      <c r="J154" s="105" t="s">
        <v>1131</v>
      </c>
      <c r="K154" s="105">
        <v>4.7</v>
      </c>
      <c r="L154" s="308"/>
    </row>
    <row r="155" customHeight="1" spans="1:12">
      <c r="A155" s="309"/>
      <c r="B155" s="90"/>
      <c r="C155" s="90"/>
      <c r="D155" s="310"/>
      <c r="E155" s="90"/>
      <c r="F155" s="90"/>
      <c r="G155" s="112" t="s">
        <v>1051</v>
      </c>
      <c r="H155" s="56">
        <v>1.75</v>
      </c>
      <c r="I155" s="56">
        <v>0.5</v>
      </c>
      <c r="J155" s="105" t="s">
        <v>24</v>
      </c>
      <c r="K155" s="105" t="s">
        <v>24</v>
      </c>
      <c r="L155" s="311"/>
    </row>
    <row r="156" customHeight="1" spans="1:12">
      <c r="A156" s="302">
        <v>45713</v>
      </c>
      <c r="B156" s="303" t="s">
        <v>1132</v>
      </c>
      <c r="C156" s="303" t="s">
        <v>459</v>
      </c>
      <c r="D156" s="304">
        <v>6</v>
      </c>
      <c r="E156" s="303" t="s">
        <v>486</v>
      </c>
      <c r="F156" s="303" t="s">
        <v>487</v>
      </c>
      <c r="G156" s="112" t="s">
        <v>1047</v>
      </c>
      <c r="H156" s="56">
        <v>1.83</v>
      </c>
      <c r="I156" s="56">
        <v>5.28</v>
      </c>
      <c r="J156" s="105" t="s">
        <v>17</v>
      </c>
      <c r="K156" s="105">
        <v>2.05</v>
      </c>
      <c r="L156" s="305" t="s">
        <v>86</v>
      </c>
    </row>
    <row r="157" customHeight="1" spans="1:12">
      <c r="A157" s="306"/>
      <c r="B157" s="89"/>
      <c r="C157" s="89"/>
      <c r="D157" s="307"/>
      <c r="E157" s="89"/>
      <c r="F157" s="89"/>
      <c r="G157" s="112" t="s">
        <v>1048</v>
      </c>
      <c r="H157" s="56">
        <v>1.92</v>
      </c>
      <c r="I157" s="56">
        <v>0.36</v>
      </c>
      <c r="J157" s="105" t="s">
        <v>22</v>
      </c>
      <c r="K157" s="105">
        <v>2.2</v>
      </c>
      <c r="L157" s="308"/>
    </row>
    <row r="158" customHeight="1" spans="1:12">
      <c r="A158" s="306"/>
      <c r="B158" s="89"/>
      <c r="C158" s="89"/>
      <c r="D158" s="307"/>
      <c r="E158" s="89"/>
      <c r="F158" s="89"/>
      <c r="G158" s="112" t="s">
        <v>1051</v>
      </c>
      <c r="H158" s="56">
        <v>2</v>
      </c>
      <c r="I158" s="56">
        <v>0.36</v>
      </c>
      <c r="J158" s="105" t="s">
        <v>24</v>
      </c>
      <c r="K158" s="105" t="s">
        <v>24</v>
      </c>
      <c r="L158" s="311"/>
    </row>
    <row r="159" customHeight="1" spans="1:12">
      <c r="A159" s="302">
        <v>45709</v>
      </c>
      <c r="B159" s="303" t="s">
        <v>1133</v>
      </c>
      <c r="C159" s="303" t="s">
        <v>462</v>
      </c>
      <c r="D159" s="304">
        <v>1.07</v>
      </c>
      <c r="E159" s="303" t="s">
        <v>492</v>
      </c>
      <c r="F159" s="303" t="s">
        <v>1046</v>
      </c>
      <c r="G159" s="112" t="s">
        <v>1047</v>
      </c>
      <c r="H159" s="56">
        <v>1</v>
      </c>
      <c r="I159" s="56">
        <v>0.96</v>
      </c>
      <c r="J159" s="105" t="s">
        <v>17</v>
      </c>
      <c r="K159" s="105">
        <v>2.7</v>
      </c>
      <c r="L159" s="305" t="s">
        <v>1134</v>
      </c>
    </row>
    <row r="160" customHeight="1" spans="1:12">
      <c r="A160" s="306"/>
      <c r="B160" s="89"/>
      <c r="C160" s="89"/>
      <c r="D160" s="307"/>
      <c r="E160" s="89"/>
      <c r="F160" s="89"/>
      <c r="G160" s="112" t="s">
        <v>1048</v>
      </c>
      <c r="H160" s="56">
        <v>1</v>
      </c>
      <c r="I160" s="56">
        <v>0.05</v>
      </c>
      <c r="J160" s="105" t="s">
        <v>22</v>
      </c>
      <c r="K160" s="105">
        <v>4</v>
      </c>
      <c r="L160" s="308"/>
    </row>
    <row r="161" customHeight="1" spans="1:12">
      <c r="A161" s="306"/>
      <c r="B161" s="89"/>
      <c r="C161" s="89"/>
      <c r="D161" s="307"/>
      <c r="E161" s="89"/>
      <c r="F161" s="89"/>
      <c r="G161" s="112" t="s">
        <v>1051</v>
      </c>
      <c r="H161" s="56">
        <v>1</v>
      </c>
      <c r="I161" s="56">
        <v>0.06</v>
      </c>
      <c r="J161" s="105" t="s">
        <v>24</v>
      </c>
      <c r="K161" s="105" t="s">
        <v>24</v>
      </c>
      <c r="L161" s="311"/>
    </row>
    <row r="162" customHeight="1" spans="1:12">
      <c r="A162" s="302">
        <v>45708</v>
      </c>
      <c r="B162" s="303" t="s">
        <v>1135</v>
      </c>
      <c r="C162" s="303" t="s">
        <v>462</v>
      </c>
      <c r="D162" s="304">
        <v>8</v>
      </c>
      <c r="E162" s="303" t="s">
        <v>1136</v>
      </c>
      <c r="F162" s="303" t="s">
        <v>530</v>
      </c>
      <c r="G162" s="112" t="s">
        <v>1137</v>
      </c>
      <c r="H162" s="56">
        <v>1</v>
      </c>
      <c r="I162" s="56">
        <v>7.88</v>
      </c>
      <c r="J162" s="105" t="s">
        <v>17</v>
      </c>
      <c r="K162" s="51">
        <v>2.7</v>
      </c>
      <c r="L162" s="305" t="s">
        <v>1082</v>
      </c>
    </row>
    <row r="163" customHeight="1" spans="1:12">
      <c r="A163" s="306"/>
      <c r="B163" s="89"/>
      <c r="C163" s="89"/>
      <c r="D163" s="307"/>
      <c r="E163" s="89"/>
      <c r="F163" s="89"/>
      <c r="G163" s="112" t="s">
        <v>1051</v>
      </c>
      <c r="H163" s="105">
        <v>3</v>
      </c>
      <c r="I163" s="105">
        <v>0.12</v>
      </c>
      <c r="J163" s="105" t="s">
        <v>24</v>
      </c>
      <c r="K163" s="105" t="s">
        <v>24</v>
      </c>
      <c r="L163" s="311"/>
    </row>
    <row r="164" customHeight="1" spans="1:12">
      <c r="A164" s="302">
        <v>45709</v>
      </c>
      <c r="B164" s="303" t="s">
        <v>1138</v>
      </c>
      <c r="C164" s="303" t="s">
        <v>462</v>
      </c>
      <c r="D164" s="304">
        <v>4.19</v>
      </c>
      <c r="E164" s="303" t="s">
        <v>1139</v>
      </c>
      <c r="F164" s="303" t="s">
        <v>1140</v>
      </c>
      <c r="G164" s="112" t="s">
        <v>1121</v>
      </c>
      <c r="H164" s="105">
        <v>0.92</v>
      </c>
      <c r="I164" s="105">
        <v>1.4</v>
      </c>
      <c r="J164" s="105" t="s">
        <v>17</v>
      </c>
      <c r="K164" s="105">
        <v>2.05</v>
      </c>
      <c r="L164" s="305" t="s">
        <v>435</v>
      </c>
    </row>
    <row r="165" customHeight="1" spans="1:12">
      <c r="A165" s="306"/>
      <c r="B165" s="89"/>
      <c r="C165" s="89"/>
      <c r="D165" s="307"/>
      <c r="E165" s="89"/>
      <c r="F165" s="89"/>
      <c r="G165" s="112" t="s">
        <v>1122</v>
      </c>
      <c r="H165" s="105">
        <v>1.92</v>
      </c>
      <c r="I165" s="105">
        <v>1.48</v>
      </c>
      <c r="J165" s="105" t="s">
        <v>17</v>
      </c>
      <c r="K165" s="105">
        <v>2.12</v>
      </c>
      <c r="L165" s="308"/>
    </row>
    <row r="166" customHeight="1" spans="1:12">
      <c r="A166" s="306"/>
      <c r="B166" s="89"/>
      <c r="C166" s="89"/>
      <c r="D166" s="307"/>
      <c r="E166" s="89"/>
      <c r="F166" s="89"/>
      <c r="G166" s="112" t="s">
        <v>1141</v>
      </c>
      <c r="H166" s="105">
        <v>2.58</v>
      </c>
      <c r="I166" s="105">
        <v>1.1</v>
      </c>
      <c r="J166" s="105" t="s">
        <v>17</v>
      </c>
      <c r="K166" s="105">
        <v>2.28</v>
      </c>
      <c r="L166" s="308"/>
    </row>
    <row r="167" customHeight="1" spans="1:12">
      <c r="A167" s="309"/>
      <c r="B167" s="90"/>
      <c r="C167" s="90"/>
      <c r="D167" s="310"/>
      <c r="E167" s="90"/>
      <c r="F167" s="90"/>
      <c r="G167" s="112" t="s">
        <v>1051</v>
      </c>
      <c r="H167" s="105">
        <v>1.75</v>
      </c>
      <c r="I167" s="105">
        <v>0.21</v>
      </c>
      <c r="J167" s="105" t="s">
        <v>24</v>
      </c>
      <c r="K167" s="105" t="s">
        <v>24</v>
      </c>
      <c r="L167" s="311"/>
    </row>
    <row r="168" customHeight="1" spans="1:12">
      <c r="A168" s="302">
        <v>45713</v>
      </c>
      <c r="B168" s="303" t="s">
        <v>1142</v>
      </c>
      <c r="C168" s="303" t="s">
        <v>459</v>
      </c>
      <c r="D168" s="304">
        <v>10</v>
      </c>
      <c r="E168" s="303" t="s">
        <v>484</v>
      </c>
      <c r="F168" s="303" t="s">
        <v>523</v>
      </c>
      <c r="G168" s="112" t="s">
        <v>1047</v>
      </c>
      <c r="H168" s="105">
        <v>1.92</v>
      </c>
      <c r="I168" s="105">
        <v>8.7</v>
      </c>
      <c r="J168" s="105" t="s">
        <v>17</v>
      </c>
      <c r="K168" s="105">
        <v>2.25</v>
      </c>
      <c r="L168" s="305" t="s">
        <v>35</v>
      </c>
    </row>
    <row r="169" customHeight="1" spans="1:12">
      <c r="A169" s="306"/>
      <c r="B169" s="89"/>
      <c r="C169" s="89"/>
      <c r="D169" s="307"/>
      <c r="E169" s="89"/>
      <c r="F169" s="89"/>
      <c r="G169" s="112" t="s">
        <v>1048</v>
      </c>
      <c r="H169" s="105">
        <v>2</v>
      </c>
      <c r="I169" s="105">
        <v>0.4</v>
      </c>
      <c r="J169" s="105" t="s">
        <v>22</v>
      </c>
      <c r="K169" s="105">
        <v>2.29</v>
      </c>
      <c r="L169" s="308"/>
    </row>
    <row r="170" customHeight="1" spans="1:12">
      <c r="A170" s="306"/>
      <c r="B170" s="89"/>
      <c r="C170" s="89"/>
      <c r="D170" s="307"/>
      <c r="E170" s="89"/>
      <c r="F170" s="89"/>
      <c r="G170" s="112" t="s">
        <v>1050</v>
      </c>
      <c r="H170" s="105">
        <v>2</v>
      </c>
      <c r="I170" s="105">
        <v>0.4</v>
      </c>
      <c r="J170" s="105" t="s">
        <v>439</v>
      </c>
      <c r="K170" s="105">
        <v>3.6</v>
      </c>
      <c r="L170" s="308"/>
    </row>
    <row r="171" customHeight="1" spans="1:12">
      <c r="A171" s="309"/>
      <c r="B171" s="90"/>
      <c r="C171" s="90"/>
      <c r="D171" s="310"/>
      <c r="E171" s="90"/>
      <c r="F171" s="90"/>
      <c r="G171" s="112" t="s">
        <v>1051</v>
      </c>
      <c r="H171" s="105">
        <v>2.75</v>
      </c>
      <c r="I171" s="105">
        <v>0.5</v>
      </c>
      <c r="J171" s="105" t="s">
        <v>24</v>
      </c>
      <c r="K171" s="105" t="s">
        <v>24</v>
      </c>
      <c r="L171" s="311"/>
    </row>
    <row r="172" customHeight="1" spans="1:12">
      <c r="A172" s="302">
        <v>45714</v>
      </c>
      <c r="B172" s="303" t="s">
        <v>1143</v>
      </c>
      <c r="C172" s="303" t="s">
        <v>459</v>
      </c>
      <c r="D172" s="304">
        <v>10</v>
      </c>
      <c r="E172" s="303" t="s">
        <v>521</v>
      </c>
      <c r="F172" s="303" t="s">
        <v>487</v>
      </c>
      <c r="G172" s="112" t="s">
        <v>1121</v>
      </c>
      <c r="H172" s="105">
        <v>1.08</v>
      </c>
      <c r="I172" s="105">
        <v>3.2</v>
      </c>
      <c r="J172" s="105" t="s">
        <v>17</v>
      </c>
      <c r="K172" s="105">
        <v>2.15</v>
      </c>
      <c r="L172" s="305" t="s">
        <v>86</v>
      </c>
    </row>
    <row r="173" customHeight="1" spans="1:12">
      <c r="A173" s="306"/>
      <c r="B173" s="89"/>
      <c r="C173" s="89"/>
      <c r="D173" s="307"/>
      <c r="E173" s="89"/>
      <c r="F173" s="89"/>
      <c r="G173" s="112" t="s">
        <v>1122</v>
      </c>
      <c r="H173" s="105">
        <v>1.67</v>
      </c>
      <c r="I173" s="105">
        <v>5.8</v>
      </c>
      <c r="J173" s="105" t="s">
        <v>17</v>
      </c>
      <c r="K173" s="105">
        <v>2.2</v>
      </c>
      <c r="L173" s="308"/>
    </row>
    <row r="174" customHeight="1" spans="1:12">
      <c r="A174" s="306"/>
      <c r="B174" s="89"/>
      <c r="C174" s="89"/>
      <c r="D174" s="307"/>
      <c r="E174" s="89"/>
      <c r="F174" s="89"/>
      <c r="G174" s="112" t="s">
        <v>1048</v>
      </c>
      <c r="H174" s="105">
        <v>1.75</v>
      </c>
      <c r="I174" s="105">
        <v>0.5</v>
      </c>
      <c r="J174" s="105" t="s">
        <v>22</v>
      </c>
      <c r="K174" s="105">
        <v>2.3</v>
      </c>
      <c r="L174" s="308"/>
    </row>
    <row r="175" customHeight="1" spans="1:12">
      <c r="A175" s="309"/>
      <c r="B175" s="90"/>
      <c r="C175" s="90"/>
      <c r="D175" s="310"/>
      <c r="E175" s="90"/>
      <c r="F175" s="90"/>
      <c r="G175" s="112" t="s">
        <v>1051</v>
      </c>
      <c r="H175" s="105">
        <v>1.75</v>
      </c>
      <c r="I175" s="105">
        <v>0.5</v>
      </c>
      <c r="J175" s="105" t="s">
        <v>24</v>
      </c>
      <c r="K175" s="105" t="s">
        <v>24</v>
      </c>
      <c r="L175" s="311"/>
    </row>
    <row r="176" customHeight="1" spans="1:12">
      <c r="A176" s="302">
        <v>45707</v>
      </c>
      <c r="B176" s="303" t="s">
        <v>1144</v>
      </c>
      <c r="C176" s="303" t="s">
        <v>459</v>
      </c>
      <c r="D176" s="304">
        <v>10</v>
      </c>
      <c r="E176" s="303" t="s">
        <v>484</v>
      </c>
      <c r="F176" s="303" t="s">
        <v>1091</v>
      </c>
      <c r="G176" s="112" t="s">
        <v>1047</v>
      </c>
      <c r="H176" s="105">
        <v>2</v>
      </c>
      <c r="I176" s="105">
        <v>8.7</v>
      </c>
      <c r="J176" s="105" t="s">
        <v>17</v>
      </c>
      <c r="K176" s="105">
        <v>2.19</v>
      </c>
      <c r="L176" s="305" t="s">
        <v>35</v>
      </c>
    </row>
    <row r="177" customHeight="1" spans="1:12">
      <c r="A177" s="306"/>
      <c r="B177" s="89"/>
      <c r="C177" s="89"/>
      <c r="D177" s="307"/>
      <c r="E177" s="89"/>
      <c r="F177" s="89"/>
      <c r="G177" s="112" t="s">
        <v>1048</v>
      </c>
      <c r="H177" s="105">
        <v>2.08</v>
      </c>
      <c r="I177" s="105">
        <v>0.4</v>
      </c>
      <c r="J177" s="105" t="s">
        <v>22</v>
      </c>
      <c r="K177" s="105">
        <v>2.3</v>
      </c>
      <c r="L177" s="308"/>
    </row>
    <row r="178" customHeight="1" spans="1:12">
      <c r="A178" s="306"/>
      <c r="B178" s="89"/>
      <c r="C178" s="89"/>
      <c r="D178" s="307"/>
      <c r="E178" s="89"/>
      <c r="F178" s="89"/>
      <c r="G178" s="112" t="s">
        <v>1050</v>
      </c>
      <c r="H178" s="105">
        <v>2.08</v>
      </c>
      <c r="I178" s="105">
        <v>0.4</v>
      </c>
      <c r="J178" s="105" t="s">
        <v>439</v>
      </c>
      <c r="K178" s="105">
        <v>3.6</v>
      </c>
      <c r="L178" s="308"/>
    </row>
    <row r="179" customHeight="1" spans="1:12">
      <c r="A179" s="309"/>
      <c r="B179" s="90"/>
      <c r="C179" s="90"/>
      <c r="D179" s="310"/>
      <c r="E179" s="90"/>
      <c r="F179" s="90"/>
      <c r="G179" s="112" t="s">
        <v>1051</v>
      </c>
      <c r="H179" s="105">
        <v>2.75</v>
      </c>
      <c r="I179" s="105">
        <v>0.5</v>
      </c>
      <c r="J179" s="105" t="s">
        <v>24</v>
      </c>
      <c r="K179" s="105" t="s">
        <v>24</v>
      </c>
      <c r="L179" s="311"/>
    </row>
    <row r="180" customHeight="1" spans="1:12">
      <c r="A180" s="302">
        <v>45709</v>
      </c>
      <c r="B180" s="303" t="s">
        <v>1145</v>
      </c>
      <c r="C180" s="303" t="s">
        <v>462</v>
      </c>
      <c r="D180" s="304">
        <v>5</v>
      </c>
      <c r="E180" s="303" t="s">
        <v>486</v>
      </c>
      <c r="F180" s="303" t="s">
        <v>1117</v>
      </c>
      <c r="G180" s="112" t="s">
        <v>1047</v>
      </c>
      <c r="H180" s="105">
        <v>1</v>
      </c>
      <c r="I180" s="105">
        <v>4.2</v>
      </c>
      <c r="J180" s="105" t="s">
        <v>17</v>
      </c>
      <c r="K180" s="105">
        <v>2.05</v>
      </c>
      <c r="L180" s="305" t="s">
        <v>27</v>
      </c>
    </row>
    <row r="181" customHeight="1" spans="1:12">
      <c r="A181" s="306"/>
      <c r="B181" s="89"/>
      <c r="C181" s="89"/>
      <c r="D181" s="307"/>
      <c r="E181" s="89"/>
      <c r="F181" s="89"/>
      <c r="G181" s="112" t="s">
        <v>1048</v>
      </c>
      <c r="H181" s="105">
        <v>1</v>
      </c>
      <c r="I181" s="105">
        <v>0.3</v>
      </c>
      <c r="J181" s="105" t="s">
        <v>22</v>
      </c>
      <c r="K181" s="105">
        <v>2.13</v>
      </c>
      <c r="L181" s="308"/>
    </row>
    <row r="182" customHeight="1" spans="1:12">
      <c r="A182" s="306"/>
      <c r="B182" s="89"/>
      <c r="C182" s="89"/>
      <c r="D182" s="307"/>
      <c r="E182" s="89"/>
      <c r="F182" s="89"/>
      <c r="G182" s="112" t="s">
        <v>1146</v>
      </c>
      <c r="H182" s="105">
        <v>1.5</v>
      </c>
      <c r="I182" s="105">
        <v>0.25</v>
      </c>
      <c r="J182" s="105" t="s">
        <v>24</v>
      </c>
      <c r="K182" s="105" t="s">
        <v>24</v>
      </c>
      <c r="L182" s="308"/>
    </row>
    <row r="183" customHeight="1" spans="1:12">
      <c r="A183" s="309"/>
      <c r="B183" s="90"/>
      <c r="C183" s="90"/>
      <c r="D183" s="310"/>
      <c r="E183" s="90"/>
      <c r="F183" s="90"/>
      <c r="G183" s="112" t="s">
        <v>1147</v>
      </c>
      <c r="H183" s="105">
        <v>1.5</v>
      </c>
      <c r="I183" s="105">
        <v>0.25</v>
      </c>
      <c r="J183" s="105" t="s">
        <v>24</v>
      </c>
      <c r="K183" s="105" t="s">
        <v>24</v>
      </c>
      <c r="L183" s="311"/>
    </row>
    <row r="184" customHeight="1" spans="1:12">
      <c r="A184" s="302">
        <v>45720</v>
      </c>
      <c r="B184" s="303" t="s">
        <v>1148</v>
      </c>
      <c r="C184" s="303" t="s">
        <v>462</v>
      </c>
      <c r="D184" s="304">
        <v>10</v>
      </c>
      <c r="E184" s="303" t="s">
        <v>1057</v>
      </c>
      <c r="F184" s="303" t="s">
        <v>474</v>
      </c>
      <c r="G184" s="112" t="s">
        <v>1121</v>
      </c>
      <c r="H184" s="105">
        <v>1.08</v>
      </c>
      <c r="I184" s="105">
        <v>7</v>
      </c>
      <c r="J184" s="105" t="s">
        <v>17</v>
      </c>
      <c r="K184" s="105">
        <v>2.25</v>
      </c>
      <c r="L184" s="305" t="s">
        <v>41</v>
      </c>
    </row>
    <row r="185" customHeight="1" spans="1:12">
      <c r="A185" s="306"/>
      <c r="B185" s="89"/>
      <c r="C185" s="89"/>
      <c r="D185" s="307"/>
      <c r="E185" s="89"/>
      <c r="F185" s="89"/>
      <c r="G185" s="112" t="s">
        <v>1122</v>
      </c>
      <c r="H185" s="105">
        <v>1.08</v>
      </c>
      <c r="I185" s="105">
        <v>1.4</v>
      </c>
      <c r="J185" s="105" t="s">
        <v>17</v>
      </c>
      <c r="K185" s="105">
        <v>2.35</v>
      </c>
      <c r="L185" s="308"/>
    </row>
    <row r="186" customHeight="1" spans="1:12">
      <c r="A186" s="306"/>
      <c r="B186" s="89"/>
      <c r="C186" s="89"/>
      <c r="D186" s="307"/>
      <c r="E186" s="89"/>
      <c r="F186" s="89"/>
      <c r="G186" s="112" t="s">
        <v>1048</v>
      </c>
      <c r="H186" s="105">
        <v>1.17</v>
      </c>
      <c r="I186" s="105">
        <v>0.55</v>
      </c>
      <c r="J186" s="105" t="s">
        <v>22</v>
      </c>
      <c r="K186" s="105">
        <v>2.4</v>
      </c>
      <c r="L186" s="308"/>
    </row>
    <row r="187" customHeight="1" spans="1:12">
      <c r="A187" s="306"/>
      <c r="B187" s="89"/>
      <c r="C187" s="89"/>
      <c r="D187" s="307"/>
      <c r="E187" s="89"/>
      <c r="F187" s="89"/>
      <c r="G187" s="112" t="s">
        <v>1050</v>
      </c>
      <c r="H187" s="105">
        <v>1.25</v>
      </c>
      <c r="I187" s="105">
        <v>0.55</v>
      </c>
      <c r="J187" s="105" t="s">
        <v>351</v>
      </c>
      <c r="K187" s="105">
        <v>4.7</v>
      </c>
      <c r="L187" s="308"/>
    </row>
    <row r="188" customHeight="1" spans="1:12">
      <c r="A188" s="309"/>
      <c r="B188" s="90"/>
      <c r="C188" s="90"/>
      <c r="D188" s="310"/>
      <c r="E188" s="90"/>
      <c r="F188" s="90"/>
      <c r="G188" s="112" t="s">
        <v>1051</v>
      </c>
      <c r="H188" s="105">
        <v>1.83</v>
      </c>
      <c r="I188" s="105">
        <v>0.5</v>
      </c>
      <c r="J188" s="105" t="s">
        <v>24</v>
      </c>
      <c r="K188" s="105" t="s">
        <v>24</v>
      </c>
      <c r="L188" s="311"/>
    </row>
    <row r="189" customHeight="1" spans="1:12">
      <c r="A189" s="302">
        <v>45723</v>
      </c>
      <c r="B189" s="303" t="s">
        <v>1149</v>
      </c>
      <c r="C189" s="303" t="s">
        <v>459</v>
      </c>
      <c r="D189" s="304">
        <v>18.4</v>
      </c>
      <c r="E189" s="303" t="s">
        <v>1066</v>
      </c>
      <c r="F189" s="303" t="s">
        <v>482</v>
      </c>
      <c r="G189" s="112" t="s">
        <v>1047</v>
      </c>
      <c r="H189" s="105">
        <v>1</v>
      </c>
      <c r="I189" s="105">
        <v>17.8</v>
      </c>
      <c r="J189" s="105" t="s">
        <v>17</v>
      </c>
      <c r="K189" s="105">
        <v>2.3</v>
      </c>
      <c r="L189" s="305" t="s">
        <v>35</v>
      </c>
    </row>
    <row r="190" customHeight="1" spans="1:12">
      <c r="A190" s="306"/>
      <c r="B190" s="89"/>
      <c r="C190" s="89"/>
      <c r="D190" s="307"/>
      <c r="E190" s="89"/>
      <c r="F190" s="89"/>
      <c r="G190" s="112" t="s">
        <v>1048</v>
      </c>
      <c r="H190" s="105">
        <v>1.09</v>
      </c>
      <c r="I190" s="105">
        <v>0.6</v>
      </c>
      <c r="J190" s="105" t="s">
        <v>22</v>
      </c>
      <c r="K190" s="105">
        <v>2.45</v>
      </c>
      <c r="L190" s="308"/>
    </row>
    <row r="191" customHeight="1" spans="1:12">
      <c r="A191" s="302">
        <v>45720</v>
      </c>
      <c r="B191" s="303" t="s">
        <v>1150</v>
      </c>
      <c r="C191" s="303" t="s">
        <v>459</v>
      </c>
      <c r="D191" s="304">
        <v>3</v>
      </c>
      <c r="E191" s="303" t="s">
        <v>536</v>
      </c>
      <c r="F191" s="303" t="s">
        <v>460</v>
      </c>
      <c r="G191" s="112" t="s">
        <v>1047</v>
      </c>
      <c r="H191" s="105">
        <v>1.06</v>
      </c>
      <c r="I191" s="105">
        <v>2.6</v>
      </c>
      <c r="J191" s="105" t="s">
        <v>17</v>
      </c>
      <c r="K191" s="105">
        <v>2.19</v>
      </c>
      <c r="L191" s="305" t="s">
        <v>27</v>
      </c>
    </row>
    <row r="192" customHeight="1" spans="1:12">
      <c r="A192" s="306"/>
      <c r="B192" s="89"/>
      <c r="C192" s="89"/>
      <c r="D192" s="307"/>
      <c r="E192" s="89"/>
      <c r="F192" s="89"/>
      <c r="G192" s="112" t="s">
        <v>1048</v>
      </c>
      <c r="H192" s="105">
        <v>1.06</v>
      </c>
      <c r="I192" s="105">
        <v>0.16</v>
      </c>
      <c r="J192" s="105" t="s">
        <v>22</v>
      </c>
      <c r="K192" s="105">
        <v>2.3</v>
      </c>
      <c r="L192" s="308"/>
    </row>
    <row r="193" customHeight="1" spans="1:12">
      <c r="A193" s="306"/>
      <c r="B193" s="89"/>
      <c r="C193" s="89"/>
      <c r="D193" s="307"/>
      <c r="E193" s="89"/>
      <c r="F193" s="89"/>
      <c r="G193" s="112" t="s">
        <v>1146</v>
      </c>
      <c r="H193" s="105">
        <v>1.82</v>
      </c>
      <c r="I193" s="105">
        <v>0.09</v>
      </c>
      <c r="J193" s="105" t="s">
        <v>24</v>
      </c>
      <c r="K193" s="105" t="s">
        <v>24</v>
      </c>
      <c r="L193" s="308"/>
    </row>
    <row r="194" customHeight="1" spans="1:12">
      <c r="A194" s="306"/>
      <c r="B194" s="89"/>
      <c r="C194" s="89"/>
      <c r="D194" s="307"/>
      <c r="E194" s="89"/>
      <c r="F194" s="89"/>
      <c r="G194" s="112" t="s">
        <v>1147</v>
      </c>
      <c r="H194" s="105">
        <v>1.82</v>
      </c>
      <c r="I194" s="105">
        <v>0.15</v>
      </c>
      <c r="J194" s="105" t="s">
        <v>24</v>
      </c>
      <c r="K194" s="105" t="s">
        <v>24</v>
      </c>
      <c r="L194" s="308"/>
    </row>
    <row r="195" customHeight="1" spans="1:12">
      <c r="A195" s="302">
        <v>45715</v>
      </c>
      <c r="B195" s="303" t="s">
        <v>1151</v>
      </c>
      <c r="C195" s="303" t="s">
        <v>462</v>
      </c>
      <c r="D195" s="304">
        <v>4.022</v>
      </c>
      <c r="E195" s="303" t="s">
        <v>486</v>
      </c>
      <c r="F195" s="303" t="s">
        <v>460</v>
      </c>
      <c r="G195" s="112" t="s">
        <v>1121</v>
      </c>
      <c r="H195" s="105">
        <v>0.9</v>
      </c>
      <c r="I195" s="105">
        <v>1.27</v>
      </c>
      <c r="J195" s="105" t="s">
        <v>17</v>
      </c>
      <c r="K195" s="105">
        <v>2.1</v>
      </c>
      <c r="L195" s="305" t="s">
        <v>435</v>
      </c>
    </row>
    <row r="196" customHeight="1" spans="1:12">
      <c r="A196" s="306"/>
      <c r="B196" s="89"/>
      <c r="C196" s="89"/>
      <c r="D196" s="307"/>
      <c r="E196" s="89"/>
      <c r="F196" s="89"/>
      <c r="G196" s="112" t="s">
        <v>1122</v>
      </c>
      <c r="H196" s="105">
        <v>1.82</v>
      </c>
      <c r="I196" s="105">
        <v>1.37</v>
      </c>
      <c r="J196" s="105" t="s">
        <v>17</v>
      </c>
      <c r="K196" s="105">
        <v>2.15</v>
      </c>
      <c r="L196" s="308"/>
    </row>
    <row r="197" customHeight="1" spans="1:12">
      <c r="A197" s="306"/>
      <c r="B197" s="89"/>
      <c r="C197" s="89"/>
      <c r="D197" s="307"/>
      <c r="E197" s="89"/>
      <c r="F197" s="89"/>
      <c r="G197" s="112" t="s">
        <v>1141</v>
      </c>
      <c r="H197" s="105">
        <v>2.65</v>
      </c>
      <c r="I197" s="105">
        <v>1.26</v>
      </c>
      <c r="J197" s="105" t="s">
        <v>17</v>
      </c>
      <c r="K197" s="105">
        <v>2.31</v>
      </c>
      <c r="L197" s="308"/>
    </row>
    <row r="198" customHeight="1" spans="1:12">
      <c r="A198" s="306"/>
      <c r="B198" s="89"/>
      <c r="C198" s="89"/>
      <c r="D198" s="307"/>
      <c r="E198" s="89"/>
      <c r="F198" s="89"/>
      <c r="G198" s="112" t="s">
        <v>1051</v>
      </c>
      <c r="H198" s="105">
        <v>2.82</v>
      </c>
      <c r="I198" s="105">
        <v>0.122</v>
      </c>
      <c r="J198" s="105" t="s">
        <v>24</v>
      </c>
      <c r="K198" s="105" t="s">
        <v>24</v>
      </c>
      <c r="L198" s="308"/>
    </row>
    <row r="199" customHeight="1" spans="1:12">
      <c r="A199" s="302">
        <v>45716</v>
      </c>
      <c r="B199" s="303" t="s">
        <v>1152</v>
      </c>
      <c r="C199" s="303" t="s">
        <v>462</v>
      </c>
      <c r="D199" s="304">
        <v>5</v>
      </c>
      <c r="E199" s="303" t="s">
        <v>486</v>
      </c>
      <c r="F199" s="303" t="s">
        <v>1153</v>
      </c>
      <c r="G199" s="112" t="s">
        <v>1121</v>
      </c>
      <c r="H199" s="105">
        <v>0.98</v>
      </c>
      <c r="I199" s="105">
        <v>1.5</v>
      </c>
      <c r="J199" s="105" t="s">
        <v>17</v>
      </c>
      <c r="K199" s="105">
        <v>2.8</v>
      </c>
      <c r="L199" s="305" t="s">
        <v>1082</v>
      </c>
    </row>
    <row r="200" customHeight="1" spans="1:12">
      <c r="A200" s="306"/>
      <c r="B200" s="89"/>
      <c r="C200" s="89"/>
      <c r="D200" s="307"/>
      <c r="E200" s="89"/>
      <c r="F200" s="89"/>
      <c r="G200" s="112" t="s">
        <v>1122</v>
      </c>
      <c r="H200" s="105">
        <v>1.96</v>
      </c>
      <c r="I200" s="105">
        <v>2</v>
      </c>
      <c r="J200" s="105" t="s">
        <v>17</v>
      </c>
      <c r="K200" s="105">
        <v>3.1</v>
      </c>
      <c r="L200" s="308"/>
    </row>
    <row r="201" customHeight="1" spans="1:12">
      <c r="A201" s="306"/>
      <c r="B201" s="89"/>
      <c r="C201" s="89"/>
      <c r="D201" s="307"/>
      <c r="E201" s="89"/>
      <c r="F201" s="89"/>
      <c r="G201" s="112" t="s">
        <v>1141</v>
      </c>
      <c r="H201" s="105">
        <v>2.96</v>
      </c>
      <c r="I201" s="105">
        <v>1.425</v>
      </c>
      <c r="J201" s="105" t="s">
        <v>17</v>
      </c>
      <c r="K201" s="105">
        <v>4.2</v>
      </c>
      <c r="L201" s="308"/>
    </row>
    <row r="202" customHeight="1" spans="1:12">
      <c r="A202" s="306"/>
      <c r="B202" s="89"/>
      <c r="C202" s="89"/>
      <c r="D202" s="307"/>
      <c r="E202" s="89"/>
      <c r="F202" s="89"/>
      <c r="G202" s="112" t="s">
        <v>1051</v>
      </c>
      <c r="H202" s="105">
        <v>2.96</v>
      </c>
      <c r="I202" s="105">
        <v>0.075</v>
      </c>
      <c r="J202" s="105" t="s">
        <v>24</v>
      </c>
      <c r="K202" s="105" t="s">
        <v>24</v>
      </c>
      <c r="L202" s="308"/>
    </row>
    <row r="203" customHeight="1" spans="1:12">
      <c r="A203" s="302">
        <v>45716</v>
      </c>
      <c r="B203" s="303" t="s">
        <v>1154</v>
      </c>
      <c r="C203" s="303" t="s">
        <v>462</v>
      </c>
      <c r="D203" s="304">
        <v>3</v>
      </c>
      <c r="E203" s="303" t="s">
        <v>477</v>
      </c>
      <c r="F203" s="303" t="s">
        <v>460</v>
      </c>
      <c r="G203" s="112" t="s">
        <v>1047</v>
      </c>
      <c r="H203" s="105">
        <v>1.03</v>
      </c>
      <c r="I203" s="105">
        <v>2.52</v>
      </c>
      <c r="J203" s="105" t="s">
        <v>17</v>
      </c>
      <c r="K203" s="105">
        <v>2.18</v>
      </c>
      <c r="L203" s="305" t="s">
        <v>27</v>
      </c>
    </row>
    <row r="204" customHeight="1" spans="1:12">
      <c r="A204" s="306"/>
      <c r="B204" s="89"/>
      <c r="C204" s="89"/>
      <c r="D204" s="307"/>
      <c r="E204" s="89"/>
      <c r="F204" s="89"/>
      <c r="G204" s="112" t="s">
        <v>1048</v>
      </c>
      <c r="H204" s="105">
        <v>1.03</v>
      </c>
      <c r="I204" s="105">
        <v>0.17</v>
      </c>
      <c r="J204" s="105" t="s">
        <v>22</v>
      </c>
      <c r="K204" s="105">
        <v>2.26</v>
      </c>
      <c r="L204" s="308"/>
    </row>
    <row r="205" customHeight="1" spans="1:12">
      <c r="A205" s="306"/>
      <c r="B205" s="89"/>
      <c r="C205" s="89"/>
      <c r="D205" s="307"/>
      <c r="E205" s="89"/>
      <c r="F205" s="89"/>
      <c r="G205" s="112" t="s">
        <v>1051</v>
      </c>
      <c r="H205" s="105">
        <v>1.11</v>
      </c>
      <c r="I205" s="105">
        <v>0.31</v>
      </c>
      <c r="J205" s="105" t="s">
        <v>24</v>
      </c>
      <c r="K205" s="105" t="s">
        <v>24</v>
      </c>
      <c r="L205" s="308"/>
    </row>
    <row r="206" customHeight="1" spans="1:12">
      <c r="A206" s="302">
        <v>45715</v>
      </c>
      <c r="B206" s="253" t="s">
        <v>1155</v>
      </c>
      <c r="C206" s="303" t="s">
        <v>462</v>
      </c>
      <c r="D206" s="304">
        <v>8</v>
      </c>
      <c r="E206" s="303" t="s">
        <v>492</v>
      </c>
      <c r="F206" s="303" t="s">
        <v>1117</v>
      </c>
      <c r="G206" s="112" t="s">
        <v>1047</v>
      </c>
      <c r="H206" s="105">
        <v>1.49</v>
      </c>
      <c r="I206" s="105">
        <v>6.768</v>
      </c>
      <c r="J206" s="105" t="s">
        <v>17</v>
      </c>
      <c r="K206" s="105">
        <v>2.35</v>
      </c>
      <c r="L206" s="305" t="s">
        <v>67</v>
      </c>
    </row>
    <row r="207" customHeight="1" spans="1:12">
      <c r="A207" s="306"/>
      <c r="B207" s="89"/>
      <c r="C207" s="89"/>
      <c r="D207" s="307"/>
      <c r="E207" s="89"/>
      <c r="F207" s="89"/>
      <c r="G207" s="112" t="s">
        <v>1048</v>
      </c>
      <c r="H207" s="105">
        <v>1.49</v>
      </c>
      <c r="I207" s="105">
        <v>0.352</v>
      </c>
      <c r="J207" s="105" t="s">
        <v>22</v>
      </c>
      <c r="K207" s="105">
        <v>2.6</v>
      </c>
      <c r="L207" s="308"/>
    </row>
    <row r="208" customHeight="1" spans="1:12">
      <c r="A208" s="306"/>
      <c r="B208" s="89"/>
      <c r="C208" s="89"/>
      <c r="D208" s="307"/>
      <c r="E208" s="89"/>
      <c r="F208" s="89"/>
      <c r="G208" s="112" t="s">
        <v>1050</v>
      </c>
      <c r="H208" s="105">
        <v>1.49</v>
      </c>
      <c r="I208" s="105">
        <v>0.32</v>
      </c>
      <c r="J208" s="105" t="s">
        <v>44</v>
      </c>
      <c r="K208" s="105">
        <v>4</v>
      </c>
      <c r="L208" s="308"/>
    </row>
    <row r="209" customHeight="1" spans="1:12">
      <c r="A209" s="306"/>
      <c r="B209" s="89"/>
      <c r="C209" s="89"/>
      <c r="D209" s="307"/>
      <c r="E209" s="89"/>
      <c r="F209" s="89"/>
      <c r="G209" s="112" t="s">
        <v>1051</v>
      </c>
      <c r="H209" s="105">
        <v>1.49</v>
      </c>
      <c r="I209" s="105">
        <v>0.56</v>
      </c>
      <c r="J209" s="105" t="s">
        <v>24</v>
      </c>
      <c r="K209" s="105" t="s">
        <v>24</v>
      </c>
      <c r="L209" s="308"/>
    </row>
    <row r="210" customHeight="1" spans="1:12">
      <c r="A210" s="302">
        <v>45716</v>
      </c>
      <c r="B210" s="303" t="s">
        <v>1156</v>
      </c>
      <c r="C210" s="303" t="s">
        <v>462</v>
      </c>
      <c r="D210" s="304">
        <v>3</v>
      </c>
      <c r="E210" s="303" t="s">
        <v>536</v>
      </c>
      <c r="F210" s="303" t="s">
        <v>460</v>
      </c>
      <c r="G210" s="112" t="s">
        <v>1047</v>
      </c>
      <c r="H210" s="105">
        <v>0.99</v>
      </c>
      <c r="I210" s="105">
        <v>2.47</v>
      </c>
      <c r="J210" s="105" t="s">
        <v>17</v>
      </c>
      <c r="K210" s="105">
        <v>2.18</v>
      </c>
      <c r="L210" s="305" t="s">
        <v>27</v>
      </c>
    </row>
    <row r="211" customHeight="1" spans="1:12">
      <c r="A211" s="306"/>
      <c r="B211" s="89"/>
      <c r="C211" s="89"/>
      <c r="D211" s="307"/>
      <c r="E211" s="89"/>
      <c r="F211" s="89"/>
      <c r="G211" s="112" t="s">
        <v>1048</v>
      </c>
      <c r="H211" s="105">
        <v>0.99</v>
      </c>
      <c r="I211" s="105">
        <v>0.17</v>
      </c>
      <c r="J211" s="105" t="s">
        <v>22</v>
      </c>
      <c r="K211" s="105">
        <v>2.26</v>
      </c>
      <c r="L211" s="308"/>
    </row>
    <row r="212" customHeight="1" spans="1:12">
      <c r="A212" s="306"/>
      <c r="B212" s="89"/>
      <c r="C212" s="89"/>
      <c r="D212" s="307"/>
      <c r="E212" s="89"/>
      <c r="F212" s="89"/>
      <c r="G212" s="112" t="s">
        <v>1157</v>
      </c>
      <c r="H212" s="105">
        <v>1.83</v>
      </c>
      <c r="I212" s="105">
        <v>0.21</v>
      </c>
      <c r="J212" s="105" t="s">
        <v>24</v>
      </c>
      <c r="K212" s="105" t="s">
        <v>24</v>
      </c>
      <c r="L212" s="308"/>
    </row>
    <row r="213" customHeight="1" spans="1:12">
      <c r="A213" s="306"/>
      <c r="B213" s="89"/>
      <c r="C213" s="89"/>
      <c r="D213" s="307"/>
      <c r="E213" s="89"/>
      <c r="F213" s="89"/>
      <c r="G213" s="112" t="s">
        <v>1158</v>
      </c>
      <c r="H213" s="105">
        <v>1.83</v>
      </c>
      <c r="I213" s="105">
        <v>0.15</v>
      </c>
      <c r="J213" s="105" t="s">
        <v>24</v>
      </c>
      <c r="K213" s="105" t="s">
        <v>24</v>
      </c>
      <c r="L213" s="308"/>
    </row>
    <row r="214" customHeight="1" spans="1:12">
      <c r="A214" s="302">
        <v>45716</v>
      </c>
      <c r="B214" s="303" t="s">
        <v>1159</v>
      </c>
      <c r="C214" s="303" t="s">
        <v>462</v>
      </c>
      <c r="D214" s="304">
        <v>5</v>
      </c>
      <c r="E214" s="303" t="s">
        <v>477</v>
      </c>
      <c r="F214" s="303" t="s">
        <v>1117</v>
      </c>
      <c r="G214" s="112" t="s">
        <v>1047</v>
      </c>
      <c r="H214" s="105">
        <v>0.99</v>
      </c>
      <c r="I214" s="105">
        <v>4.3</v>
      </c>
      <c r="J214" s="105" t="s">
        <v>17</v>
      </c>
      <c r="K214" s="105">
        <v>2.3</v>
      </c>
      <c r="L214" s="305" t="s">
        <v>35</v>
      </c>
    </row>
    <row r="215" customHeight="1" spans="1:12">
      <c r="A215" s="306"/>
      <c r="B215" s="89"/>
      <c r="C215" s="89"/>
      <c r="D215" s="307"/>
      <c r="E215" s="89"/>
      <c r="F215" s="89"/>
      <c r="G215" s="112" t="s">
        <v>1048</v>
      </c>
      <c r="H215" s="105">
        <v>0.99</v>
      </c>
      <c r="I215" s="105">
        <v>0.2</v>
      </c>
      <c r="J215" s="105" t="s">
        <v>22</v>
      </c>
      <c r="K215" s="105">
        <v>2.4</v>
      </c>
      <c r="L215" s="308"/>
    </row>
    <row r="216" customHeight="1" spans="1:12">
      <c r="A216" s="306"/>
      <c r="B216" s="89"/>
      <c r="C216" s="89"/>
      <c r="D216" s="307"/>
      <c r="E216" s="89"/>
      <c r="F216" s="89"/>
      <c r="G216" s="112" t="s">
        <v>1050</v>
      </c>
      <c r="H216" s="105">
        <v>0.99</v>
      </c>
      <c r="I216" s="105">
        <v>0.25</v>
      </c>
      <c r="J216" s="105" t="s">
        <v>64</v>
      </c>
      <c r="K216" s="105">
        <v>3.5</v>
      </c>
      <c r="L216" s="308"/>
    </row>
    <row r="217" customHeight="1" spans="1:12">
      <c r="A217" s="306"/>
      <c r="B217" s="89"/>
      <c r="C217" s="89"/>
      <c r="D217" s="307"/>
      <c r="E217" s="89"/>
      <c r="F217" s="89"/>
      <c r="G217" s="112" t="s">
        <v>1051</v>
      </c>
      <c r="H217" s="105">
        <v>1.58</v>
      </c>
      <c r="I217" s="105">
        <v>0.25</v>
      </c>
      <c r="J217" s="105" t="s">
        <v>24</v>
      </c>
      <c r="K217" s="105" t="s">
        <v>24</v>
      </c>
      <c r="L217" s="308"/>
    </row>
    <row r="218" customHeight="1" spans="1:12">
      <c r="A218" s="306">
        <v>45723</v>
      </c>
      <c r="B218" s="312" t="s">
        <v>1160</v>
      </c>
      <c r="C218" s="312" t="s">
        <v>462</v>
      </c>
      <c r="D218" s="307">
        <v>10</v>
      </c>
      <c r="E218" s="312" t="s">
        <v>1161</v>
      </c>
      <c r="F218" s="89" t="s">
        <v>1162</v>
      </c>
      <c r="G218" s="112" t="s">
        <v>1047</v>
      </c>
      <c r="H218" s="105">
        <v>1.75</v>
      </c>
      <c r="I218" s="105">
        <v>8.4</v>
      </c>
      <c r="J218" s="105" t="s">
        <v>17</v>
      </c>
      <c r="K218" s="105">
        <v>2.2</v>
      </c>
      <c r="L218" s="308" t="s">
        <v>18</v>
      </c>
    </row>
    <row r="219" customHeight="1" spans="1:12">
      <c r="A219" s="306"/>
      <c r="B219" s="89"/>
      <c r="C219" s="89"/>
      <c r="D219" s="307"/>
      <c r="E219" s="89"/>
      <c r="F219" s="89"/>
      <c r="G219" s="112" t="s">
        <v>1048</v>
      </c>
      <c r="H219" s="105">
        <v>1.85</v>
      </c>
      <c r="I219" s="105">
        <v>0.5</v>
      </c>
      <c r="J219" s="105" t="s">
        <v>22</v>
      </c>
      <c r="K219" s="105">
        <v>2.3</v>
      </c>
      <c r="L219" s="308"/>
    </row>
    <row r="220" customHeight="1" spans="1:12">
      <c r="A220" s="306"/>
      <c r="B220" s="89"/>
      <c r="C220" s="89"/>
      <c r="D220" s="307"/>
      <c r="E220" s="89"/>
      <c r="F220" s="89"/>
      <c r="G220" s="112" t="s">
        <v>1050</v>
      </c>
      <c r="H220" s="105">
        <v>2</v>
      </c>
      <c r="I220" s="105">
        <v>0.3</v>
      </c>
      <c r="J220" s="105" t="s">
        <v>44</v>
      </c>
      <c r="K220" s="105">
        <v>2.38</v>
      </c>
      <c r="L220" s="308"/>
    </row>
    <row r="221" customHeight="1" spans="1:12">
      <c r="A221" s="306"/>
      <c r="B221" s="89"/>
      <c r="C221" s="89"/>
      <c r="D221" s="307"/>
      <c r="E221" s="89"/>
      <c r="F221" s="89"/>
      <c r="G221" s="112" t="s">
        <v>1113</v>
      </c>
      <c r="H221" s="105">
        <v>2.58</v>
      </c>
      <c r="I221" s="105">
        <v>0.3</v>
      </c>
      <c r="J221" s="105" t="s">
        <v>24</v>
      </c>
      <c r="K221" s="105" t="s">
        <v>24</v>
      </c>
      <c r="L221" s="308"/>
    </row>
    <row r="222" customHeight="1" spans="1:12">
      <c r="A222" s="306"/>
      <c r="B222" s="89"/>
      <c r="C222" s="89"/>
      <c r="D222" s="307"/>
      <c r="E222" s="89"/>
      <c r="F222" s="89"/>
      <c r="G222" s="112" t="s">
        <v>1114</v>
      </c>
      <c r="H222" s="105">
        <v>2.58</v>
      </c>
      <c r="I222" s="105">
        <v>0.5</v>
      </c>
      <c r="J222" s="105" t="s">
        <v>24</v>
      </c>
      <c r="K222" s="105" t="s">
        <v>24</v>
      </c>
      <c r="L222" s="308"/>
    </row>
    <row r="223" customHeight="1" spans="1:12">
      <c r="A223" s="302">
        <v>45727</v>
      </c>
      <c r="B223" s="303" t="s">
        <v>1163</v>
      </c>
      <c r="C223" s="303" t="s">
        <v>462</v>
      </c>
      <c r="D223" s="304">
        <v>3.06</v>
      </c>
      <c r="E223" s="303" t="s">
        <v>1139</v>
      </c>
      <c r="F223" s="303" t="s">
        <v>482</v>
      </c>
      <c r="G223" s="111" t="s">
        <v>1058</v>
      </c>
      <c r="H223" s="105">
        <v>0.98</v>
      </c>
      <c r="I223" s="105">
        <v>0.99</v>
      </c>
      <c r="J223" s="105" t="s">
        <v>17</v>
      </c>
      <c r="K223" s="105">
        <v>2.18</v>
      </c>
      <c r="L223" s="305" t="s">
        <v>435</v>
      </c>
    </row>
    <row r="224" customHeight="1" spans="1:12">
      <c r="A224" s="306"/>
      <c r="B224" s="89"/>
      <c r="C224" s="89"/>
      <c r="D224" s="307"/>
      <c r="E224" s="89"/>
      <c r="F224" s="89"/>
      <c r="G224" s="111" t="s">
        <v>1059</v>
      </c>
      <c r="H224" s="105">
        <v>1.96</v>
      </c>
      <c r="I224" s="105">
        <v>1.13</v>
      </c>
      <c r="J224" s="105" t="s">
        <v>17</v>
      </c>
      <c r="K224" s="105">
        <v>2.24</v>
      </c>
      <c r="L224" s="308"/>
    </row>
    <row r="225" customHeight="1" spans="1:12">
      <c r="A225" s="306"/>
      <c r="B225" s="89"/>
      <c r="C225" s="89"/>
      <c r="D225" s="307"/>
      <c r="E225" s="89"/>
      <c r="F225" s="89"/>
      <c r="G225" s="111" t="s">
        <v>1099</v>
      </c>
      <c r="H225" s="105">
        <v>2.61</v>
      </c>
      <c r="I225" s="105">
        <v>0.78</v>
      </c>
      <c r="J225" s="105" t="s">
        <v>17</v>
      </c>
      <c r="K225" s="105">
        <v>2.38</v>
      </c>
      <c r="L225" s="308"/>
    </row>
    <row r="226" customHeight="1" spans="1:12">
      <c r="A226" s="306"/>
      <c r="B226" s="89"/>
      <c r="C226" s="89"/>
      <c r="D226" s="307"/>
      <c r="E226" s="89"/>
      <c r="F226" s="89"/>
      <c r="G226" s="111" t="s">
        <v>1083</v>
      </c>
      <c r="H226" s="105">
        <v>2.79</v>
      </c>
      <c r="I226" s="105">
        <v>0.16</v>
      </c>
      <c r="J226" s="105" t="s">
        <v>24</v>
      </c>
      <c r="K226" s="105" t="s">
        <v>24</v>
      </c>
      <c r="L226" s="308"/>
    </row>
    <row r="227" customHeight="1" spans="1:12">
      <c r="A227" s="302">
        <v>45727</v>
      </c>
      <c r="B227" s="303" t="s">
        <v>1164</v>
      </c>
      <c r="C227" s="303" t="s">
        <v>462</v>
      </c>
      <c r="D227" s="304">
        <v>10</v>
      </c>
      <c r="E227" s="303" t="s">
        <v>484</v>
      </c>
      <c r="F227" s="303" t="s">
        <v>1165</v>
      </c>
      <c r="G227" s="111" t="s">
        <v>1064</v>
      </c>
      <c r="H227" s="105">
        <v>1.84</v>
      </c>
      <c r="I227" s="105">
        <v>8.7</v>
      </c>
      <c r="J227" s="105" t="s">
        <v>17</v>
      </c>
      <c r="K227" s="105">
        <v>2.36</v>
      </c>
      <c r="L227" s="305" t="s">
        <v>35</v>
      </c>
    </row>
    <row r="228" customHeight="1" spans="1:12">
      <c r="A228" s="306"/>
      <c r="B228" s="89"/>
      <c r="C228" s="89"/>
      <c r="D228" s="307"/>
      <c r="E228" s="89"/>
      <c r="F228" s="89"/>
      <c r="G228" s="111" t="s">
        <v>1060</v>
      </c>
      <c r="H228" s="105">
        <v>1.92</v>
      </c>
      <c r="I228" s="105">
        <v>0.4</v>
      </c>
      <c r="J228" s="105" t="s">
        <v>22</v>
      </c>
      <c r="K228" s="105">
        <v>2.48</v>
      </c>
      <c r="L228" s="308"/>
    </row>
    <row r="229" customHeight="1" spans="1:12">
      <c r="A229" s="306"/>
      <c r="B229" s="89"/>
      <c r="C229" s="89"/>
      <c r="D229" s="307"/>
      <c r="E229" s="89"/>
      <c r="F229" s="89"/>
      <c r="G229" s="111" t="s">
        <v>1166</v>
      </c>
      <c r="H229" s="105">
        <v>1.92</v>
      </c>
      <c r="I229" s="105">
        <v>0.4</v>
      </c>
      <c r="J229" s="105" t="s">
        <v>439</v>
      </c>
      <c r="K229" s="105">
        <v>3.6</v>
      </c>
      <c r="L229" s="308"/>
    </row>
    <row r="230" customHeight="1" spans="1:12">
      <c r="A230" s="306"/>
      <c r="B230" s="89"/>
      <c r="C230" s="89"/>
      <c r="D230" s="307"/>
      <c r="E230" s="89"/>
      <c r="F230" s="89"/>
      <c r="G230" s="111" t="s">
        <v>1083</v>
      </c>
      <c r="H230" s="105">
        <v>2.67</v>
      </c>
      <c r="I230" s="105">
        <v>0.5</v>
      </c>
      <c r="J230" s="105" t="s">
        <v>24</v>
      </c>
      <c r="K230" s="105" t="s">
        <v>24</v>
      </c>
      <c r="L230" s="308"/>
    </row>
    <row r="231" customHeight="1" spans="1:12">
      <c r="A231" s="302">
        <v>45727</v>
      </c>
      <c r="B231" s="303" t="s">
        <v>1167</v>
      </c>
      <c r="C231" s="303" t="s">
        <v>462</v>
      </c>
      <c r="D231" s="304">
        <v>2.11</v>
      </c>
      <c r="E231" s="303" t="s">
        <v>1074</v>
      </c>
      <c r="F231" s="303" t="s">
        <v>1168</v>
      </c>
      <c r="G231" s="111" t="s">
        <v>1081</v>
      </c>
      <c r="H231" s="105">
        <v>1.61</v>
      </c>
      <c r="I231" s="105">
        <v>2</v>
      </c>
      <c r="J231" s="105" t="s">
        <v>17</v>
      </c>
      <c r="K231" s="105">
        <v>2.6</v>
      </c>
      <c r="L231" s="305" t="s">
        <v>1075</v>
      </c>
    </row>
    <row r="232" customHeight="1" spans="1:12">
      <c r="A232" s="306"/>
      <c r="B232" s="89"/>
      <c r="C232" s="89"/>
      <c r="D232" s="307"/>
      <c r="E232" s="89"/>
      <c r="F232" s="89"/>
      <c r="G232" s="111" t="s">
        <v>1083</v>
      </c>
      <c r="H232" s="105">
        <v>1.61</v>
      </c>
      <c r="I232" s="105">
        <v>0.11</v>
      </c>
      <c r="J232" s="105" t="s">
        <v>24</v>
      </c>
      <c r="K232" s="105" t="s">
        <v>24</v>
      </c>
      <c r="L232" s="308"/>
    </row>
    <row r="233" customHeight="1" spans="1:12">
      <c r="A233" s="302">
        <v>45728</v>
      </c>
      <c r="B233" s="303" t="s">
        <v>1169</v>
      </c>
      <c r="C233" s="303" t="s">
        <v>459</v>
      </c>
      <c r="D233" s="304">
        <v>9.2</v>
      </c>
      <c r="E233" s="303" t="s">
        <v>1066</v>
      </c>
      <c r="F233" s="303" t="s">
        <v>482</v>
      </c>
      <c r="G233" s="111" t="s">
        <v>1064</v>
      </c>
      <c r="H233" s="105">
        <v>1.08</v>
      </c>
      <c r="I233" s="105">
        <v>8.9</v>
      </c>
      <c r="J233" s="105" t="s">
        <v>17</v>
      </c>
      <c r="K233" s="105">
        <v>2.24</v>
      </c>
      <c r="L233" s="305" t="s">
        <v>35</v>
      </c>
    </row>
    <row r="234" customHeight="1" spans="1:12">
      <c r="A234" s="306"/>
      <c r="B234" s="89"/>
      <c r="C234" s="89"/>
      <c r="D234" s="307"/>
      <c r="E234" s="89"/>
      <c r="F234" s="89"/>
      <c r="G234" s="111" t="s">
        <v>1060</v>
      </c>
      <c r="H234" s="105">
        <v>1.17</v>
      </c>
      <c r="I234" s="105">
        <v>0.3</v>
      </c>
      <c r="J234" s="105" t="s">
        <v>22</v>
      </c>
      <c r="K234" s="105">
        <v>2.4</v>
      </c>
      <c r="L234" s="308"/>
    </row>
    <row r="235" customHeight="1" spans="1:12">
      <c r="A235" s="302">
        <v>45728</v>
      </c>
      <c r="B235" s="303" t="s">
        <v>1170</v>
      </c>
      <c r="C235" s="303" t="s">
        <v>459</v>
      </c>
      <c r="D235" s="304">
        <v>20</v>
      </c>
      <c r="E235" s="303" t="s">
        <v>484</v>
      </c>
      <c r="F235" s="303" t="s">
        <v>482</v>
      </c>
      <c r="G235" s="111" t="s">
        <v>1064</v>
      </c>
      <c r="H235" s="105">
        <v>1.08</v>
      </c>
      <c r="I235" s="105">
        <v>18</v>
      </c>
      <c r="J235" s="105" t="s">
        <v>17</v>
      </c>
      <c r="K235" s="105">
        <v>2.28</v>
      </c>
      <c r="L235" s="305" t="s">
        <v>35</v>
      </c>
    </row>
    <row r="236" customHeight="1" spans="1:12">
      <c r="A236" s="306"/>
      <c r="B236" s="89"/>
      <c r="C236" s="89"/>
      <c r="D236" s="307"/>
      <c r="E236" s="89"/>
      <c r="F236" s="89"/>
      <c r="G236" s="111" t="s">
        <v>1060</v>
      </c>
      <c r="H236" s="105">
        <v>1.17</v>
      </c>
      <c r="I236" s="105">
        <v>0.6</v>
      </c>
      <c r="J236" s="105" t="s">
        <v>22</v>
      </c>
      <c r="K236" s="105">
        <v>2.5</v>
      </c>
      <c r="L236" s="308"/>
    </row>
    <row r="237" customHeight="1" spans="1:12">
      <c r="A237" s="306"/>
      <c r="B237" s="89"/>
      <c r="C237" s="89"/>
      <c r="D237" s="307"/>
      <c r="E237" s="89"/>
      <c r="F237" s="89"/>
      <c r="G237" s="111" t="s">
        <v>1166</v>
      </c>
      <c r="H237" s="105">
        <v>1.17</v>
      </c>
      <c r="I237" s="105">
        <v>0.4</v>
      </c>
      <c r="J237" s="105" t="s">
        <v>96</v>
      </c>
      <c r="K237" s="105">
        <v>3.4</v>
      </c>
      <c r="L237" s="308"/>
    </row>
    <row r="238" customHeight="1" spans="1:12">
      <c r="A238" s="306"/>
      <c r="B238" s="89"/>
      <c r="C238" s="89"/>
      <c r="D238" s="307"/>
      <c r="E238" s="89"/>
      <c r="F238" s="89"/>
      <c r="G238" s="111" t="s">
        <v>1083</v>
      </c>
      <c r="H238" s="105">
        <v>1.92</v>
      </c>
      <c r="I238" s="105">
        <v>1</v>
      </c>
      <c r="J238" s="105" t="s">
        <v>24</v>
      </c>
      <c r="K238" s="105" t="s">
        <v>24</v>
      </c>
      <c r="L238" s="308"/>
    </row>
    <row r="239" customHeight="1" spans="1:12">
      <c r="A239" s="302">
        <v>45729</v>
      </c>
      <c r="B239" s="303" t="s">
        <v>1171</v>
      </c>
      <c r="C239" s="303" t="s">
        <v>459</v>
      </c>
      <c r="D239" s="304">
        <v>9.2</v>
      </c>
      <c r="E239" s="303" t="s">
        <v>1066</v>
      </c>
      <c r="F239" s="303" t="s">
        <v>482</v>
      </c>
      <c r="G239" s="111" t="s">
        <v>1064</v>
      </c>
      <c r="H239" s="105">
        <v>1.08</v>
      </c>
      <c r="I239" s="105">
        <v>8.9</v>
      </c>
      <c r="J239" s="105" t="s">
        <v>17</v>
      </c>
      <c r="K239" s="105">
        <v>2.23</v>
      </c>
      <c r="L239" s="305" t="s">
        <v>35</v>
      </c>
    </row>
    <row r="240" customHeight="1" spans="1:12">
      <c r="A240" s="306"/>
      <c r="B240" s="89"/>
      <c r="C240" s="89"/>
      <c r="D240" s="307"/>
      <c r="E240" s="89"/>
      <c r="F240" s="89"/>
      <c r="G240" s="111" t="s">
        <v>1060</v>
      </c>
      <c r="H240" s="105">
        <v>1.17</v>
      </c>
      <c r="I240" s="105">
        <v>0.3</v>
      </c>
      <c r="J240" s="105" t="s">
        <v>22</v>
      </c>
      <c r="K240" s="105">
        <v>2.4</v>
      </c>
      <c r="L240" s="308"/>
    </row>
    <row r="241" customHeight="1" spans="1:12">
      <c r="A241" s="301" t="s">
        <v>1172</v>
      </c>
      <c r="B241" s="148" t="s">
        <v>1173</v>
      </c>
      <c r="C241" s="148" t="s">
        <v>462</v>
      </c>
      <c r="D241" s="56">
        <v>4.185</v>
      </c>
      <c r="E241" s="148" t="s">
        <v>486</v>
      </c>
      <c r="F241" s="148" t="s">
        <v>460</v>
      </c>
      <c r="G241" s="112" t="s">
        <v>1121</v>
      </c>
      <c r="H241" s="105">
        <v>0.94</v>
      </c>
      <c r="I241" s="105">
        <v>1.31</v>
      </c>
      <c r="J241" s="105" t="s">
        <v>17</v>
      </c>
      <c r="K241" s="105">
        <v>2.15</v>
      </c>
      <c r="L241" s="305" t="s">
        <v>435</v>
      </c>
    </row>
    <row r="242" customHeight="1" spans="1:12">
      <c r="A242" s="301"/>
      <c r="B242" s="54"/>
      <c r="C242" s="54"/>
      <c r="D242" s="56"/>
      <c r="E242" s="54"/>
      <c r="F242" s="54"/>
      <c r="G242" s="112" t="s">
        <v>1122</v>
      </c>
      <c r="H242" s="105">
        <v>1.85</v>
      </c>
      <c r="I242" s="105">
        <v>1.42</v>
      </c>
      <c r="J242" s="105" t="s">
        <v>17</v>
      </c>
      <c r="K242" s="105">
        <v>2.2</v>
      </c>
      <c r="L242" s="308"/>
    </row>
    <row r="243" customHeight="1" spans="1:12">
      <c r="A243" s="301"/>
      <c r="B243" s="54"/>
      <c r="C243" s="54"/>
      <c r="D243" s="56"/>
      <c r="E243" s="54"/>
      <c r="F243" s="54"/>
      <c r="G243" s="112" t="s">
        <v>1141</v>
      </c>
      <c r="H243" s="105">
        <v>2.69</v>
      </c>
      <c r="I243" s="105">
        <v>1.31</v>
      </c>
      <c r="J243" s="105" t="s">
        <v>17</v>
      </c>
      <c r="K243" s="105">
        <v>2.38</v>
      </c>
      <c r="L243" s="308"/>
    </row>
    <row r="244" customHeight="1" spans="1:12">
      <c r="A244" s="301"/>
      <c r="B244" s="54"/>
      <c r="C244" s="54"/>
      <c r="D244" s="56"/>
      <c r="E244" s="54"/>
      <c r="F244" s="54"/>
      <c r="G244" s="112" t="s">
        <v>1051</v>
      </c>
      <c r="H244" s="105">
        <v>2.94</v>
      </c>
      <c r="I244" s="105">
        <v>0.146</v>
      </c>
      <c r="J244" s="105" t="s">
        <v>24</v>
      </c>
      <c r="K244" s="105" t="s">
        <v>24</v>
      </c>
      <c r="L244" s="311"/>
    </row>
    <row r="245" customHeight="1" spans="1:12">
      <c r="A245" s="301" t="s">
        <v>1174</v>
      </c>
      <c r="B245" s="148" t="s">
        <v>1175</v>
      </c>
      <c r="C245" s="148" t="s">
        <v>462</v>
      </c>
      <c r="D245" s="56">
        <v>4</v>
      </c>
      <c r="E245" s="148" t="s">
        <v>477</v>
      </c>
      <c r="F245" s="148" t="s">
        <v>487</v>
      </c>
      <c r="G245" s="112" t="s">
        <v>1047</v>
      </c>
      <c r="H245" s="105">
        <v>2.02</v>
      </c>
      <c r="I245" s="105">
        <v>3.4</v>
      </c>
      <c r="J245" s="105" t="s">
        <v>17</v>
      </c>
      <c r="K245" s="105">
        <v>2.5</v>
      </c>
      <c r="L245" s="305" t="s">
        <v>1176</v>
      </c>
    </row>
    <row r="246" customHeight="1" spans="1:12">
      <c r="A246" s="301"/>
      <c r="B246" s="54"/>
      <c r="C246" s="54"/>
      <c r="D246" s="56"/>
      <c r="E246" s="54"/>
      <c r="F246" s="54"/>
      <c r="G246" s="112" t="s">
        <v>1048</v>
      </c>
      <c r="H246" s="105">
        <v>2.02</v>
      </c>
      <c r="I246" s="105">
        <v>0.28</v>
      </c>
      <c r="J246" s="105" t="s">
        <v>22</v>
      </c>
      <c r="K246" s="105">
        <v>2.6</v>
      </c>
      <c r="L246" s="308"/>
    </row>
    <row r="247" customHeight="1" spans="1:12">
      <c r="A247" s="301"/>
      <c r="B247" s="54"/>
      <c r="C247" s="54"/>
      <c r="D247" s="56"/>
      <c r="E247" s="54"/>
      <c r="F247" s="54"/>
      <c r="G247" s="112" t="s">
        <v>1051</v>
      </c>
      <c r="H247" s="105">
        <v>2.02</v>
      </c>
      <c r="I247" s="105">
        <v>0.32</v>
      </c>
      <c r="J247" s="105" t="s">
        <v>24</v>
      </c>
      <c r="K247" s="105" t="s">
        <v>24</v>
      </c>
      <c r="L247" s="311"/>
    </row>
    <row r="248" customHeight="1" spans="1:12">
      <c r="A248" s="301" t="s">
        <v>1174</v>
      </c>
      <c r="B248" s="148" t="s">
        <v>1177</v>
      </c>
      <c r="C248" s="148" t="s">
        <v>459</v>
      </c>
      <c r="D248" s="56">
        <v>3</v>
      </c>
      <c r="E248" s="148" t="s">
        <v>536</v>
      </c>
      <c r="F248" s="148" t="s">
        <v>460</v>
      </c>
      <c r="G248" s="112" t="s">
        <v>1047</v>
      </c>
      <c r="H248" s="105">
        <v>1.02</v>
      </c>
      <c r="I248" s="105">
        <v>2.6</v>
      </c>
      <c r="J248" s="105" t="s">
        <v>17</v>
      </c>
      <c r="K248" s="105">
        <v>2.23</v>
      </c>
      <c r="L248" s="305" t="s">
        <v>27</v>
      </c>
    </row>
    <row r="249" customHeight="1" spans="1:12">
      <c r="A249" s="301"/>
      <c r="B249" s="54"/>
      <c r="C249" s="54"/>
      <c r="D249" s="56"/>
      <c r="E249" s="54"/>
      <c r="F249" s="54"/>
      <c r="G249" s="112" t="s">
        <v>1048</v>
      </c>
      <c r="H249" s="105">
        <v>1.02</v>
      </c>
      <c r="I249" s="105">
        <v>0.16</v>
      </c>
      <c r="J249" s="105" t="s">
        <v>22</v>
      </c>
      <c r="K249" s="105">
        <v>2.4</v>
      </c>
      <c r="L249" s="308"/>
    </row>
    <row r="250" customHeight="1" spans="1:12">
      <c r="A250" s="301"/>
      <c r="B250" s="54"/>
      <c r="C250" s="54"/>
      <c r="D250" s="56"/>
      <c r="E250" s="54"/>
      <c r="F250" s="54"/>
      <c r="G250" s="48" t="s">
        <v>1113</v>
      </c>
      <c r="H250" s="105">
        <v>1.78</v>
      </c>
      <c r="I250" s="105">
        <v>0.09</v>
      </c>
      <c r="J250" s="105" t="s">
        <v>24</v>
      </c>
      <c r="K250" s="105" t="s">
        <v>24</v>
      </c>
      <c r="L250" s="308"/>
    </row>
    <row r="251" customHeight="1" spans="1:12">
      <c r="A251" s="301"/>
      <c r="B251" s="54"/>
      <c r="C251" s="54"/>
      <c r="D251" s="56"/>
      <c r="E251" s="54"/>
      <c r="F251" s="54"/>
      <c r="G251" s="48" t="s">
        <v>1114</v>
      </c>
      <c r="H251" s="105">
        <v>1.78</v>
      </c>
      <c r="I251" s="105">
        <v>0.15</v>
      </c>
      <c r="J251" s="105" t="s">
        <v>24</v>
      </c>
      <c r="K251" s="105" t="s">
        <v>24</v>
      </c>
      <c r="L251" s="311"/>
    </row>
    <row r="252" customHeight="1" spans="1:12">
      <c r="A252" s="301" t="s">
        <v>1178</v>
      </c>
      <c r="B252" s="148" t="s">
        <v>1179</v>
      </c>
      <c r="C252" s="148" t="s">
        <v>459</v>
      </c>
      <c r="D252" s="56">
        <v>10</v>
      </c>
      <c r="E252" s="148" t="s">
        <v>484</v>
      </c>
      <c r="F252" s="148" t="s">
        <v>523</v>
      </c>
      <c r="G252" s="112" t="s">
        <v>1047</v>
      </c>
      <c r="H252" s="105">
        <v>1.08</v>
      </c>
      <c r="I252" s="105">
        <v>9</v>
      </c>
      <c r="J252" s="105" t="s">
        <v>17</v>
      </c>
      <c r="K252" s="105">
        <v>2.2</v>
      </c>
      <c r="L252" s="305" t="s">
        <v>35</v>
      </c>
    </row>
    <row r="253" customHeight="1" spans="1:12">
      <c r="A253" s="301"/>
      <c r="B253" s="54"/>
      <c r="C253" s="54"/>
      <c r="D253" s="56"/>
      <c r="E253" s="54"/>
      <c r="F253" s="54"/>
      <c r="G253" s="112" t="s">
        <v>1048</v>
      </c>
      <c r="H253" s="105">
        <v>1.17</v>
      </c>
      <c r="I253" s="105">
        <v>0.3</v>
      </c>
      <c r="J253" s="105" t="s">
        <v>22</v>
      </c>
      <c r="K253" s="105">
        <v>2.4</v>
      </c>
      <c r="L253" s="308"/>
    </row>
    <row r="254" customHeight="1" spans="1:12">
      <c r="A254" s="301"/>
      <c r="B254" s="54"/>
      <c r="C254" s="54"/>
      <c r="D254" s="56"/>
      <c r="E254" s="54"/>
      <c r="F254" s="54"/>
      <c r="G254" s="112" t="s">
        <v>1055</v>
      </c>
      <c r="H254" s="105">
        <v>1.17</v>
      </c>
      <c r="I254" s="105">
        <v>0.2</v>
      </c>
      <c r="J254" s="105" t="s">
        <v>96</v>
      </c>
      <c r="K254" s="105">
        <v>3.5</v>
      </c>
      <c r="L254" s="308"/>
    </row>
    <row r="255" customHeight="1" spans="1:12">
      <c r="A255" s="301"/>
      <c r="B255" s="54"/>
      <c r="C255" s="54"/>
      <c r="D255" s="56"/>
      <c r="E255" s="54"/>
      <c r="F255" s="54"/>
      <c r="G255" s="112" t="s">
        <v>1051</v>
      </c>
      <c r="H255" s="105">
        <v>1.92</v>
      </c>
      <c r="I255" s="105">
        <v>0.5</v>
      </c>
      <c r="J255" s="105" t="s">
        <v>24</v>
      </c>
      <c r="K255" s="105" t="s">
        <v>24</v>
      </c>
      <c r="L255" s="311"/>
    </row>
    <row r="256" customHeight="1" spans="1:12">
      <c r="A256" s="301" t="s">
        <v>1178</v>
      </c>
      <c r="B256" s="148" t="s">
        <v>1180</v>
      </c>
      <c r="C256" s="148" t="s">
        <v>462</v>
      </c>
      <c r="D256" s="56">
        <v>3</v>
      </c>
      <c r="E256" s="148" t="s">
        <v>477</v>
      </c>
      <c r="F256" s="148" t="s">
        <v>460</v>
      </c>
      <c r="G256" s="112" t="s">
        <v>1047</v>
      </c>
      <c r="H256" s="105">
        <v>1.04</v>
      </c>
      <c r="I256" s="105">
        <v>2.52</v>
      </c>
      <c r="J256" s="51" t="s">
        <v>17</v>
      </c>
      <c r="K256" s="105">
        <v>2.15</v>
      </c>
      <c r="L256" s="305" t="s">
        <v>27</v>
      </c>
    </row>
    <row r="257" customHeight="1" spans="1:12">
      <c r="A257" s="301"/>
      <c r="B257" s="54"/>
      <c r="C257" s="54"/>
      <c r="D257" s="56"/>
      <c r="E257" s="54"/>
      <c r="F257" s="54"/>
      <c r="G257" s="112" t="s">
        <v>1048</v>
      </c>
      <c r="H257" s="105">
        <v>1.04</v>
      </c>
      <c r="I257" s="105">
        <v>0.17</v>
      </c>
      <c r="J257" s="105" t="s">
        <v>1049</v>
      </c>
      <c r="K257" s="105">
        <v>2.25</v>
      </c>
      <c r="L257" s="308"/>
    </row>
    <row r="258" customHeight="1" spans="1:12">
      <c r="A258" s="301"/>
      <c r="B258" s="54"/>
      <c r="C258" s="54"/>
      <c r="D258" s="56"/>
      <c r="E258" s="54"/>
      <c r="F258" s="54"/>
      <c r="G258" s="112" t="s">
        <v>1051</v>
      </c>
      <c r="H258" s="105">
        <v>1.12</v>
      </c>
      <c r="I258" s="105">
        <v>0.31</v>
      </c>
      <c r="J258" s="105" t="s">
        <v>24</v>
      </c>
      <c r="K258" s="105" t="s">
        <v>24</v>
      </c>
      <c r="L258" s="311"/>
    </row>
    <row r="259" customHeight="1" spans="1:12">
      <c r="A259" s="301" t="s">
        <v>1172</v>
      </c>
      <c r="B259" s="148" t="s">
        <v>1181</v>
      </c>
      <c r="C259" s="148" t="s">
        <v>459</v>
      </c>
      <c r="D259" s="56">
        <v>10</v>
      </c>
      <c r="E259" s="148" t="s">
        <v>484</v>
      </c>
      <c r="F259" s="148" t="s">
        <v>1054</v>
      </c>
      <c r="G259" s="112" t="s">
        <v>1047</v>
      </c>
      <c r="H259" s="105">
        <v>1.5</v>
      </c>
      <c r="I259" s="105">
        <v>8.9</v>
      </c>
      <c r="J259" s="51" t="s">
        <v>17</v>
      </c>
      <c r="K259" s="105">
        <v>2.35</v>
      </c>
      <c r="L259" s="305" t="s">
        <v>35</v>
      </c>
    </row>
    <row r="260" customHeight="1" spans="1:12">
      <c r="A260" s="301"/>
      <c r="B260" s="54"/>
      <c r="C260" s="54"/>
      <c r="D260" s="56"/>
      <c r="E260" s="54"/>
      <c r="F260" s="54"/>
      <c r="G260" s="112" t="s">
        <v>1048</v>
      </c>
      <c r="H260" s="105">
        <v>1.58</v>
      </c>
      <c r="I260" s="105">
        <v>0.3</v>
      </c>
      <c r="J260" s="105" t="s">
        <v>1049</v>
      </c>
      <c r="K260" s="105">
        <v>2.48</v>
      </c>
      <c r="L260" s="308"/>
    </row>
    <row r="261" customHeight="1" spans="1:12">
      <c r="A261" s="301"/>
      <c r="B261" s="54"/>
      <c r="C261" s="54"/>
      <c r="D261" s="56"/>
      <c r="E261" s="54"/>
      <c r="F261" s="54"/>
      <c r="G261" s="112" t="s">
        <v>1055</v>
      </c>
      <c r="H261" s="105">
        <v>1.58</v>
      </c>
      <c r="I261" s="105">
        <v>0.3</v>
      </c>
      <c r="J261" s="105" t="s">
        <v>439</v>
      </c>
      <c r="K261" s="105" t="s">
        <v>24</v>
      </c>
      <c r="L261" s="308"/>
    </row>
    <row r="262" customHeight="1" spans="1:12">
      <c r="A262" s="301"/>
      <c r="B262" s="54"/>
      <c r="C262" s="54"/>
      <c r="D262" s="56"/>
      <c r="E262" s="54"/>
      <c r="F262" s="54"/>
      <c r="G262" s="112" t="s">
        <v>1051</v>
      </c>
      <c r="H262" s="105">
        <v>2.33</v>
      </c>
      <c r="I262" s="105">
        <v>0.5</v>
      </c>
      <c r="J262" s="105" t="s">
        <v>24</v>
      </c>
      <c r="K262" s="105" t="s">
        <v>24</v>
      </c>
      <c r="L262" s="311"/>
    </row>
    <row r="263" customHeight="1" spans="1:12">
      <c r="A263" s="301" t="s">
        <v>1172</v>
      </c>
      <c r="B263" s="148" t="s">
        <v>1182</v>
      </c>
      <c r="C263" s="148" t="s">
        <v>459</v>
      </c>
      <c r="D263" s="56">
        <v>10</v>
      </c>
      <c r="E263" s="148" t="s">
        <v>492</v>
      </c>
      <c r="F263" s="148" t="s">
        <v>474</v>
      </c>
      <c r="G263" s="112" t="s">
        <v>1137</v>
      </c>
      <c r="H263" s="105">
        <v>2</v>
      </c>
      <c r="I263" s="105">
        <v>9.2</v>
      </c>
      <c r="J263" s="105" t="s">
        <v>17</v>
      </c>
      <c r="K263" s="105">
        <v>2.35</v>
      </c>
      <c r="L263" s="305" t="s">
        <v>67</v>
      </c>
    </row>
    <row r="264" customHeight="1" spans="1:12">
      <c r="A264" s="301"/>
      <c r="B264" s="54"/>
      <c r="C264" s="54"/>
      <c r="D264" s="56"/>
      <c r="E264" s="54"/>
      <c r="F264" s="54"/>
      <c r="G264" s="112" t="s">
        <v>1051</v>
      </c>
      <c r="H264" s="105">
        <v>2</v>
      </c>
      <c r="I264" s="105">
        <v>0.8</v>
      </c>
      <c r="J264" s="105" t="s">
        <v>24</v>
      </c>
      <c r="K264" s="105" t="s">
        <v>24</v>
      </c>
      <c r="L264" s="311"/>
    </row>
    <row r="265" customHeight="1" spans="1:12">
      <c r="A265" s="301" t="s">
        <v>1183</v>
      </c>
      <c r="B265" s="148" t="s">
        <v>1184</v>
      </c>
      <c r="C265" s="148" t="s">
        <v>459</v>
      </c>
      <c r="D265" s="56">
        <v>5</v>
      </c>
      <c r="E265" s="148" t="s">
        <v>477</v>
      </c>
      <c r="F265" s="148" t="s">
        <v>487</v>
      </c>
      <c r="G265" s="112" t="s">
        <v>1047</v>
      </c>
      <c r="H265" s="105">
        <v>1.07</v>
      </c>
      <c r="I265" s="105">
        <v>4.45</v>
      </c>
      <c r="J265" s="105" t="s">
        <v>17</v>
      </c>
      <c r="K265" s="105">
        <v>2.24</v>
      </c>
      <c r="L265" s="305" t="s">
        <v>112</v>
      </c>
    </row>
    <row r="266" customHeight="1" spans="1:12">
      <c r="A266" s="301"/>
      <c r="B266" s="54"/>
      <c r="C266" s="54"/>
      <c r="D266" s="56"/>
      <c r="E266" s="54"/>
      <c r="F266" s="54"/>
      <c r="G266" s="112" t="s">
        <v>1048</v>
      </c>
      <c r="H266" s="105">
        <v>1.07</v>
      </c>
      <c r="I266" s="105">
        <v>0.3</v>
      </c>
      <c r="J266" s="105" t="s">
        <v>22</v>
      </c>
      <c r="K266" s="105">
        <v>2.3</v>
      </c>
      <c r="L266" s="308"/>
    </row>
    <row r="267" customHeight="1" spans="1:12">
      <c r="A267" s="301"/>
      <c r="B267" s="54"/>
      <c r="C267" s="54"/>
      <c r="D267" s="56"/>
      <c r="E267" s="54"/>
      <c r="F267" s="54"/>
      <c r="G267" s="48" t="s">
        <v>1113</v>
      </c>
      <c r="H267" s="105">
        <v>1.07</v>
      </c>
      <c r="I267" s="105">
        <v>0.1</v>
      </c>
      <c r="J267" s="105" t="s">
        <v>24</v>
      </c>
      <c r="K267" s="105" t="s">
        <v>24</v>
      </c>
      <c r="L267" s="308"/>
    </row>
    <row r="268" customHeight="1" spans="1:12">
      <c r="A268" s="301"/>
      <c r="B268" s="54"/>
      <c r="C268" s="54"/>
      <c r="D268" s="56"/>
      <c r="E268" s="54"/>
      <c r="F268" s="54"/>
      <c r="G268" s="48" t="s">
        <v>1114</v>
      </c>
      <c r="H268" s="105">
        <v>1.07</v>
      </c>
      <c r="I268" s="105">
        <v>0.15</v>
      </c>
      <c r="J268" s="105" t="s">
        <v>24</v>
      </c>
      <c r="K268" s="105" t="s">
        <v>24</v>
      </c>
      <c r="L268" s="311"/>
    </row>
    <row r="269" customHeight="1" spans="1:12">
      <c r="A269" s="301" t="s">
        <v>1183</v>
      </c>
      <c r="B269" s="148" t="s">
        <v>1185</v>
      </c>
      <c r="C269" s="148" t="s">
        <v>462</v>
      </c>
      <c r="D269" s="56">
        <v>10</v>
      </c>
      <c r="E269" s="148" t="s">
        <v>484</v>
      </c>
      <c r="F269" s="148" t="s">
        <v>460</v>
      </c>
      <c r="G269" s="112" t="s">
        <v>1047</v>
      </c>
      <c r="H269" s="105">
        <v>1.5</v>
      </c>
      <c r="I269" s="105">
        <v>8.9</v>
      </c>
      <c r="J269" s="105" t="s">
        <v>17</v>
      </c>
      <c r="K269" s="105">
        <v>2.35</v>
      </c>
      <c r="L269" s="305" t="s">
        <v>35</v>
      </c>
    </row>
    <row r="270" customHeight="1" spans="1:12">
      <c r="A270" s="301"/>
      <c r="B270" s="54"/>
      <c r="C270" s="54"/>
      <c r="D270" s="56"/>
      <c r="E270" s="54"/>
      <c r="F270" s="54"/>
      <c r="G270" s="112" t="s">
        <v>1048</v>
      </c>
      <c r="H270" s="105">
        <v>1.59</v>
      </c>
      <c r="I270" s="105">
        <v>0.3</v>
      </c>
      <c r="J270" s="105" t="s">
        <v>22</v>
      </c>
      <c r="K270" s="105">
        <v>2.5</v>
      </c>
      <c r="L270" s="308"/>
    </row>
    <row r="271" customHeight="1" spans="1:12">
      <c r="A271" s="301"/>
      <c r="B271" s="54"/>
      <c r="C271" s="54"/>
      <c r="D271" s="56"/>
      <c r="E271" s="54"/>
      <c r="F271" s="54"/>
      <c r="G271" s="112" t="s">
        <v>1055</v>
      </c>
      <c r="H271" s="105">
        <v>1.59</v>
      </c>
      <c r="I271" s="105">
        <v>0.3</v>
      </c>
      <c r="J271" s="105" t="s">
        <v>439</v>
      </c>
      <c r="K271" s="105">
        <v>3.6</v>
      </c>
      <c r="L271" s="308"/>
    </row>
    <row r="272" customHeight="1" spans="1:12">
      <c r="A272" s="301"/>
      <c r="B272" s="54"/>
      <c r="C272" s="54"/>
      <c r="D272" s="56"/>
      <c r="E272" s="54"/>
      <c r="F272" s="54"/>
      <c r="G272" s="112" t="s">
        <v>1051</v>
      </c>
      <c r="H272" s="105">
        <v>2.33</v>
      </c>
      <c r="I272" s="105">
        <v>0.5</v>
      </c>
      <c r="J272" s="105" t="s">
        <v>24</v>
      </c>
      <c r="K272" s="105" t="s">
        <v>24</v>
      </c>
      <c r="L272" s="311"/>
    </row>
    <row r="273" customHeight="1" spans="1:12">
      <c r="A273" s="301" t="s">
        <v>1172</v>
      </c>
      <c r="B273" s="148" t="s">
        <v>1186</v>
      </c>
      <c r="C273" s="148" t="s">
        <v>462</v>
      </c>
      <c r="D273" s="56">
        <v>15</v>
      </c>
      <c r="E273" s="148" t="s">
        <v>1109</v>
      </c>
      <c r="F273" s="148" t="s">
        <v>460</v>
      </c>
      <c r="G273" s="112" t="s">
        <v>1047</v>
      </c>
      <c r="H273" s="105">
        <v>1.94</v>
      </c>
      <c r="I273" s="105">
        <v>12.525</v>
      </c>
      <c r="J273" s="51" t="s">
        <v>17</v>
      </c>
      <c r="K273" s="105">
        <v>2.06</v>
      </c>
      <c r="L273" s="305" t="s">
        <v>27</v>
      </c>
    </row>
    <row r="274" customHeight="1" spans="1:12">
      <c r="A274" s="301"/>
      <c r="B274" s="54"/>
      <c r="C274" s="54"/>
      <c r="D274" s="56"/>
      <c r="E274" s="54"/>
      <c r="F274" s="54"/>
      <c r="G274" s="112" t="s">
        <v>1048</v>
      </c>
      <c r="H274" s="105">
        <v>1.94</v>
      </c>
      <c r="I274" s="105">
        <v>1.05</v>
      </c>
      <c r="J274" s="105" t="s">
        <v>1049</v>
      </c>
      <c r="K274" s="105">
        <v>2.14</v>
      </c>
      <c r="L274" s="308"/>
    </row>
    <row r="275" customHeight="1" spans="1:12">
      <c r="A275" s="301"/>
      <c r="B275" s="54"/>
      <c r="C275" s="54"/>
      <c r="D275" s="56"/>
      <c r="E275" s="54"/>
      <c r="F275" s="54"/>
      <c r="G275" s="112" t="s">
        <v>1051</v>
      </c>
      <c r="H275" s="105">
        <v>2.02</v>
      </c>
      <c r="I275" s="105">
        <v>1.425</v>
      </c>
      <c r="J275" s="105" t="s">
        <v>24</v>
      </c>
      <c r="K275" s="105" t="s">
        <v>24</v>
      </c>
      <c r="L275" s="311"/>
    </row>
    <row r="276" customHeight="1" spans="1:12">
      <c r="A276" s="301" t="s">
        <v>1187</v>
      </c>
      <c r="B276" s="148" t="s">
        <v>1188</v>
      </c>
      <c r="C276" s="148" t="s">
        <v>459</v>
      </c>
      <c r="D276" s="56">
        <v>3.05</v>
      </c>
      <c r="E276" s="148" t="s">
        <v>1139</v>
      </c>
      <c r="F276" s="148" t="s">
        <v>460</v>
      </c>
      <c r="G276" s="112" t="s">
        <v>1121</v>
      </c>
      <c r="H276" s="105">
        <v>0.96</v>
      </c>
      <c r="I276" s="105">
        <v>0.97</v>
      </c>
      <c r="J276" s="105" t="s">
        <v>17</v>
      </c>
      <c r="K276" s="105">
        <v>2.15</v>
      </c>
      <c r="L276" s="305" t="s">
        <v>435</v>
      </c>
    </row>
    <row r="277" customHeight="1" spans="1:12">
      <c r="A277" s="301"/>
      <c r="B277" s="54"/>
      <c r="C277" s="54"/>
      <c r="D277" s="56"/>
      <c r="E277" s="54"/>
      <c r="F277" s="54"/>
      <c r="G277" s="112" t="s">
        <v>1122</v>
      </c>
      <c r="H277" s="105">
        <v>1.96</v>
      </c>
      <c r="I277" s="105">
        <v>1.03</v>
      </c>
      <c r="J277" s="105" t="s">
        <v>17</v>
      </c>
      <c r="K277" s="105">
        <v>2.27</v>
      </c>
      <c r="L277" s="308"/>
    </row>
    <row r="278" customHeight="1" spans="1:12">
      <c r="A278" s="301"/>
      <c r="B278" s="54"/>
      <c r="C278" s="54"/>
      <c r="D278" s="56"/>
      <c r="E278" s="54"/>
      <c r="F278" s="54"/>
      <c r="G278" s="112" t="s">
        <v>1141</v>
      </c>
      <c r="H278" s="105">
        <v>2.78</v>
      </c>
      <c r="I278" s="105">
        <v>0.95</v>
      </c>
      <c r="J278" s="105" t="s">
        <v>17</v>
      </c>
      <c r="K278" s="105">
        <v>2.35</v>
      </c>
      <c r="L278" s="308"/>
    </row>
    <row r="279" customHeight="1" spans="1:12">
      <c r="A279" s="301"/>
      <c r="B279" s="54"/>
      <c r="C279" s="54"/>
      <c r="D279" s="56"/>
      <c r="E279" s="54"/>
      <c r="F279" s="54"/>
      <c r="G279" s="112" t="s">
        <v>1051</v>
      </c>
      <c r="H279" s="105">
        <v>2.95</v>
      </c>
      <c r="I279" s="105">
        <v>0.1</v>
      </c>
      <c r="J279" s="105" t="s">
        <v>24</v>
      </c>
      <c r="K279" s="105" t="s">
        <v>24</v>
      </c>
      <c r="L279" s="311"/>
    </row>
    <row r="280" customHeight="1" spans="1:12">
      <c r="A280" s="301" t="s">
        <v>1183</v>
      </c>
      <c r="B280" s="148" t="s">
        <v>1189</v>
      </c>
      <c r="C280" s="148" t="s">
        <v>462</v>
      </c>
      <c r="D280" s="56">
        <v>5</v>
      </c>
      <c r="E280" s="148" t="s">
        <v>486</v>
      </c>
      <c r="F280" s="148" t="s">
        <v>1063</v>
      </c>
      <c r="G280" s="112" t="s">
        <v>1047</v>
      </c>
      <c r="H280" s="105">
        <v>1.03</v>
      </c>
      <c r="I280" s="105">
        <v>4.2</v>
      </c>
      <c r="J280" s="51" t="s">
        <v>17</v>
      </c>
      <c r="K280" s="105">
        <v>2.25</v>
      </c>
      <c r="L280" s="305" t="s">
        <v>27</v>
      </c>
    </row>
    <row r="281" customHeight="1" spans="1:12">
      <c r="A281" s="301"/>
      <c r="B281" s="54"/>
      <c r="C281" s="54"/>
      <c r="D281" s="56"/>
      <c r="E281" s="54"/>
      <c r="F281" s="54"/>
      <c r="G281" s="112" t="s">
        <v>1048</v>
      </c>
      <c r="H281" s="105">
        <v>1.03</v>
      </c>
      <c r="I281" s="105">
        <v>0.3</v>
      </c>
      <c r="J281" s="105" t="s">
        <v>1049</v>
      </c>
      <c r="K281" s="105">
        <v>2.35</v>
      </c>
      <c r="L281" s="308"/>
    </row>
    <row r="282" customHeight="1" spans="1:12">
      <c r="A282" s="301"/>
      <c r="B282" s="54"/>
      <c r="C282" s="54"/>
      <c r="D282" s="56"/>
      <c r="E282" s="54"/>
      <c r="F282" s="54"/>
      <c r="G282" s="48" t="s">
        <v>1113</v>
      </c>
      <c r="H282" s="105">
        <v>1.54</v>
      </c>
      <c r="I282" s="105">
        <v>0.25</v>
      </c>
      <c r="J282" s="105" t="s">
        <v>24</v>
      </c>
      <c r="K282" s="105" t="s">
        <v>24</v>
      </c>
      <c r="L282" s="308"/>
    </row>
    <row r="283" customHeight="1" spans="1:12">
      <c r="A283" s="301"/>
      <c r="B283" s="54"/>
      <c r="C283" s="54"/>
      <c r="D283" s="56"/>
      <c r="E283" s="54"/>
      <c r="F283" s="54"/>
      <c r="G283" s="48" t="s">
        <v>1114</v>
      </c>
      <c r="H283" s="105">
        <v>1.54</v>
      </c>
      <c r="I283" s="105">
        <v>0.25</v>
      </c>
      <c r="J283" s="105" t="s">
        <v>24</v>
      </c>
      <c r="K283" s="105" t="s">
        <v>24</v>
      </c>
      <c r="L283" s="311"/>
    </row>
    <row r="284" customHeight="1" spans="1:12">
      <c r="A284" s="301" t="s">
        <v>1183</v>
      </c>
      <c r="B284" s="148" t="s">
        <v>1190</v>
      </c>
      <c r="C284" s="148" t="s">
        <v>462</v>
      </c>
      <c r="D284" s="56">
        <v>7</v>
      </c>
      <c r="E284" s="148" t="s">
        <v>552</v>
      </c>
      <c r="F284" s="148" t="s">
        <v>482</v>
      </c>
      <c r="G284" s="112" t="s">
        <v>1047</v>
      </c>
      <c r="H284" s="105">
        <v>4.5</v>
      </c>
      <c r="I284" s="105">
        <v>5.88</v>
      </c>
      <c r="J284" s="51" t="s">
        <v>17</v>
      </c>
      <c r="K284" s="105">
        <v>2.45</v>
      </c>
      <c r="L284" s="305" t="s">
        <v>67</v>
      </c>
    </row>
    <row r="285" customHeight="1" spans="1:12">
      <c r="A285" s="301"/>
      <c r="B285" s="54"/>
      <c r="C285" s="54"/>
      <c r="D285" s="56"/>
      <c r="E285" s="54"/>
      <c r="F285" s="54"/>
      <c r="G285" s="112" t="s">
        <v>1048</v>
      </c>
      <c r="H285" s="105">
        <v>2.5</v>
      </c>
      <c r="I285" s="105">
        <v>0.35</v>
      </c>
      <c r="J285" s="105" t="s">
        <v>1049</v>
      </c>
      <c r="K285" s="105">
        <v>2.7</v>
      </c>
      <c r="L285" s="308"/>
    </row>
    <row r="286" customHeight="1" spans="1:12">
      <c r="A286" s="301"/>
      <c r="B286" s="54"/>
      <c r="C286" s="54"/>
      <c r="D286" s="56"/>
      <c r="E286" s="54"/>
      <c r="F286" s="54"/>
      <c r="G286" s="112" t="s">
        <v>1050</v>
      </c>
      <c r="H286" s="105">
        <v>2.5</v>
      </c>
      <c r="I286" s="105">
        <v>0.28</v>
      </c>
      <c r="J286" s="105" t="s">
        <v>44</v>
      </c>
      <c r="K286" s="105">
        <v>4</v>
      </c>
      <c r="L286" s="308"/>
    </row>
    <row r="287" customHeight="1" spans="1:12">
      <c r="A287" s="301"/>
      <c r="B287" s="54"/>
      <c r="C287" s="54"/>
      <c r="D287" s="56"/>
      <c r="E287" s="54"/>
      <c r="F287" s="54"/>
      <c r="G287" s="112" t="s">
        <v>1051</v>
      </c>
      <c r="H287" s="105">
        <v>2.5</v>
      </c>
      <c r="I287" s="105">
        <v>0.49</v>
      </c>
      <c r="J287" s="105" t="s">
        <v>24</v>
      </c>
      <c r="K287" s="105" t="s">
        <v>24</v>
      </c>
      <c r="L287" s="311"/>
    </row>
    <row r="288" customHeight="1" spans="1:12">
      <c r="A288" s="314">
        <v>45744</v>
      </c>
      <c r="B288" s="253" t="s">
        <v>1191</v>
      </c>
      <c r="C288" s="165" t="s">
        <v>459</v>
      </c>
      <c r="D288" s="315">
        <v>9.2</v>
      </c>
      <c r="E288" s="253" t="s">
        <v>1066</v>
      </c>
      <c r="F288" s="253" t="s">
        <v>1140</v>
      </c>
      <c r="G288" s="112" t="s">
        <v>1047</v>
      </c>
      <c r="H288" s="105">
        <v>1</v>
      </c>
      <c r="I288" s="105">
        <v>8.9</v>
      </c>
      <c r="J288" s="105" t="s">
        <v>17</v>
      </c>
      <c r="K288" s="105">
        <v>2.49</v>
      </c>
      <c r="L288" s="305" t="s">
        <v>35</v>
      </c>
    </row>
    <row r="289" customHeight="1" spans="1:13">
      <c r="A289" s="316"/>
      <c r="B289" s="83"/>
      <c r="C289" s="143"/>
      <c r="D289" s="317"/>
      <c r="E289" s="83"/>
      <c r="F289" s="83"/>
      <c r="G289" s="112" t="s">
        <v>1048</v>
      </c>
      <c r="H289" s="105">
        <v>1</v>
      </c>
      <c r="I289" s="105">
        <v>0.3</v>
      </c>
      <c r="J289" s="105" t="s">
        <v>22</v>
      </c>
      <c r="K289" s="105">
        <v>2.75</v>
      </c>
      <c r="L289" s="311"/>
    </row>
    <row r="290" customHeight="1" spans="1:13">
      <c r="A290" s="314">
        <v>45743</v>
      </c>
      <c r="B290" s="253" t="s">
        <v>1192</v>
      </c>
      <c r="C290" s="165" t="s">
        <v>459</v>
      </c>
      <c r="D290" s="315">
        <v>10</v>
      </c>
      <c r="E290" s="253" t="s">
        <v>484</v>
      </c>
      <c r="F290" s="253" t="s">
        <v>1054</v>
      </c>
      <c r="G290" s="112" t="s">
        <v>1047</v>
      </c>
      <c r="H290" s="105">
        <v>1.5</v>
      </c>
      <c r="I290" s="105">
        <v>8.9</v>
      </c>
      <c r="J290" s="105" t="s">
        <v>17</v>
      </c>
      <c r="K290" s="105">
        <v>2.34</v>
      </c>
      <c r="L290" s="305" t="s">
        <v>35</v>
      </c>
    </row>
    <row r="291" customHeight="1" spans="1:13">
      <c r="A291" s="318"/>
      <c r="B291" s="87"/>
      <c r="C291" s="140"/>
      <c r="D291" s="319"/>
      <c r="E291" s="87"/>
      <c r="F291" s="87"/>
      <c r="G291" s="112" t="s">
        <v>1048</v>
      </c>
      <c r="H291" s="105">
        <v>1.59</v>
      </c>
      <c r="I291" s="105">
        <v>0.3</v>
      </c>
      <c r="J291" s="105" t="s">
        <v>22</v>
      </c>
      <c r="K291" s="105">
        <v>2.49</v>
      </c>
      <c r="L291" s="308"/>
    </row>
    <row r="292" customHeight="1" spans="1:13">
      <c r="A292" s="318"/>
      <c r="B292" s="87"/>
      <c r="C292" s="140"/>
      <c r="D292" s="319"/>
      <c r="E292" s="87"/>
      <c r="F292" s="87"/>
      <c r="G292" s="112" t="s">
        <v>1055</v>
      </c>
      <c r="H292" s="105">
        <v>1.59</v>
      </c>
      <c r="I292" s="105">
        <v>0.3</v>
      </c>
      <c r="J292" s="105" t="s">
        <v>439</v>
      </c>
      <c r="K292" s="105" t="s">
        <v>24</v>
      </c>
      <c r="L292" s="308"/>
    </row>
    <row r="293" customHeight="1" spans="1:13">
      <c r="A293" s="316"/>
      <c r="B293" s="83"/>
      <c r="C293" s="143"/>
      <c r="D293" s="317"/>
      <c r="E293" s="83"/>
      <c r="F293" s="83"/>
      <c r="G293" s="112" t="s">
        <v>1051</v>
      </c>
      <c r="H293" s="105">
        <v>2.33</v>
      </c>
      <c r="I293" s="105">
        <v>0.5</v>
      </c>
      <c r="J293" s="105" t="s">
        <v>24</v>
      </c>
      <c r="K293" s="105" t="s">
        <v>24</v>
      </c>
      <c r="L293" s="311"/>
    </row>
    <row r="294" customHeight="1" spans="1:13">
      <c r="A294" s="314">
        <v>45743</v>
      </c>
      <c r="B294" s="253" t="s">
        <v>1193</v>
      </c>
      <c r="C294" s="165" t="s">
        <v>459</v>
      </c>
      <c r="D294" s="315">
        <v>6</v>
      </c>
      <c r="E294" s="253" t="s">
        <v>1079</v>
      </c>
      <c r="F294" s="253" t="s">
        <v>1054</v>
      </c>
      <c r="G294" s="112" t="s">
        <v>1137</v>
      </c>
      <c r="H294" s="105">
        <v>2</v>
      </c>
      <c r="I294" s="105">
        <v>5.4</v>
      </c>
      <c r="J294" s="320" t="s">
        <v>17</v>
      </c>
      <c r="K294" s="105">
        <v>2.38</v>
      </c>
      <c r="L294" s="305" t="s">
        <v>35</v>
      </c>
    </row>
    <row r="295" customHeight="1" spans="1:13">
      <c r="A295" s="318"/>
      <c r="B295" s="87"/>
      <c r="C295" s="140"/>
      <c r="D295" s="319"/>
      <c r="E295" s="87"/>
      <c r="F295" s="87"/>
      <c r="G295" s="112" t="s">
        <v>1055</v>
      </c>
      <c r="H295" s="105">
        <v>2</v>
      </c>
      <c r="I295" s="105">
        <v>0.3</v>
      </c>
      <c r="J295" s="320" t="s">
        <v>439</v>
      </c>
      <c r="K295" s="105" t="s">
        <v>24</v>
      </c>
      <c r="L295" s="308"/>
    </row>
    <row r="296" customHeight="1" spans="1:13">
      <c r="A296" s="316"/>
      <c r="B296" s="83"/>
      <c r="C296" s="143"/>
      <c r="D296" s="317"/>
      <c r="E296" s="83"/>
      <c r="F296" s="83"/>
      <c r="G296" s="112" t="s">
        <v>1051</v>
      </c>
      <c r="H296" s="105">
        <v>2</v>
      </c>
      <c r="I296" s="105">
        <v>0.3</v>
      </c>
      <c r="J296" s="105" t="s">
        <v>24</v>
      </c>
      <c r="K296" s="105" t="s">
        <v>24</v>
      </c>
      <c r="L296" s="311"/>
    </row>
    <row r="297" customHeight="1" spans="1:13">
      <c r="A297" s="314">
        <v>45741</v>
      </c>
      <c r="B297" s="253" t="s">
        <v>1194</v>
      </c>
      <c r="C297" s="165" t="s">
        <v>459</v>
      </c>
      <c r="D297" s="315">
        <v>10</v>
      </c>
      <c r="E297" s="253" t="s">
        <v>484</v>
      </c>
      <c r="F297" s="253" t="s">
        <v>1063</v>
      </c>
      <c r="G297" s="112" t="s">
        <v>1047</v>
      </c>
      <c r="H297" s="105">
        <v>1</v>
      </c>
      <c r="I297" s="105">
        <v>9</v>
      </c>
      <c r="J297" s="320" t="s">
        <v>17</v>
      </c>
      <c r="K297" s="105">
        <v>2.19</v>
      </c>
      <c r="L297" s="305" t="s">
        <v>35</v>
      </c>
    </row>
    <row r="298" customHeight="1" spans="1:13">
      <c r="A298" s="318"/>
      <c r="B298" s="87"/>
      <c r="C298" s="140"/>
      <c r="D298" s="319"/>
      <c r="E298" s="87"/>
      <c r="F298" s="87"/>
      <c r="G298" s="112" t="s">
        <v>1048</v>
      </c>
      <c r="H298" s="105">
        <v>1.08</v>
      </c>
      <c r="I298" s="105">
        <v>0.3</v>
      </c>
      <c r="J298" s="320" t="s">
        <v>22</v>
      </c>
      <c r="K298" s="105">
        <v>2.45</v>
      </c>
      <c r="L298" s="308"/>
    </row>
    <row r="299" customHeight="1" spans="1:13">
      <c r="A299" s="318"/>
      <c r="B299" s="87"/>
      <c r="C299" s="140"/>
      <c r="D299" s="319"/>
      <c r="E299" s="87"/>
      <c r="F299" s="87"/>
      <c r="G299" s="112" t="s">
        <v>1055</v>
      </c>
      <c r="H299" s="105">
        <v>1.08</v>
      </c>
      <c r="I299" s="105">
        <v>0.2</v>
      </c>
      <c r="J299" s="320" t="s">
        <v>96</v>
      </c>
      <c r="K299" s="105">
        <v>3.5</v>
      </c>
      <c r="L299" s="308"/>
    </row>
    <row r="300" customHeight="1" spans="1:13">
      <c r="A300" s="316"/>
      <c r="B300" s="83"/>
      <c r="C300" s="143"/>
      <c r="D300" s="317"/>
      <c r="E300" s="83"/>
      <c r="F300" s="83"/>
      <c r="G300" s="112" t="s">
        <v>1051</v>
      </c>
      <c r="H300" s="105">
        <v>1.84</v>
      </c>
      <c r="I300" s="105">
        <v>0.5</v>
      </c>
      <c r="J300" s="105" t="s">
        <v>24</v>
      </c>
      <c r="K300" s="105" t="s">
        <v>24</v>
      </c>
      <c r="L300" s="311"/>
    </row>
    <row r="301" customHeight="1" spans="1:13">
      <c r="A301" s="314">
        <v>45744</v>
      </c>
      <c r="B301" s="253" t="s">
        <v>1195</v>
      </c>
      <c r="C301" s="165" t="s">
        <v>459</v>
      </c>
      <c r="D301" s="315">
        <v>9.2</v>
      </c>
      <c r="E301" s="253" t="s">
        <v>477</v>
      </c>
      <c r="F301" s="253" t="s">
        <v>1091</v>
      </c>
      <c r="G301" s="112" t="s">
        <v>1047</v>
      </c>
      <c r="H301" s="105">
        <v>1</v>
      </c>
      <c r="I301" s="105">
        <v>8.9</v>
      </c>
      <c r="J301" s="320" t="s">
        <v>17</v>
      </c>
      <c r="K301" s="105">
        <v>2.49</v>
      </c>
      <c r="L301" s="305" t="s">
        <v>35</v>
      </c>
    </row>
    <row r="302" customHeight="1" spans="1:13">
      <c r="A302" s="316"/>
      <c r="B302" s="83"/>
      <c r="C302" s="143"/>
      <c r="D302" s="317"/>
      <c r="E302" s="83"/>
      <c r="F302" s="83"/>
      <c r="G302" s="112" t="s">
        <v>1048</v>
      </c>
      <c r="H302" s="105">
        <v>1</v>
      </c>
      <c r="I302" s="105">
        <v>0.3</v>
      </c>
      <c r="J302" s="320" t="s">
        <v>22</v>
      </c>
      <c r="K302" s="105">
        <v>2.75</v>
      </c>
      <c r="L302" s="311"/>
    </row>
    <row r="303" customHeight="1" spans="1:13">
      <c r="A303" s="314">
        <v>45744</v>
      </c>
      <c r="B303" s="253" t="s">
        <v>1196</v>
      </c>
      <c r="C303" s="165" t="s">
        <v>459</v>
      </c>
      <c r="D303" s="315">
        <v>9.2</v>
      </c>
      <c r="E303" s="253" t="s">
        <v>477</v>
      </c>
      <c r="F303" s="253" t="s">
        <v>1091</v>
      </c>
      <c r="G303" s="112" t="s">
        <v>1047</v>
      </c>
      <c r="H303" s="105">
        <v>1</v>
      </c>
      <c r="I303" s="105">
        <v>8.9</v>
      </c>
      <c r="J303" s="320" t="s">
        <v>17</v>
      </c>
      <c r="K303" s="105">
        <v>2.49</v>
      </c>
      <c r="L303" s="305" t="s">
        <v>35</v>
      </c>
      <c r="M303" s="321"/>
    </row>
    <row r="304" customHeight="1" spans="1:13">
      <c r="A304" s="316"/>
      <c r="B304" s="83"/>
      <c r="C304" s="143"/>
      <c r="D304" s="317"/>
      <c r="E304" s="83"/>
      <c r="F304" s="83"/>
      <c r="G304" s="112" t="s">
        <v>1048</v>
      </c>
      <c r="H304" s="105">
        <v>1</v>
      </c>
      <c r="I304" s="105">
        <v>0.3</v>
      </c>
      <c r="J304" s="320" t="s">
        <v>22</v>
      </c>
      <c r="K304" s="105">
        <v>2.75</v>
      </c>
      <c r="L304" s="311"/>
      <c r="M304" s="321"/>
    </row>
    <row r="305" customHeight="1" spans="1:16">
      <c r="A305" s="314">
        <v>45744</v>
      </c>
      <c r="B305" s="253" t="s">
        <v>1197</v>
      </c>
      <c r="C305" s="165" t="s">
        <v>459</v>
      </c>
      <c r="D305" s="315">
        <v>18.4</v>
      </c>
      <c r="E305" s="253" t="s">
        <v>1066</v>
      </c>
      <c r="F305" s="253" t="s">
        <v>1091</v>
      </c>
      <c r="G305" s="112" t="s">
        <v>1047</v>
      </c>
      <c r="H305" s="105">
        <v>1</v>
      </c>
      <c r="I305" s="105">
        <v>17.8</v>
      </c>
      <c r="J305" s="320" t="s">
        <v>17</v>
      </c>
      <c r="K305" s="105">
        <v>2.49</v>
      </c>
      <c r="L305" s="305" t="s">
        <v>35</v>
      </c>
      <c r="P305" s="31"/>
    </row>
    <row r="306" customHeight="1" spans="1:16">
      <c r="A306" s="316"/>
      <c r="B306" s="83"/>
      <c r="C306" s="143"/>
      <c r="D306" s="317"/>
      <c r="E306" s="83"/>
      <c r="F306" s="83"/>
      <c r="G306" s="112" t="s">
        <v>1048</v>
      </c>
      <c r="H306" s="105">
        <v>1</v>
      </c>
      <c r="I306" s="105">
        <v>0.6</v>
      </c>
      <c r="J306" s="320" t="s">
        <v>22</v>
      </c>
      <c r="K306" s="105">
        <v>2.75</v>
      </c>
      <c r="L306" s="311"/>
      <c r="P306" s="31"/>
    </row>
    <row r="307" customHeight="1" spans="1:16">
      <c r="A307" s="314">
        <v>45741</v>
      </c>
      <c r="B307" s="253" t="s">
        <v>1198</v>
      </c>
      <c r="C307" s="165" t="s">
        <v>459</v>
      </c>
      <c r="D307" s="315">
        <v>4</v>
      </c>
      <c r="E307" s="253" t="s">
        <v>477</v>
      </c>
      <c r="F307" s="253" t="s">
        <v>1140</v>
      </c>
      <c r="G307" s="112" t="s">
        <v>1047</v>
      </c>
      <c r="H307" s="105">
        <v>1.51</v>
      </c>
      <c r="I307" s="105">
        <v>3.36</v>
      </c>
      <c r="J307" s="320" t="s">
        <v>17</v>
      </c>
      <c r="K307" s="105">
        <v>2.43</v>
      </c>
      <c r="L307" s="305" t="s">
        <v>112</v>
      </c>
      <c r="P307" s="31"/>
    </row>
    <row r="308" customHeight="1" spans="1:16">
      <c r="A308" s="318"/>
      <c r="B308" s="87"/>
      <c r="C308" s="140"/>
      <c r="D308" s="319"/>
      <c r="E308" s="87"/>
      <c r="F308" s="87"/>
      <c r="G308" s="112" t="s">
        <v>1048</v>
      </c>
      <c r="H308" s="105">
        <v>1.51</v>
      </c>
      <c r="I308" s="105">
        <v>0.28</v>
      </c>
      <c r="J308" s="320" t="s">
        <v>22</v>
      </c>
      <c r="K308" s="105">
        <v>2.58</v>
      </c>
      <c r="L308" s="308"/>
      <c r="P308" s="31"/>
    </row>
    <row r="309" customHeight="1" spans="1:16">
      <c r="A309" s="316"/>
      <c r="B309" s="83"/>
      <c r="C309" s="143"/>
      <c r="D309" s="317"/>
      <c r="E309" s="83"/>
      <c r="F309" s="83"/>
      <c r="G309" s="112" t="s">
        <v>1051</v>
      </c>
      <c r="H309" s="105">
        <v>1.51</v>
      </c>
      <c r="I309" s="105">
        <v>0.36</v>
      </c>
      <c r="J309" s="105" t="s">
        <v>24</v>
      </c>
      <c r="K309" s="105" t="s">
        <v>24</v>
      </c>
      <c r="L309" s="311"/>
    </row>
    <row r="310" customHeight="1" spans="1:16">
      <c r="A310" s="314">
        <v>45742</v>
      </c>
      <c r="B310" s="253" t="s">
        <v>1199</v>
      </c>
      <c r="C310" s="165" t="s">
        <v>462</v>
      </c>
      <c r="D310" s="315">
        <v>30</v>
      </c>
      <c r="E310" s="253" t="s">
        <v>1095</v>
      </c>
      <c r="F310" s="253" t="s">
        <v>1091</v>
      </c>
      <c r="G310" s="112" t="s">
        <v>1047</v>
      </c>
      <c r="H310" s="105">
        <v>1</v>
      </c>
      <c r="I310" s="105">
        <v>27.6</v>
      </c>
      <c r="J310" s="322" t="s">
        <v>17</v>
      </c>
      <c r="K310" s="105">
        <v>2.05</v>
      </c>
      <c r="L310" s="305" t="s">
        <v>1097</v>
      </c>
    </row>
    <row r="311" customHeight="1" spans="1:16">
      <c r="A311" s="318"/>
      <c r="B311" s="87"/>
      <c r="C311" s="140"/>
      <c r="D311" s="319"/>
      <c r="E311" s="87"/>
      <c r="F311" s="87"/>
      <c r="G311" s="112" t="s">
        <v>1048</v>
      </c>
      <c r="H311" s="105">
        <v>1</v>
      </c>
      <c r="I311" s="105">
        <v>2.05</v>
      </c>
      <c r="J311" s="105" t="s">
        <v>136</v>
      </c>
      <c r="K311" s="105">
        <v>8</v>
      </c>
      <c r="L311" s="308"/>
    </row>
    <row r="312" customHeight="1" spans="1:16">
      <c r="A312" s="316"/>
      <c r="B312" s="83"/>
      <c r="C312" s="143"/>
      <c r="D312" s="317"/>
      <c r="E312" s="83"/>
      <c r="F312" s="83"/>
      <c r="G312" s="112" t="s">
        <v>1200</v>
      </c>
      <c r="H312" s="105">
        <v>1</v>
      </c>
      <c r="I312" s="105">
        <v>0.35</v>
      </c>
      <c r="J312" s="105" t="s">
        <v>44</v>
      </c>
      <c r="K312" s="105" t="s">
        <v>24</v>
      </c>
      <c r="L312" s="311"/>
    </row>
    <row r="313" customHeight="1" spans="1:16">
      <c r="A313" s="314">
        <v>45741</v>
      </c>
      <c r="B313" s="253" t="s">
        <v>1201</v>
      </c>
      <c r="C313" s="165" t="s">
        <v>459</v>
      </c>
      <c r="D313" s="315">
        <v>10</v>
      </c>
      <c r="E313" s="253" t="s">
        <v>521</v>
      </c>
      <c r="F313" s="253" t="s">
        <v>487</v>
      </c>
      <c r="G313" s="112" t="s">
        <v>1121</v>
      </c>
      <c r="H313" s="105">
        <v>1.09</v>
      </c>
      <c r="I313" s="105">
        <v>3.2</v>
      </c>
      <c r="J313" s="322" t="s">
        <v>17</v>
      </c>
      <c r="K313" s="105">
        <v>2.15</v>
      </c>
      <c r="L313" s="305" t="s">
        <v>86</v>
      </c>
    </row>
    <row r="314" customHeight="1" spans="1:16">
      <c r="A314" s="318"/>
      <c r="B314" s="87"/>
      <c r="C314" s="140"/>
      <c r="D314" s="319"/>
      <c r="E314" s="87"/>
      <c r="F314" s="87"/>
      <c r="G314" s="112" t="s">
        <v>1122</v>
      </c>
      <c r="H314" s="105">
        <v>1.67</v>
      </c>
      <c r="I314" s="105">
        <v>5.8</v>
      </c>
      <c r="J314" s="322" t="s">
        <v>17</v>
      </c>
      <c r="K314" s="105">
        <v>2.25</v>
      </c>
      <c r="L314" s="308"/>
    </row>
    <row r="315" customHeight="1" spans="1:16">
      <c r="A315" s="318"/>
      <c r="B315" s="87"/>
      <c r="C315" s="140"/>
      <c r="D315" s="319"/>
      <c r="E315" s="87"/>
      <c r="F315" s="87"/>
      <c r="G315" s="112" t="s">
        <v>1048</v>
      </c>
      <c r="H315" s="105">
        <v>1.75</v>
      </c>
      <c r="I315" s="105">
        <v>0.5</v>
      </c>
      <c r="J315" s="322" t="s">
        <v>22</v>
      </c>
      <c r="K315" s="105">
        <v>2.3</v>
      </c>
      <c r="L315" s="308"/>
    </row>
    <row r="316" customHeight="1" spans="1:16">
      <c r="A316" s="316"/>
      <c r="B316" s="83"/>
      <c r="C316" s="143"/>
      <c r="D316" s="317"/>
      <c r="E316" s="83"/>
      <c r="F316" s="83"/>
      <c r="G316" s="112" t="s">
        <v>1051</v>
      </c>
      <c r="H316" s="105">
        <v>1.75</v>
      </c>
      <c r="I316" s="105">
        <v>0.5</v>
      </c>
      <c r="J316" s="105" t="s">
        <v>24</v>
      </c>
      <c r="K316" s="105" t="s">
        <v>24</v>
      </c>
      <c r="L316" s="311"/>
    </row>
    <row r="317" customHeight="1" spans="1:16">
      <c r="A317" s="314">
        <v>45736</v>
      </c>
      <c r="B317" s="253" t="s">
        <v>1202</v>
      </c>
      <c r="C317" s="165" t="s">
        <v>459</v>
      </c>
      <c r="D317" s="315">
        <v>5.06</v>
      </c>
      <c r="E317" s="253" t="s">
        <v>486</v>
      </c>
      <c r="F317" s="253" t="s">
        <v>1063</v>
      </c>
      <c r="G317" s="112" t="s">
        <v>1121</v>
      </c>
      <c r="H317" s="105">
        <v>0.97</v>
      </c>
      <c r="I317" s="105">
        <v>3.15</v>
      </c>
      <c r="J317" s="322" t="s">
        <v>17</v>
      </c>
      <c r="K317" s="105">
        <v>2.25</v>
      </c>
      <c r="L317" s="305" t="s">
        <v>435</v>
      </c>
    </row>
    <row r="318" customHeight="1" spans="1:16">
      <c r="A318" s="318"/>
      <c r="B318" s="87"/>
      <c r="C318" s="140"/>
      <c r="D318" s="319"/>
      <c r="E318" s="87"/>
      <c r="F318" s="87"/>
      <c r="G318" s="112" t="s">
        <v>1122</v>
      </c>
      <c r="H318" s="105">
        <v>1.88</v>
      </c>
      <c r="I318" s="105">
        <v>1.73</v>
      </c>
      <c r="J318" s="322" t="s">
        <v>17</v>
      </c>
      <c r="K318" s="105">
        <v>2.3</v>
      </c>
      <c r="L318" s="308"/>
    </row>
    <row r="319" customHeight="1" spans="1:16">
      <c r="A319" s="316"/>
      <c r="B319" s="83"/>
      <c r="C319" s="143"/>
      <c r="D319" s="317"/>
      <c r="E319" s="83"/>
      <c r="F319" s="83"/>
      <c r="G319" s="112" t="s">
        <v>1051</v>
      </c>
      <c r="H319" s="105">
        <v>2.2</v>
      </c>
      <c r="I319" s="105">
        <v>0.18</v>
      </c>
      <c r="J319" s="105" t="s">
        <v>24</v>
      </c>
      <c r="K319" s="105" t="s">
        <v>24</v>
      </c>
      <c r="L319" s="311"/>
    </row>
    <row r="320" customHeight="1" spans="1:16">
      <c r="A320" s="314">
        <v>45737</v>
      </c>
      <c r="B320" s="253" t="s">
        <v>1203</v>
      </c>
      <c r="C320" s="165" t="s">
        <v>462</v>
      </c>
      <c r="D320" s="315">
        <v>3</v>
      </c>
      <c r="E320" s="253" t="s">
        <v>536</v>
      </c>
      <c r="F320" s="253" t="s">
        <v>460</v>
      </c>
      <c r="G320" s="112" t="s">
        <v>1047</v>
      </c>
      <c r="H320" s="105">
        <v>1.01</v>
      </c>
      <c r="I320" s="105">
        <v>2.47</v>
      </c>
      <c r="J320" s="320" t="s">
        <v>17</v>
      </c>
      <c r="K320" s="105">
        <v>2.2</v>
      </c>
      <c r="L320" s="305" t="s">
        <v>27</v>
      </c>
    </row>
    <row r="321" customHeight="1" spans="1:12">
      <c r="A321" s="318"/>
      <c r="B321" s="87"/>
      <c r="C321" s="140"/>
      <c r="D321" s="319"/>
      <c r="E321" s="87"/>
      <c r="F321" s="87"/>
      <c r="G321" s="112" t="s">
        <v>1048</v>
      </c>
      <c r="H321" s="105">
        <v>1.01</v>
      </c>
      <c r="I321" s="105">
        <v>0.17</v>
      </c>
      <c r="J321" s="320" t="s">
        <v>22</v>
      </c>
      <c r="K321" s="105">
        <v>2.33</v>
      </c>
      <c r="L321" s="308"/>
    </row>
    <row r="322" customHeight="1" spans="1:12">
      <c r="A322" s="318"/>
      <c r="B322" s="87"/>
      <c r="C322" s="140"/>
      <c r="D322" s="319"/>
      <c r="E322" s="87"/>
      <c r="F322" s="87"/>
      <c r="G322" s="112" t="s">
        <v>1113</v>
      </c>
      <c r="H322" s="105">
        <v>1.5</v>
      </c>
      <c r="I322" s="105">
        <v>0.21</v>
      </c>
      <c r="J322" s="105" t="s">
        <v>24</v>
      </c>
      <c r="K322" s="105" t="s">
        <v>24</v>
      </c>
      <c r="L322" s="308"/>
    </row>
    <row r="323" customHeight="1" spans="1:12">
      <c r="A323" s="316"/>
      <c r="B323" s="83"/>
      <c r="C323" s="143"/>
      <c r="D323" s="317"/>
      <c r="E323" s="83"/>
      <c r="F323" s="83"/>
      <c r="G323" s="112" t="s">
        <v>1114</v>
      </c>
      <c r="H323" s="105">
        <v>1.5</v>
      </c>
      <c r="I323" s="105">
        <v>0.15</v>
      </c>
      <c r="J323" s="105" t="s">
        <v>24</v>
      </c>
      <c r="K323" s="105" t="s">
        <v>24</v>
      </c>
      <c r="L323" s="311"/>
    </row>
    <row r="324" customHeight="1" spans="1:12">
      <c r="A324" s="314">
        <v>45737</v>
      </c>
      <c r="B324" s="253" t="s">
        <v>1204</v>
      </c>
      <c r="C324" s="165" t="s">
        <v>462</v>
      </c>
      <c r="D324" s="315">
        <v>5</v>
      </c>
      <c r="E324" s="253" t="s">
        <v>1205</v>
      </c>
      <c r="F324" s="253" t="s">
        <v>1206</v>
      </c>
      <c r="G324" s="112" t="s">
        <v>1121</v>
      </c>
      <c r="H324" s="105">
        <v>1.08</v>
      </c>
      <c r="I324" s="105">
        <v>3.6</v>
      </c>
      <c r="J324" s="320" t="s">
        <v>17</v>
      </c>
      <c r="K324" s="105">
        <v>2.3</v>
      </c>
      <c r="L324" s="305" t="s">
        <v>41</v>
      </c>
    </row>
    <row r="325" customHeight="1" spans="1:12">
      <c r="A325" s="318"/>
      <c r="B325" s="87"/>
      <c r="C325" s="140"/>
      <c r="D325" s="319"/>
      <c r="E325" s="87"/>
      <c r="F325" s="87"/>
      <c r="G325" s="112" t="s">
        <v>1122</v>
      </c>
      <c r="H325" s="105">
        <v>1.21</v>
      </c>
      <c r="I325" s="105">
        <v>0.75</v>
      </c>
      <c r="J325" s="320" t="s">
        <v>17</v>
      </c>
      <c r="K325" s="105">
        <v>2.4</v>
      </c>
      <c r="L325" s="308"/>
    </row>
    <row r="326" customHeight="1" spans="1:12">
      <c r="A326" s="318"/>
      <c r="B326" s="87"/>
      <c r="C326" s="140"/>
      <c r="D326" s="319"/>
      <c r="E326" s="87"/>
      <c r="F326" s="87"/>
      <c r="G326" s="112" t="s">
        <v>1048</v>
      </c>
      <c r="H326" s="105">
        <v>1.24</v>
      </c>
      <c r="I326" s="105">
        <v>0.2</v>
      </c>
      <c r="J326" s="320" t="s">
        <v>22</v>
      </c>
      <c r="K326" s="105">
        <v>2.48</v>
      </c>
      <c r="L326" s="308"/>
    </row>
    <row r="327" customHeight="1" spans="1:12">
      <c r="A327" s="318"/>
      <c r="B327" s="87"/>
      <c r="C327" s="140"/>
      <c r="D327" s="319"/>
      <c r="E327" s="87"/>
      <c r="F327" s="87"/>
      <c r="G327" s="112" t="s">
        <v>1050</v>
      </c>
      <c r="H327" s="105">
        <v>1.33</v>
      </c>
      <c r="I327" s="105">
        <v>0.2</v>
      </c>
      <c r="J327" s="105" t="s">
        <v>96</v>
      </c>
      <c r="K327" s="105">
        <v>4.7</v>
      </c>
      <c r="L327" s="308"/>
    </row>
    <row r="328" customHeight="1" spans="1:12">
      <c r="A328" s="316"/>
      <c r="B328" s="83"/>
      <c r="C328" s="143"/>
      <c r="D328" s="317"/>
      <c r="E328" s="83"/>
      <c r="F328" s="83"/>
      <c r="G328" s="112" t="s">
        <v>1051</v>
      </c>
      <c r="H328" s="105">
        <v>1.75</v>
      </c>
      <c r="I328" s="105">
        <v>0.25</v>
      </c>
      <c r="J328" s="105" t="s">
        <v>24</v>
      </c>
      <c r="K328" s="105" t="s">
        <v>24</v>
      </c>
      <c r="L328" s="311"/>
    </row>
    <row r="329" customHeight="1" spans="1:12">
      <c r="A329" s="314">
        <v>45744</v>
      </c>
      <c r="B329" s="253" t="s">
        <v>1207</v>
      </c>
      <c r="C329" s="165" t="s">
        <v>462</v>
      </c>
      <c r="D329" s="315">
        <v>5</v>
      </c>
      <c r="E329" s="253" t="s">
        <v>492</v>
      </c>
      <c r="F329" s="253" t="s">
        <v>487</v>
      </c>
      <c r="G329" s="112" t="s">
        <v>1121</v>
      </c>
      <c r="H329" s="105">
        <v>0.95</v>
      </c>
      <c r="I329" s="105">
        <v>3.5</v>
      </c>
      <c r="J329" s="160" t="s">
        <v>17</v>
      </c>
      <c r="K329" s="105">
        <v>2.12</v>
      </c>
      <c r="L329" s="305" t="s">
        <v>74</v>
      </c>
    </row>
    <row r="330" customHeight="1" spans="1:12">
      <c r="A330" s="318"/>
      <c r="B330" s="87"/>
      <c r="C330" s="140"/>
      <c r="D330" s="319"/>
      <c r="E330" s="87"/>
      <c r="F330" s="87"/>
      <c r="G330" s="112" t="s">
        <v>1122</v>
      </c>
      <c r="H330" s="105">
        <v>1.25</v>
      </c>
      <c r="I330" s="105">
        <v>1</v>
      </c>
      <c r="J330" s="160" t="s">
        <v>17</v>
      </c>
      <c r="K330" s="105">
        <v>2.18</v>
      </c>
      <c r="L330" s="308"/>
    </row>
    <row r="331" customHeight="1" spans="1:12">
      <c r="A331" s="318"/>
      <c r="B331" s="87"/>
      <c r="C331" s="140"/>
      <c r="D331" s="319"/>
      <c r="E331" s="87"/>
      <c r="F331" s="87"/>
      <c r="G331" s="112" t="s">
        <v>1048</v>
      </c>
      <c r="H331" s="105">
        <v>1.25</v>
      </c>
      <c r="I331" s="105">
        <v>0.15</v>
      </c>
      <c r="J331" s="160" t="s">
        <v>22</v>
      </c>
      <c r="K331" s="105">
        <v>2.4</v>
      </c>
      <c r="L331" s="308"/>
    </row>
    <row r="332" customHeight="1" spans="1:12">
      <c r="A332" s="316"/>
      <c r="B332" s="83"/>
      <c r="C332" s="143"/>
      <c r="D332" s="317"/>
      <c r="E332" s="83"/>
      <c r="F332" s="83"/>
      <c r="G332" s="112" t="s">
        <v>1051</v>
      </c>
      <c r="H332" s="105">
        <v>1.7</v>
      </c>
      <c r="I332" s="105">
        <v>0.35</v>
      </c>
      <c r="J332" s="160" t="s">
        <v>24</v>
      </c>
      <c r="K332" s="105" t="s">
        <v>24</v>
      </c>
      <c r="L332" s="311"/>
    </row>
    <row r="333" customHeight="1" spans="1:12">
      <c r="A333" s="314">
        <v>45737</v>
      </c>
      <c r="B333" s="253" t="s">
        <v>1208</v>
      </c>
      <c r="C333" s="165" t="s">
        <v>459</v>
      </c>
      <c r="D333" s="315">
        <v>10</v>
      </c>
      <c r="E333" s="253" t="s">
        <v>484</v>
      </c>
      <c r="F333" s="253" t="s">
        <v>1091</v>
      </c>
      <c r="G333" s="112" t="s">
        <v>1047</v>
      </c>
      <c r="H333" s="105">
        <v>1.08</v>
      </c>
      <c r="I333" s="105">
        <v>9</v>
      </c>
      <c r="J333" s="105" t="s">
        <v>17</v>
      </c>
      <c r="K333" s="105">
        <v>2.21</v>
      </c>
      <c r="L333" s="305" t="s">
        <v>35</v>
      </c>
    </row>
    <row r="334" customHeight="1" spans="1:12">
      <c r="A334" s="318"/>
      <c r="B334" s="87"/>
      <c r="C334" s="140"/>
      <c r="D334" s="319"/>
      <c r="E334" s="87"/>
      <c r="F334" s="87"/>
      <c r="G334" s="112" t="s">
        <v>1048</v>
      </c>
      <c r="H334" s="105">
        <v>1.17</v>
      </c>
      <c r="I334" s="105">
        <v>0.3</v>
      </c>
      <c r="J334" s="105" t="s">
        <v>22</v>
      </c>
      <c r="K334" s="105">
        <v>2.48</v>
      </c>
      <c r="L334" s="308"/>
    </row>
    <row r="335" customHeight="1" spans="1:12">
      <c r="A335" s="318"/>
      <c r="B335" s="87"/>
      <c r="C335" s="140"/>
      <c r="D335" s="319"/>
      <c r="E335" s="87"/>
      <c r="F335" s="87"/>
      <c r="G335" s="112" t="s">
        <v>1055</v>
      </c>
      <c r="H335" s="105">
        <v>1.17</v>
      </c>
      <c r="I335" s="105">
        <v>0.2</v>
      </c>
      <c r="J335" s="105" t="s">
        <v>96</v>
      </c>
      <c r="K335" s="105">
        <v>3.5</v>
      </c>
      <c r="L335" s="308"/>
    </row>
    <row r="336" customHeight="1" spans="1:12">
      <c r="A336" s="316"/>
      <c r="B336" s="83"/>
      <c r="C336" s="143"/>
      <c r="D336" s="317"/>
      <c r="E336" s="83"/>
      <c r="F336" s="83"/>
      <c r="G336" s="112" t="s">
        <v>1051</v>
      </c>
      <c r="H336" s="105">
        <v>1.92</v>
      </c>
      <c r="I336" s="105">
        <v>0.5</v>
      </c>
      <c r="J336" s="105" t="s">
        <v>24</v>
      </c>
      <c r="K336" s="105" t="s">
        <v>24</v>
      </c>
      <c r="L336" s="311"/>
    </row>
    <row r="337" customHeight="1" spans="1:12">
      <c r="A337" s="314">
        <v>45741</v>
      </c>
      <c r="B337" s="253" t="s">
        <v>1209</v>
      </c>
      <c r="C337" s="165" t="s">
        <v>462</v>
      </c>
      <c r="D337" s="315">
        <v>6</v>
      </c>
      <c r="E337" s="253" t="s">
        <v>552</v>
      </c>
      <c r="F337" s="253" t="s">
        <v>1063</v>
      </c>
      <c r="G337" s="112" t="s">
        <v>1047</v>
      </c>
      <c r="H337" s="105">
        <v>1.5</v>
      </c>
      <c r="I337" s="105">
        <v>5.076</v>
      </c>
      <c r="J337" s="105" t="s">
        <v>17</v>
      </c>
      <c r="K337" s="105">
        <v>2.4</v>
      </c>
      <c r="L337" s="305" t="s">
        <v>67</v>
      </c>
    </row>
    <row r="338" customHeight="1" spans="1:12">
      <c r="A338" s="318"/>
      <c r="B338" s="87"/>
      <c r="C338" s="140"/>
      <c r="D338" s="319"/>
      <c r="E338" s="87"/>
      <c r="F338" s="87"/>
      <c r="G338" s="112" t="s">
        <v>1048</v>
      </c>
      <c r="H338" s="105">
        <v>1.5</v>
      </c>
      <c r="I338" s="105">
        <v>0.264</v>
      </c>
      <c r="J338" s="105" t="s">
        <v>22</v>
      </c>
      <c r="K338" s="105">
        <v>2.6</v>
      </c>
      <c r="L338" s="308"/>
    </row>
    <row r="339" customHeight="1" spans="1:12">
      <c r="A339" s="318"/>
      <c r="B339" s="87"/>
      <c r="C339" s="140"/>
      <c r="D339" s="319"/>
      <c r="E339" s="87"/>
      <c r="F339" s="87"/>
      <c r="G339" s="112" t="s">
        <v>1050</v>
      </c>
      <c r="H339" s="105">
        <v>1.5</v>
      </c>
      <c r="I339" s="105">
        <v>0.24</v>
      </c>
      <c r="J339" s="105" t="s">
        <v>44</v>
      </c>
      <c r="K339" s="105">
        <v>4</v>
      </c>
      <c r="L339" s="308"/>
    </row>
    <row r="340" customHeight="1" spans="1:12">
      <c r="A340" s="316"/>
      <c r="B340" s="83"/>
      <c r="C340" s="143"/>
      <c r="D340" s="317"/>
      <c r="E340" s="83"/>
      <c r="F340" s="83"/>
      <c r="G340" s="112" t="s">
        <v>1051</v>
      </c>
      <c r="H340" s="105">
        <v>1.5</v>
      </c>
      <c r="I340" s="105">
        <v>0.42</v>
      </c>
      <c r="J340" s="105" t="s">
        <v>24</v>
      </c>
      <c r="K340" s="105" t="s">
        <v>24</v>
      </c>
      <c r="L340" s="311"/>
    </row>
    <row r="341" customHeight="1" spans="1:12">
      <c r="A341" s="314">
        <v>45737</v>
      </c>
      <c r="B341" s="253" t="s">
        <v>1210</v>
      </c>
      <c r="C341" s="165" t="s">
        <v>462</v>
      </c>
      <c r="D341" s="315">
        <v>3</v>
      </c>
      <c r="E341" s="253" t="s">
        <v>477</v>
      </c>
      <c r="F341" s="253" t="s">
        <v>1091</v>
      </c>
      <c r="G341" s="112" t="s">
        <v>1047</v>
      </c>
      <c r="H341" s="105">
        <v>1</v>
      </c>
      <c r="I341" s="105">
        <v>2.58</v>
      </c>
      <c r="J341" s="105" t="s">
        <v>17</v>
      </c>
      <c r="K341" s="105">
        <v>2.35</v>
      </c>
      <c r="L341" s="305" t="s">
        <v>35</v>
      </c>
    </row>
    <row r="342" customHeight="1" spans="1:12">
      <c r="A342" s="318"/>
      <c r="B342" s="87"/>
      <c r="C342" s="140"/>
      <c r="D342" s="319"/>
      <c r="E342" s="87"/>
      <c r="F342" s="87"/>
      <c r="G342" s="112" t="s">
        <v>1048</v>
      </c>
      <c r="H342" s="105">
        <v>1</v>
      </c>
      <c r="I342" s="105">
        <v>0.12</v>
      </c>
      <c r="J342" s="105" t="s">
        <v>22</v>
      </c>
      <c r="K342" s="105">
        <v>2.45</v>
      </c>
      <c r="L342" s="308"/>
    </row>
    <row r="343" customHeight="1" spans="1:12">
      <c r="A343" s="318"/>
      <c r="B343" s="87"/>
      <c r="C343" s="140"/>
      <c r="D343" s="319"/>
      <c r="E343" s="87"/>
      <c r="F343" s="87"/>
      <c r="G343" s="112" t="s">
        <v>1050</v>
      </c>
      <c r="H343" s="105">
        <v>1</v>
      </c>
      <c r="I343" s="105">
        <v>0.15</v>
      </c>
      <c r="J343" s="105" t="s">
        <v>44</v>
      </c>
      <c r="K343" s="105">
        <v>3.5</v>
      </c>
      <c r="L343" s="308"/>
    </row>
    <row r="344" customHeight="1" spans="1:12">
      <c r="A344" s="316"/>
      <c r="B344" s="83"/>
      <c r="C344" s="143"/>
      <c r="D344" s="317"/>
      <c r="E344" s="83"/>
      <c r="F344" s="83"/>
      <c r="G344" s="112" t="s">
        <v>1051</v>
      </c>
      <c r="H344" s="105">
        <v>1.59</v>
      </c>
      <c r="I344" s="105">
        <v>0.15</v>
      </c>
      <c r="J344" s="105" t="s">
        <v>24</v>
      </c>
      <c r="K344" s="105" t="s">
        <v>24</v>
      </c>
      <c r="L344" s="311"/>
    </row>
    <row r="345" customHeight="1" spans="1:12">
      <c r="A345" s="314">
        <v>45736</v>
      </c>
      <c r="B345" s="253" t="s">
        <v>1211</v>
      </c>
      <c r="C345" s="165" t="s">
        <v>462</v>
      </c>
      <c r="D345" s="315">
        <v>10</v>
      </c>
      <c r="E345" s="253" t="s">
        <v>1079</v>
      </c>
      <c r="F345" s="253" t="s">
        <v>1091</v>
      </c>
      <c r="G345" s="112" t="s">
        <v>1047</v>
      </c>
      <c r="H345" s="105">
        <v>1.5</v>
      </c>
      <c r="I345" s="105">
        <v>8.9</v>
      </c>
      <c r="J345" s="105" t="s">
        <v>17</v>
      </c>
      <c r="K345" s="105">
        <v>2.28</v>
      </c>
      <c r="L345" s="305" t="s">
        <v>35</v>
      </c>
    </row>
    <row r="346" customHeight="1" spans="1:12">
      <c r="A346" s="318"/>
      <c r="B346" s="87"/>
      <c r="C346" s="140"/>
      <c r="D346" s="319"/>
      <c r="E346" s="87"/>
      <c r="F346" s="87"/>
      <c r="G346" s="112" t="s">
        <v>1048</v>
      </c>
      <c r="H346" s="105">
        <v>1.59</v>
      </c>
      <c r="I346" s="105">
        <v>0.3</v>
      </c>
      <c r="J346" s="105" t="s">
        <v>22</v>
      </c>
      <c r="K346" s="105">
        <v>2.4</v>
      </c>
      <c r="L346" s="308"/>
    </row>
    <row r="347" customHeight="1" spans="1:12">
      <c r="A347" s="318"/>
      <c r="B347" s="87"/>
      <c r="C347" s="140"/>
      <c r="D347" s="319"/>
      <c r="E347" s="87"/>
      <c r="F347" s="87"/>
      <c r="G347" s="112" t="s">
        <v>1055</v>
      </c>
      <c r="H347" s="105">
        <v>1.59</v>
      </c>
      <c r="I347" s="105">
        <v>0.3</v>
      </c>
      <c r="J347" s="105" t="s">
        <v>439</v>
      </c>
      <c r="K347" s="105">
        <v>3.6</v>
      </c>
      <c r="L347" s="308"/>
    </row>
    <row r="348" customHeight="1" spans="1:12">
      <c r="A348" s="316"/>
      <c r="B348" s="83"/>
      <c r="C348" s="143"/>
      <c r="D348" s="317"/>
      <c r="E348" s="83"/>
      <c r="F348" s="83"/>
      <c r="G348" s="112" t="s">
        <v>1051</v>
      </c>
      <c r="H348" s="105">
        <v>2</v>
      </c>
      <c r="I348" s="105">
        <v>0.5</v>
      </c>
      <c r="J348" s="105" t="s">
        <v>24</v>
      </c>
      <c r="K348" s="105" t="s">
        <v>24</v>
      </c>
      <c r="L348" s="311"/>
    </row>
    <row r="349" customHeight="1" spans="1:12">
      <c r="A349" s="323" t="s">
        <v>1212</v>
      </c>
      <c r="B349" s="253" t="s">
        <v>1213</v>
      </c>
      <c r="C349" s="324" t="s">
        <v>462</v>
      </c>
      <c r="D349" s="325">
        <v>10</v>
      </c>
      <c r="E349" s="258" t="s">
        <v>484</v>
      </c>
      <c r="F349" s="258" t="s">
        <v>1206</v>
      </c>
      <c r="G349" s="112" t="s">
        <v>1047</v>
      </c>
      <c r="H349" s="105">
        <v>1</v>
      </c>
      <c r="I349" s="105">
        <v>9</v>
      </c>
      <c r="J349" s="105" t="s">
        <v>17</v>
      </c>
      <c r="K349" s="105">
        <v>2.2</v>
      </c>
      <c r="L349" s="308" t="s">
        <v>35</v>
      </c>
    </row>
    <row r="350" customHeight="1" spans="1:12">
      <c r="A350" s="323"/>
      <c r="B350" s="87"/>
      <c r="C350" s="326"/>
      <c r="D350" s="325"/>
      <c r="E350" s="87"/>
      <c r="F350" s="87"/>
      <c r="G350" s="112" t="s">
        <v>1048</v>
      </c>
      <c r="H350" s="105">
        <v>1.08</v>
      </c>
      <c r="I350" s="105">
        <v>0.3</v>
      </c>
      <c r="J350" s="105" t="s">
        <v>22</v>
      </c>
      <c r="K350" s="105">
        <v>2.4</v>
      </c>
      <c r="L350" s="308"/>
    </row>
    <row r="351" customHeight="1" spans="1:12">
      <c r="A351" s="323"/>
      <c r="B351" s="87"/>
      <c r="C351" s="326"/>
      <c r="D351" s="325"/>
      <c r="E351" s="87"/>
      <c r="F351" s="87"/>
      <c r="G351" s="112" t="s">
        <v>1055</v>
      </c>
      <c r="H351" s="105">
        <v>1.08</v>
      </c>
      <c r="I351" s="105">
        <v>0.2</v>
      </c>
      <c r="J351" s="105" t="s">
        <v>439</v>
      </c>
      <c r="K351" s="105" t="s">
        <v>24</v>
      </c>
      <c r="L351" s="308"/>
    </row>
    <row r="352" customHeight="1" spans="1:12">
      <c r="A352" s="327"/>
      <c r="B352" s="83"/>
      <c r="C352" s="328"/>
      <c r="D352" s="329"/>
      <c r="E352" s="83"/>
      <c r="F352" s="83"/>
      <c r="G352" s="112" t="s">
        <v>1051</v>
      </c>
      <c r="H352" s="105">
        <v>1.84</v>
      </c>
      <c r="I352" s="105">
        <v>0.5</v>
      </c>
      <c r="J352" s="105" t="s">
        <v>24</v>
      </c>
      <c r="K352" s="105" t="s">
        <v>24</v>
      </c>
      <c r="L352" s="311"/>
    </row>
    <row r="353" customHeight="1" spans="1:12">
      <c r="A353" s="323" t="s">
        <v>1212</v>
      </c>
      <c r="B353" s="253" t="s">
        <v>1214</v>
      </c>
      <c r="C353" s="324" t="s">
        <v>462</v>
      </c>
      <c r="D353" s="325">
        <v>10</v>
      </c>
      <c r="E353" s="258" t="s">
        <v>484</v>
      </c>
      <c r="F353" s="258" t="s">
        <v>1206</v>
      </c>
      <c r="G353" s="112" t="s">
        <v>1047</v>
      </c>
      <c r="H353" s="105">
        <v>1</v>
      </c>
      <c r="I353" s="105">
        <v>9</v>
      </c>
      <c r="J353" s="105" t="s">
        <v>17</v>
      </c>
      <c r="K353" s="105">
        <v>2.15</v>
      </c>
      <c r="L353" s="308" t="s">
        <v>35</v>
      </c>
    </row>
    <row r="354" customHeight="1" spans="1:12">
      <c r="A354" s="323"/>
      <c r="B354" s="87"/>
      <c r="C354" s="326"/>
      <c r="D354" s="325"/>
      <c r="E354" s="87"/>
      <c r="F354" s="87"/>
      <c r="G354" s="112" t="s">
        <v>1048</v>
      </c>
      <c r="H354" s="105">
        <v>1.08</v>
      </c>
      <c r="I354" s="105">
        <v>0.3</v>
      </c>
      <c r="J354" s="105" t="s">
        <v>22</v>
      </c>
      <c r="K354" s="105">
        <v>2.4</v>
      </c>
      <c r="L354" s="308"/>
    </row>
    <row r="355" customHeight="1" spans="1:12">
      <c r="A355" s="323"/>
      <c r="B355" s="87"/>
      <c r="C355" s="326"/>
      <c r="D355" s="325"/>
      <c r="E355" s="87"/>
      <c r="F355" s="87"/>
      <c r="G355" s="112" t="s">
        <v>1055</v>
      </c>
      <c r="H355" s="105">
        <v>1.08</v>
      </c>
      <c r="I355" s="105">
        <v>0.2</v>
      </c>
      <c r="J355" s="105" t="s">
        <v>439</v>
      </c>
      <c r="K355" s="105">
        <v>3.5</v>
      </c>
      <c r="L355" s="308"/>
    </row>
    <row r="356" customHeight="1" spans="1:12">
      <c r="A356" s="327"/>
      <c r="B356" s="83"/>
      <c r="C356" s="328"/>
      <c r="D356" s="329"/>
      <c r="E356" s="83"/>
      <c r="F356" s="83"/>
      <c r="G356" s="112" t="s">
        <v>1051</v>
      </c>
      <c r="H356" s="105">
        <v>1.84</v>
      </c>
      <c r="I356" s="105">
        <v>0.5</v>
      </c>
      <c r="J356" s="105" t="s">
        <v>24</v>
      </c>
      <c r="K356" s="105" t="s">
        <v>24</v>
      </c>
      <c r="L356" s="311"/>
    </row>
    <row r="357" customHeight="1" spans="1:12">
      <c r="A357" s="323" t="s">
        <v>1212</v>
      </c>
      <c r="B357" s="253" t="s">
        <v>1215</v>
      </c>
      <c r="C357" s="324" t="s">
        <v>462</v>
      </c>
      <c r="D357" s="325">
        <v>5</v>
      </c>
      <c r="E357" s="258" t="s">
        <v>477</v>
      </c>
      <c r="F357" s="258" t="s">
        <v>1063</v>
      </c>
      <c r="G357" s="112" t="s">
        <v>1047</v>
      </c>
      <c r="H357" s="105">
        <v>1</v>
      </c>
      <c r="I357" s="105">
        <v>4.3</v>
      </c>
      <c r="J357" s="105" t="s">
        <v>17</v>
      </c>
      <c r="K357" s="330">
        <v>2.33</v>
      </c>
      <c r="L357" s="308" t="s">
        <v>35</v>
      </c>
    </row>
    <row r="358" customHeight="1" spans="1:12">
      <c r="A358" s="323"/>
      <c r="B358" s="87"/>
      <c r="C358" s="326"/>
      <c r="D358" s="325"/>
      <c r="E358" s="87"/>
      <c r="F358" s="87"/>
      <c r="G358" s="112" t="s">
        <v>1048</v>
      </c>
      <c r="H358" s="105">
        <v>1</v>
      </c>
      <c r="I358" s="105">
        <v>0.2</v>
      </c>
      <c r="J358" s="105" t="s">
        <v>22</v>
      </c>
      <c r="K358" s="330">
        <v>2.4</v>
      </c>
      <c r="L358" s="308"/>
    </row>
    <row r="359" customHeight="1" spans="1:12">
      <c r="A359" s="323"/>
      <c r="B359" s="87"/>
      <c r="C359" s="326"/>
      <c r="D359" s="325"/>
      <c r="E359" s="87"/>
      <c r="F359" s="87"/>
      <c r="G359" s="112" t="s">
        <v>1055</v>
      </c>
      <c r="H359" s="105">
        <v>1</v>
      </c>
      <c r="I359" s="105">
        <v>0.25</v>
      </c>
      <c r="J359" s="105" t="s">
        <v>439</v>
      </c>
      <c r="K359" s="330">
        <v>3.6</v>
      </c>
      <c r="L359" s="308"/>
    </row>
    <row r="360" customHeight="1" spans="1:12">
      <c r="A360" s="327"/>
      <c r="B360" s="83"/>
      <c r="C360" s="328"/>
      <c r="D360" s="329"/>
      <c r="E360" s="83"/>
      <c r="F360" s="83"/>
      <c r="G360" s="112" t="s">
        <v>1051</v>
      </c>
      <c r="H360" s="105">
        <v>1.58</v>
      </c>
      <c r="I360" s="105">
        <v>0.25</v>
      </c>
      <c r="J360" s="105" t="s">
        <v>24</v>
      </c>
      <c r="K360" s="105" t="s">
        <v>24</v>
      </c>
      <c r="L360" s="311"/>
    </row>
    <row r="361" customHeight="1" spans="1:12">
      <c r="A361" s="323" t="s">
        <v>1212</v>
      </c>
      <c r="B361" s="253" t="s">
        <v>1216</v>
      </c>
      <c r="C361" s="324" t="s">
        <v>459</v>
      </c>
      <c r="D361" s="325">
        <v>10</v>
      </c>
      <c r="E361" s="258" t="s">
        <v>484</v>
      </c>
      <c r="F361" s="258" t="s">
        <v>523</v>
      </c>
      <c r="G361" s="112" t="s">
        <v>1047</v>
      </c>
      <c r="H361" s="105">
        <v>1.5</v>
      </c>
      <c r="I361" s="105">
        <v>8.9</v>
      </c>
      <c r="J361" s="105" t="s">
        <v>17</v>
      </c>
      <c r="K361" s="330">
        <v>2.34</v>
      </c>
      <c r="L361" s="308" t="s">
        <v>35</v>
      </c>
    </row>
    <row r="362" customHeight="1" spans="1:12">
      <c r="A362" s="323"/>
      <c r="B362" s="87"/>
      <c r="C362" s="326"/>
      <c r="D362" s="325"/>
      <c r="E362" s="87"/>
      <c r="F362" s="87"/>
      <c r="G362" s="112" t="s">
        <v>1048</v>
      </c>
      <c r="H362" s="105">
        <v>1.58</v>
      </c>
      <c r="I362" s="105">
        <v>0.3</v>
      </c>
      <c r="J362" s="105" t="s">
        <v>22</v>
      </c>
      <c r="K362" s="330">
        <v>2.48</v>
      </c>
      <c r="L362" s="308"/>
    </row>
    <row r="363" customHeight="1" spans="1:12">
      <c r="A363" s="323"/>
      <c r="B363" s="87"/>
      <c r="C363" s="326"/>
      <c r="D363" s="325"/>
      <c r="E363" s="87"/>
      <c r="F363" s="87"/>
      <c r="G363" s="112" t="s">
        <v>1055</v>
      </c>
      <c r="H363" s="105">
        <v>1.58</v>
      </c>
      <c r="I363" s="105">
        <v>0.3</v>
      </c>
      <c r="J363" s="105" t="s">
        <v>439</v>
      </c>
      <c r="K363" s="330">
        <v>3.6</v>
      </c>
      <c r="L363" s="308"/>
    </row>
    <row r="364" customHeight="1" spans="1:12">
      <c r="A364" s="327"/>
      <c r="B364" s="83"/>
      <c r="C364" s="328"/>
      <c r="D364" s="329"/>
      <c r="E364" s="83"/>
      <c r="F364" s="83"/>
      <c r="G364" s="112" t="s">
        <v>1051</v>
      </c>
      <c r="H364" s="105">
        <v>2.33</v>
      </c>
      <c r="I364" s="105">
        <v>0.5</v>
      </c>
      <c r="J364" s="105" t="s">
        <v>24</v>
      </c>
      <c r="K364" s="105" t="s">
        <v>24</v>
      </c>
      <c r="L364" s="311"/>
    </row>
    <row r="365" customHeight="1" spans="1:12">
      <c r="A365" s="302">
        <v>45758</v>
      </c>
      <c r="B365" s="253" t="s">
        <v>1217</v>
      </c>
      <c r="C365" s="205" t="s">
        <v>462</v>
      </c>
      <c r="D365" s="160">
        <v>3</v>
      </c>
      <c r="E365" s="303" t="s">
        <v>477</v>
      </c>
      <c r="F365" s="303" t="s">
        <v>460</v>
      </c>
      <c r="G365" s="112" t="s">
        <v>1047</v>
      </c>
      <c r="H365" s="105">
        <v>1.03</v>
      </c>
      <c r="I365" s="105">
        <v>2.51</v>
      </c>
      <c r="J365" s="105" t="s">
        <v>17</v>
      </c>
      <c r="K365" s="105">
        <v>2</v>
      </c>
      <c r="L365" s="305" t="s">
        <v>27</v>
      </c>
    </row>
    <row r="366" customHeight="1" spans="1:12">
      <c r="A366" s="306"/>
      <c r="B366" s="87"/>
      <c r="C366" s="111"/>
      <c r="D366" s="160"/>
      <c r="E366" s="89"/>
      <c r="F366" s="89"/>
      <c r="G366" s="112" t="s">
        <v>1048</v>
      </c>
      <c r="H366" s="105">
        <v>1.03</v>
      </c>
      <c r="I366" s="105">
        <v>0.17</v>
      </c>
      <c r="J366" s="105" t="s">
        <v>22</v>
      </c>
      <c r="K366" s="105">
        <v>2.09</v>
      </c>
      <c r="L366" s="308"/>
    </row>
    <row r="367" customHeight="1" spans="1:12">
      <c r="A367" s="309"/>
      <c r="B367" s="83"/>
      <c r="C367" s="111"/>
      <c r="D367" s="160"/>
      <c r="E367" s="90"/>
      <c r="F367" s="90"/>
      <c r="G367" s="112" t="s">
        <v>1051</v>
      </c>
      <c r="H367" s="105">
        <v>1.11</v>
      </c>
      <c r="I367" s="105">
        <v>0.32</v>
      </c>
      <c r="J367" s="105" t="s">
        <v>24</v>
      </c>
      <c r="K367" s="105" t="s">
        <v>24</v>
      </c>
      <c r="L367" s="311"/>
    </row>
    <row r="368" customHeight="1" spans="1:12">
      <c r="A368" s="302">
        <v>45763</v>
      </c>
      <c r="B368" s="253" t="s">
        <v>1218</v>
      </c>
      <c r="C368" s="205" t="s">
        <v>462</v>
      </c>
      <c r="D368" s="160">
        <v>9.3</v>
      </c>
      <c r="E368" s="303" t="s">
        <v>1066</v>
      </c>
      <c r="F368" s="303" t="s">
        <v>1117</v>
      </c>
      <c r="G368" s="112" t="s">
        <v>1047</v>
      </c>
      <c r="H368" s="105">
        <v>0.92</v>
      </c>
      <c r="I368" s="105">
        <v>9</v>
      </c>
      <c r="J368" s="105" t="s">
        <v>17</v>
      </c>
      <c r="K368" s="105">
        <v>2.05</v>
      </c>
      <c r="L368" s="217" t="s">
        <v>35</v>
      </c>
    </row>
    <row r="369" customHeight="1" spans="1:14">
      <c r="A369" s="306"/>
      <c r="B369" s="87"/>
      <c r="C369" s="111"/>
      <c r="D369" s="160"/>
      <c r="E369" s="89"/>
      <c r="F369" s="89"/>
      <c r="G369" s="112" t="s">
        <v>1048</v>
      </c>
      <c r="H369" s="105">
        <v>0.92</v>
      </c>
      <c r="I369" s="105">
        <v>0.3</v>
      </c>
      <c r="J369" s="105" t="s">
        <v>22</v>
      </c>
      <c r="K369" s="105">
        <v>2.32</v>
      </c>
    </row>
    <row r="370" customHeight="1" spans="1:14">
      <c r="A370" s="302">
        <v>45764</v>
      </c>
      <c r="B370" s="253" t="s">
        <v>1219</v>
      </c>
      <c r="C370" s="205" t="s">
        <v>462</v>
      </c>
      <c r="D370" s="160">
        <v>9.3</v>
      </c>
      <c r="E370" s="331" t="s">
        <v>1066</v>
      </c>
      <c r="F370" s="303" t="s">
        <v>1117</v>
      </c>
      <c r="G370" s="112" t="s">
        <v>1047</v>
      </c>
      <c r="H370" s="105">
        <v>0.92</v>
      </c>
      <c r="I370" s="105">
        <v>9</v>
      </c>
      <c r="J370" s="105" t="s">
        <v>17</v>
      </c>
      <c r="K370" s="105">
        <v>2.07</v>
      </c>
      <c r="L370" s="217" t="s">
        <v>35</v>
      </c>
      <c r="N370" s="221"/>
    </row>
    <row r="371" customHeight="1" spans="1:14">
      <c r="A371" s="306"/>
      <c r="B371" s="87"/>
      <c r="C371" s="111"/>
      <c r="D371" s="160"/>
      <c r="E371" s="332"/>
      <c r="F371" s="89"/>
      <c r="G371" s="112" t="s">
        <v>1048</v>
      </c>
      <c r="H371" s="105">
        <v>0.92</v>
      </c>
      <c r="I371" s="105">
        <v>0.3</v>
      </c>
      <c r="J371" s="105" t="s">
        <v>22</v>
      </c>
      <c r="K371" s="105">
        <v>2.32</v>
      </c>
    </row>
    <row r="372" customHeight="1" spans="1:14">
      <c r="A372" s="302">
        <v>45757</v>
      </c>
      <c r="B372" s="253" t="s">
        <v>1220</v>
      </c>
      <c r="C372" s="205" t="s">
        <v>462</v>
      </c>
      <c r="D372" s="160">
        <v>4</v>
      </c>
      <c r="E372" s="303" t="s">
        <v>477</v>
      </c>
      <c r="F372" s="303" t="s">
        <v>523</v>
      </c>
      <c r="G372" s="112" t="s">
        <v>1047</v>
      </c>
      <c r="H372" s="105">
        <v>0.65</v>
      </c>
      <c r="I372" s="105">
        <v>3.58</v>
      </c>
      <c r="J372" s="105" t="s">
        <v>17</v>
      </c>
      <c r="K372" s="105">
        <v>1.99</v>
      </c>
      <c r="L372" s="217" t="s">
        <v>112</v>
      </c>
    </row>
    <row r="373" customHeight="1" spans="1:14">
      <c r="A373" s="306"/>
      <c r="B373" s="87"/>
      <c r="C373" s="111"/>
      <c r="D373" s="160"/>
      <c r="E373" s="89"/>
      <c r="F373" s="89"/>
      <c r="G373" s="112" t="s">
        <v>1048</v>
      </c>
      <c r="H373" s="105">
        <v>0.65</v>
      </c>
      <c r="I373" s="105">
        <v>0.22</v>
      </c>
      <c r="J373" s="105" t="s">
        <v>22</v>
      </c>
      <c r="K373" s="105">
        <v>2.3</v>
      </c>
    </row>
    <row r="374" customHeight="1" spans="1:14">
      <c r="A374" s="306"/>
      <c r="B374" s="87"/>
      <c r="C374" s="111"/>
      <c r="D374" s="160"/>
      <c r="E374" s="89"/>
      <c r="F374" s="89"/>
      <c r="G374" s="111" t="s">
        <v>1221</v>
      </c>
      <c r="H374" s="105">
        <v>3.04</v>
      </c>
      <c r="I374" s="105">
        <v>0.08</v>
      </c>
      <c r="J374" s="105" t="s">
        <v>24</v>
      </c>
      <c r="K374" s="105" t="s">
        <v>24</v>
      </c>
    </row>
    <row r="375" customHeight="1" spans="1:14">
      <c r="A375" s="309"/>
      <c r="B375" s="83"/>
      <c r="C375" s="111"/>
      <c r="D375" s="160"/>
      <c r="E375" s="90"/>
      <c r="F375" s="90"/>
      <c r="G375" s="111" t="s">
        <v>1222</v>
      </c>
      <c r="H375" s="105">
        <v>3.04</v>
      </c>
      <c r="I375" s="105">
        <v>0.12</v>
      </c>
      <c r="J375" s="105" t="s">
        <v>24</v>
      </c>
      <c r="K375" s="105" t="s">
        <v>24</v>
      </c>
    </row>
    <row r="376" customHeight="1" spans="1:14">
      <c r="A376" s="302">
        <v>45762</v>
      </c>
      <c r="B376" s="253" t="s">
        <v>1223</v>
      </c>
      <c r="C376" s="205" t="s">
        <v>462</v>
      </c>
      <c r="D376" s="160">
        <v>9.3</v>
      </c>
      <c r="E376" s="303" t="s">
        <v>1066</v>
      </c>
      <c r="F376" s="303" t="s">
        <v>1117</v>
      </c>
      <c r="G376" s="112" t="s">
        <v>1047</v>
      </c>
      <c r="H376" s="105">
        <v>0.92</v>
      </c>
      <c r="I376" s="105">
        <v>9</v>
      </c>
      <c r="J376" s="105" t="s">
        <v>17</v>
      </c>
      <c r="K376" s="105">
        <v>2.05</v>
      </c>
      <c r="L376" s="311" t="s">
        <v>35</v>
      </c>
    </row>
    <row r="377" customHeight="1" spans="1:14">
      <c r="A377" s="306"/>
      <c r="B377" s="87"/>
      <c r="C377" s="111"/>
      <c r="D377" s="160"/>
      <c r="E377" s="89"/>
      <c r="F377" s="89"/>
      <c r="G377" s="112" t="s">
        <v>1048</v>
      </c>
      <c r="H377" s="105">
        <v>0.92</v>
      </c>
      <c r="I377" s="105">
        <v>0.3</v>
      </c>
      <c r="J377" s="105" t="s">
        <v>22</v>
      </c>
      <c r="K377" s="105">
        <v>2.34</v>
      </c>
    </row>
    <row r="378" customHeight="1" spans="1:14">
      <c r="A378" s="302">
        <v>45758</v>
      </c>
      <c r="B378" s="253" t="s">
        <v>1224</v>
      </c>
      <c r="C378" s="205" t="s">
        <v>462</v>
      </c>
      <c r="D378" s="160">
        <v>10</v>
      </c>
      <c r="E378" s="303" t="s">
        <v>484</v>
      </c>
      <c r="F378" s="303" t="s">
        <v>1225</v>
      </c>
      <c r="G378" s="112" t="s">
        <v>1047</v>
      </c>
      <c r="H378" s="105">
        <v>1.42</v>
      </c>
      <c r="I378" s="105">
        <v>8.9</v>
      </c>
      <c r="J378" s="105" t="s">
        <v>17</v>
      </c>
      <c r="K378" s="105">
        <v>2.2</v>
      </c>
      <c r="L378" s="217" t="s">
        <v>35</v>
      </c>
    </row>
    <row r="379" customHeight="1" spans="1:14">
      <c r="A379" s="306"/>
      <c r="B379" s="87"/>
      <c r="C379" s="111"/>
      <c r="D379" s="160"/>
      <c r="E379" s="89"/>
      <c r="F379" s="89"/>
      <c r="G379" s="112" t="s">
        <v>1048</v>
      </c>
      <c r="H379" s="105">
        <v>1.42</v>
      </c>
      <c r="I379" s="105">
        <v>0.3</v>
      </c>
      <c r="J379" s="105" t="s">
        <v>22</v>
      </c>
      <c r="K379" s="105">
        <v>2.38</v>
      </c>
    </row>
    <row r="380" customHeight="1" spans="1:14">
      <c r="A380" s="306"/>
      <c r="B380" s="87"/>
      <c r="C380" s="111"/>
      <c r="D380" s="160"/>
      <c r="E380" s="89"/>
      <c r="F380" s="89"/>
      <c r="G380" s="112" t="s">
        <v>1055</v>
      </c>
      <c r="H380" s="105">
        <v>1.42</v>
      </c>
      <c r="I380" s="105">
        <v>0.3</v>
      </c>
      <c r="J380" s="105" t="s">
        <v>439</v>
      </c>
      <c r="K380" s="105">
        <v>3.6</v>
      </c>
    </row>
    <row r="381" customHeight="1" spans="1:14">
      <c r="A381" s="306"/>
      <c r="B381" s="87"/>
      <c r="C381" s="111"/>
      <c r="D381" s="160"/>
      <c r="E381" s="89"/>
      <c r="F381" s="89"/>
      <c r="G381" s="119" t="s">
        <v>1051</v>
      </c>
      <c r="H381" s="105">
        <v>2.33</v>
      </c>
      <c r="I381" s="117">
        <v>0.5</v>
      </c>
      <c r="J381" s="105" t="s">
        <v>24</v>
      </c>
      <c r="K381" s="117" t="s">
        <v>24</v>
      </c>
      <c r="L381" s="305"/>
    </row>
    <row r="382" customHeight="1" spans="1:14">
      <c r="A382" s="333">
        <v>45757</v>
      </c>
      <c r="B382" s="334" t="s">
        <v>1226</v>
      </c>
      <c r="C382" s="205" t="s">
        <v>459</v>
      </c>
      <c r="D382" s="160">
        <v>3</v>
      </c>
      <c r="E382" s="335" t="s">
        <v>492</v>
      </c>
      <c r="F382" s="335" t="s">
        <v>1227</v>
      </c>
      <c r="G382" s="112" t="s">
        <v>1047</v>
      </c>
      <c r="H382" s="105">
        <v>1.87</v>
      </c>
      <c r="I382" s="105">
        <v>2.52</v>
      </c>
      <c r="J382" s="105" t="s">
        <v>17</v>
      </c>
      <c r="K382" s="105">
        <v>2.4</v>
      </c>
      <c r="L382" s="217" t="s">
        <v>70</v>
      </c>
    </row>
    <row r="383" customHeight="1" spans="1:14">
      <c r="A383" s="333"/>
      <c r="B383" s="91"/>
      <c r="C383" s="111"/>
      <c r="D383" s="160"/>
      <c r="E383" s="92"/>
      <c r="F383" s="92"/>
      <c r="G383" s="112" t="s">
        <v>1048</v>
      </c>
      <c r="H383" s="105">
        <v>1.95</v>
      </c>
      <c r="I383" s="105">
        <v>0.12</v>
      </c>
      <c r="J383" s="105" t="s">
        <v>22</v>
      </c>
      <c r="K383" s="105">
        <v>3.2</v>
      </c>
    </row>
    <row r="384" customHeight="1" spans="1:14">
      <c r="A384" s="333"/>
      <c r="B384" s="91"/>
      <c r="C384" s="111"/>
      <c r="D384" s="160"/>
      <c r="E384" s="92"/>
      <c r="F384" s="92"/>
      <c r="G384" s="112" t="s">
        <v>1051</v>
      </c>
      <c r="H384" s="105">
        <v>2.7</v>
      </c>
      <c r="I384" s="105">
        <v>0.36</v>
      </c>
      <c r="J384" s="105" t="s">
        <v>24</v>
      </c>
      <c r="K384" s="105" t="s">
        <v>24</v>
      </c>
    </row>
    <row r="385" customHeight="1" spans="1:12">
      <c r="A385" s="299">
        <v>45757</v>
      </c>
      <c r="B385" s="214" t="s">
        <v>1228</v>
      </c>
      <c r="C385" s="205" t="s">
        <v>462</v>
      </c>
      <c r="D385" s="160">
        <v>3</v>
      </c>
      <c r="E385" s="335" t="s">
        <v>1045</v>
      </c>
      <c r="F385" s="335" t="s">
        <v>1227</v>
      </c>
      <c r="G385" s="112" t="s">
        <v>1047</v>
      </c>
      <c r="H385" s="105">
        <v>1.25</v>
      </c>
      <c r="I385" s="105">
        <v>2.46</v>
      </c>
      <c r="J385" s="105" t="s">
        <v>17</v>
      </c>
      <c r="K385" s="105">
        <v>2.5</v>
      </c>
      <c r="L385" s="217" t="s">
        <v>123</v>
      </c>
    </row>
    <row r="386" customHeight="1" spans="1:12">
      <c r="C386" s="111"/>
      <c r="D386" s="160"/>
      <c r="E386" s="92"/>
      <c r="F386" s="92"/>
      <c r="G386" s="112" t="s">
        <v>1048</v>
      </c>
      <c r="H386" s="105">
        <v>1.25</v>
      </c>
      <c r="I386" s="105">
        <v>0.21</v>
      </c>
      <c r="J386" s="105" t="s">
        <v>22</v>
      </c>
      <c r="K386" s="105">
        <v>3</v>
      </c>
    </row>
    <row r="387" customHeight="1" spans="1:12">
      <c r="C387" s="111"/>
      <c r="D387" s="160"/>
      <c r="E387" s="92"/>
      <c r="F387" s="92"/>
      <c r="G387" s="112" t="s">
        <v>1055</v>
      </c>
      <c r="H387" s="105">
        <v>1.25</v>
      </c>
      <c r="I387" s="105">
        <v>0.18</v>
      </c>
      <c r="J387" s="105" t="s">
        <v>44</v>
      </c>
      <c r="K387" s="105">
        <v>3.3</v>
      </c>
    </row>
    <row r="388" customHeight="1" spans="1:12">
      <c r="C388" s="111"/>
      <c r="D388" s="160"/>
      <c r="E388" s="92"/>
      <c r="F388" s="92"/>
      <c r="G388" s="112" t="s">
        <v>1051</v>
      </c>
      <c r="H388" s="105">
        <v>1.25</v>
      </c>
      <c r="I388" s="105">
        <v>0.15</v>
      </c>
      <c r="J388" s="105" t="s">
        <v>24</v>
      </c>
      <c r="K388" s="105" t="s">
        <v>24</v>
      </c>
    </row>
    <row r="389" customHeight="1" spans="1:12">
      <c r="A389" s="333">
        <v>45757</v>
      </c>
      <c r="B389" s="334" t="s">
        <v>1229</v>
      </c>
      <c r="C389" s="214" t="s">
        <v>459</v>
      </c>
      <c r="D389" s="51">
        <v>10</v>
      </c>
      <c r="E389" s="335" t="s">
        <v>521</v>
      </c>
      <c r="F389" s="335" t="s">
        <v>487</v>
      </c>
      <c r="G389" s="112" t="s">
        <v>1121</v>
      </c>
      <c r="H389" s="105">
        <v>1.08</v>
      </c>
      <c r="I389" s="105">
        <v>3.2</v>
      </c>
      <c r="J389" s="105" t="s">
        <v>17</v>
      </c>
      <c r="K389" s="105">
        <v>2.03</v>
      </c>
      <c r="L389" s="217" t="s">
        <v>86</v>
      </c>
    </row>
    <row r="390" customHeight="1" spans="1:12">
      <c r="A390" s="333"/>
      <c r="B390" s="91"/>
      <c r="E390" s="92"/>
      <c r="F390" s="92"/>
      <c r="G390" s="112" t="s">
        <v>1122</v>
      </c>
      <c r="H390" s="105">
        <v>1.67</v>
      </c>
      <c r="I390" s="105">
        <v>5.8</v>
      </c>
      <c r="J390" s="105" t="s">
        <v>17</v>
      </c>
      <c r="K390" s="105">
        <v>2.07</v>
      </c>
    </row>
    <row r="391" customHeight="1" spans="1:12">
      <c r="A391" s="333"/>
      <c r="B391" s="91"/>
      <c r="E391" s="92"/>
      <c r="F391" s="92"/>
      <c r="G391" s="112" t="s">
        <v>1048</v>
      </c>
      <c r="H391" s="105">
        <v>1.76</v>
      </c>
      <c r="I391" s="105">
        <v>0.5</v>
      </c>
      <c r="J391" s="105" t="s">
        <v>22</v>
      </c>
      <c r="K391" s="105">
        <v>2.25</v>
      </c>
    </row>
    <row r="392" customHeight="1" spans="1:12">
      <c r="A392" s="333"/>
      <c r="B392" s="91"/>
      <c r="E392" s="92"/>
      <c r="F392" s="92"/>
      <c r="G392" s="112" t="s">
        <v>1051</v>
      </c>
      <c r="H392" s="105">
        <v>1.76</v>
      </c>
      <c r="I392" s="105">
        <v>0.5</v>
      </c>
      <c r="J392" s="105" t="s">
        <v>24</v>
      </c>
      <c r="K392" s="105" t="s">
        <v>24</v>
      </c>
    </row>
    <row r="393" s="31" customFormat="1" customHeight="1" spans="1:12">
      <c r="A393" s="336">
        <v>45761</v>
      </c>
      <c r="B393" s="303" t="s">
        <v>1230</v>
      </c>
      <c r="C393" s="337" t="s">
        <v>1231</v>
      </c>
      <c r="D393" s="117">
        <v>10</v>
      </c>
      <c r="E393" s="305" t="s">
        <v>521</v>
      </c>
      <c r="F393" s="305" t="s">
        <v>487</v>
      </c>
      <c r="G393" s="217" t="s">
        <v>1121</v>
      </c>
      <c r="H393" s="105">
        <v>1.08</v>
      </c>
      <c r="I393" s="105">
        <v>3.2</v>
      </c>
      <c r="J393" s="105" t="s">
        <v>17</v>
      </c>
      <c r="K393" s="105">
        <v>1.97</v>
      </c>
      <c r="L393" s="305" t="s">
        <v>86</v>
      </c>
    </row>
    <row r="394" s="31" customFormat="1" customHeight="1" spans="1:12">
      <c r="A394" s="338"/>
      <c r="B394" s="89"/>
      <c r="C394" s="202"/>
      <c r="D394" s="339"/>
      <c r="E394" s="202"/>
      <c r="F394" s="202"/>
      <c r="G394" s="217" t="s">
        <v>1122</v>
      </c>
      <c r="H394" s="105">
        <v>1.67</v>
      </c>
      <c r="I394" s="105">
        <v>5.8</v>
      </c>
      <c r="J394" s="105" t="s">
        <v>17</v>
      </c>
      <c r="K394" s="105">
        <v>2</v>
      </c>
      <c r="L394" s="308"/>
    </row>
    <row r="395" s="31" customFormat="1" customHeight="1" spans="1:12">
      <c r="A395" s="338"/>
      <c r="B395" s="89"/>
      <c r="C395" s="202"/>
      <c r="D395" s="339"/>
      <c r="E395" s="202"/>
      <c r="F395" s="202"/>
      <c r="G395" s="217" t="s">
        <v>1048</v>
      </c>
      <c r="H395" s="105">
        <v>1.76</v>
      </c>
      <c r="I395" s="105">
        <v>0.5</v>
      </c>
      <c r="J395" s="105" t="s">
        <v>22</v>
      </c>
      <c r="K395" s="105">
        <v>2.15</v>
      </c>
      <c r="L395" s="308"/>
    </row>
    <row r="396" s="31" customFormat="1" customHeight="1" spans="1:12">
      <c r="A396" s="340"/>
      <c r="B396" s="90"/>
      <c r="C396" s="204"/>
      <c r="D396" s="341"/>
      <c r="E396" s="204"/>
      <c r="F396" s="204"/>
      <c r="G396" s="217" t="s">
        <v>503</v>
      </c>
      <c r="H396" s="105">
        <v>1.76</v>
      </c>
      <c r="I396" s="105">
        <v>0.5</v>
      </c>
      <c r="J396" s="105" t="s">
        <v>24</v>
      </c>
      <c r="K396" s="105" t="s">
        <v>24</v>
      </c>
      <c r="L396" s="311"/>
    </row>
    <row r="397" s="31" customFormat="1" customHeight="1" spans="1:12">
      <c r="A397" s="342">
        <v>45765</v>
      </c>
      <c r="B397" s="343" t="s">
        <v>1232</v>
      </c>
      <c r="C397" s="344" t="s">
        <v>1233</v>
      </c>
      <c r="D397" s="345">
        <v>10</v>
      </c>
      <c r="E397" s="346" t="s">
        <v>521</v>
      </c>
      <c r="F397" s="346" t="s">
        <v>487</v>
      </c>
      <c r="G397" s="347" t="s">
        <v>1121</v>
      </c>
      <c r="H397" s="348">
        <v>1.08</v>
      </c>
      <c r="I397" s="348">
        <v>3.2</v>
      </c>
      <c r="J397" s="348" t="s">
        <v>17</v>
      </c>
      <c r="K397" s="348">
        <v>1.97</v>
      </c>
      <c r="L397" s="346" t="s">
        <v>86</v>
      </c>
    </row>
    <row r="398" s="31" customFormat="1" customHeight="1" spans="1:12">
      <c r="A398" s="349"/>
      <c r="B398" s="350"/>
      <c r="C398" s="351"/>
      <c r="D398" s="352"/>
      <c r="E398" s="351"/>
      <c r="F398" s="351"/>
      <c r="G398" s="347" t="s">
        <v>1122</v>
      </c>
      <c r="H398" s="348">
        <v>1.67</v>
      </c>
      <c r="I398" s="348">
        <v>5.8</v>
      </c>
      <c r="J398" s="348" t="s">
        <v>17</v>
      </c>
      <c r="K398" s="348">
        <v>2</v>
      </c>
      <c r="L398" s="353"/>
    </row>
    <row r="399" s="31" customFormat="1" customHeight="1" spans="1:12">
      <c r="A399" s="349"/>
      <c r="B399" s="350"/>
      <c r="C399" s="351"/>
      <c r="D399" s="352"/>
      <c r="E399" s="351"/>
      <c r="F399" s="351"/>
      <c r="G399" s="347" t="s">
        <v>1048</v>
      </c>
      <c r="H399" s="348">
        <v>1.76</v>
      </c>
      <c r="I399" s="348">
        <v>0.5</v>
      </c>
      <c r="J399" s="348" t="s">
        <v>22</v>
      </c>
      <c r="K399" s="348">
        <v>2.15</v>
      </c>
      <c r="L399" s="353"/>
    </row>
    <row r="400" s="31" customFormat="1" customHeight="1" spans="1:12">
      <c r="A400" s="354"/>
      <c r="B400" s="355"/>
      <c r="C400" s="356"/>
      <c r="D400" s="357"/>
      <c r="E400" s="356"/>
      <c r="F400" s="356"/>
      <c r="G400" s="347" t="s">
        <v>503</v>
      </c>
      <c r="H400" s="348">
        <v>1.76</v>
      </c>
      <c r="I400" s="348">
        <v>0.5</v>
      </c>
      <c r="J400" s="348" t="s">
        <v>24</v>
      </c>
      <c r="K400" s="348" t="s">
        <v>24</v>
      </c>
      <c r="L400" s="358"/>
    </row>
    <row r="401" customHeight="1" spans="1:12">
      <c r="A401" s="336">
        <v>45762</v>
      </c>
      <c r="B401" s="303" t="s">
        <v>1234</v>
      </c>
      <c r="C401" s="305" t="s">
        <v>462</v>
      </c>
      <c r="D401" s="117">
        <v>20</v>
      </c>
      <c r="E401" s="305" t="s">
        <v>1235</v>
      </c>
      <c r="F401" s="305" t="s">
        <v>1091</v>
      </c>
      <c r="G401" s="112" t="s">
        <v>1047</v>
      </c>
      <c r="H401" s="105">
        <v>1</v>
      </c>
      <c r="I401" s="105">
        <v>18</v>
      </c>
      <c r="J401" s="105" t="s">
        <v>17</v>
      </c>
      <c r="K401" s="105">
        <v>1.95</v>
      </c>
      <c r="L401" s="305" t="s">
        <v>1236</v>
      </c>
    </row>
    <row r="402" customHeight="1" spans="1:12">
      <c r="A402" s="338"/>
      <c r="B402" s="89"/>
      <c r="C402" s="202"/>
      <c r="D402" s="339"/>
      <c r="E402" s="202"/>
      <c r="F402" s="202"/>
      <c r="G402" s="112" t="s">
        <v>1048</v>
      </c>
      <c r="H402" s="105">
        <v>1</v>
      </c>
      <c r="I402" s="105">
        <v>1</v>
      </c>
      <c r="J402" s="105" t="s">
        <v>22</v>
      </c>
      <c r="K402" s="105">
        <v>11.5</v>
      </c>
      <c r="L402" s="308"/>
    </row>
    <row r="403" customHeight="1" spans="1:12">
      <c r="A403" s="340"/>
      <c r="B403" s="90"/>
      <c r="C403" s="204"/>
      <c r="D403" s="341"/>
      <c r="E403" s="204"/>
      <c r="F403" s="204"/>
      <c r="G403" s="112" t="s">
        <v>1200</v>
      </c>
      <c r="H403" s="105">
        <v>1</v>
      </c>
      <c r="I403" s="105">
        <v>1</v>
      </c>
      <c r="J403" s="105" t="s">
        <v>24</v>
      </c>
      <c r="K403" s="105" t="s">
        <v>24</v>
      </c>
      <c r="L403" s="311"/>
    </row>
    <row r="404" customHeight="1" spans="1:12">
      <c r="A404" s="336">
        <v>45762</v>
      </c>
      <c r="B404" s="303" t="s">
        <v>1237</v>
      </c>
      <c r="C404" s="305" t="s">
        <v>459</v>
      </c>
      <c r="D404" s="117">
        <v>10</v>
      </c>
      <c r="E404" s="305" t="s">
        <v>552</v>
      </c>
      <c r="F404" s="305" t="s">
        <v>474</v>
      </c>
      <c r="G404" s="112" t="s">
        <v>1047</v>
      </c>
      <c r="H404" s="105">
        <v>1.5</v>
      </c>
      <c r="I404" s="105">
        <v>8.46</v>
      </c>
      <c r="J404" s="105" t="s">
        <v>17</v>
      </c>
      <c r="K404" s="105">
        <v>2.25</v>
      </c>
      <c r="L404" s="305" t="s">
        <v>67</v>
      </c>
    </row>
    <row r="405" customHeight="1" spans="1:12">
      <c r="A405" s="338"/>
      <c r="B405" s="89"/>
      <c r="C405" s="202"/>
      <c r="D405" s="339"/>
      <c r="E405" s="202"/>
      <c r="F405" s="202"/>
      <c r="G405" s="112" t="s">
        <v>1048</v>
      </c>
      <c r="H405" s="105">
        <v>1.5</v>
      </c>
      <c r="I405" s="105">
        <v>0.44</v>
      </c>
      <c r="J405" s="105" t="s">
        <v>22</v>
      </c>
      <c r="K405" s="105">
        <v>2.6</v>
      </c>
      <c r="L405" s="308"/>
    </row>
    <row r="406" customHeight="1" spans="1:12">
      <c r="A406" s="338"/>
      <c r="B406" s="89"/>
      <c r="C406" s="202"/>
      <c r="D406" s="339"/>
      <c r="E406" s="202"/>
      <c r="F406" s="202"/>
      <c r="G406" s="112" t="s">
        <v>1050</v>
      </c>
      <c r="H406" s="105">
        <v>1.5</v>
      </c>
      <c r="I406" s="105">
        <v>0.4</v>
      </c>
      <c r="J406" s="105" t="s">
        <v>44</v>
      </c>
      <c r="K406" s="105">
        <v>4</v>
      </c>
      <c r="L406" s="308"/>
    </row>
    <row r="407" customHeight="1" spans="1:12">
      <c r="A407" s="340"/>
      <c r="B407" s="90"/>
      <c r="C407" s="204"/>
      <c r="D407" s="341"/>
      <c r="E407" s="204"/>
      <c r="F407" s="204"/>
      <c r="G407" s="112" t="s">
        <v>1051</v>
      </c>
      <c r="H407" s="105">
        <v>1.5</v>
      </c>
      <c r="I407" s="105">
        <v>0.7</v>
      </c>
      <c r="J407" s="105" t="s">
        <v>24</v>
      </c>
      <c r="K407" s="105" t="s">
        <v>24</v>
      </c>
      <c r="L407" s="311"/>
    </row>
    <row r="408" customHeight="1" spans="1:12">
      <c r="A408" s="336">
        <v>45762</v>
      </c>
      <c r="B408" s="303" t="s">
        <v>1238</v>
      </c>
      <c r="C408" s="305" t="s">
        <v>459</v>
      </c>
      <c r="D408" s="117">
        <v>10</v>
      </c>
      <c r="E408" s="305" t="s">
        <v>484</v>
      </c>
      <c r="F408" s="305" t="s">
        <v>523</v>
      </c>
      <c r="G408" s="112" t="s">
        <v>1047</v>
      </c>
      <c r="H408" s="105">
        <v>1.42</v>
      </c>
      <c r="I408" s="105">
        <v>8.9</v>
      </c>
      <c r="J408" s="105" t="s">
        <v>17</v>
      </c>
      <c r="K408" s="105">
        <v>2.19</v>
      </c>
      <c r="L408" s="305" t="s">
        <v>35</v>
      </c>
    </row>
    <row r="409" customHeight="1" spans="1:12">
      <c r="A409" s="338"/>
      <c r="B409" s="89"/>
      <c r="C409" s="202"/>
      <c r="D409" s="339"/>
      <c r="E409" s="202"/>
      <c r="F409" s="202"/>
      <c r="G409" s="112" t="s">
        <v>1048</v>
      </c>
      <c r="H409" s="105">
        <v>1.42</v>
      </c>
      <c r="I409" s="105">
        <v>0.3</v>
      </c>
      <c r="J409" s="105" t="s">
        <v>22</v>
      </c>
      <c r="K409" s="105">
        <v>2.32</v>
      </c>
      <c r="L409" s="308"/>
    </row>
    <row r="410" customHeight="1" spans="1:12">
      <c r="A410" s="338"/>
      <c r="B410" s="89"/>
      <c r="C410" s="202"/>
      <c r="D410" s="339"/>
      <c r="E410" s="202"/>
      <c r="F410" s="202"/>
      <c r="G410" s="112" t="s">
        <v>1055</v>
      </c>
      <c r="H410" s="105">
        <v>1.42</v>
      </c>
      <c r="I410" s="105">
        <v>0.3</v>
      </c>
      <c r="J410" s="105" t="s">
        <v>64</v>
      </c>
      <c r="K410" s="105">
        <v>3.6</v>
      </c>
      <c r="L410" s="308"/>
    </row>
    <row r="411" customHeight="1" spans="1:12">
      <c r="A411" s="340"/>
      <c r="B411" s="90"/>
      <c r="C411" s="204"/>
      <c r="D411" s="341"/>
      <c r="E411" s="204"/>
      <c r="F411" s="204"/>
      <c r="G411" s="112" t="s">
        <v>1051</v>
      </c>
      <c r="H411" s="105">
        <v>2.33</v>
      </c>
      <c r="I411" s="105">
        <v>0.5</v>
      </c>
      <c r="J411" s="105" t="s">
        <v>24</v>
      </c>
      <c r="K411" s="105" t="s">
        <v>24</v>
      </c>
      <c r="L411" s="311"/>
    </row>
    <row r="412" customHeight="1" spans="1:12">
      <c r="A412" s="336">
        <v>45762</v>
      </c>
      <c r="B412" s="303" t="s">
        <v>1239</v>
      </c>
      <c r="C412" s="305" t="s">
        <v>459</v>
      </c>
      <c r="D412" s="117">
        <v>10</v>
      </c>
      <c r="E412" s="305" t="s">
        <v>484</v>
      </c>
      <c r="F412" s="305" t="s">
        <v>523</v>
      </c>
      <c r="G412" s="112" t="s">
        <v>1047</v>
      </c>
      <c r="H412" s="105">
        <v>1.42</v>
      </c>
      <c r="I412" s="105">
        <v>8.9</v>
      </c>
      <c r="J412" s="105" t="s">
        <v>17</v>
      </c>
      <c r="K412" s="105">
        <v>2.19</v>
      </c>
      <c r="L412" s="305" t="s">
        <v>35</v>
      </c>
    </row>
    <row r="413" customHeight="1" spans="1:12">
      <c r="A413" s="338"/>
      <c r="B413" s="89"/>
      <c r="C413" s="202"/>
      <c r="D413" s="339"/>
      <c r="E413" s="202"/>
      <c r="F413" s="202"/>
      <c r="G413" s="112" t="s">
        <v>1048</v>
      </c>
      <c r="H413" s="105">
        <v>1.42</v>
      </c>
      <c r="I413" s="105">
        <v>0.3</v>
      </c>
      <c r="J413" s="105" t="s">
        <v>22</v>
      </c>
      <c r="K413" s="105">
        <v>2.32</v>
      </c>
      <c r="L413" s="308"/>
    </row>
    <row r="414" customHeight="1" spans="1:12">
      <c r="A414" s="338"/>
      <c r="B414" s="89"/>
      <c r="C414" s="202"/>
      <c r="D414" s="339"/>
      <c r="E414" s="202"/>
      <c r="F414" s="202"/>
      <c r="G414" s="112" t="s">
        <v>1055</v>
      </c>
      <c r="H414" s="105">
        <v>1.42</v>
      </c>
      <c r="I414" s="105">
        <v>0.3</v>
      </c>
      <c r="J414" s="105" t="s">
        <v>64</v>
      </c>
      <c r="K414" s="105">
        <v>3.6</v>
      </c>
      <c r="L414" s="308"/>
    </row>
    <row r="415" customHeight="1" spans="1:12">
      <c r="A415" s="340"/>
      <c r="B415" s="90"/>
      <c r="C415" s="204"/>
      <c r="D415" s="341"/>
      <c r="E415" s="204"/>
      <c r="F415" s="204"/>
      <c r="G415" s="112" t="s">
        <v>1051</v>
      </c>
      <c r="H415" s="105">
        <v>2.33</v>
      </c>
      <c r="I415" s="105">
        <v>0.5</v>
      </c>
      <c r="J415" s="105" t="s">
        <v>24</v>
      </c>
      <c r="K415" s="105" t="s">
        <v>24</v>
      </c>
      <c r="L415" s="311"/>
    </row>
    <row r="416" customHeight="1" spans="1:12">
      <c r="A416" s="336">
        <v>45762</v>
      </c>
      <c r="B416" s="303" t="s">
        <v>1240</v>
      </c>
      <c r="C416" s="305" t="s">
        <v>462</v>
      </c>
      <c r="D416" s="117">
        <v>2.8</v>
      </c>
      <c r="E416" s="305" t="s">
        <v>477</v>
      </c>
      <c r="F416" s="305" t="s">
        <v>523</v>
      </c>
      <c r="G416" s="112" t="s">
        <v>1047</v>
      </c>
      <c r="H416" s="105">
        <v>1.04</v>
      </c>
      <c r="I416" s="105">
        <v>2.492</v>
      </c>
      <c r="J416" s="105" t="s">
        <v>17</v>
      </c>
      <c r="K416" s="105">
        <v>2.02</v>
      </c>
      <c r="L416" s="305" t="s">
        <v>1241</v>
      </c>
    </row>
    <row r="417" customHeight="1" spans="1:12">
      <c r="A417" s="338"/>
      <c r="B417" s="89"/>
      <c r="C417" s="202"/>
      <c r="D417" s="339"/>
      <c r="E417" s="202"/>
      <c r="F417" s="202"/>
      <c r="G417" s="112" t="s">
        <v>1048</v>
      </c>
      <c r="H417" s="105">
        <v>1.04</v>
      </c>
      <c r="I417" s="105">
        <v>0.126</v>
      </c>
      <c r="J417" s="105" t="s">
        <v>22</v>
      </c>
      <c r="K417" s="105">
        <v>2.31</v>
      </c>
      <c r="L417" s="308"/>
    </row>
    <row r="418" customHeight="1" spans="1:12">
      <c r="A418" s="338"/>
      <c r="B418" s="89"/>
      <c r="C418" s="202"/>
      <c r="D418" s="339"/>
      <c r="E418" s="202"/>
      <c r="F418" s="202"/>
      <c r="G418" s="112" t="s">
        <v>1242</v>
      </c>
      <c r="H418" s="105">
        <v>1.21</v>
      </c>
      <c r="I418" s="105">
        <v>0.042</v>
      </c>
      <c r="J418" s="105" t="s">
        <v>24</v>
      </c>
      <c r="K418" s="105" t="s">
        <v>24</v>
      </c>
      <c r="L418" s="308"/>
    </row>
    <row r="419" customHeight="1" spans="1:12">
      <c r="A419" s="340"/>
      <c r="B419" s="90"/>
      <c r="C419" s="204"/>
      <c r="D419" s="341"/>
      <c r="E419" s="204"/>
      <c r="F419" s="204"/>
      <c r="G419" s="112" t="s">
        <v>1243</v>
      </c>
      <c r="H419" s="105">
        <v>1.21</v>
      </c>
      <c r="I419" s="105">
        <v>0.14</v>
      </c>
      <c r="J419" s="105" t="s">
        <v>24</v>
      </c>
      <c r="K419" s="105" t="s">
        <v>24</v>
      </c>
      <c r="L419" s="311"/>
    </row>
    <row r="420" customHeight="1" spans="1:12">
      <c r="A420" s="336">
        <v>45763</v>
      </c>
      <c r="B420" s="303" t="s">
        <v>1244</v>
      </c>
      <c r="C420" s="305" t="s">
        <v>459</v>
      </c>
      <c r="D420" s="117">
        <v>10</v>
      </c>
      <c r="E420" s="305" t="s">
        <v>484</v>
      </c>
      <c r="F420" s="305" t="s">
        <v>482</v>
      </c>
      <c r="G420" s="112" t="s">
        <v>1047</v>
      </c>
      <c r="H420" s="105">
        <v>0.5</v>
      </c>
      <c r="I420" s="105">
        <v>9</v>
      </c>
      <c r="J420" s="105" t="s">
        <v>17</v>
      </c>
      <c r="K420" s="105">
        <v>2.08</v>
      </c>
      <c r="L420" s="305" t="s">
        <v>35</v>
      </c>
    </row>
    <row r="421" customHeight="1" spans="1:12">
      <c r="A421" s="338"/>
      <c r="B421" s="89"/>
      <c r="C421" s="202"/>
      <c r="D421" s="339"/>
      <c r="E421" s="202"/>
      <c r="F421" s="202"/>
      <c r="G421" s="112" t="s">
        <v>1048</v>
      </c>
      <c r="H421" s="105">
        <v>0.5</v>
      </c>
      <c r="I421" s="105">
        <v>0.5</v>
      </c>
      <c r="J421" s="105" t="s">
        <v>22</v>
      </c>
      <c r="K421" s="105">
        <v>2.3</v>
      </c>
      <c r="L421" s="308"/>
    </row>
    <row r="422" customHeight="1" spans="1:12">
      <c r="A422" s="340"/>
      <c r="B422" s="90"/>
      <c r="C422" s="204"/>
      <c r="D422" s="341"/>
      <c r="E422" s="204"/>
      <c r="F422" s="204"/>
      <c r="G422" s="112" t="s">
        <v>1051</v>
      </c>
      <c r="H422" s="105">
        <v>1.42</v>
      </c>
      <c r="I422" s="105">
        <v>0.5</v>
      </c>
      <c r="J422" s="105" t="s">
        <v>24</v>
      </c>
      <c r="K422" s="105" t="s">
        <v>24</v>
      </c>
      <c r="L422" s="311"/>
    </row>
    <row r="423" customHeight="1" spans="1:12">
      <c r="A423" s="336">
        <v>45763</v>
      </c>
      <c r="B423" s="303" t="s">
        <v>1245</v>
      </c>
      <c r="C423" s="305" t="s">
        <v>459</v>
      </c>
      <c r="D423" s="117">
        <v>10</v>
      </c>
      <c r="E423" s="305" t="s">
        <v>484</v>
      </c>
      <c r="F423" s="305" t="s">
        <v>1054</v>
      </c>
      <c r="G423" s="112" t="s">
        <v>1047</v>
      </c>
      <c r="H423" s="105">
        <v>1</v>
      </c>
      <c r="I423" s="105">
        <v>9</v>
      </c>
      <c r="J423" s="105" t="s">
        <v>17</v>
      </c>
      <c r="K423" s="105">
        <v>2.1</v>
      </c>
      <c r="L423" s="305" t="s">
        <v>35</v>
      </c>
    </row>
    <row r="424" customHeight="1" spans="1:12">
      <c r="A424" s="338"/>
      <c r="B424" s="89"/>
      <c r="C424" s="202"/>
      <c r="D424" s="339"/>
      <c r="E424" s="202"/>
      <c r="F424" s="202"/>
      <c r="G424" s="112" t="s">
        <v>1048</v>
      </c>
      <c r="H424" s="105">
        <v>1</v>
      </c>
      <c r="I424" s="105">
        <v>0.3</v>
      </c>
      <c r="J424" s="105" t="s">
        <v>22</v>
      </c>
      <c r="K424" s="105">
        <v>2.3</v>
      </c>
      <c r="L424" s="308"/>
    </row>
    <row r="425" customHeight="1" spans="1:12">
      <c r="A425" s="338"/>
      <c r="B425" s="89"/>
      <c r="C425" s="202"/>
      <c r="D425" s="339"/>
      <c r="E425" s="202"/>
      <c r="F425" s="202"/>
      <c r="G425" s="112" t="s">
        <v>1055</v>
      </c>
      <c r="H425" s="105">
        <v>1</v>
      </c>
      <c r="I425" s="105">
        <v>0.2</v>
      </c>
      <c r="J425" s="105" t="s">
        <v>64</v>
      </c>
      <c r="K425" s="105">
        <v>3.5</v>
      </c>
      <c r="L425" s="308"/>
    </row>
    <row r="426" customHeight="1" spans="1:12">
      <c r="A426" s="340"/>
      <c r="B426" s="90"/>
      <c r="C426" s="204"/>
      <c r="D426" s="341"/>
      <c r="E426" s="204"/>
      <c r="F426" s="204"/>
      <c r="G426" s="112" t="s">
        <v>1051</v>
      </c>
      <c r="H426" s="105">
        <v>1.92</v>
      </c>
      <c r="I426" s="105">
        <v>0.5</v>
      </c>
      <c r="J426" s="105" t="s">
        <v>24</v>
      </c>
      <c r="K426" s="105" t="s">
        <v>24</v>
      </c>
      <c r="L426" s="311"/>
    </row>
    <row r="427" customHeight="1" spans="1:12">
      <c r="A427" s="336">
        <v>45763</v>
      </c>
      <c r="B427" s="303" t="s">
        <v>1246</v>
      </c>
      <c r="C427" s="305" t="s">
        <v>462</v>
      </c>
      <c r="D427" s="117">
        <v>10</v>
      </c>
      <c r="E427" s="305" t="s">
        <v>1057</v>
      </c>
      <c r="F427" s="305" t="s">
        <v>474</v>
      </c>
      <c r="G427" s="112" t="s">
        <v>1121</v>
      </c>
      <c r="H427" s="105">
        <v>1.08</v>
      </c>
      <c r="I427" s="105">
        <v>7</v>
      </c>
      <c r="J427" s="105" t="s">
        <v>17</v>
      </c>
      <c r="K427" s="105">
        <v>2</v>
      </c>
      <c r="L427" s="305" t="s">
        <v>41</v>
      </c>
    </row>
    <row r="428" customHeight="1" spans="1:12">
      <c r="A428" s="338"/>
      <c r="B428" s="89"/>
      <c r="C428" s="202"/>
      <c r="D428" s="339"/>
      <c r="E428" s="202"/>
      <c r="F428" s="202"/>
      <c r="G428" s="112" t="s">
        <v>1122</v>
      </c>
      <c r="H428" s="105">
        <v>1.25</v>
      </c>
      <c r="I428" s="105">
        <v>1.55</v>
      </c>
      <c r="J428" s="105" t="s">
        <v>17</v>
      </c>
      <c r="K428" s="105">
        <v>2.15</v>
      </c>
      <c r="L428" s="308"/>
    </row>
    <row r="429" customHeight="1" spans="1:12">
      <c r="A429" s="338"/>
      <c r="B429" s="89"/>
      <c r="C429" s="202"/>
      <c r="D429" s="339"/>
      <c r="E429" s="202"/>
      <c r="F429" s="202"/>
      <c r="G429" s="112" t="s">
        <v>1048</v>
      </c>
      <c r="H429" s="105">
        <v>1.29</v>
      </c>
      <c r="I429" s="105">
        <v>0.5</v>
      </c>
      <c r="J429" s="105" t="s">
        <v>22</v>
      </c>
      <c r="K429" s="105">
        <v>2.27</v>
      </c>
      <c r="L429" s="308"/>
    </row>
    <row r="430" customHeight="1" spans="1:12">
      <c r="A430" s="338"/>
      <c r="B430" s="89"/>
      <c r="C430" s="202"/>
      <c r="D430" s="339"/>
      <c r="E430" s="202"/>
      <c r="F430" s="202"/>
      <c r="G430" s="112" t="s">
        <v>1050</v>
      </c>
      <c r="H430" s="105">
        <v>1.37</v>
      </c>
      <c r="I430" s="105">
        <v>0.45</v>
      </c>
      <c r="J430" s="105" t="s">
        <v>351</v>
      </c>
      <c r="K430" s="105">
        <v>4.7</v>
      </c>
      <c r="L430" s="308"/>
    </row>
    <row r="431" customHeight="1" spans="1:12">
      <c r="A431" s="340"/>
      <c r="B431" s="90"/>
      <c r="C431" s="204"/>
      <c r="D431" s="341"/>
      <c r="E431" s="204"/>
      <c r="F431" s="204"/>
      <c r="G431" s="112" t="s">
        <v>1051</v>
      </c>
      <c r="H431" s="105">
        <v>1.75</v>
      </c>
      <c r="I431" s="105">
        <v>0.5</v>
      </c>
      <c r="J431" s="105" t="s">
        <v>24</v>
      </c>
      <c r="K431" s="105" t="s">
        <v>24</v>
      </c>
      <c r="L431" s="311"/>
    </row>
    <row r="432" customHeight="1" spans="1:12">
      <c r="A432" s="314" t="s">
        <v>1247</v>
      </c>
      <c r="B432" s="253" t="s">
        <v>1248</v>
      </c>
      <c r="C432" s="303" t="s">
        <v>462</v>
      </c>
      <c r="D432" s="304">
        <v>7</v>
      </c>
      <c r="E432" s="331" t="s">
        <v>552</v>
      </c>
      <c r="F432" s="359" t="s">
        <v>482</v>
      </c>
      <c r="G432" s="112" t="s">
        <v>1047</v>
      </c>
      <c r="H432" s="105">
        <v>1.99</v>
      </c>
      <c r="I432" s="105">
        <v>5.88</v>
      </c>
      <c r="J432" s="105" t="s">
        <v>17</v>
      </c>
      <c r="K432" s="105">
        <v>2.28</v>
      </c>
      <c r="L432" s="305" t="s">
        <v>67</v>
      </c>
    </row>
    <row r="433" customHeight="1" spans="1:12">
      <c r="A433" s="318"/>
      <c r="B433" s="87"/>
      <c r="C433" s="89"/>
      <c r="D433" s="307"/>
      <c r="E433" s="332"/>
      <c r="F433" s="360"/>
      <c r="G433" s="112" t="s">
        <v>1048</v>
      </c>
      <c r="H433" s="105">
        <v>1.99</v>
      </c>
      <c r="I433" s="105">
        <v>0.35</v>
      </c>
      <c r="J433" s="105" t="s">
        <v>22</v>
      </c>
      <c r="K433" s="105">
        <v>2.6</v>
      </c>
      <c r="L433" s="308"/>
    </row>
    <row r="434" customHeight="1" spans="1:12">
      <c r="A434" s="318"/>
      <c r="B434" s="87"/>
      <c r="C434" s="89"/>
      <c r="D434" s="307"/>
      <c r="E434" s="332"/>
      <c r="F434" s="360"/>
      <c r="G434" s="112" t="s">
        <v>1050</v>
      </c>
      <c r="H434" s="105">
        <v>1.99</v>
      </c>
      <c r="I434" s="105">
        <v>0.28</v>
      </c>
      <c r="J434" s="105" t="s">
        <v>44</v>
      </c>
      <c r="K434" s="105">
        <v>4</v>
      </c>
      <c r="L434" s="308"/>
    </row>
    <row r="435" customHeight="1" spans="1:12">
      <c r="A435" s="316"/>
      <c r="B435" s="83"/>
      <c r="C435" s="90"/>
      <c r="D435" s="310"/>
      <c r="E435" s="361"/>
      <c r="F435" s="362"/>
      <c r="G435" s="112" t="s">
        <v>1051</v>
      </c>
      <c r="H435" s="105">
        <v>1.99</v>
      </c>
      <c r="I435" s="105">
        <v>0.49</v>
      </c>
      <c r="J435" s="105" t="s">
        <v>24</v>
      </c>
      <c r="K435" s="105" t="s">
        <v>24</v>
      </c>
      <c r="L435" s="311"/>
    </row>
    <row r="436" customHeight="1" spans="1:12">
      <c r="A436" s="314" t="s">
        <v>1249</v>
      </c>
      <c r="B436" s="253" t="s">
        <v>1250</v>
      </c>
      <c r="C436" s="303" t="s">
        <v>462</v>
      </c>
      <c r="D436" s="304">
        <v>3</v>
      </c>
      <c r="E436" s="331" t="s">
        <v>536</v>
      </c>
      <c r="F436" s="359" t="s">
        <v>460</v>
      </c>
      <c r="G436" s="112" t="s">
        <v>1047</v>
      </c>
      <c r="H436" s="105">
        <v>1.01</v>
      </c>
      <c r="I436" s="105">
        <v>2.47</v>
      </c>
      <c r="J436" s="105" t="s">
        <v>17</v>
      </c>
      <c r="K436" s="105">
        <v>1.99</v>
      </c>
      <c r="L436" s="305" t="s">
        <v>27</v>
      </c>
    </row>
    <row r="437" customHeight="1" spans="1:12">
      <c r="A437" s="318"/>
      <c r="B437" s="87"/>
      <c r="C437" s="89"/>
      <c r="D437" s="307"/>
      <c r="E437" s="332"/>
      <c r="F437" s="360"/>
      <c r="G437" s="112" t="s">
        <v>1048</v>
      </c>
      <c r="H437" s="105">
        <v>1.01</v>
      </c>
      <c r="I437" s="105">
        <v>0.17</v>
      </c>
      <c r="J437" s="105" t="s">
        <v>22</v>
      </c>
      <c r="K437" s="105">
        <v>2.1</v>
      </c>
      <c r="L437" s="308"/>
    </row>
    <row r="438" customHeight="1" spans="1:12">
      <c r="A438" s="318"/>
      <c r="B438" s="87"/>
      <c r="C438" s="89"/>
      <c r="D438" s="307"/>
      <c r="E438" s="332"/>
      <c r="F438" s="360"/>
      <c r="G438" s="112" t="s">
        <v>1113</v>
      </c>
      <c r="H438" s="105">
        <v>1.85</v>
      </c>
      <c r="I438" s="105">
        <v>0.21</v>
      </c>
      <c r="J438" s="105" t="s">
        <v>24</v>
      </c>
      <c r="K438" s="105" t="s">
        <v>24</v>
      </c>
      <c r="L438" s="308"/>
    </row>
    <row r="439" customHeight="1" spans="1:12">
      <c r="A439" s="316"/>
      <c r="B439" s="83"/>
      <c r="C439" s="90"/>
      <c r="D439" s="310"/>
      <c r="E439" s="361"/>
      <c r="F439" s="362"/>
      <c r="G439" s="112" t="s">
        <v>1114</v>
      </c>
      <c r="H439" s="105">
        <v>1.85</v>
      </c>
      <c r="I439" s="105">
        <v>0.15</v>
      </c>
      <c r="J439" s="105" t="s">
        <v>24</v>
      </c>
      <c r="K439" s="105" t="s">
        <v>24</v>
      </c>
      <c r="L439" s="311"/>
    </row>
    <row r="440" customHeight="1" spans="1:12">
      <c r="A440" s="314" t="s">
        <v>1249</v>
      </c>
      <c r="B440" s="253" t="s">
        <v>1251</v>
      </c>
      <c r="C440" s="303" t="s">
        <v>462</v>
      </c>
      <c r="D440" s="304">
        <v>20</v>
      </c>
      <c r="E440" s="331" t="s">
        <v>1252</v>
      </c>
      <c r="F440" s="359" t="s">
        <v>1096</v>
      </c>
      <c r="G440" s="112" t="s">
        <v>1047</v>
      </c>
      <c r="H440" s="105">
        <v>1</v>
      </c>
      <c r="I440" s="105">
        <v>18</v>
      </c>
      <c r="J440" s="105" t="s">
        <v>17</v>
      </c>
      <c r="K440" s="105">
        <v>1.89</v>
      </c>
      <c r="L440" s="305" t="s">
        <v>1253</v>
      </c>
    </row>
    <row r="441" customHeight="1" spans="1:12">
      <c r="A441" s="318"/>
      <c r="B441" s="87"/>
      <c r="C441" s="89"/>
      <c r="D441" s="307"/>
      <c r="E441" s="332"/>
      <c r="F441" s="360"/>
      <c r="G441" s="112" t="s">
        <v>1048</v>
      </c>
      <c r="H441" s="105">
        <v>1</v>
      </c>
      <c r="I441" s="105">
        <v>1.6</v>
      </c>
      <c r="J441" s="105" t="s">
        <v>136</v>
      </c>
      <c r="K441" s="105">
        <v>9</v>
      </c>
      <c r="L441" s="308"/>
    </row>
    <row r="442" customHeight="1" spans="1:12">
      <c r="A442" s="316"/>
      <c r="B442" s="83"/>
      <c r="C442" s="90"/>
      <c r="D442" s="310"/>
      <c r="E442" s="361"/>
      <c r="F442" s="362"/>
      <c r="G442" s="112" t="s">
        <v>1200</v>
      </c>
      <c r="H442" s="105">
        <v>1</v>
      </c>
      <c r="I442" s="105">
        <v>0.4</v>
      </c>
      <c r="J442" s="105" t="s">
        <v>44</v>
      </c>
      <c r="K442" s="105" t="s">
        <v>24</v>
      </c>
      <c r="L442" s="311"/>
    </row>
    <row r="443" customHeight="1" spans="1:12">
      <c r="A443" s="314" t="s">
        <v>1249</v>
      </c>
      <c r="B443" s="253" t="s">
        <v>1254</v>
      </c>
      <c r="C443" s="303" t="s">
        <v>462</v>
      </c>
      <c r="D443" s="304">
        <v>10</v>
      </c>
      <c r="E443" s="331" t="s">
        <v>1079</v>
      </c>
      <c r="F443" s="359" t="s">
        <v>1063</v>
      </c>
      <c r="G443" s="112" t="s">
        <v>1047</v>
      </c>
      <c r="H443" s="105">
        <v>1.08</v>
      </c>
      <c r="I443" s="105">
        <v>9</v>
      </c>
      <c r="J443" s="105" t="s">
        <v>17</v>
      </c>
      <c r="K443" s="105">
        <v>2.02</v>
      </c>
      <c r="L443" s="305" t="s">
        <v>35</v>
      </c>
    </row>
    <row r="444" customHeight="1" spans="1:12">
      <c r="A444" s="318"/>
      <c r="B444" s="87"/>
      <c r="C444" s="89"/>
      <c r="D444" s="307"/>
      <c r="E444" s="332"/>
      <c r="F444" s="360"/>
      <c r="G444" s="112" t="s">
        <v>1048</v>
      </c>
      <c r="H444" s="105">
        <v>1.17</v>
      </c>
      <c r="I444" s="105">
        <v>0.3</v>
      </c>
      <c r="J444" s="105" t="s">
        <v>22</v>
      </c>
      <c r="K444" s="105">
        <v>2.3</v>
      </c>
      <c r="L444" s="308"/>
    </row>
    <row r="445" customHeight="1" spans="1:12">
      <c r="A445" s="318"/>
      <c r="B445" s="87"/>
      <c r="C445" s="89"/>
      <c r="D445" s="307"/>
      <c r="E445" s="332"/>
      <c r="F445" s="360"/>
      <c r="G445" s="112" t="s">
        <v>1055</v>
      </c>
      <c r="H445" s="105">
        <v>1.17</v>
      </c>
      <c r="I445" s="105">
        <v>0.2</v>
      </c>
      <c r="J445" s="105" t="s">
        <v>64</v>
      </c>
      <c r="K445" s="105">
        <v>3.5</v>
      </c>
      <c r="L445" s="308"/>
    </row>
    <row r="446" customHeight="1" spans="1:12">
      <c r="A446" s="316"/>
      <c r="B446" s="83"/>
      <c r="C446" s="90"/>
      <c r="D446" s="310"/>
      <c r="E446" s="361"/>
      <c r="F446" s="362"/>
      <c r="G446" s="112" t="s">
        <v>1051</v>
      </c>
      <c r="H446" s="105">
        <v>2</v>
      </c>
      <c r="I446" s="105">
        <v>0.5</v>
      </c>
      <c r="J446" s="105" t="s">
        <v>24</v>
      </c>
      <c r="K446" s="105" t="s">
        <v>24</v>
      </c>
      <c r="L446" s="311"/>
    </row>
    <row r="447" customHeight="1" spans="1:12">
      <c r="A447" s="314" t="s">
        <v>1249</v>
      </c>
      <c r="B447" s="253" t="s">
        <v>1255</v>
      </c>
      <c r="C447" s="303" t="s">
        <v>462</v>
      </c>
      <c r="D447" s="304">
        <v>5</v>
      </c>
      <c r="E447" s="331" t="s">
        <v>486</v>
      </c>
      <c r="F447" s="359" t="s">
        <v>1063</v>
      </c>
      <c r="G447" s="112" t="s">
        <v>1047</v>
      </c>
      <c r="H447" s="105">
        <v>1.51</v>
      </c>
      <c r="I447" s="105">
        <v>4.075</v>
      </c>
      <c r="J447" s="105" t="s">
        <v>17</v>
      </c>
      <c r="K447" s="105">
        <v>2.1</v>
      </c>
      <c r="L447" s="305" t="s">
        <v>27</v>
      </c>
    </row>
    <row r="448" customHeight="1" spans="1:12">
      <c r="A448" s="318"/>
      <c r="B448" s="87"/>
      <c r="C448" s="89"/>
      <c r="D448" s="307"/>
      <c r="E448" s="332"/>
      <c r="F448" s="360"/>
      <c r="G448" s="112" t="s">
        <v>1048</v>
      </c>
      <c r="H448" s="105">
        <v>2</v>
      </c>
      <c r="I448" s="105">
        <v>0.225</v>
      </c>
      <c r="J448" s="105" t="s">
        <v>22</v>
      </c>
      <c r="K448" s="105">
        <v>2.29</v>
      </c>
      <c r="L448" s="308"/>
    </row>
    <row r="449" customHeight="1" spans="1:12">
      <c r="A449" s="318"/>
      <c r="B449" s="87"/>
      <c r="C449" s="89"/>
      <c r="D449" s="307"/>
      <c r="E449" s="332"/>
      <c r="F449" s="360"/>
      <c r="G449" s="112" t="s">
        <v>1113</v>
      </c>
      <c r="H449" s="105">
        <v>3.01</v>
      </c>
      <c r="I449" s="105">
        <v>0.45</v>
      </c>
      <c r="J449" s="105" t="s">
        <v>24</v>
      </c>
      <c r="K449" s="105" t="s">
        <v>24</v>
      </c>
      <c r="L449" s="308"/>
    </row>
    <row r="450" customHeight="1" spans="1:12">
      <c r="A450" s="316"/>
      <c r="B450" s="83"/>
      <c r="C450" s="90"/>
      <c r="D450" s="310"/>
      <c r="E450" s="361"/>
      <c r="F450" s="362"/>
      <c r="G450" s="112" t="s">
        <v>1114</v>
      </c>
      <c r="H450" s="105">
        <v>3.01</v>
      </c>
      <c r="I450" s="105">
        <v>0.25</v>
      </c>
      <c r="J450" s="105" t="s">
        <v>24</v>
      </c>
      <c r="K450" s="105" t="s">
        <v>24</v>
      </c>
      <c r="L450" s="311"/>
    </row>
    <row r="451" customHeight="1" spans="1:12">
      <c r="A451" s="306">
        <v>45770</v>
      </c>
      <c r="B451" s="312" t="s">
        <v>1256</v>
      </c>
      <c r="C451" s="312" t="s">
        <v>462</v>
      </c>
      <c r="D451" s="307">
        <v>5</v>
      </c>
      <c r="E451" s="312" t="s">
        <v>1161</v>
      </c>
      <c r="F451" s="89" t="s">
        <v>1162</v>
      </c>
      <c r="G451" s="112" t="s">
        <v>1047</v>
      </c>
      <c r="H451" s="105">
        <v>1.83</v>
      </c>
      <c r="I451" s="105">
        <v>4.2</v>
      </c>
      <c r="J451" s="105" t="s">
        <v>17</v>
      </c>
      <c r="K451" s="105">
        <v>2</v>
      </c>
      <c r="L451" s="308" t="s">
        <v>18</v>
      </c>
    </row>
    <row r="452" customHeight="1" spans="1:12">
      <c r="A452" s="306"/>
      <c r="B452" s="89"/>
      <c r="C452" s="89"/>
      <c r="D452" s="307"/>
      <c r="E452" s="89"/>
      <c r="F452" s="89"/>
      <c r="G452" s="112" t="s">
        <v>1048</v>
      </c>
      <c r="H452" s="105">
        <v>1.92</v>
      </c>
      <c r="I452" s="105">
        <v>0.25</v>
      </c>
      <c r="J452" s="105" t="s">
        <v>22</v>
      </c>
      <c r="K452" s="105">
        <v>2.2</v>
      </c>
      <c r="L452" s="308"/>
    </row>
    <row r="453" customHeight="1" spans="1:12">
      <c r="A453" s="306"/>
      <c r="B453" s="89"/>
      <c r="C453" s="89"/>
      <c r="D453" s="307"/>
      <c r="E453" s="89"/>
      <c r="F453" s="89"/>
      <c r="G453" s="112" t="s">
        <v>1050</v>
      </c>
      <c r="H453" s="105">
        <v>2</v>
      </c>
      <c r="I453" s="105">
        <v>0.15</v>
      </c>
      <c r="J453" s="105" t="s">
        <v>44</v>
      </c>
      <c r="K453" s="105">
        <v>2.2</v>
      </c>
      <c r="L453" s="308"/>
    </row>
    <row r="454" customHeight="1" spans="1:12">
      <c r="A454" s="306"/>
      <c r="B454" s="89"/>
      <c r="C454" s="89"/>
      <c r="D454" s="307"/>
      <c r="E454" s="89"/>
      <c r="F454" s="89"/>
      <c r="G454" s="112" t="s">
        <v>1113</v>
      </c>
      <c r="H454" s="105">
        <v>2.58</v>
      </c>
      <c r="I454" s="105">
        <v>0.15</v>
      </c>
      <c r="J454" s="105" t="s">
        <v>24</v>
      </c>
      <c r="K454" s="105" t="s">
        <v>24</v>
      </c>
      <c r="L454" s="308"/>
    </row>
    <row r="455" customHeight="1" spans="1:12">
      <c r="A455" s="306"/>
      <c r="B455" s="89"/>
      <c r="C455" s="89"/>
      <c r="D455" s="307"/>
      <c r="E455" s="89"/>
      <c r="F455" s="89"/>
      <c r="G455" s="112" t="s">
        <v>1114</v>
      </c>
      <c r="H455" s="105">
        <v>2.58</v>
      </c>
      <c r="I455" s="105">
        <v>0.25</v>
      </c>
      <c r="J455" s="105" t="s">
        <v>24</v>
      </c>
      <c r="K455" s="105" t="s">
        <v>24</v>
      </c>
      <c r="L455" s="308"/>
    </row>
    <row r="456" customHeight="1" spans="1:12">
      <c r="A456" s="314" t="s">
        <v>1257</v>
      </c>
      <c r="B456" s="253" t="s">
        <v>1258</v>
      </c>
      <c r="C456" s="303" t="s">
        <v>462</v>
      </c>
      <c r="D456" s="304">
        <v>3</v>
      </c>
      <c r="E456" s="331" t="s">
        <v>477</v>
      </c>
      <c r="F456" s="359" t="s">
        <v>460</v>
      </c>
      <c r="G456" s="112" t="s">
        <v>1047</v>
      </c>
      <c r="H456" s="105">
        <v>1.05</v>
      </c>
      <c r="I456" s="105">
        <v>2.51</v>
      </c>
      <c r="J456" s="105" t="s">
        <v>17</v>
      </c>
      <c r="K456" s="105">
        <v>1.98</v>
      </c>
      <c r="L456" s="305" t="s">
        <v>27</v>
      </c>
    </row>
    <row r="457" customHeight="1" spans="1:12">
      <c r="A457" s="318"/>
      <c r="B457" s="87"/>
      <c r="C457" s="89"/>
      <c r="D457" s="307"/>
      <c r="E457" s="332"/>
      <c r="F457" s="360"/>
      <c r="G457" s="112" t="s">
        <v>1048</v>
      </c>
      <c r="H457" s="105">
        <v>1.05</v>
      </c>
      <c r="I457" s="105">
        <v>0.17</v>
      </c>
      <c r="J457" s="105" t="s">
        <v>22</v>
      </c>
      <c r="K457" s="105">
        <v>2.09</v>
      </c>
      <c r="L457" s="308"/>
    </row>
    <row r="458" customHeight="1" spans="1:12">
      <c r="A458" s="316"/>
      <c r="B458" s="83"/>
      <c r="C458" s="90"/>
      <c r="D458" s="310"/>
      <c r="E458" s="361"/>
      <c r="F458" s="362"/>
      <c r="G458" s="112" t="s">
        <v>1051</v>
      </c>
      <c r="H458" s="105">
        <v>1.12</v>
      </c>
      <c r="I458" s="105">
        <v>0.32</v>
      </c>
      <c r="J458" s="105" t="s">
        <v>24</v>
      </c>
      <c r="K458" s="105" t="s">
        <v>24</v>
      </c>
      <c r="L458" s="311"/>
    </row>
    <row r="459" customHeight="1" spans="1:12">
      <c r="A459" s="314" t="s">
        <v>1259</v>
      </c>
      <c r="B459" s="253" t="s">
        <v>1260</v>
      </c>
      <c r="C459" s="303" t="s">
        <v>462</v>
      </c>
      <c r="D459" s="304">
        <v>30</v>
      </c>
      <c r="E459" s="331" t="s">
        <v>1261</v>
      </c>
      <c r="F459" s="359" t="s">
        <v>1091</v>
      </c>
      <c r="G459" s="112" t="s">
        <v>1137</v>
      </c>
      <c r="H459" s="105">
        <v>1</v>
      </c>
      <c r="I459" s="105">
        <v>27.5</v>
      </c>
      <c r="J459" s="105" t="s">
        <v>17</v>
      </c>
      <c r="K459" s="105">
        <v>1.9</v>
      </c>
      <c r="L459" s="305" t="s">
        <v>1262</v>
      </c>
    </row>
    <row r="460" customHeight="1" spans="1:12">
      <c r="A460" s="316"/>
      <c r="B460" s="83"/>
      <c r="C460" s="90"/>
      <c r="D460" s="310"/>
      <c r="E460" s="361"/>
      <c r="F460" s="362"/>
      <c r="G460" s="112" t="s">
        <v>1051</v>
      </c>
      <c r="H460" s="105">
        <v>1</v>
      </c>
      <c r="I460" s="105">
        <v>2.5</v>
      </c>
      <c r="J460" s="105" t="s">
        <v>44</v>
      </c>
      <c r="K460" s="105" t="s">
        <v>24</v>
      </c>
      <c r="L460" s="311"/>
    </row>
    <row r="461" customHeight="1" spans="1:12">
      <c r="A461" s="336">
        <v>45786</v>
      </c>
      <c r="B461" s="253" t="s">
        <v>1263</v>
      </c>
      <c r="C461" s="303" t="s">
        <v>459</v>
      </c>
      <c r="D461" s="304">
        <v>6.5</v>
      </c>
      <c r="E461" s="303" t="s">
        <v>486</v>
      </c>
      <c r="F461" s="303" t="s">
        <v>1117</v>
      </c>
      <c r="G461" s="112" t="s">
        <v>1121</v>
      </c>
      <c r="H461" s="105">
        <v>1</v>
      </c>
      <c r="I461" s="105">
        <v>3.7</v>
      </c>
      <c r="J461" s="105" t="s">
        <v>17</v>
      </c>
      <c r="K461" s="105">
        <v>2.1</v>
      </c>
      <c r="L461" s="165" t="s">
        <v>435</v>
      </c>
    </row>
    <row r="462" customHeight="1" spans="1:12">
      <c r="A462" s="338"/>
      <c r="B462" s="87"/>
      <c r="C462" s="89"/>
      <c r="D462" s="307"/>
      <c r="E462" s="89"/>
      <c r="F462" s="89"/>
      <c r="G462" s="112" t="s">
        <v>1122</v>
      </c>
      <c r="H462" s="105">
        <v>1.74</v>
      </c>
      <c r="I462" s="105">
        <v>1.82</v>
      </c>
      <c r="J462" s="105" t="s">
        <v>17</v>
      </c>
      <c r="K462" s="105">
        <v>2.15</v>
      </c>
      <c r="L462" s="259"/>
    </row>
    <row r="463" customHeight="1" spans="1:12">
      <c r="A463" s="338"/>
      <c r="B463" s="87"/>
      <c r="C463" s="89"/>
      <c r="D463" s="307"/>
      <c r="E463" s="89"/>
      <c r="F463" s="89"/>
      <c r="G463" s="112" t="s">
        <v>1141</v>
      </c>
      <c r="H463" s="105">
        <v>2.24</v>
      </c>
      <c r="I463" s="105">
        <v>0.75</v>
      </c>
      <c r="J463" s="105" t="s">
        <v>17</v>
      </c>
      <c r="K463" s="105">
        <v>2.3</v>
      </c>
      <c r="L463" s="259"/>
    </row>
    <row r="464" customHeight="1" spans="1:12">
      <c r="A464" s="338"/>
      <c r="B464" s="83"/>
      <c r="C464" s="90"/>
      <c r="D464" s="310"/>
      <c r="E464" s="90"/>
      <c r="F464" s="90"/>
      <c r="G464" s="112" t="s">
        <v>1051</v>
      </c>
      <c r="H464" s="105">
        <v>3</v>
      </c>
      <c r="I464" s="105">
        <v>0.23</v>
      </c>
      <c r="J464" s="105" t="s">
        <v>24</v>
      </c>
      <c r="K464" s="105" t="s">
        <v>24</v>
      </c>
      <c r="L464" s="261"/>
    </row>
    <row r="465" customHeight="1" spans="1:12">
      <c r="A465" s="336">
        <v>45776</v>
      </c>
      <c r="B465" s="253" t="s">
        <v>1264</v>
      </c>
      <c r="C465" s="303" t="s">
        <v>462</v>
      </c>
      <c r="D465" s="304">
        <v>35</v>
      </c>
      <c r="E465" s="303" t="s">
        <v>1265</v>
      </c>
      <c r="F465" s="303" t="s">
        <v>487</v>
      </c>
      <c r="G465" s="112" t="s">
        <v>1047</v>
      </c>
      <c r="H465" s="105">
        <v>1</v>
      </c>
      <c r="I465" s="105">
        <v>28</v>
      </c>
      <c r="J465" s="105" t="s">
        <v>17</v>
      </c>
      <c r="K465" s="105">
        <v>1.86</v>
      </c>
      <c r="L465" s="165" t="s">
        <v>435</v>
      </c>
    </row>
    <row r="466" customHeight="1" spans="1:12">
      <c r="A466" s="338"/>
      <c r="B466" s="87"/>
      <c r="C466" s="89"/>
      <c r="D466" s="307"/>
      <c r="E466" s="89"/>
      <c r="F466" s="89"/>
      <c r="G466" s="112" t="s">
        <v>1048</v>
      </c>
      <c r="H466" s="105">
        <v>1</v>
      </c>
      <c r="I466" s="105">
        <v>5.25</v>
      </c>
      <c r="J466" s="105" t="s">
        <v>22</v>
      </c>
      <c r="K466" s="105">
        <v>12</v>
      </c>
      <c r="L466" s="259"/>
    </row>
    <row r="467" customHeight="1" spans="1:12">
      <c r="A467" s="340"/>
      <c r="B467" s="83"/>
      <c r="C467" s="90"/>
      <c r="D467" s="310"/>
      <c r="E467" s="90"/>
      <c r="F467" s="90"/>
      <c r="G467" s="119" t="s">
        <v>1051</v>
      </c>
      <c r="H467" s="117">
        <v>1</v>
      </c>
      <c r="I467" s="117">
        <v>1.75</v>
      </c>
      <c r="J467" s="117" t="s">
        <v>24</v>
      </c>
      <c r="K467" s="105" t="s">
        <v>24</v>
      </c>
      <c r="L467" s="261"/>
    </row>
    <row r="468" customHeight="1" spans="1:12">
      <c r="A468" s="363">
        <v>45777</v>
      </c>
      <c r="B468" s="122" t="s">
        <v>1266</v>
      </c>
      <c r="C468" s="122" t="s">
        <v>462</v>
      </c>
      <c r="D468" s="52">
        <v>5.25</v>
      </c>
      <c r="E468" s="122" t="s">
        <v>1074</v>
      </c>
      <c r="F468" s="122" t="s">
        <v>1063</v>
      </c>
      <c r="G468" s="95" t="s">
        <v>1058</v>
      </c>
      <c r="H468" s="52">
        <v>1.04</v>
      </c>
      <c r="I468" s="52">
        <v>3.88</v>
      </c>
      <c r="J468" s="52" t="s">
        <v>17</v>
      </c>
      <c r="K468" s="123">
        <v>2.45</v>
      </c>
      <c r="L468" s="122" t="s">
        <v>1075</v>
      </c>
    </row>
    <row r="469" customHeight="1" spans="1:12">
      <c r="A469" s="363"/>
      <c r="B469" s="95"/>
      <c r="C469" s="95"/>
      <c r="D469" s="52"/>
      <c r="E469" s="95"/>
      <c r="F469" s="95"/>
      <c r="G469" s="95" t="s">
        <v>1059</v>
      </c>
      <c r="H469" s="52">
        <v>1.28</v>
      </c>
      <c r="I469" s="52">
        <v>1.1</v>
      </c>
      <c r="J469" s="52" t="s">
        <v>1267</v>
      </c>
      <c r="K469" s="123">
        <v>2.56</v>
      </c>
      <c r="L469" s="122"/>
    </row>
    <row r="470" customHeight="1" spans="1:12">
      <c r="A470" s="363"/>
      <c r="B470" s="95"/>
      <c r="C470" s="95"/>
      <c r="D470" s="52"/>
      <c r="E470" s="95"/>
      <c r="F470" s="95"/>
      <c r="G470" s="95" t="s">
        <v>1083</v>
      </c>
      <c r="H470" s="52">
        <v>1.53</v>
      </c>
      <c r="I470" s="52">
        <v>0.27</v>
      </c>
      <c r="J470" s="52" t="s">
        <v>24</v>
      </c>
      <c r="K470" s="123" t="s">
        <v>24</v>
      </c>
      <c r="L470" s="122"/>
    </row>
    <row r="471" customHeight="1" spans="1:12">
      <c r="A471" s="363">
        <v>45777</v>
      </c>
      <c r="B471" s="122" t="s">
        <v>1268</v>
      </c>
      <c r="C471" s="122" t="s">
        <v>462</v>
      </c>
      <c r="D471" s="52">
        <v>10</v>
      </c>
      <c r="E471" s="122" t="s">
        <v>484</v>
      </c>
      <c r="F471" s="122" t="s">
        <v>460</v>
      </c>
      <c r="G471" s="95" t="s">
        <v>1064</v>
      </c>
      <c r="H471" s="52">
        <v>1</v>
      </c>
      <c r="I471" s="52">
        <v>9</v>
      </c>
      <c r="J471" s="52" t="s">
        <v>17</v>
      </c>
      <c r="K471" s="123">
        <v>2.05</v>
      </c>
      <c r="L471" s="122" t="s">
        <v>35</v>
      </c>
    </row>
    <row r="472" customHeight="1" spans="1:12">
      <c r="A472" s="363"/>
      <c r="B472" s="95"/>
      <c r="C472" s="95"/>
      <c r="D472" s="52"/>
      <c r="E472" s="95"/>
      <c r="F472" s="95"/>
      <c r="G472" s="95" t="s">
        <v>1060</v>
      </c>
      <c r="H472" s="52">
        <v>1</v>
      </c>
      <c r="I472" s="52">
        <v>0.3</v>
      </c>
      <c r="J472" s="52" t="s">
        <v>1269</v>
      </c>
      <c r="K472" s="123">
        <v>2.3</v>
      </c>
      <c r="L472" s="122"/>
    </row>
    <row r="473" customHeight="1" spans="1:12">
      <c r="A473" s="363"/>
      <c r="B473" s="95"/>
      <c r="C473" s="95"/>
      <c r="D473" s="52"/>
      <c r="E473" s="95"/>
      <c r="F473" s="95"/>
      <c r="G473" s="95" t="s">
        <v>1061</v>
      </c>
      <c r="H473" s="52">
        <v>2.92</v>
      </c>
      <c r="I473" s="52">
        <v>0.2</v>
      </c>
      <c r="J473" s="52" t="s">
        <v>1270</v>
      </c>
      <c r="K473" s="123">
        <v>3.6</v>
      </c>
      <c r="L473" s="122"/>
    </row>
    <row r="474" customHeight="1" spans="1:12">
      <c r="A474" s="363"/>
      <c r="B474" s="95"/>
      <c r="C474" s="95"/>
      <c r="D474" s="52"/>
      <c r="E474" s="95"/>
      <c r="F474" s="95"/>
      <c r="G474" s="95" t="s">
        <v>1083</v>
      </c>
      <c r="H474" s="52">
        <v>2.92</v>
      </c>
      <c r="I474" s="52">
        <v>0.5</v>
      </c>
      <c r="J474" s="52" t="s">
        <v>24</v>
      </c>
      <c r="K474" s="123" t="s">
        <v>24</v>
      </c>
      <c r="L474" s="122"/>
    </row>
    <row r="475" customHeight="1" spans="1:12">
      <c r="A475" s="363">
        <v>45776</v>
      </c>
      <c r="B475" s="122" t="s">
        <v>1271</v>
      </c>
      <c r="C475" s="122" t="s">
        <v>459</v>
      </c>
      <c r="D475" s="52">
        <v>8</v>
      </c>
      <c r="E475" s="122" t="s">
        <v>486</v>
      </c>
      <c r="F475" s="122" t="s">
        <v>474</v>
      </c>
      <c r="G475" s="95" t="s">
        <v>1058</v>
      </c>
      <c r="H475" s="52">
        <v>0.96</v>
      </c>
      <c r="I475" s="52">
        <v>2.4</v>
      </c>
      <c r="J475" s="52" t="s">
        <v>17</v>
      </c>
      <c r="K475" s="123">
        <v>2.4</v>
      </c>
      <c r="L475" s="122" t="s">
        <v>1082</v>
      </c>
    </row>
    <row r="476" customHeight="1" spans="1:12">
      <c r="A476" s="363"/>
      <c r="B476" s="95"/>
      <c r="C476" s="95"/>
      <c r="D476" s="52"/>
      <c r="E476" s="95"/>
      <c r="F476" s="95"/>
      <c r="G476" s="95" t="s">
        <v>1059</v>
      </c>
      <c r="H476" s="52">
        <v>1.96</v>
      </c>
      <c r="I476" s="52">
        <v>3.2</v>
      </c>
      <c r="J476" s="52" t="s">
        <v>17</v>
      </c>
      <c r="K476" s="123">
        <v>2.8</v>
      </c>
      <c r="L476" s="122"/>
    </row>
    <row r="477" customHeight="1" spans="1:12">
      <c r="A477" s="363"/>
      <c r="B477" s="95"/>
      <c r="C477" s="95"/>
      <c r="D477" s="52"/>
      <c r="E477" s="95"/>
      <c r="F477" s="95"/>
      <c r="G477" s="95" t="s">
        <v>1099</v>
      </c>
      <c r="H477" s="52">
        <v>2.97</v>
      </c>
      <c r="I477" s="52">
        <v>2.28</v>
      </c>
      <c r="J477" s="52" t="s">
        <v>17</v>
      </c>
      <c r="K477" s="123">
        <v>4.2</v>
      </c>
      <c r="L477" s="122"/>
    </row>
    <row r="478" customHeight="1" spans="1:12">
      <c r="A478" s="363"/>
      <c r="B478" s="95"/>
      <c r="C478" s="95"/>
      <c r="D478" s="52"/>
      <c r="E478" s="95"/>
      <c r="F478" s="95"/>
      <c r="G478" s="95" t="s">
        <v>1083</v>
      </c>
      <c r="H478" s="52">
        <v>2.97</v>
      </c>
      <c r="I478" s="52">
        <v>0.12</v>
      </c>
      <c r="J478" s="52" t="s">
        <v>24</v>
      </c>
      <c r="K478" s="123" t="s">
        <v>24</v>
      </c>
      <c r="L478" s="122"/>
    </row>
    <row r="479" customHeight="1" spans="1:12">
      <c r="A479" s="363">
        <v>45776</v>
      </c>
      <c r="B479" s="122" t="s">
        <v>1272</v>
      </c>
      <c r="C479" s="122" t="s">
        <v>462</v>
      </c>
      <c r="D479" s="52">
        <v>10</v>
      </c>
      <c r="E479" s="122" t="s">
        <v>484</v>
      </c>
      <c r="F479" s="122" t="s">
        <v>482</v>
      </c>
      <c r="G479" s="95" t="s">
        <v>1064</v>
      </c>
      <c r="H479" s="52">
        <v>1</v>
      </c>
      <c r="I479" s="52">
        <v>9</v>
      </c>
      <c r="J479" s="52" t="s">
        <v>17</v>
      </c>
      <c r="K479" s="123">
        <v>2.06</v>
      </c>
      <c r="L479" s="122" t="s">
        <v>35</v>
      </c>
    </row>
    <row r="480" customHeight="1" spans="1:12">
      <c r="A480" s="363"/>
      <c r="B480" s="95"/>
      <c r="C480" s="95"/>
      <c r="D480" s="52"/>
      <c r="E480" s="95"/>
      <c r="F480" s="95"/>
      <c r="G480" s="95" t="s">
        <v>1060</v>
      </c>
      <c r="H480" s="52">
        <v>1</v>
      </c>
      <c r="I480" s="52">
        <v>0.3</v>
      </c>
      <c r="J480" s="52" t="s">
        <v>22</v>
      </c>
      <c r="K480" s="123">
        <v>2.3</v>
      </c>
      <c r="L480" s="122"/>
    </row>
    <row r="481" customHeight="1" spans="1:12">
      <c r="A481" s="363"/>
      <c r="B481" s="95"/>
      <c r="C481" s="95"/>
      <c r="D481" s="52"/>
      <c r="E481" s="95"/>
      <c r="F481" s="95"/>
      <c r="G481" s="95" t="s">
        <v>1061</v>
      </c>
      <c r="H481" s="52">
        <v>2.92</v>
      </c>
      <c r="I481" s="52">
        <v>0.2</v>
      </c>
      <c r="J481" s="52" t="s">
        <v>64</v>
      </c>
      <c r="K481" s="123">
        <v>3.6</v>
      </c>
      <c r="L481" s="122"/>
    </row>
    <row r="482" customHeight="1" spans="1:12">
      <c r="A482" s="363"/>
      <c r="B482" s="95"/>
      <c r="C482" s="95"/>
      <c r="D482" s="52"/>
      <c r="E482" s="95"/>
      <c r="F482" s="95"/>
      <c r="G482" s="95" t="s">
        <v>1083</v>
      </c>
      <c r="H482" s="52">
        <v>2.92</v>
      </c>
      <c r="I482" s="52">
        <v>0.5</v>
      </c>
      <c r="J482" s="52" t="s">
        <v>24</v>
      </c>
      <c r="K482" s="123" t="s">
        <v>24</v>
      </c>
      <c r="L482" s="122"/>
    </row>
    <row r="483" customHeight="1" spans="1:12">
      <c r="A483" s="363">
        <v>45776</v>
      </c>
      <c r="B483" s="122" t="s">
        <v>1273</v>
      </c>
      <c r="C483" s="122" t="s">
        <v>462</v>
      </c>
      <c r="D483" s="52">
        <v>10</v>
      </c>
      <c r="E483" s="122" t="s">
        <v>484</v>
      </c>
      <c r="F483" s="122" t="s">
        <v>460</v>
      </c>
      <c r="G483" s="95" t="s">
        <v>1064</v>
      </c>
      <c r="H483" s="52">
        <v>1</v>
      </c>
      <c r="I483" s="52">
        <v>9</v>
      </c>
      <c r="J483" s="52" t="s">
        <v>17</v>
      </c>
      <c r="K483" s="123">
        <v>2.05</v>
      </c>
      <c r="L483" s="122" t="s">
        <v>35</v>
      </c>
    </row>
    <row r="484" customHeight="1" spans="1:12">
      <c r="A484" s="363"/>
      <c r="B484" s="95"/>
      <c r="C484" s="95"/>
      <c r="D484" s="52"/>
      <c r="E484" s="95"/>
      <c r="F484" s="95"/>
      <c r="G484" s="95" t="s">
        <v>1060</v>
      </c>
      <c r="H484" s="52">
        <v>1</v>
      </c>
      <c r="I484" s="52">
        <v>0.3</v>
      </c>
      <c r="J484" s="52" t="s">
        <v>22</v>
      </c>
      <c r="K484" s="123">
        <v>2.3</v>
      </c>
      <c r="L484" s="122"/>
    </row>
    <row r="485" customHeight="1" spans="1:12">
      <c r="A485" s="363"/>
      <c r="B485" s="95"/>
      <c r="C485" s="95"/>
      <c r="D485" s="52"/>
      <c r="E485" s="95"/>
      <c r="F485" s="95"/>
      <c r="G485" s="95" t="s">
        <v>1061</v>
      </c>
      <c r="H485" s="52">
        <v>3</v>
      </c>
      <c r="I485" s="52">
        <v>0.2</v>
      </c>
      <c r="J485" s="52" t="s">
        <v>64</v>
      </c>
      <c r="K485" s="123">
        <v>3.6</v>
      </c>
      <c r="L485" s="122"/>
    </row>
    <row r="486" customHeight="1" spans="1:12">
      <c r="A486" s="363"/>
      <c r="B486" s="95"/>
      <c r="C486" s="95"/>
      <c r="D486" s="52"/>
      <c r="E486" s="95"/>
      <c r="F486" s="95"/>
      <c r="G486" s="95" t="s">
        <v>1083</v>
      </c>
      <c r="H486" s="52">
        <v>3</v>
      </c>
      <c r="I486" s="52">
        <v>0.5</v>
      </c>
      <c r="J486" s="52" t="s">
        <v>24</v>
      </c>
      <c r="K486" s="123" t="s">
        <v>24</v>
      </c>
      <c r="L486" s="122"/>
    </row>
    <row r="487" customHeight="1" spans="1:12">
      <c r="A487" s="363">
        <v>45777</v>
      </c>
      <c r="B487" s="122" t="s">
        <v>1274</v>
      </c>
      <c r="C487" s="122" t="s">
        <v>459</v>
      </c>
      <c r="D487" s="52">
        <v>10</v>
      </c>
      <c r="E487" s="122" t="s">
        <v>484</v>
      </c>
      <c r="F487" s="122" t="s">
        <v>1063</v>
      </c>
      <c r="G487" s="95" t="s">
        <v>1064</v>
      </c>
      <c r="H487" s="52">
        <v>1.75</v>
      </c>
      <c r="I487" s="52">
        <v>8.7</v>
      </c>
      <c r="J487" s="52" t="s">
        <v>17</v>
      </c>
      <c r="K487" s="123">
        <v>2.23</v>
      </c>
      <c r="L487" s="122" t="s">
        <v>35</v>
      </c>
    </row>
    <row r="488" customHeight="1" spans="1:12">
      <c r="A488" s="363"/>
      <c r="B488" s="95"/>
      <c r="C488" s="95"/>
      <c r="D488" s="52"/>
      <c r="E488" s="95"/>
      <c r="F488" s="95"/>
      <c r="G488" s="95" t="s">
        <v>1060</v>
      </c>
      <c r="H488" s="52">
        <v>1.75</v>
      </c>
      <c r="I488" s="52">
        <v>0.4</v>
      </c>
      <c r="J488" s="52" t="s">
        <v>1269</v>
      </c>
      <c r="K488" s="123">
        <v>2.3</v>
      </c>
      <c r="L488" s="122"/>
    </row>
    <row r="489" customHeight="1" spans="1:12">
      <c r="A489" s="363"/>
      <c r="B489" s="95"/>
      <c r="C489" s="95"/>
      <c r="D489" s="52"/>
      <c r="E489" s="95"/>
      <c r="F489" s="95"/>
      <c r="G489" s="95" t="s">
        <v>1061</v>
      </c>
      <c r="H489" s="52">
        <v>1.75</v>
      </c>
      <c r="I489" s="52">
        <v>0.4</v>
      </c>
      <c r="J489" s="52" t="s">
        <v>1270</v>
      </c>
      <c r="K489" s="123">
        <v>3.6</v>
      </c>
      <c r="L489" s="122"/>
    </row>
    <row r="490" customHeight="1" spans="1:12">
      <c r="A490" s="363"/>
      <c r="B490" s="95"/>
      <c r="C490" s="95"/>
      <c r="D490" s="52"/>
      <c r="E490" s="95"/>
      <c r="F490" s="95"/>
      <c r="G490" s="95" t="s">
        <v>1083</v>
      </c>
      <c r="H490" s="52">
        <v>2.67</v>
      </c>
      <c r="I490" s="52">
        <v>0.5</v>
      </c>
      <c r="J490" s="52" t="s">
        <v>24</v>
      </c>
      <c r="K490" s="123" t="s">
        <v>24</v>
      </c>
      <c r="L490" s="122"/>
    </row>
    <row r="491" customHeight="1" spans="1:12">
      <c r="A491" s="363">
        <v>45772</v>
      </c>
      <c r="B491" s="122" t="s">
        <v>1275</v>
      </c>
      <c r="C491" s="122" t="s">
        <v>462</v>
      </c>
      <c r="D491" s="52">
        <v>10</v>
      </c>
      <c r="E491" s="122" t="s">
        <v>1079</v>
      </c>
      <c r="F491" s="122" t="s">
        <v>1091</v>
      </c>
      <c r="G491" s="95" t="s">
        <v>1064</v>
      </c>
      <c r="H491" s="52">
        <v>1.49</v>
      </c>
      <c r="I491" s="52">
        <v>8.3</v>
      </c>
      <c r="J491" s="52" t="s">
        <v>17</v>
      </c>
      <c r="K491" s="123">
        <v>2.3</v>
      </c>
      <c r="L491" s="122" t="s">
        <v>35</v>
      </c>
    </row>
    <row r="492" customHeight="1" spans="1:12">
      <c r="A492" s="363"/>
      <c r="B492" s="95"/>
      <c r="C492" s="95"/>
      <c r="D492" s="52"/>
      <c r="E492" s="95"/>
      <c r="F492" s="95"/>
      <c r="G492" s="95" t="s">
        <v>1060</v>
      </c>
      <c r="H492" s="52">
        <v>1.49</v>
      </c>
      <c r="I492" s="52">
        <v>0.5</v>
      </c>
      <c r="J492" s="52" t="s">
        <v>1269</v>
      </c>
      <c r="K492" s="123">
        <v>2.35</v>
      </c>
      <c r="L492" s="122"/>
    </row>
    <row r="493" customHeight="1" spans="1:12">
      <c r="A493" s="363"/>
      <c r="B493" s="95"/>
      <c r="C493" s="95"/>
      <c r="D493" s="52"/>
      <c r="E493" s="95"/>
      <c r="F493" s="95"/>
      <c r="G493" s="95" t="s">
        <v>1061</v>
      </c>
      <c r="H493" s="52">
        <v>2</v>
      </c>
      <c r="I493" s="52">
        <v>0.7</v>
      </c>
      <c r="J493" s="52" t="s">
        <v>100</v>
      </c>
      <c r="K493" s="123">
        <v>3.6</v>
      </c>
      <c r="L493" s="122"/>
    </row>
    <row r="494" customHeight="1" spans="1:12">
      <c r="A494" s="363"/>
      <c r="B494" s="95"/>
      <c r="C494" s="95"/>
      <c r="D494" s="52"/>
      <c r="E494" s="95"/>
      <c r="F494" s="95"/>
      <c r="G494" s="95" t="s">
        <v>1083</v>
      </c>
      <c r="H494" s="52">
        <v>2</v>
      </c>
      <c r="I494" s="52">
        <v>0.5</v>
      </c>
      <c r="J494" s="52" t="s">
        <v>24</v>
      </c>
      <c r="K494" s="123" t="s">
        <v>24</v>
      </c>
      <c r="L494" s="122"/>
    </row>
    <row r="495" customHeight="1" spans="1:12">
      <c r="A495" s="363">
        <v>45772</v>
      </c>
      <c r="B495" s="122" t="s">
        <v>1276</v>
      </c>
      <c r="C495" s="122" t="s">
        <v>462</v>
      </c>
      <c r="D495" s="52">
        <v>4</v>
      </c>
      <c r="E495" s="122" t="s">
        <v>1277</v>
      </c>
      <c r="F495" s="122" t="s">
        <v>460</v>
      </c>
      <c r="G495" s="95" t="s">
        <v>1058</v>
      </c>
      <c r="H495" s="52">
        <v>1.99</v>
      </c>
      <c r="I495" s="52">
        <v>3.28</v>
      </c>
      <c r="J495" s="52" t="s">
        <v>17</v>
      </c>
      <c r="K495" s="123">
        <v>2.25</v>
      </c>
      <c r="L495" s="122" t="s">
        <v>355</v>
      </c>
    </row>
    <row r="496" customHeight="1" spans="1:12">
      <c r="A496" s="363"/>
      <c r="B496" s="95"/>
      <c r="C496" s="95"/>
      <c r="D496" s="52"/>
      <c r="E496" s="95"/>
      <c r="F496" s="95"/>
      <c r="G496" s="95" t="s">
        <v>1059</v>
      </c>
      <c r="H496" s="52">
        <v>1.99</v>
      </c>
      <c r="I496" s="52">
        <v>0.18</v>
      </c>
      <c r="J496" s="52" t="s">
        <v>1269</v>
      </c>
      <c r="K496" s="123">
        <v>2.4</v>
      </c>
      <c r="L496" s="122"/>
    </row>
    <row r="497" customHeight="1" spans="1:12">
      <c r="A497" s="363"/>
      <c r="B497" s="95"/>
      <c r="C497" s="95"/>
      <c r="D497" s="52"/>
      <c r="E497" s="95"/>
      <c r="F497" s="95"/>
      <c r="G497" s="95" t="s">
        <v>1099</v>
      </c>
      <c r="H497" s="52">
        <v>1.99</v>
      </c>
      <c r="I497" s="52">
        <v>0.16</v>
      </c>
      <c r="J497" s="52" t="s">
        <v>351</v>
      </c>
      <c r="K497" s="123">
        <v>2.8</v>
      </c>
      <c r="L497" s="122"/>
    </row>
    <row r="498" customHeight="1" spans="1:12">
      <c r="A498" s="363"/>
      <c r="B498" s="95"/>
      <c r="C498" s="95"/>
      <c r="D498" s="52"/>
      <c r="E498" s="95"/>
      <c r="F498" s="95"/>
      <c r="G498" s="95" t="s">
        <v>1083</v>
      </c>
      <c r="H498" s="52">
        <v>1.99</v>
      </c>
      <c r="I498" s="52">
        <v>0.38</v>
      </c>
      <c r="J498" s="52" t="s">
        <v>24</v>
      </c>
      <c r="K498" s="123" t="s">
        <v>24</v>
      </c>
      <c r="L498" s="122"/>
    </row>
    <row r="499" customHeight="1" spans="1:12">
      <c r="A499" s="363">
        <v>45776</v>
      </c>
      <c r="B499" s="122" t="s">
        <v>1278</v>
      </c>
      <c r="C499" s="122" t="s">
        <v>462</v>
      </c>
      <c r="D499" s="52">
        <v>5.7</v>
      </c>
      <c r="E499" s="122" t="s">
        <v>477</v>
      </c>
      <c r="F499" s="122" t="s">
        <v>523</v>
      </c>
      <c r="G499" s="95" t="s">
        <v>1064</v>
      </c>
      <c r="H499" s="52">
        <v>0.6</v>
      </c>
      <c r="I499" s="52">
        <v>5.37</v>
      </c>
      <c r="J499" s="52" t="s">
        <v>17</v>
      </c>
      <c r="K499" s="123">
        <v>1.95</v>
      </c>
      <c r="L499" s="122" t="s">
        <v>112</v>
      </c>
    </row>
    <row r="500" customHeight="1" spans="1:12">
      <c r="A500" s="363"/>
      <c r="B500" s="95"/>
      <c r="C500" s="95"/>
      <c r="D500" s="52"/>
      <c r="E500" s="95"/>
      <c r="F500" s="95"/>
      <c r="G500" s="95" t="s">
        <v>1060</v>
      </c>
      <c r="H500" s="52">
        <v>0.6</v>
      </c>
      <c r="I500" s="52">
        <v>0.33</v>
      </c>
      <c r="J500" s="52" t="s">
        <v>22</v>
      </c>
      <c r="K500" s="123">
        <v>2.2</v>
      </c>
      <c r="L500" s="122"/>
    </row>
    <row r="501" customHeight="1" spans="1:12">
      <c r="A501" s="363">
        <v>45772</v>
      </c>
      <c r="B501" s="122" t="s">
        <v>1279</v>
      </c>
      <c r="C501" s="122" t="s">
        <v>462</v>
      </c>
      <c r="D501" s="52">
        <v>4</v>
      </c>
      <c r="E501" s="122" t="s">
        <v>477</v>
      </c>
      <c r="F501" s="122" t="s">
        <v>487</v>
      </c>
      <c r="G501" s="95" t="s">
        <v>1064</v>
      </c>
      <c r="H501" s="52">
        <v>2.01</v>
      </c>
      <c r="I501" s="52">
        <v>3.36</v>
      </c>
      <c r="J501" s="52" t="s">
        <v>17</v>
      </c>
      <c r="K501" s="123">
        <v>2.3</v>
      </c>
      <c r="L501" s="122" t="s">
        <v>1176</v>
      </c>
    </row>
    <row r="502" customHeight="1" spans="1:12">
      <c r="A502" s="363"/>
      <c r="B502" s="95"/>
      <c r="C502" s="95"/>
      <c r="D502" s="52"/>
      <c r="E502" s="95"/>
      <c r="F502" s="95"/>
      <c r="G502" s="95" t="s">
        <v>1060</v>
      </c>
      <c r="H502" s="52">
        <v>2.01</v>
      </c>
      <c r="I502" s="52">
        <v>0.28</v>
      </c>
      <c r="J502" s="52" t="s">
        <v>22</v>
      </c>
      <c r="K502" s="123">
        <v>2.45</v>
      </c>
      <c r="L502" s="122"/>
    </row>
    <row r="503" customHeight="1" spans="1:12">
      <c r="A503" s="363"/>
      <c r="B503" s="95"/>
      <c r="C503" s="95"/>
      <c r="D503" s="52"/>
      <c r="E503" s="95"/>
      <c r="F503" s="95"/>
      <c r="G503" s="95" t="s">
        <v>1083</v>
      </c>
      <c r="H503" s="52">
        <v>2.01</v>
      </c>
      <c r="I503" s="52">
        <v>0.36</v>
      </c>
      <c r="J503" s="52" t="s">
        <v>24</v>
      </c>
      <c r="K503" s="123" t="s">
        <v>24</v>
      </c>
      <c r="L503" s="122"/>
    </row>
    <row r="504" customHeight="1" spans="1:12">
      <c r="A504" s="364" t="s">
        <v>1280</v>
      </c>
      <c r="B504" s="365" t="s">
        <v>1281</v>
      </c>
      <c r="C504" s="366" t="s">
        <v>462</v>
      </c>
      <c r="D504" s="127">
        <v>10</v>
      </c>
      <c r="E504" s="366" t="s">
        <v>1109</v>
      </c>
      <c r="F504" s="366" t="s">
        <v>460</v>
      </c>
      <c r="G504" s="367" t="s">
        <v>1047</v>
      </c>
      <c r="H504" s="368">
        <v>1.04</v>
      </c>
      <c r="I504" s="368">
        <v>8.35</v>
      </c>
      <c r="J504" s="130" t="s">
        <v>17</v>
      </c>
      <c r="K504" s="368">
        <v>1.89</v>
      </c>
      <c r="L504" s="199" t="s">
        <v>27</v>
      </c>
    </row>
    <row r="505" customHeight="1" spans="1:12">
      <c r="A505" s="364"/>
      <c r="B505" s="57"/>
      <c r="C505" s="128"/>
      <c r="D505" s="127"/>
      <c r="E505" s="128"/>
      <c r="F505" s="128"/>
      <c r="G505" s="367" t="s">
        <v>1048</v>
      </c>
      <c r="H505" s="74">
        <v>1.04</v>
      </c>
      <c r="I505" s="74">
        <v>0.7</v>
      </c>
      <c r="J505" s="130" t="s">
        <v>22</v>
      </c>
      <c r="K505" s="74">
        <v>2</v>
      </c>
      <c r="L505" s="369"/>
    </row>
    <row r="506" customHeight="1" spans="1:12">
      <c r="A506" s="364"/>
      <c r="B506" s="57"/>
      <c r="C506" s="128"/>
      <c r="D506" s="127"/>
      <c r="E506" s="128"/>
      <c r="F506" s="128"/>
      <c r="G506" s="367" t="s">
        <v>1051</v>
      </c>
      <c r="H506" s="74">
        <v>1.79</v>
      </c>
      <c r="I506" s="74">
        <v>0.95</v>
      </c>
      <c r="J506" s="130" t="s">
        <v>24</v>
      </c>
      <c r="K506" s="370" t="s">
        <v>24</v>
      </c>
      <c r="L506" s="371"/>
    </row>
    <row r="507" customHeight="1" spans="1:12">
      <c r="A507" s="364" t="s">
        <v>1282</v>
      </c>
      <c r="B507" s="365" t="s">
        <v>1283</v>
      </c>
      <c r="C507" s="366" t="s">
        <v>459</v>
      </c>
      <c r="D507" s="127">
        <v>1.33</v>
      </c>
      <c r="E507" s="366" t="s">
        <v>486</v>
      </c>
      <c r="F507" s="366" t="s">
        <v>1284</v>
      </c>
      <c r="G507" s="129" t="s">
        <v>1058</v>
      </c>
      <c r="H507" s="74">
        <v>0.98</v>
      </c>
      <c r="I507" s="74">
        <v>0.68</v>
      </c>
      <c r="J507" s="74" t="s">
        <v>17</v>
      </c>
      <c r="K507" s="368">
        <v>2</v>
      </c>
      <c r="L507" s="199" t="s">
        <v>435</v>
      </c>
    </row>
    <row r="508" customHeight="1" spans="1:12">
      <c r="A508" s="364"/>
      <c r="B508" s="57"/>
      <c r="C508" s="128"/>
      <c r="D508" s="127"/>
      <c r="E508" s="128"/>
      <c r="F508" s="128"/>
      <c r="G508" s="129" t="s">
        <v>1059</v>
      </c>
      <c r="H508" s="74">
        <v>1.97</v>
      </c>
      <c r="I508" s="74">
        <v>0.42</v>
      </c>
      <c r="J508" s="74" t="s">
        <v>17</v>
      </c>
      <c r="K508" s="368">
        <v>2.1</v>
      </c>
      <c r="L508" s="369"/>
    </row>
    <row r="509" customHeight="1" spans="1:12">
      <c r="A509" s="364"/>
      <c r="B509" s="57"/>
      <c r="C509" s="128"/>
      <c r="D509" s="127"/>
      <c r="E509" s="128"/>
      <c r="F509" s="128"/>
      <c r="G509" s="129" t="s">
        <v>1099</v>
      </c>
      <c r="H509" s="74">
        <v>2.55</v>
      </c>
      <c r="I509" s="74">
        <v>0.18</v>
      </c>
      <c r="J509" s="74" t="s">
        <v>17</v>
      </c>
      <c r="K509" s="368">
        <v>2.2</v>
      </c>
      <c r="L509" s="369"/>
    </row>
    <row r="510" customHeight="1" spans="1:12">
      <c r="A510" s="364"/>
      <c r="B510" s="57"/>
      <c r="C510" s="128"/>
      <c r="D510" s="127"/>
      <c r="E510" s="128"/>
      <c r="F510" s="128"/>
      <c r="G510" s="129" t="s">
        <v>1083</v>
      </c>
      <c r="H510" s="74">
        <v>2.89</v>
      </c>
      <c r="I510" s="74">
        <v>0.05</v>
      </c>
      <c r="J510" s="130" t="s">
        <v>24</v>
      </c>
      <c r="K510" s="368" t="s">
        <v>24</v>
      </c>
      <c r="L510" s="371"/>
    </row>
    <row r="511" customHeight="1" spans="1:12">
      <c r="A511" s="364" t="s">
        <v>1280</v>
      </c>
      <c r="B511" s="365" t="s">
        <v>1285</v>
      </c>
      <c r="C511" s="366" t="s">
        <v>462</v>
      </c>
      <c r="D511" s="127">
        <v>7</v>
      </c>
      <c r="E511" s="366" t="s">
        <v>552</v>
      </c>
      <c r="F511" s="366" t="s">
        <v>1063</v>
      </c>
      <c r="G511" s="129" t="s">
        <v>1064</v>
      </c>
      <c r="H511" s="74">
        <v>1.25</v>
      </c>
      <c r="I511" s="74">
        <v>5.922</v>
      </c>
      <c r="J511" s="130" t="s">
        <v>17</v>
      </c>
      <c r="K511" s="368">
        <v>2.2</v>
      </c>
      <c r="L511" s="199" t="s">
        <v>67</v>
      </c>
    </row>
    <row r="512" customHeight="1" spans="1:12">
      <c r="A512" s="364"/>
      <c r="B512" s="57"/>
      <c r="C512" s="128"/>
      <c r="D512" s="127"/>
      <c r="E512" s="128"/>
      <c r="F512" s="128"/>
      <c r="G512" s="129" t="s">
        <v>1060</v>
      </c>
      <c r="H512" s="74">
        <v>1.25</v>
      </c>
      <c r="I512" s="74">
        <v>0.35</v>
      </c>
      <c r="J512" s="130" t="s">
        <v>22</v>
      </c>
      <c r="K512" s="74">
        <v>2.6</v>
      </c>
      <c r="L512" s="369"/>
    </row>
    <row r="513" customHeight="1" spans="1:12">
      <c r="A513" s="364"/>
      <c r="B513" s="57"/>
      <c r="C513" s="128"/>
      <c r="D513" s="127"/>
      <c r="E513" s="128"/>
      <c r="F513" s="128"/>
      <c r="G513" s="129" t="s">
        <v>1061</v>
      </c>
      <c r="H513" s="74">
        <v>1.25</v>
      </c>
      <c r="I513" s="74">
        <v>0.28</v>
      </c>
      <c r="J513" s="130" t="s">
        <v>44</v>
      </c>
      <c r="K513" s="74">
        <v>4</v>
      </c>
      <c r="L513" s="369"/>
    </row>
    <row r="514" customHeight="1" spans="1:12">
      <c r="A514" s="364"/>
      <c r="B514" s="57"/>
      <c r="C514" s="128"/>
      <c r="D514" s="127"/>
      <c r="E514" s="128"/>
      <c r="F514" s="128"/>
      <c r="G514" s="129" t="s">
        <v>1083</v>
      </c>
      <c r="H514" s="74">
        <v>1.25</v>
      </c>
      <c r="I514" s="74">
        <v>0.448</v>
      </c>
      <c r="J514" s="74" t="s">
        <v>24</v>
      </c>
      <c r="K514" s="74" t="s">
        <v>24</v>
      </c>
      <c r="L514" s="371"/>
    </row>
    <row r="515" customHeight="1" spans="1:12">
      <c r="A515" s="364" t="s">
        <v>1286</v>
      </c>
      <c r="B515" s="365" t="s">
        <v>1287</v>
      </c>
      <c r="C515" s="366" t="s">
        <v>462</v>
      </c>
      <c r="D515" s="127">
        <v>10</v>
      </c>
      <c r="E515" s="366" t="s">
        <v>1057</v>
      </c>
      <c r="F515" s="366" t="s">
        <v>474</v>
      </c>
      <c r="G515" s="129" t="s">
        <v>1058</v>
      </c>
      <c r="H515" s="74">
        <v>1.08</v>
      </c>
      <c r="I515" s="74">
        <v>7</v>
      </c>
      <c r="J515" s="130" t="s">
        <v>17</v>
      </c>
      <c r="K515" s="74">
        <v>1.95</v>
      </c>
      <c r="L515" s="199" t="s">
        <v>41</v>
      </c>
    </row>
    <row r="516" customHeight="1" spans="1:12">
      <c r="A516" s="364"/>
      <c r="B516" s="57"/>
      <c r="C516" s="128"/>
      <c r="D516" s="127"/>
      <c r="E516" s="128"/>
      <c r="F516" s="128"/>
      <c r="G516" s="129" t="s">
        <v>1059</v>
      </c>
      <c r="H516" s="74">
        <v>1.25</v>
      </c>
      <c r="I516" s="74">
        <v>1.55</v>
      </c>
      <c r="J516" s="130" t="s">
        <v>17</v>
      </c>
      <c r="K516" s="74">
        <v>2.1</v>
      </c>
      <c r="L516" s="369"/>
    </row>
    <row r="517" customHeight="1" spans="1:12">
      <c r="A517" s="364"/>
      <c r="B517" s="57"/>
      <c r="C517" s="128"/>
      <c r="D517" s="127"/>
      <c r="E517" s="128"/>
      <c r="F517" s="128"/>
      <c r="G517" s="129" t="s">
        <v>1060</v>
      </c>
      <c r="H517" s="74">
        <v>1.33</v>
      </c>
      <c r="I517" s="74">
        <v>0.5</v>
      </c>
      <c r="J517" s="130" t="s">
        <v>22</v>
      </c>
      <c r="K517" s="74">
        <v>2.2</v>
      </c>
      <c r="L517" s="369"/>
    </row>
    <row r="518" customHeight="1" spans="1:12">
      <c r="A518" s="364"/>
      <c r="B518" s="57"/>
      <c r="C518" s="128"/>
      <c r="D518" s="127"/>
      <c r="E518" s="128"/>
      <c r="F518" s="128"/>
      <c r="G518" s="129" t="s">
        <v>1061</v>
      </c>
      <c r="H518" s="74">
        <v>1.42</v>
      </c>
      <c r="I518" s="74">
        <v>0.45</v>
      </c>
      <c r="J518" s="74" t="s">
        <v>351</v>
      </c>
      <c r="K518" s="74">
        <v>4.7</v>
      </c>
      <c r="L518" s="369"/>
    </row>
    <row r="519" customHeight="1" spans="1:12">
      <c r="A519" s="364"/>
      <c r="B519" s="57"/>
      <c r="C519" s="128"/>
      <c r="D519" s="127"/>
      <c r="E519" s="128"/>
      <c r="F519" s="128"/>
      <c r="G519" s="129" t="s">
        <v>1083</v>
      </c>
      <c r="H519" s="74">
        <v>1.74</v>
      </c>
      <c r="I519" s="74">
        <v>0.5</v>
      </c>
      <c r="J519" s="74" t="s">
        <v>24</v>
      </c>
      <c r="K519" s="74" t="s">
        <v>24</v>
      </c>
      <c r="L519" s="371"/>
    </row>
    <row r="520" customHeight="1" spans="1:12">
      <c r="A520" s="364" t="s">
        <v>1280</v>
      </c>
      <c r="B520" s="365" t="s">
        <v>1288</v>
      </c>
      <c r="C520" s="366" t="s">
        <v>462</v>
      </c>
      <c r="D520" s="127">
        <v>10</v>
      </c>
      <c r="E520" s="366" t="s">
        <v>484</v>
      </c>
      <c r="F520" s="366" t="s">
        <v>460</v>
      </c>
      <c r="G520" s="129" t="s">
        <v>1064</v>
      </c>
      <c r="H520" s="74">
        <v>1</v>
      </c>
      <c r="I520" s="74">
        <v>9</v>
      </c>
      <c r="J520" s="130" t="s">
        <v>17</v>
      </c>
      <c r="K520" s="74">
        <v>1.9</v>
      </c>
      <c r="L520" s="199" t="s">
        <v>35</v>
      </c>
    </row>
    <row r="521" customHeight="1" spans="1:12">
      <c r="A521" s="364"/>
      <c r="B521" s="57"/>
      <c r="C521" s="128"/>
      <c r="D521" s="127"/>
      <c r="E521" s="128"/>
      <c r="F521" s="128"/>
      <c r="G521" s="129" t="s">
        <v>1060</v>
      </c>
      <c r="H521" s="74">
        <v>1</v>
      </c>
      <c r="I521" s="74">
        <v>0.3</v>
      </c>
      <c r="J521" s="130" t="s">
        <v>22</v>
      </c>
      <c r="K521" s="74">
        <v>2.2</v>
      </c>
      <c r="L521" s="369"/>
    </row>
    <row r="522" customHeight="1" spans="1:12">
      <c r="A522" s="364"/>
      <c r="B522" s="57"/>
      <c r="C522" s="128"/>
      <c r="D522" s="127"/>
      <c r="E522" s="128"/>
      <c r="F522" s="128"/>
      <c r="G522" s="129" t="s">
        <v>1166</v>
      </c>
      <c r="H522" s="74">
        <v>2.92</v>
      </c>
      <c r="I522" s="74">
        <v>0.2</v>
      </c>
      <c r="J522" s="74" t="s">
        <v>64</v>
      </c>
      <c r="K522" s="74">
        <v>3.6</v>
      </c>
      <c r="L522" s="369"/>
    </row>
    <row r="523" customHeight="1" spans="1:12">
      <c r="A523" s="364"/>
      <c r="B523" s="57"/>
      <c r="C523" s="128"/>
      <c r="D523" s="127"/>
      <c r="E523" s="128"/>
      <c r="F523" s="128"/>
      <c r="G523" s="129" t="s">
        <v>1083</v>
      </c>
      <c r="H523" s="74">
        <v>2.92</v>
      </c>
      <c r="I523" s="74">
        <v>0.5</v>
      </c>
      <c r="J523" s="74" t="s">
        <v>24</v>
      </c>
      <c r="K523" s="74" t="s">
        <v>24</v>
      </c>
      <c r="L523" s="371"/>
    </row>
    <row r="524" customHeight="1" spans="1:12">
      <c r="A524" s="364" t="s">
        <v>1280</v>
      </c>
      <c r="B524" s="365" t="s">
        <v>1289</v>
      </c>
      <c r="C524" s="366" t="s">
        <v>459</v>
      </c>
      <c r="D524" s="127">
        <v>4</v>
      </c>
      <c r="E524" s="366" t="s">
        <v>477</v>
      </c>
      <c r="F524" s="366" t="s">
        <v>1140</v>
      </c>
      <c r="G524" s="129" t="s">
        <v>1064</v>
      </c>
      <c r="H524" s="74">
        <v>2.04</v>
      </c>
      <c r="I524" s="74">
        <v>3.36</v>
      </c>
      <c r="J524" s="130" t="s">
        <v>17</v>
      </c>
      <c r="K524" s="74">
        <v>2.2</v>
      </c>
      <c r="L524" s="199" t="s">
        <v>112</v>
      </c>
    </row>
    <row r="525" customHeight="1" spans="1:12">
      <c r="A525" s="364"/>
      <c r="B525" s="57"/>
      <c r="C525" s="128"/>
      <c r="D525" s="127"/>
      <c r="E525" s="128"/>
      <c r="F525" s="128"/>
      <c r="G525" s="129" t="s">
        <v>1060</v>
      </c>
      <c r="H525" s="74">
        <v>2.04</v>
      </c>
      <c r="I525" s="74">
        <v>0.28</v>
      </c>
      <c r="J525" s="130" t="s">
        <v>22</v>
      </c>
      <c r="K525" s="74">
        <v>2.4</v>
      </c>
      <c r="L525" s="369"/>
    </row>
    <row r="526" customHeight="1" spans="1:12">
      <c r="A526" s="364"/>
      <c r="B526" s="57"/>
      <c r="C526" s="128"/>
      <c r="D526" s="127"/>
      <c r="E526" s="128"/>
      <c r="F526" s="128"/>
      <c r="G526" s="129" t="s">
        <v>1083</v>
      </c>
      <c r="H526" s="74">
        <v>2.04</v>
      </c>
      <c r="I526" s="74">
        <v>0.36</v>
      </c>
      <c r="J526" s="74" t="s">
        <v>24</v>
      </c>
      <c r="K526" s="74" t="s">
        <v>24</v>
      </c>
      <c r="L526" s="371"/>
    </row>
    <row r="527" customHeight="1" spans="1:12">
      <c r="A527" s="364" t="s">
        <v>1280</v>
      </c>
      <c r="B527" s="365" t="s">
        <v>1290</v>
      </c>
      <c r="C527" s="366" t="s">
        <v>462</v>
      </c>
      <c r="D527" s="127">
        <v>10</v>
      </c>
      <c r="E527" s="366" t="s">
        <v>484</v>
      </c>
      <c r="F527" s="366" t="s">
        <v>482</v>
      </c>
      <c r="G527" s="129" t="s">
        <v>1064</v>
      </c>
      <c r="H527" s="74">
        <v>1</v>
      </c>
      <c r="I527" s="74">
        <v>9</v>
      </c>
      <c r="J527" s="130" t="s">
        <v>17</v>
      </c>
      <c r="K527" s="74">
        <v>1.9</v>
      </c>
      <c r="L527" s="199" t="s">
        <v>35</v>
      </c>
    </row>
    <row r="528" customHeight="1" spans="1:12">
      <c r="A528" s="364"/>
      <c r="B528" s="57"/>
      <c r="C528" s="128"/>
      <c r="D528" s="127"/>
      <c r="E528" s="128"/>
      <c r="F528" s="128"/>
      <c r="G528" s="129" t="s">
        <v>1060</v>
      </c>
      <c r="H528" s="74">
        <v>1</v>
      </c>
      <c r="I528" s="74">
        <v>0.3</v>
      </c>
      <c r="J528" s="130" t="s">
        <v>22</v>
      </c>
      <c r="K528" s="74">
        <v>2.1</v>
      </c>
      <c r="L528" s="369"/>
    </row>
    <row r="529" customHeight="1" spans="1:12">
      <c r="A529" s="364"/>
      <c r="B529" s="57"/>
      <c r="C529" s="128"/>
      <c r="D529" s="127"/>
      <c r="E529" s="128"/>
      <c r="F529" s="128"/>
      <c r="G529" s="129" t="s">
        <v>1166</v>
      </c>
      <c r="H529" s="74">
        <v>2.92</v>
      </c>
      <c r="I529" s="74">
        <v>0.2</v>
      </c>
      <c r="J529" s="74" t="s">
        <v>64</v>
      </c>
      <c r="K529" s="74">
        <v>3.6</v>
      </c>
      <c r="L529" s="369"/>
    </row>
    <row r="530" customHeight="1" spans="1:12">
      <c r="A530" s="364"/>
      <c r="B530" s="57"/>
      <c r="C530" s="128"/>
      <c r="D530" s="127"/>
      <c r="E530" s="128"/>
      <c r="F530" s="128"/>
      <c r="G530" s="129" t="s">
        <v>1083</v>
      </c>
      <c r="H530" s="74">
        <v>2.92</v>
      </c>
      <c r="I530" s="74">
        <v>0.5</v>
      </c>
      <c r="J530" s="74" t="s">
        <v>24</v>
      </c>
      <c r="K530" s="74" t="s">
        <v>24</v>
      </c>
      <c r="L530" s="371"/>
    </row>
    <row r="531" customHeight="1" spans="1:12">
      <c r="A531" s="314">
        <v>45799</v>
      </c>
      <c r="B531" s="253" t="s">
        <v>1291</v>
      </c>
      <c r="C531" s="165" t="s">
        <v>462</v>
      </c>
      <c r="D531" s="315">
        <v>10</v>
      </c>
      <c r="E531" s="305" t="s">
        <v>1079</v>
      </c>
      <c r="F531" s="305" t="s">
        <v>1117</v>
      </c>
      <c r="G531" s="112" t="s">
        <v>1047</v>
      </c>
      <c r="H531" s="105">
        <v>1.5</v>
      </c>
      <c r="I531" s="341">
        <v>8.3</v>
      </c>
      <c r="J531" s="123" t="s">
        <v>17</v>
      </c>
      <c r="K531" s="105">
        <v>2</v>
      </c>
      <c r="L531" s="305" t="s">
        <v>35</v>
      </c>
    </row>
    <row r="532" customHeight="1" spans="1:12">
      <c r="A532" s="318"/>
      <c r="B532" s="87"/>
      <c r="C532" s="140"/>
      <c r="D532" s="319"/>
      <c r="E532" s="202"/>
      <c r="F532" s="202"/>
      <c r="G532" s="112" t="s">
        <v>1048</v>
      </c>
      <c r="H532" s="105">
        <v>1.5</v>
      </c>
      <c r="I532" s="341">
        <v>0.5</v>
      </c>
      <c r="J532" s="123" t="s">
        <v>22</v>
      </c>
      <c r="K532" s="105">
        <v>2.29</v>
      </c>
      <c r="L532" s="308"/>
    </row>
    <row r="533" customHeight="1" spans="1:12">
      <c r="A533" s="318"/>
      <c r="B533" s="87"/>
      <c r="C533" s="140"/>
      <c r="D533" s="319"/>
      <c r="E533" s="202"/>
      <c r="F533" s="202"/>
      <c r="G533" s="112" t="s">
        <v>1055</v>
      </c>
      <c r="H533" s="105">
        <v>2</v>
      </c>
      <c r="I533" s="341">
        <v>0.7</v>
      </c>
      <c r="J533" s="105" t="s">
        <v>100</v>
      </c>
      <c r="K533" s="105">
        <v>3.6</v>
      </c>
      <c r="L533" s="308"/>
    </row>
    <row r="534" customHeight="1" spans="1:12">
      <c r="A534" s="316"/>
      <c r="B534" s="83"/>
      <c r="C534" s="143"/>
      <c r="D534" s="317"/>
      <c r="E534" s="204"/>
      <c r="F534" s="204"/>
      <c r="G534" s="112" t="s">
        <v>1051</v>
      </c>
      <c r="H534" s="105">
        <v>2</v>
      </c>
      <c r="I534" s="341">
        <v>0.5</v>
      </c>
      <c r="J534" s="123" t="s">
        <v>24</v>
      </c>
      <c r="K534" s="105" t="s">
        <v>24</v>
      </c>
      <c r="L534" s="311"/>
    </row>
    <row r="535" customHeight="1" spans="1:12">
      <c r="A535" s="314">
        <v>45800</v>
      </c>
      <c r="B535" s="253" t="s">
        <v>1292</v>
      </c>
      <c r="C535" s="205" t="s">
        <v>462</v>
      </c>
      <c r="D535" s="160">
        <v>10</v>
      </c>
      <c r="E535" s="217" t="s">
        <v>911</v>
      </c>
      <c r="F535" s="217" t="s">
        <v>1117</v>
      </c>
      <c r="G535" s="112" t="s">
        <v>1047</v>
      </c>
      <c r="H535" s="105">
        <v>1.99</v>
      </c>
      <c r="I535" s="341">
        <v>8.7</v>
      </c>
      <c r="J535" s="123" t="s">
        <v>17</v>
      </c>
      <c r="K535" s="105">
        <v>2.01</v>
      </c>
      <c r="L535" s="305" t="s">
        <v>35</v>
      </c>
    </row>
    <row r="536" customHeight="1" spans="1:12">
      <c r="A536" s="318"/>
      <c r="B536" s="87"/>
      <c r="C536" s="111"/>
      <c r="D536" s="160"/>
      <c r="E536" s="112"/>
      <c r="F536" s="112"/>
      <c r="G536" s="112" t="s">
        <v>1048</v>
      </c>
      <c r="H536" s="105">
        <v>1.99</v>
      </c>
      <c r="I536" s="105">
        <v>0.4</v>
      </c>
      <c r="J536" s="123" t="s">
        <v>22</v>
      </c>
      <c r="K536" s="105">
        <v>2.2</v>
      </c>
      <c r="L536" s="308"/>
    </row>
    <row r="537" customHeight="1" spans="1:12">
      <c r="A537" s="318"/>
      <c r="B537" s="87"/>
      <c r="C537" s="111"/>
      <c r="D537" s="160"/>
      <c r="E537" s="112"/>
      <c r="F537" s="112"/>
      <c r="G537" s="112" t="s">
        <v>1055</v>
      </c>
      <c r="H537" s="105">
        <v>1.99</v>
      </c>
      <c r="I537" s="105">
        <v>0.4</v>
      </c>
      <c r="J537" s="105" t="s">
        <v>44</v>
      </c>
      <c r="K537" s="105">
        <v>3.6</v>
      </c>
      <c r="L537" s="308"/>
    </row>
    <row r="538" customHeight="1" spans="1:12">
      <c r="A538" s="316"/>
      <c r="B538" s="83"/>
      <c r="C538" s="111"/>
      <c r="D538" s="160"/>
      <c r="E538" s="112"/>
      <c r="F538" s="112"/>
      <c r="G538" s="112" t="s">
        <v>1051</v>
      </c>
      <c r="H538" s="105">
        <v>1.99</v>
      </c>
      <c r="I538" s="105">
        <v>0.5</v>
      </c>
      <c r="J538" s="123" t="s">
        <v>24</v>
      </c>
      <c r="K538" s="105" t="s">
        <v>24</v>
      </c>
      <c r="L538" s="311"/>
    </row>
    <row r="539" customHeight="1" spans="1:12">
      <c r="A539" s="314">
        <v>45800</v>
      </c>
      <c r="B539" s="253" t="s">
        <v>1293</v>
      </c>
      <c r="C539" s="205" t="s">
        <v>459</v>
      </c>
      <c r="D539" s="160">
        <v>10</v>
      </c>
      <c r="E539" s="217" t="s">
        <v>492</v>
      </c>
      <c r="F539" s="217" t="s">
        <v>474</v>
      </c>
      <c r="G539" s="125" t="s">
        <v>1047</v>
      </c>
      <c r="H539" s="105">
        <v>1.99</v>
      </c>
      <c r="I539" s="105">
        <v>8.4</v>
      </c>
      <c r="J539" s="123" t="s">
        <v>17</v>
      </c>
      <c r="K539" s="105">
        <v>2.2</v>
      </c>
      <c r="L539" s="305" t="s">
        <v>67</v>
      </c>
    </row>
    <row r="540" customHeight="1" spans="1:12">
      <c r="A540" s="318"/>
      <c r="B540" s="87"/>
      <c r="C540" s="111"/>
      <c r="D540" s="160"/>
      <c r="E540" s="112"/>
      <c r="F540" s="112"/>
      <c r="G540" s="125" t="s">
        <v>1048</v>
      </c>
      <c r="H540" s="105">
        <v>1.99</v>
      </c>
      <c r="I540" s="105">
        <v>0.4</v>
      </c>
      <c r="J540" s="123" t="s">
        <v>22</v>
      </c>
      <c r="K540" s="105">
        <v>2.6</v>
      </c>
      <c r="L540" s="308"/>
    </row>
    <row r="541" customHeight="1" spans="1:12">
      <c r="A541" s="318"/>
      <c r="B541" s="87"/>
      <c r="C541" s="111"/>
      <c r="D541" s="160"/>
      <c r="E541" s="112"/>
      <c r="F541" s="112"/>
      <c r="G541" s="125" t="s">
        <v>1050</v>
      </c>
      <c r="H541" s="105">
        <v>1.99</v>
      </c>
      <c r="I541" s="105">
        <v>0.45</v>
      </c>
      <c r="J541" s="105" t="s">
        <v>44</v>
      </c>
      <c r="K541" s="105">
        <v>4</v>
      </c>
      <c r="L541" s="308"/>
    </row>
    <row r="542" customHeight="1" spans="1:12">
      <c r="A542" s="316"/>
      <c r="B542" s="83"/>
      <c r="C542" s="111"/>
      <c r="D542" s="160"/>
      <c r="E542" s="112"/>
      <c r="F542" s="112"/>
      <c r="G542" s="125" t="s">
        <v>1051</v>
      </c>
      <c r="H542" s="105">
        <v>1.99</v>
      </c>
      <c r="I542" s="105">
        <v>0.75</v>
      </c>
      <c r="J542" s="123" t="s">
        <v>24</v>
      </c>
      <c r="K542" s="105" t="s">
        <v>24</v>
      </c>
      <c r="L542" s="311"/>
    </row>
    <row r="543" customHeight="1" spans="1:12">
      <c r="A543" s="314">
        <v>45799</v>
      </c>
      <c r="B543" s="253" t="s">
        <v>1294</v>
      </c>
      <c r="C543" s="205" t="s">
        <v>462</v>
      </c>
      <c r="D543" s="160">
        <v>5</v>
      </c>
      <c r="E543" s="217" t="s">
        <v>477</v>
      </c>
      <c r="F543" s="217" t="s">
        <v>1117</v>
      </c>
      <c r="G543" s="125" t="s">
        <v>1047</v>
      </c>
      <c r="H543" s="105">
        <v>1</v>
      </c>
      <c r="I543" s="105">
        <v>4.3</v>
      </c>
      <c r="J543" s="123" t="s">
        <v>17</v>
      </c>
      <c r="K543" s="105">
        <v>1.95</v>
      </c>
      <c r="L543" s="305" t="s">
        <v>35</v>
      </c>
    </row>
    <row r="544" customHeight="1" spans="1:12">
      <c r="A544" s="318"/>
      <c r="B544" s="87"/>
      <c r="C544" s="111"/>
      <c r="D544" s="160"/>
      <c r="E544" s="112"/>
      <c r="F544" s="112"/>
      <c r="G544" s="125" t="s">
        <v>1048</v>
      </c>
      <c r="H544" s="105">
        <v>1</v>
      </c>
      <c r="I544" s="105">
        <v>0.2</v>
      </c>
      <c r="J544" s="123" t="s">
        <v>22</v>
      </c>
      <c r="K544" s="105">
        <v>2.29</v>
      </c>
      <c r="L544" s="308"/>
    </row>
    <row r="545" customHeight="1" spans="1:14">
      <c r="A545" s="318"/>
      <c r="B545" s="87"/>
      <c r="C545" s="111"/>
      <c r="D545" s="160"/>
      <c r="E545" s="112"/>
      <c r="F545" s="112"/>
      <c r="G545" s="125" t="s">
        <v>1050</v>
      </c>
      <c r="H545" s="105">
        <v>1</v>
      </c>
      <c r="I545" s="105">
        <v>0.25</v>
      </c>
      <c r="J545" s="105" t="s">
        <v>64</v>
      </c>
      <c r="K545" s="105">
        <v>3.5</v>
      </c>
      <c r="L545" s="308"/>
    </row>
    <row r="546" customHeight="1" spans="1:14">
      <c r="A546" s="316"/>
      <c r="B546" s="83"/>
      <c r="C546" s="111"/>
      <c r="D546" s="160"/>
      <c r="E546" s="112"/>
      <c r="F546" s="112"/>
      <c r="G546" s="125" t="s">
        <v>1051</v>
      </c>
      <c r="H546" s="105">
        <v>1.63</v>
      </c>
      <c r="I546" s="105">
        <v>0.25</v>
      </c>
      <c r="J546" s="105" t="s">
        <v>24</v>
      </c>
      <c r="K546" s="105" t="s">
        <v>24</v>
      </c>
      <c r="L546" s="311"/>
    </row>
    <row r="547" customHeight="1" spans="1:14">
      <c r="A547" s="302">
        <v>45799</v>
      </c>
      <c r="B547" s="253" t="s">
        <v>1295</v>
      </c>
      <c r="C547" s="205" t="s">
        <v>462</v>
      </c>
      <c r="D547" s="160">
        <v>30</v>
      </c>
      <c r="E547" s="217" t="s">
        <v>1265</v>
      </c>
      <c r="F547" s="217" t="s">
        <v>482</v>
      </c>
      <c r="G547" s="125" t="s">
        <v>1047</v>
      </c>
      <c r="H547" s="105">
        <v>1</v>
      </c>
      <c r="I547" s="105">
        <v>24</v>
      </c>
      <c r="J547" s="123" t="s">
        <v>17</v>
      </c>
      <c r="K547" s="105">
        <v>1.78</v>
      </c>
      <c r="L547" s="305" t="s">
        <v>435</v>
      </c>
    </row>
    <row r="548" customHeight="1" spans="1:14">
      <c r="A548" s="306"/>
      <c r="B548" s="87"/>
      <c r="C548" s="111"/>
      <c r="D548" s="160"/>
      <c r="E548" s="112"/>
      <c r="F548" s="112"/>
      <c r="G548" s="125" t="s">
        <v>1048</v>
      </c>
      <c r="H548" s="105">
        <v>1</v>
      </c>
      <c r="I548" s="105">
        <v>4.5</v>
      </c>
      <c r="J548" s="123" t="s">
        <v>22</v>
      </c>
      <c r="K548" s="105">
        <v>12</v>
      </c>
      <c r="L548" s="308"/>
    </row>
    <row r="549" customHeight="1" spans="1:14">
      <c r="A549" s="309"/>
      <c r="B549" s="83"/>
      <c r="C549" s="111"/>
      <c r="D549" s="160"/>
      <c r="E549" s="112"/>
      <c r="F549" s="112"/>
      <c r="G549" s="125" t="s">
        <v>1051</v>
      </c>
      <c r="H549" s="105">
        <v>1</v>
      </c>
      <c r="I549" s="105">
        <v>1.5</v>
      </c>
      <c r="J549" s="105" t="s">
        <v>24</v>
      </c>
      <c r="K549" s="105" t="s">
        <v>24</v>
      </c>
      <c r="L549" s="311"/>
    </row>
    <row r="550" customHeight="1" spans="1:14">
      <c r="A550" s="302" t="s">
        <v>1296</v>
      </c>
      <c r="B550" s="253" t="s">
        <v>1297</v>
      </c>
      <c r="C550" s="205" t="s">
        <v>459</v>
      </c>
      <c r="D550" s="160">
        <v>9.3</v>
      </c>
      <c r="E550" s="217" t="s">
        <v>1066</v>
      </c>
      <c r="F550" s="217" t="s">
        <v>482</v>
      </c>
      <c r="G550" s="125" t="s">
        <v>1047</v>
      </c>
      <c r="H550" s="105">
        <v>1</v>
      </c>
      <c r="I550" s="105">
        <v>9</v>
      </c>
      <c r="J550" s="123" t="s">
        <v>17</v>
      </c>
      <c r="K550" s="105">
        <v>1.88</v>
      </c>
      <c r="L550" s="305" t="s">
        <v>35</v>
      </c>
    </row>
    <row r="551" customHeight="1" spans="1:14">
      <c r="A551" s="306"/>
      <c r="B551" s="87"/>
      <c r="C551" s="111"/>
      <c r="D551" s="160"/>
      <c r="E551" s="112"/>
      <c r="F551" s="112"/>
      <c r="G551" s="125" t="s">
        <v>1048</v>
      </c>
      <c r="H551" s="105">
        <v>1</v>
      </c>
      <c r="I551" s="105">
        <v>0.3</v>
      </c>
      <c r="J551" s="123" t="s">
        <v>22</v>
      </c>
      <c r="K551" s="105">
        <v>2.1</v>
      </c>
      <c r="L551" s="308"/>
    </row>
    <row r="552" customHeight="1" spans="1:14">
      <c r="A552" s="314">
        <v>45818</v>
      </c>
      <c r="B552" s="253" t="s">
        <v>1298</v>
      </c>
      <c r="C552" s="205" t="s">
        <v>459</v>
      </c>
      <c r="D552" s="160">
        <v>10</v>
      </c>
      <c r="E552" s="217" t="s">
        <v>536</v>
      </c>
      <c r="F552" s="217" t="s">
        <v>523</v>
      </c>
      <c r="G552" s="125" t="s">
        <v>1047</v>
      </c>
      <c r="H552" s="105">
        <v>1.5013698630137</v>
      </c>
      <c r="I552" s="105">
        <v>8.9</v>
      </c>
      <c r="J552" s="123" t="s">
        <v>17</v>
      </c>
      <c r="K552" s="105">
        <v>1.95</v>
      </c>
      <c r="L552" s="305" t="s">
        <v>35</v>
      </c>
      <c r="M552" s="124"/>
      <c r="N552" s="224"/>
    </row>
    <row r="553" customHeight="1" spans="1:14">
      <c r="A553" s="318"/>
      <c r="B553" s="87"/>
      <c r="C553" s="111"/>
      <c r="D553" s="160"/>
      <c r="E553" s="112"/>
      <c r="F553" s="112"/>
      <c r="G553" s="125" t="s">
        <v>1048</v>
      </c>
      <c r="H553" s="105">
        <v>1.5013698630137</v>
      </c>
      <c r="I553" s="105">
        <v>0.3</v>
      </c>
      <c r="J553" s="123" t="s">
        <v>22</v>
      </c>
      <c r="K553" s="105">
        <v>2.2</v>
      </c>
      <c r="L553" s="308"/>
      <c r="M553" s="124"/>
      <c r="N553" s="224"/>
    </row>
    <row r="554" customHeight="1" spans="1:14">
      <c r="A554" s="318"/>
      <c r="B554" s="87"/>
      <c r="C554" s="111"/>
      <c r="D554" s="160"/>
      <c r="E554" s="112"/>
      <c r="F554" s="112"/>
      <c r="G554" s="125" t="s">
        <v>1055</v>
      </c>
      <c r="H554" s="105">
        <v>1.5013698630137</v>
      </c>
      <c r="I554" s="105">
        <v>0.3</v>
      </c>
      <c r="J554" s="123" t="s">
        <v>64</v>
      </c>
      <c r="K554" s="105">
        <v>3.6</v>
      </c>
      <c r="L554" s="308"/>
      <c r="M554" s="124"/>
      <c r="N554" s="224"/>
    </row>
    <row r="555" customHeight="1" spans="1:14">
      <c r="A555" s="316"/>
      <c r="B555" s="83"/>
      <c r="C555" s="111"/>
      <c r="D555" s="160"/>
      <c r="E555" s="112"/>
      <c r="F555" s="112"/>
      <c r="G555" s="125" t="s">
        <v>1051</v>
      </c>
      <c r="H555" s="105">
        <v>2.41917808219178</v>
      </c>
      <c r="I555" s="105">
        <v>0.5</v>
      </c>
      <c r="J555" s="105" t="s">
        <v>24</v>
      </c>
      <c r="K555" s="105" t="s">
        <v>24</v>
      </c>
      <c r="L555" s="311"/>
      <c r="M555" s="124"/>
      <c r="N555" s="224"/>
    </row>
    <row r="556" customHeight="1" spans="1:14">
      <c r="A556" s="302" t="s">
        <v>1299</v>
      </c>
      <c r="B556" s="253" t="s">
        <v>1300</v>
      </c>
      <c r="C556" s="205" t="s">
        <v>459</v>
      </c>
      <c r="D556" s="160">
        <v>10</v>
      </c>
      <c r="E556" s="217" t="s">
        <v>1109</v>
      </c>
      <c r="F556" s="217" t="s">
        <v>460</v>
      </c>
      <c r="G556" s="125" t="s">
        <v>1047</v>
      </c>
      <c r="H556" s="105">
        <v>1.03</v>
      </c>
      <c r="I556" s="105">
        <v>8.7</v>
      </c>
      <c r="J556" s="123" t="s">
        <v>17</v>
      </c>
      <c r="K556" s="105">
        <v>1.85</v>
      </c>
      <c r="L556" s="305" t="s">
        <v>27</v>
      </c>
    </row>
    <row r="557" customHeight="1" spans="1:14">
      <c r="A557" s="306"/>
      <c r="B557" s="87"/>
      <c r="C557" s="111"/>
      <c r="D557" s="160"/>
      <c r="E557" s="112"/>
      <c r="F557" s="112"/>
      <c r="G557" s="125" t="s">
        <v>1048</v>
      </c>
      <c r="H557" s="105">
        <v>1.03</v>
      </c>
      <c r="I557" s="105">
        <v>0.5</v>
      </c>
      <c r="J557" s="123" t="s">
        <v>22</v>
      </c>
      <c r="K557" s="105">
        <v>1.95</v>
      </c>
      <c r="L557" s="308"/>
    </row>
    <row r="558" customHeight="1" spans="1:14">
      <c r="A558" s="309"/>
      <c r="B558" s="83"/>
      <c r="C558" s="111"/>
      <c r="D558" s="160"/>
      <c r="E558" s="112"/>
      <c r="F558" s="112"/>
      <c r="G558" s="125" t="s">
        <v>1051</v>
      </c>
      <c r="H558" s="105">
        <v>1.86</v>
      </c>
      <c r="I558" s="105">
        <v>0.8</v>
      </c>
      <c r="J558" s="105" t="s">
        <v>24</v>
      </c>
      <c r="K558" s="105" t="s">
        <v>24</v>
      </c>
      <c r="L558" s="311"/>
    </row>
    <row r="559" customHeight="1" spans="1:14">
      <c r="A559" s="302" t="s">
        <v>1301</v>
      </c>
      <c r="B559" s="253" t="s">
        <v>1302</v>
      </c>
      <c r="C559" s="205" t="s">
        <v>459</v>
      </c>
      <c r="D559" s="160">
        <v>9.3</v>
      </c>
      <c r="E559" s="217" t="s">
        <v>1066</v>
      </c>
      <c r="F559" s="217" t="s">
        <v>482</v>
      </c>
      <c r="G559" s="125" t="s">
        <v>1047</v>
      </c>
      <c r="H559" s="105">
        <v>1</v>
      </c>
      <c r="I559" s="105">
        <v>9</v>
      </c>
      <c r="J559" s="123" t="s">
        <v>17</v>
      </c>
      <c r="K559" s="105">
        <v>1.88</v>
      </c>
      <c r="L559" s="305" t="s">
        <v>35</v>
      </c>
    </row>
    <row r="560" customHeight="1" spans="1:14">
      <c r="A560" s="306"/>
      <c r="B560" s="87"/>
      <c r="C560" s="111"/>
      <c r="D560" s="160"/>
      <c r="E560" s="112"/>
      <c r="F560" s="112"/>
      <c r="G560" s="125" t="s">
        <v>1048</v>
      </c>
      <c r="H560" s="105">
        <v>1</v>
      </c>
      <c r="I560" s="105">
        <v>0.3</v>
      </c>
      <c r="J560" s="123" t="s">
        <v>22</v>
      </c>
      <c r="K560" s="105">
        <v>2.1</v>
      </c>
      <c r="L560" s="308"/>
    </row>
    <row r="561" customHeight="1" spans="1:12">
      <c r="A561" s="302" t="s">
        <v>1303</v>
      </c>
      <c r="B561" s="253" t="s">
        <v>1304</v>
      </c>
      <c r="C561" s="205" t="s">
        <v>462</v>
      </c>
      <c r="D561" s="160">
        <v>5</v>
      </c>
      <c r="E561" s="217" t="s">
        <v>486</v>
      </c>
      <c r="F561" s="217" t="s">
        <v>1117</v>
      </c>
      <c r="G561" s="125" t="s">
        <v>1047</v>
      </c>
      <c r="H561" s="105">
        <v>1</v>
      </c>
      <c r="I561" s="105">
        <v>4.2</v>
      </c>
      <c r="J561" s="123" t="s">
        <v>17</v>
      </c>
      <c r="K561" s="105">
        <v>1.84</v>
      </c>
      <c r="L561" s="305" t="s">
        <v>27</v>
      </c>
    </row>
    <row r="562" customHeight="1" spans="1:12">
      <c r="A562" s="306"/>
      <c r="B562" s="87"/>
      <c r="C562" s="111"/>
      <c r="D562" s="160"/>
      <c r="E562" s="112"/>
      <c r="F562" s="112"/>
      <c r="G562" s="125" t="s">
        <v>1048</v>
      </c>
      <c r="H562" s="105">
        <v>1</v>
      </c>
      <c r="I562" s="105">
        <v>0.3</v>
      </c>
      <c r="J562" s="123" t="s">
        <v>22</v>
      </c>
      <c r="K562" s="105">
        <v>1.99</v>
      </c>
      <c r="L562" s="308"/>
    </row>
    <row r="563" customHeight="1" spans="1:12">
      <c r="A563" s="306"/>
      <c r="B563" s="87"/>
      <c r="C563" s="111"/>
      <c r="D563" s="160"/>
      <c r="E563" s="112"/>
      <c r="F563" s="112"/>
      <c r="G563" s="125" t="s">
        <v>1113</v>
      </c>
      <c r="H563" s="105">
        <v>1.52</v>
      </c>
      <c r="I563" s="105">
        <v>0.25</v>
      </c>
      <c r="J563" s="123" t="s">
        <v>24</v>
      </c>
      <c r="K563" s="105" t="s">
        <v>24</v>
      </c>
      <c r="L563" s="308"/>
    </row>
    <row r="564" customHeight="1" spans="1:12">
      <c r="A564" s="309"/>
      <c r="B564" s="83"/>
      <c r="C564" s="111"/>
      <c r="D564" s="160"/>
      <c r="E564" s="112"/>
      <c r="F564" s="112"/>
      <c r="G564" s="125" t="s">
        <v>1114</v>
      </c>
      <c r="H564" s="105">
        <v>1.52</v>
      </c>
      <c r="I564" s="105">
        <v>0.25</v>
      </c>
      <c r="J564" s="105" t="s">
        <v>24</v>
      </c>
      <c r="K564" s="105" t="s">
        <v>24</v>
      </c>
      <c r="L564" s="311"/>
    </row>
    <row r="565" customHeight="1" spans="1:12">
      <c r="A565" s="302" t="s">
        <v>1301</v>
      </c>
      <c r="B565" s="253" t="s">
        <v>1305</v>
      </c>
      <c r="C565" s="205" t="s">
        <v>462</v>
      </c>
      <c r="D565" s="160">
        <v>10</v>
      </c>
      <c r="E565" s="217" t="s">
        <v>911</v>
      </c>
      <c r="F565" s="217" t="s">
        <v>1117</v>
      </c>
      <c r="G565" s="125" t="s">
        <v>1047</v>
      </c>
      <c r="H565" s="105">
        <v>2</v>
      </c>
      <c r="I565" s="105">
        <v>8.7</v>
      </c>
      <c r="J565" s="123" t="s">
        <v>17</v>
      </c>
      <c r="K565" s="105">
        <v>2.04</v>
      </c>
      <c r="L565" s="305" t="s">
        <v>35</v>
      </c>
    </row>
    <row r="566" customHeight="1" spans="1:12">
      <c r="A566" s="306"/>
      <c r="B566" s="87"/>
      <c r="C566" s="111"/>
      <c r="D566" s="160"/>
      <c r="E566" s="112"/>
      <c r="F566" s="112"/>
      <c r="G566" s="125" t="s">
        <v>1048</v>
      </c>
      <c r="H566" s="105">
        <v>2</v>
      </c>
      <c r="I566" s="105">
        <v>0.4</v>
      </c>
      <c r="J566" s="123" t="s">
        <v>22</v>
      </c>
      <c r="K566" s="105">
        <v>2.2</v>
      </c>
      <c r="L566" s="308"/>
    </row>
    <row r="567" customHeight="1" spans="1:12">
      <c r="A567" s="306"/>
      <c r="B567" s="87"/>
      <c r="C567" s="111"/>
      <c r="D567" s="160"/>
      <c r="E567" s="112"/>
      <c r="F567" s="112"/>
      <c r="G567" s="125" t="s">
        <v>1055</v>
      </c>
      <c r="H567" s="105">
        <v>2</v>
      </c>
      <c r="I567" s="105">
        <v>0.4</v>
      </c>
      <c r="J567" s="123" t="s">
        <v>44</v>
      </c>
      <c r="K567" s="105">
        <v>3.6</v>
      </c>
      <c r="L567" s="308"/>
    </row>
    <row r="568" customHeight="1" spans="1:12">
      <c r="A568" s="309"/>
      <c r="B568" s="83"/>
      <c r="C568" s="111"/>
      <c r="D568" s="160"/>
      <c r="E568" s="112"/>
      <c r="F568" s="112"/>
      <c r="G568" s="125" t="s">
        <v>1051</v>
      </c>
      <c r="H568" s="105">
        <v>2</v>
      </c>
      <c r="I568" s="105">
        <v>0.5</v>
      </c>
      <c r="J568" s="105" t="s">
        <v>24</v>
      </c>
      <c r="K568" s="105" t="s">
        <v>24</v>
      </c>
      <c r="L568" s="311"/>
    </row>
    <row r="569" customHeight="1" spans="1:12">
      <c r="A569" s="302" t="s">
        <v>1306</v>
      </c>
      <c r="B569" s="253" t="s">
        <v>1307</v>
      </c>
      <c r="C569" s="165" t="s">
        <v>462</v>
      </c>
      <c r="D569" s="315">
        <v>5</v>
      </c>
      <c r="E569" s="305" t="s">
        <v>486</v>
      </c>
      <c r="F569" s="305" t="s">
        <v>1117</v>
      </c>
      <c r="G569" s="125" t="s">
        <v>1047</v>
      </c>
      <c r="H569" s="105">
        <v>1.5</v>
      </c>
      <c r="I569" s="105">
        <v>4.075</v>
      </c>
      <c r="J569" s="123" t="s">
        <v>17</v>
      </c>
      <c r="K569" s="105">
        <v>1.98</v>
      </c>
      <c r="L569" s="305" t="s">
        <v>27</v>
      </c>
    </row>
    <row r="570" customHeight="1" spans="1:12">
      <c r="A570" s="306"/>
      <c r="B570" s="87"/>
      <c r="C570" s="140"/>
      <c r="D570" s="319"/>
      <c r="E570" s="202"/>
      <c r="F570" s="202"/>
      <c r="G570" s="125" t="s">
        <v>1048</v>
      </c>
      <c r="H570" s="105">
        <v>1.99</v>
      </c>
      <c r="I570" s="105">
        <v>0.225</v>
      </c>
      <c r="J570" s="123" t="s">
        <v>22</v>
      </c>
      <c r="K570" s="105">
        <v>2.2</v>
      </c>
      <c r="L570" s="308"/>
    </row>
    <row r="571" customHeight="1" spans="1:12">
      <c r="A571" s="306"/>
      <c r="B571" s="87"/>
      <c r="C571" s="140"/>
      <c r="D571" s="319"/>
      <c r="E571" s="202"/>
      <c r="F571" s="202"/>
      <c r="G571" s="125" t="s">
        <v>1113</v>
      </c>
      <c r="H571" s="105">
        <v>2.99</v>
      </c>
      <c r="I571" s="105">
        <v>0.45</v>
      </c>
      <c r="J571" s="105" t="s">
        <v>24</v>
      </c>
      <c r="K571" s="105" t="s">
        <v>24</v>
      </c>
      <c r="L571" s="308"/>
    </row>
    <row r="572" customHeight="1" spans="1:12">
      <c r="A572" s="309"/>
      <c r="B572" s="83"/>
      <c r="C572" s="143"/>
      <c r="D572" s="317"/>
      <c r="E572" s="204"/>
      <c r="F572" s="204"/>
      <c r="G572" s="125" t="s">
        <v>1114</v>
      </c>
      <c r="H572" s="105">
        <v>2.99</v>
      </c>
      <c r="I572" s="105">
        <v>0.25</v>
      </c>
      <c r="J572" s="105" t="s">
        <v>24</v>
      </c>
      <c r="K572" s="105" t="s">
        <v>24</v>
      </c>
      <c r="L572" s="311"/>
    </row>
    <row r="573" customHeight="1" spans="1:12">
      <c r="A573" s="302">
        <v>45804</v>
      </c>
      <c r="B573" s="253" t="s">
        <v>1308</v>
      </c>
      <c r="C573" s="165" t="s">
        <v>462</v>
      </c>
      <c r="D573" s="315">
        <v>4</v>
      </c>
      <c r="E573" s="305" t="s">
        <v>477</v>
      </c>
      <c r="F573" s="305" t="s">
        <v>487</v>
      </c>
      <c r="G573" s="125" t="s">
        <v>1047</v>
      </c>
      <c r="H573" s="105">
        <v>2</v>
      </c>
      <c r="I573" s="105">
        <v>3.36</v>
      </c>
      <c r="J573" s="123" t="s">
        <v>17</v>
      </c>
      <c r="K573" s="105">
        <v>2.1</v>
      </c>
      <c r="L573" s="305" t="s">
        <v>1176</v>
      </c>
    </row>
    <row r="574" customHeight="1" spans="1:12">
      <c r="A574" s="306"/>
      <c r="B574" s="87"/>
      <c r="C574" s="140"/>
      <c r="D574" s="319"/>
      <c r="E574" s="202"/>
      <c r="F574" s="202"/>
      <c r="G574" s="125" t="s">
        <v>1048</v>
      </c>
      <c r="H574" s="105">
        <v>2</v>
      </c>
      <c r="I574" s="105">
        <v>0.28</v>
      </c>
      <c r="J574" s="123" t="s">
        <v>22</v>
      </c>
      <c r="K574" s="105">
        <v>2.38</v>
      </c>
      <c r="L574" s="308"/>
    </row>
    <row r="575" customHeight="1" spans="1:12">
      <c r="A575" s="309"/>
      <c r="B575" s="83"/>
      <c r="C575" s="143"/>
      <c r="D575" s="317"/>
      <c r="E575" s="204"/>
      <c r="F575" s="204"/>
      <c r="G575" s="125" t="s">
        <v>1051</v>
      </c>
      <c r="H575" s="105">
        <v>2</v>
      </c>
      <c r="I575" s="105">
        <v>0.36</v>
      </c>
      <c r="J575" s="105" t="s">
        <v>24</v>
      </c>
      <c r="K575" s="105" t="s">
        <v>24</v>
      </c>
      <c r="L575" s="311"/>
    </row>
    <row r="576" customHeight="1" spans="1:12">
      <c r="A576" s="302">
        <v>45804</v>
      </c>
      <c r="B576" s="253" t="s">
        <v>1309</v>
      </c>
      <c r="C576" s="165" t="s">
        <v>462</v>
      </c>
      <c r="D576" s="315">
        <v>10</v>
      </c>
      <c r="E576" s="305" t="s">
        <v>492</v>
      </c>
      <c r="F576" s="305" t="s">
        <v>1117</v>
      </c>
      <c r="G576" s="125" t="s">
        <v>1047</v>
      </c>
      <c r="H576" s="105">
        <v>1.5</v>
      </c>
      <c r="I576" s="105">
        <v>8.46</v>
      </c>
      <c r="J576" s="123" t="s">
        <v>17</v>
      </c>
      <c r="K576" s="105">
        <v>2.2</v>
      </c>
      <c r="L576" s="305" t="s">
        <v>67</v>
      </c>
    </row>
    <row r="577" customHeight="1" spans="1:12">
      <c r="A577" s="306"/>
      <c r="B577" s="87"/>
      <c r="C577" s="140"/>
      <c r="D577" s="319"/>
      <c r="E577" s="202"/>
      <c r="F577" s="202"/>
      <c r="G577" s="125" t="s">
        <v>1048</v>
      </c>
      <c r="H577" s="105">
        <v>1.5</v>
      </c>
      <c r="I577" s="105">
        <v>0.44</v>
      </c>
      <c r="J577" s="123" t="s">
        <v>22</v>
      </c>
      <c r="K577" s="105">
        <v>2.6</v>
      </c>
      <c r="L577" s="308"/>
    </row>
    <row r="578" customHeight="1" spans="1:12">
      <c r="A578" s="306"/>
      <c r="B578" s="87"/>
      <c r="C578" s="140"/>
      <c r="D578" s="319"/>
      <c r="E578" s="202"/>
      <c r="F578" s="202"/>
      <c r="G578" s="125" t="s">
        <v>1050</v>
      </c>
      <c r="H578" s="105">
        <v>1.5</v>
      </c>
      <c r="I578" s="105">
        <v>0.4</v>
      </c>
      <c r="J578" s="123" t="s">
        <v>44</v>
      </c>
      <c r="K578" s="105">
        <v>4</v>
      </c>
      <c r="L578" s="308"/>
    </row>
    <row r="579" customHeight="1" spans="1:12">
      <c r="A579" s="309"/>
      <c r="B579" s="83"/>
      <c r="C579" s="143"/>
      <c r="D579" s="317"/>
      <c r="E579" s="204"/>
      <c r="F579" s="204"/>
      <c r="G579" s="125" t="s">
        <v>1051</v>
      </c>
      <c r="H579" s="105">
        <v>1.5</v>
      </c>
      <c r="I579" s="105">
        <v>0.7</v>
      </c>
      <c r="J579" s="105" t="s">
        <v>24</v>
      </c>
      <c r="K579" s="105" t="s">
        <v>24</v>
      </c>
      <c r="L579" s="311"/>
    </row>
    <row r="580" customHeight="1" spans="1:12">
      <c r="A580" s="302">
        <v>45807</v>
      </c>
      <c r="B580" s="253" t="s">
        <v>1310</v>
      </c>
      <c r="C580" s="165" t="s">
        <v>462</v>
      </c>
      <c r="D580" s="315">
        <v>9.3</v>
      </c>
      <c r="E580" s="305" t="s">
        <v>1066</v>
      </c>
      <c r="F580" s="305" t="s">
        <v>523</v>
      </c>
      <c r="G580" s="125" t="s">
        <v>1047</v>
      </c>
      <c r="H580" s="105">
        <v>1</v>
      </c>
      <c r="I580" s="105">
        <v>9</v>
      </c>
      <c r="J580" s="123" t="s">
        <v>17</v>
      </c>
      <c r="K580" s="105">
        <v>1.95</v>
      </c>
      <c r="L580" s="305" t="s">
        <v>35</v>
      </c>
    </row>
    <row r="581" customHeight="1" spans="1:12">
      <c r="A581" s="309"/>
      <c r="B581" s="83"/>
      <c r="C581" s="143"/>
      <c r="D581" s="317"/>
      <c r="E581" s="204"/>
      <c r="F581" s="204"/>
      <c r="G581" s="125" t="s">
        <v>1048</v>
      </c>
      <c r="H581" s="105">
        <v>1</v>
      </c>
      <c r="I581" s="105">
        <v>0.3</v>
      </c>
      <c r="J581" s="123" t="s">
        <v>22</v>
      </c>
      <c r="K581" s="105">
        <v>2.15</v>
      </c>
      <c r="L581" s="311"/>
    </row>
    <row r="582" customHeight="1" spans="1:12">
      <c r="A582" s="302">
        <v>45804</v>
      </c>
      <c r="B582" s="253" t="s">
        <v>1311</v>
      </c>
      <c r="C582" s="165" t="s">
        <v>462</v>
      </c>
      <c r="D582" s="315">
        <v>3</v>
      </c>
      <c r="E582" s="305" t="s">
        <v>477</v>
      </c>
      <c r="F582" s="119" t="s">
        <v>1312</v>
      </c>
      <c r="G582" s="125" t="s">
        <v>1047</v>
      </c>
      <c r="H582" s="105">
        <v>1.04</v>
      </c>
      <c r="I582" s="105">
        <v>2.52</v>
      </c>
      <c r="J582" s="123" t="s">
        <v>17</v>
      </c>
      <c r="K582" s="105">
        <v>1.85</v>
      </c>
      <c r="L582" s="305" t="s">
        <v>27</v>
      </c>
    </row>
    <row r="583" customHeight="1" spans="1:12">
      <c r="A583" s="306"/>
      <c r="B583" s="87"/>
      <c r="C583" s="140"/>
      <c r="D583" s="319"/>
      <c r="E583" s="202"/>
      <c r="F583" s="202"/>
      <c r="G583" s="125" t="s">
        <v>1048</v>
      </c>
      <c r="H583" s="105">
        <v>1.04</v>
      </c>
      <c r="I583" s="105">
        <v>0.17</v>
      </c>
      <c r="J583" s="123" t="s">
        <v>22</v>
      </c>
      <c r="K583" s="105">
        <v>1.95</v>
      </c>
      <c r="L583" s="308"/>
    </row>
    <row r="584" customHeight="1" spans="1:12">
      <c r="A584" s="309"/>
      <c r="B584" s="83"/>
      <c r="C584" s="143"/>
      <c r="D584" s="317"/>
      <c r="E584" s="204"/>
      <c r="F584" s="204"/>
      <c r="G584" s="125" t="s">
        <v>1051</v>
      </c>
      <c r="H584" s="105">
        <v>1.12</v>
      </c>
      <c r="I584" s="105">
        <v>0.31</v>
      </c>
      <c r="J584" s="105" t="s">
        <v>24</v>
      </c>
      <c r="K584" s="105" t="s">
        <v>24</v>
      </c>
      <c r="L584" s="311"/>
    </row>
    <row r="585" customHeight="1" spans="1:12">
      <c r="A585" s="302">
        <v>45804</v>
      </c>
      <c r="B585" s="253" t="s">
        <v>1313</v>
      </c>
      <c r="C585" s="165" t="s">
        <v>462</v>
      </c>
      <c r="D585" s="315">
        <v>8</v>
      </c>
      <c r="E585" s="305" t="s">
        <v>1109</v>
      </c>
      <c r="F585" s="119" t="s">
        <v>1312</v>
      </c>
      <c r="G585" s="125" t="s">
        <v>1047</v>
      </c>
      <c r="H585" s="105">
        <v>1</v>
      </c>
      <c r="I585" s="105">
        <v>6.4</v>
      </c>
      <c r="J585" s="123" t="s">
        <v>17</v>
      </c>
      <c r="K585" s="105">
        <v>1.9</v>
      </c>
      <c r="L585" s="305" t="s">
        <v>27</v>
      </c>
    </row>
    <row r="586" customHeight="1" spans="1:12">
      <c r="A586" s="306"/>
      <c r="B586" s="87"/>
      <c r="C586" s="140"/>
      <c r="D586" s="319"/>
      <c r="E586" s="202"/>
      <c r="F586" s="202"/>
      <c r="G586" s="125" t="s">
        <v>1048</v>
      </c>
      <c r="H586" s="105">
        <v>1</v>
      </c>
      <c r="I586" s="105">
        <v>0.488</v>
      </c>
      <c r="J586" s="123" t="s">
        <v>22</v>
      </c>
      <c r="K586" s="105">
        <v>1.97</v>
      </c>
      <c r="L586" s="308"/>
    </row>
    <row r="587" customHeight="1" spans="1:12">
      <c r="A587" s="309"/>
      <c r="B587" s="83"/>
      <c r="C587" s="143"/>
      <c r="D587" s="317"/>
      <c r="E587" s="204"/>
      <c r="F587" s="204"/>
      <c r="G587" s="125" t="s">
        <v>1051</v>
      </c>
      <c r="H587" s="105">
        <v>3</v>
      </c>
      <c r="I587" s="105">
        <v>1.112</v>
      </c>
      <c r="J587" s="105" t="s">
        <v>24</v>
      </c>
      <c r="K587" s="105" t="s">
        <v>24</v>
      </c>
      <c r="L587" s="311"/>
    </row>
    <row r="588" customHeight="1" spans="1:12">
      <c r="A588" s="302">
        <v>45800</v>
      </c>
      <c r="B588" s="253" t="s">
        <v>1314</v>
      </c>
      <c r="C588" s="165" t="s">
        <v>462</v>
      </c>
      <c r="D588" s="315">
        <v>5</v>
      </c>
      <c r="E588" s="305" t="s">
        <v>486</v>
      </c>
      <c r="F588" s="305" t="s">
        <v>1117</v>
      </c>
      <c r="G588" s="125" t="s">
        <v>1121</v>
      </c>
      <c r="H588" s="105">
        <v>1.08</v>
      </c>
      <c r="I588" s="105">
        <v>4.2</v>
      </c>
      <c r="J588" s="123" t="s">
        <v>17</v>
      </c>
      <c r="K588" s="105">
        <v>1.83</v>
      </c>
      <c r="L588" s="305" t="s">
        <v>18</v>
      </c>
    </row>
    <row r="589" customHeight="1" spans="1:12">
      <c r="A589" s="306"/>
      <c r="B589" s="87"/>
      <c r="C589" s="140"/>
      <c r="D589" s="319"/>
      <c r="E589" s="202"/>
      <c r="F589" s="202"/>
      <c r="G589" s="125" t="s">
        <v>1122</v>
      </c>
      <c r="H589" s="105">
        <v>1.24</v>
      </c>
      <c r="I589" s="105">
        <v>0.3</v>
      </c>
      <c r="J589" s="123" t="s">
        <v>17</v>
      </c>
      <c r="K589" s="105">
        <v>1.88</v>
      </c>
      <c r="L589" s="308"/>
    </row>
    <row r="590" customHeight="1" spans="1:12">
      <c r="A590" s="306"/>
      <c r="B590" s="87"/>
      <c r="C590" s="140"/>
      <c r="D590" s="319"/>
      <c r="E590" s="202"/>
      <c r="F590" s="202"/>
      <c r="G590" s="125" t="s">
        <v>1048</v>
      </c>
      <c r="H590" s="105">
        <v>1.41</v>
      </c>
      <c r="I590" s="105">
        <v>0.25</v>
      </c>
      <c r="J590" s="123" t="s">
        <v>22</v>
      </c>
      <c r="K590" s="105">
        <v>2.3</v>
      </c>
      <c r="L590" s="308"/>
    </row>
    <row r="591" customHeight="1" spans="1:12">
      <c r="A591" s="309"/>
      <c r="B591" s="83"/>
      <c r="C591" s="143"/>
      <c r="D591" s="317"/>
      <c r="E591" s="204"/>
      <c r="F591" s="204"/>
      <c r="G591" s="125" t="s">
        <v>1051</v>
      </c>
      <c r="H591" s="105">
        <v>2.58</v>
      </c>
      <c r="I591" s="105">
        <v>0.25</v>
      </c>
      <c r="J591" s="105" t="s">
        <v>24</v>
      </c>
      <c r="K591" s="105" t="s">
        <v>24</v>
      </c>
      <c r="L591" s="311"/>
    </row>
    <row r="592" customHeight="1" spans="1:12">
      <c r="A592" s="302">
        <v>45800</v>
      </c>
      <c r="B592" s="253" t="s">
        <v>1315</v>
      </c>
      <c r="C592" s="165" t="s">
        <v>462</v>
      </c>
      <c r="D592" s="315">
        <v>10</v>
      </c>
      <c r="E592" s="305" t="s">
        <v>1079</v>
      </c>
      <c r="F592" s="305" t="s">
        <v>1117</v>
      </c>
      <c r="G592" s="125" t="s">
        <v>1047</v>
      </c>
      <c r="H592" s="105">
        <v>1.07</v>
      </c>
      <c r="I592" s="105">
        <v>9</v>
      </c>
      <c r="J592" s="123" t="s">
        <v>17</v>
      </c>
      <c r="K592" s="105">
        <v>1.9</v>
      </c>
      <c r="L592" s="305" t="s">
        <v>35</v>
      </c>
    </row>
    <row r="593" customHeight="1" spans="1:12">
      <c r="A593" s="306"/>
      <c r="B593" s="87"/>
      <c r="C593" s="140"/>
      <c r="D593" s="319"/>
      <c r="E593" s="202"/>
      <c r="F593" s="202"/>
      <c r="G593" s="125" t="s">
        <v>1048</v>
      </c>
      <c r="H593" s="105">
        <v>1.17</v>
      </c>
      <c r="I593" s="105">
        <v>0.3</v>
      </c>
      <c r="J593" s="123" t="s">
        <v>22</v>
      </c>
      <c r="K593" s="105">
        <v>2.1</v>
      </c>
      <c r="L593" s="308"/>
    </row>
    <row r="594" customHeight="1" spans="1:12">
      <c r="A594" s="306"/>
      <c r="B594" s="87"/>
      <c r="C594" s="140"/>
      <c r="D594" s="319"/>
      <c r="E594" s="202"/>
      <c r="F594" s="202"/>
      <c r="G594" s="125" t="s">
        <v>1050</v>
      </c>
      <c r="H594" s="105">
        <v>1.17</v>
      </c>
      <c r="I594" s="105">
        <v>0.2</v>
      </c>
      <c r="J594" s="123" t="s">
        <v>64</v>
      </c>
      <c r="K594" s="105">
        <v>3.5</v>
      </c>
      <c r="L594" s="308"/>
    </row>
    <row r="595" customHeight="1" spans="1:12">
      <c r="A595" s="306"/>
      <c r="B595" s="87"/>
      <c r="C595" s="140"/>
      <c r="D595" s="319"/>
      <c r="E595" s="202"/>
      <c r="F595" s="202"/>
      <c r="G595" s="372" t="s">
        <v>1051</v>
      </c>
      <c r="H595" s="117">
        <v>1.99</v>
      </c>
      <c r="I595" s="117">
        <v>0.5</v>
      </c>
      <c r="J595" s="117" t="s">
        <v>24</v>
      </c>
      <c r="K595" s="117" t="s">
        <v>24</v>
      </c>
      <c r="L595" s="308"/>
    </row>
    <row r="596" customHeight="1" spans="1:12">
      <c r="A596" s="373">
        <v>45814</v>
      </c>
      <c r="B596" s="374" t="s">
        <v>1316</v>
      </c>
      <c r="C596" s="374" t="s">
        <v>462</v>
      </c>
      <c r="D596" s="159">
        <v>15</v>
      </c>
      <c r="E596" s="374" t="s">
        <v>911</v>
      </c>
      <c r="F596" s="374" t="s">
        <v>1317</v>
      </c>
      <c r="G596" s="157" t="s">
        <v>1064</v>
      </c>
      <c r="H596" s="159">
        <v>1.5</v>
      </c>
      <c r="I596" s="159">
        <v>13.35</v>
      </c>
      <c r="J596" s="159" t="s">
        <v>17</v>
      </c>
      <c r="K596" s="105">
        <v>1.95</v>
      </c>
      <c r="L596" s="374" t="s">
        <v>35</v>
      </c>
    </row>
    <row r="597" customHeight="1" spans="1:12">
      <c r="A597" s="373"/>
      <c r="B597" s="157"/>
      <c r="C597" s="157"/>
      <c r="D597" s="159"/>
      <c r="E597" s="157"/>
      <c r="F597" s="157"/>
      <c r="G597" s="157" t="s">
        <v>1060</v>
      </c>
      <c r="H597" s="159">
        <v>1.5</v>
      </c>
      <c r="I597" s="159">
        <v>0.45</v>
      </c>
      <c r="J597" s="159" t="s">
        <v>22</v>
      </c>
      <c r="K597" s="105">
        <v>2.18</v>
      </c>
      <c r="L597" s="374"/>
    </row>
    <row r="598" customHeight="1" spans="1:12">
      <c r="A598" s="373"/>
      <c r="B598" s="157"/>
      <c r="C598" s="157"/>
      <c r="D598" s="159"/>
      <c r="E598" s="157"/>
      <c r="F598" s="157"/>
      <c r="G598" s="157" t="s">
        <v>1061</v>
      </c>
      <c r="H598" s="159">
        <v>1.5</v>
      </c>
      <c r="I598" s="159">
        <v>0.45</v>
      </c>
      <c r="J598" s="159" t="s">
        <v>44</v>
      </c>
      <c r="K598" s="105">
        <v>3.6</v>
      </c>
      <c r="L598" s="374"/>
    </row>
    <row r="599" customHeight="1" spans="1:12">
      <c r="A599" s="373"/>
      <c r="B599" s="157"/>
      <c r="C599" s="157"/>
      <c r="D599" s="159"/>
      <c r="E599" s="157"/>
      <c r="F599" s="157"/>
      <c r="G599" s="157" t="s">
        <v>1083</v>
      </c>
      <c r="H599" s="159">
        <v>1.5</v>
      </c>
      <c r="I599" s="159">
        <v>0.75</v>
      </c>
      <c r="J599" s="159" t="s">
        <v>24</v>
      </c>
      <c r="K599" s="105" t="s">
        <v>24</v>
      </c>
      <c r="L599" s="374"/>
    </row>
    <row r="600" customHeight="1" spans="1:12">
      <c r="A600" s="373">
        <v>45814</v>
      </c>
      <c r="B600" s="374" t="s">
        <v>1318</v>
      </c>
      <c r="C600" s="374" t="s">
        <v>459</v>
      </c>
      <c r="D600" s="159">
        <v>10</v>
      </c>
      <c r="E600" s="374" t="s">
        <v>484</v>
      </c>
      <c r="F600" s="374" t="s">
        <v>1063</v>
      </c>
      <c r="G600" s="157" t="s">
        <v>1064</v>
      </c>
      <c r="H600" s="159">
        <v>1</v>
      </c>
      <c r="I600" s="159">
        <v>9</v>
      </c>
      <c r="J600" s="159" t="s">
        <v>17</v>
      </c>
      <c r="K600" s="105">
        <v>1.96</v>
      </c>
      <c r="L600" s="374" t="s">
        <v>35</v>
      </c>
    </row>
    <row r="601" customHeight="1" spans="1:12">
      <c r="A601" s="373"/>
      <c r="B601" s="157"/>
      <c r="C601" s="157"/>
      <c r="D601" s="159"/>
      <c r="E601" s="157"/>
      <c r="F601" s="157"/>
      <c r="G601" s="157" t="s">
        <v>1060</v>
      </c>
      <c r="H601" s="159">
        <v>1</v>
      </c>
      <c r="I601" s="159">
        <v>0.3</v>
      </c>
      <c r="J601" s="159" t="s">
        <v>22</v>
      </c>
      <c r="K601" s="105">
        <v>2.15</v>
      </c>
      <c r="L601" s="374"/>
    </row>
    <row r="602" customHeight="1" spans="1:12">
      <c r="A602" s="373"/>
      <c r="B602" s="157"/>
      <c r="C602" s="157"/>
      <c r="D602" s="159"/>
      <c r="E602" s="157"/>
      <c r="F602" s="157"/>
      <c r="G602" s="157" t="s">
        <v>1061</v>
      </c>
      <c r="H602" s="159">
        <v>1</v>
      </c>
      <c r="I602" s="159">
        <v>0.2</v>
      </c>
      <c r="J602" s="159" t="s">
        <v>64</v>
      </c>
      <c r="K602" s="105">
        <v>3.5</v>
      </c>
      <c r="L602" s="374"/>
    </row>
    <row r="603" customHeight="1" spans="1:12">
      <c r="A603" s="373"/>
      <c r="B603" s="157"/>
      <c r="C603" s="157"/>
      <c r="D603" s="159"/>
      <c r="E603" s="157"/>
      <c r="F603" s="157"/>
      <c r="G603" s="157" t="s">
        <v>1083</v>
      </c>
      <c r="H603" s="159">
        <v>1.92</v>
      </c>
      <c r="I603" s="159">
        <v>0.5</v>
      </c>
      <c r="J603" s="159" t="s">
        <v>24</v>
      </c>
      <c r="K603" s="105" t="s">
        <v>24</v>
      </c>
      <c r="L603" s="374"/>
    </row>
    <row r="604" customHeight="1" spans="1:12">
      <c r="A604" s="373">
        <v>45814</v>
      </c>
      <c r="B604" s="374" t="s">
        <v>1319</v>
      </c>
      <c r="C604" s="374" t="s">
        <v>462</v>
      </c>
      <c r="D604" s="159">
        <v>10</v>
      </c>
      <c r="E604" s="374" t="s">
        <v>1057</v>
      </c>
      <c r="F604" s="374" t="s">
        <v>474</v>
      </c>
      <c r="G604" s="157" t="s">
        <v>1058</v>
      </c>
      <c r="H604" s="159">
        <v>1.07</v>
      </c>
      <c r="I604" s="159">
        <v>7.2</v>
      </c>
      <c r="J604" s="159" t="s">
        <v>17</v>
      </c>
      <c r="K604" s="105">
        <v>1.85</v>
      </c>
      <c r="L604" s="374" t="s">
        <v>41</v>
      </c>
    </row>
    <row r="605" customHeight="1" spans="1:12">
      <c r="A605" s="373"/>
      <c r="B605" s="157"/>
      <c r="C605" s="157"/>
      <c r="D605" s="159"/>
      <c r="E605" s="157"/>
      <c r="F605" s="157"/>
      <c r="G605" s="157" t="s">
        <v>1059</v>
      </c>
      <c r="H605" s="159">
        <v>1.25</v>
      </c>
      <c r="I605" s="159">
        <v>1.5</v>
      </c>
      <c r="J605" s="159" t="s">
        <v>17</v>
      </c>
      <c r="K605" s="105">
        <v>1.94</v>
      </c>
      <c r="L605" s="374"/>
    </row>
    <row r="606" customHeight="1" spans="1:12">
      <c r="A606" s="373"/>
      <c r="B606" s="157"/>
      <c r="C606" s="157"/>
      <c r="D606" s="159"/>
      <c r="E606" s="157"/>
      <c r="F606" s="157"/>
      <c r="G606" s="157" t="s">
        <v>1060</v>
      </c>
      <c r="H606" s="159">
        <v>1.32</v>
      </c>
      <c r="I606" s="159">
        <v>0.4</v>
      </c>
      <c r="J606" s="159" t="s">
        <v>22</v>
      </c>
      <c r="K606" s="105">
        <v>2.1</v>
      </c>
      <c r="L606" s="374"/>
    </row>
    <row r="607" customHeight="1" spans="1:12">
      <c r="A607" s="373"/>
      <c r="B607" s="157"/>
      <c r="C607" s="157"/>
      <c r="D607" s="159"/>
      <c r="E607" s="157"/>
      <c r="F607" s="157"/>
      <c r="G607" s="157" t="s">
        <v>1061</v>
      </c>
      <c r="H607" s="159">
        <v>1.37</v>
      </c>
      <c r="I607" s="159">
        <v>0.4</v>
      </c>
      <c r="J607" s="159" t="s">
        <v>44</v>
      </c>
      <c r="K607" s="105">
        <v>4.6</v>
      </c>
      <c r="L607" s="374"/>
    </row>
    <row r="608" customHeight="1" spans="1:12">
      <c r="A608" s="373"/>
      <c r="B608" s="157"/>
      <c r="C608" s="157"/>
      <c r="D608" s="159"/>
      <c r="E608" s="157"/>
      <c r="F608" s="157"/>
      <c r="G608" s="157" t="s">
        <v>1083</v>
      </c>
      <c r="H608" s="159">
        <v>1.75</v>
      </c>
      <c r="I608" s="159">
        <v>0.5</v>
      </c>
      <c r="J608" s="159" t="s">
        <v>24</v>
      </c>
      <c r="K608" s="105" t="s">
        <v>24</v>
      </c>
      <c r="L608" s="374"/>
    </row>
    <row r="609" customHeight="1" spans="1:12">
      <c r="A609" s="373">
        <v>45812</v>
      </c>
      <c r="B609" s="374" t="s">
        <v>1320</v>
      </c>
      <c r="C609" s="374" t="s">
        <v>462</v>
      </c>
      <c r="D609" s="159">
        <v>5</v>
      </c>
      <c r="E609" s="374" t="s">
        <v>536</v>
      </c>
      <c r="F609" s="374" t="s">
        <v>460</v>
      </c>
      <c r="G609" s="157" t="s">
        <v>1064</v>
      </c>
      <c r="H609" s="159">
        <v>1.06</v>
      </c>
      <c r="I609" s="159">
        <v>4.12</v>
      </c>
      <c r="J609" s="159" t="s">
        <v>17</v>
      </c>
      <c r="K609" s="159">
        <v>1.87</v>
      </c>
      <c r="L609" s="374" t="s">
        <v>27</v>
      </c>
    </row>
    <row r="610" customHeight="1" spans="1:12">
      <c r="A610" s="373"/>
      <c r="B610" s="157"/>
      <c r="C610" s="157"/>
      <c r="D610" s="159"/>
      <c r="E610" s="157"/>
      <c r="F610" s="157"/>
      <c r="G610" s="157" t="s">
        <v>1060</v>
      </c>
      <c r="H610" s="159">
        <v>1.06</v>
      </c>
      <c r="I610" s="159">
        <v>0.28</v>
      </c>
      <c r="J610" s="159" t="s">
        <v>22</v>
      </c>
      <c r="K610" s="159">
        <v>1.95</v>
      </c>
      <c r="L610" s="374"/>
    </row>
    <row r="611" customHeight="1" spans="1:12">
      <c r="A611" s="373"/>
      <c r="B611" s="157"/>
      <c r="C611" s="157"/>
      <c r="D611" s="159"/>
      <c r="E611" s="157"/>
      <c r="F611" s="157"/>
      <c r="G611" s="157" t="s">
        <v>1321</v>
      </c>
      <c r="H611" s="159">
        <v>1.89</v>
      </c>
      <c r="I611" s="159">
        <v>0.35</v>
      </c>
      <c r="J611" s="159" t="s">
        <v>24</v>
      </c>
      <c r="K611" s="159" t="s">
        <v>24</v>
      </c>
      <c r="L611" s="374"/>
    </row>
    <row r="612" customHeight="1" spans="1:12">
      <c r="A612" s="373"/>
      <c r="B612" s="157"/>
      <c r="C612" s="157"/>
      <c r="D612" s="159"/>
      <c r="E612" s="157"/>
      <c r="F612" s="157"/>
      <c r="G612" s="157" t="s">
        <v>1322</v>
      </c>
      <c r="H612" s="159">
        <v>1.89</v>
      </c>
      <c r="I612" s="159">
        <v>0.25</v>
      </c>
      <c r="J612" s="159" t="s">
        <v>24</v>
      </c>
      <c r="K612" s="159" t="s">
        <v>24</v>
      </c>
      <c r="L612" s="374"/>
    </row>
    <row r="613" customHeight="1" spans="1:12">
      <c r="A613" s="373">
        <v>45814</v>
      </c>
      <c r="B613" s="374" t="s">
        <v>1323</v>
      </c>
      <c r="C613" s="374" t="s">
        <v>459</v>
      </c>
      <c r="D613" s="159">
        <v>9.3</v>
      </c>
      <c r="E613" s="374" t="s">
        <v>1066</v>
      </c>
      <c r="F613" s="374" t="s">
        <v>482</v>
      </c>
      <c r="G613" s="157" t="s">
        <v>1064</v>
      </c>
      <c r="H613" s="159">
        <v>1</v>
      </c>
      <c r="I613" s="159">
        <v>9</v>
      </c>
      <c r="J613" s="159" t="s">
        <v>17</v>
      </c>
      <c r="K613" s="159">
        <v>2</v>
      </c>
      <c r="L613" s="374" t="s">
        <v>35</v>
      </c>
    </row>
    <row r="614" customHeight="1" spans="1:12">
      <c r="A614" s="373"/>
      <c r="B614" s="157"/>
      <c r="C614" s="157"/>
      <c r="D614" s="159"/>
      <c r="E614" s="157"/>
      <c r="F614" s="157"/>
      <c r="G614" s="157" t="s">
        <v>1060</v>
      </c>
      <c r="H614" s="159">
        <v>1</v>
      </c>
      <c r="I614" s="159">
        <v>0.3</v>
      </c>
      <c r="J614" s="159" t="s">
        <v>22</v>
      </c>
      <c r="K614" s="159">
        <v>2.18</v>
      </c>
      <c r="L614" s="374"/>
    </row>
    <row r="615" customHeight="1" spans="1:12">
      <c r="A615" s="373">
        <v>45812</v>
      </c>
      <c r="B615" s="374" t="s">
        <v>1324</v>
      </c>
      <c r="C615" s="374" t="s">
        <v>462</v>
      </c>
      <c r="D615" s="159">
        <v>10</v>
      </c>
      <c r="E615" s="374" t="s">
        <v>1057</v>
      </c>
      <c r="F615" s="374" t="s">
        <v>474</v>
      </c>
      <c r="G615" s="157" t="s">
        <v>1058</v>
      </c>
      <c r="H615" s="159">
        <v>1.08</v>
      </c>
      <c r="I615" s="159">
        <v>7.2</v>
      </c>
      <c r="J615" s="159" t="s">
        <v>17</v>
      </c>
      <c r="K615" s="159">
        <v>1.87</v>
      </c>
      <c r="L615" s="374" t="s">
        <v>41</v>
      </c>
    </row>
    <row r="616" customHeight="1" spans="1:12">
      <c r="A616" s="373"/>
      <c r="B616" s="157"/>
      <c r="C616" s="157"/>
      <c r="D616" s="159"/>
      <c r="E616" s="157"/>
      <c r="F616" s="157"/>
      <c r="G616" s="157" t="s">
        <v>1059</v>
      </c>
      <c r="H616" s="159">
        <v>1.25</v>
      </c>
      <c r="I616" s="159">
        <v>1.5</v>
      </c>
      <c r="J616" s="159" t="s">
        <v>17</v>
      </c>
      <c r="K616" s="159">
        <v>2</v>
      </c>
      <c r="L616" s="374"/>
    </row>
    <row r="617" customHeight="1" spans="1:12">
      <c r="A617" s="373"/>
      <c r="B617" s="157"/>
      <c r="C617" s="157"/>
      <c r="D617" s="159"/>
      <c r="E617" s="157"/>
      <c r="F617" s="157"/>
      <c r="G617" s="157" t="s">
        <v>1060</v>
      </c>
      <c r="H617" s="159">
        <v>1.32</v>
      </c>
      <c r="I617" s="159">
        <v>0.4</v>
      </c>
      <c r="J617" s="159" t="s">
        <v>22</v>
      </c>
      <c r="K617" s="159">
        <v>2.15</v>
      </c>
      <c r="L617" s="374"/>
    </row>
    <row r="618" customHeight="1" spans="1:12">
      <c r="A618" s="373"/>
      <c r="B618" s="157"/>
      <c r="C618" s="157"/>
      <c r="D618" s="159"/>
      <c r="E618" s="157"/>
      <c r="F618" s="157"/>
      <c r="G618" s="157" t="s">
        <v>1061</v>
      </c>
      <c r="H618" s="159">
        <v>1.38</v>
      </c>
      <c r="I618" s="159">
        <v>0.4</v>
      </c>
      <c r="J618" s="159" t="s">
        <v>44</v>
      </c>
      <c r="K618" s="159">
        <v>4.6</v>
      </c>
      <c r="L618" s="374"/>
    </row>
    <row r="619" customHeight="1" spans="1:12">
      <c r="A619" s="373"/>
      <c r="B619" s="157"/>
      <c r="C619" s="157"/>
      <c r="D619" s="159"/>
      <c r="E619" s="157"/>
      <c r="F619" s="157"/>
      <c r="G619" s="157" t="s">
        <v>1083</v>
      </c>
      <c r="H619" s="159">
        <v>1.75</v>
      </c>
      <c r="I619" s="159">
        <v>0.5</v>
      </c>
      <c r="J619" s="159" t="s">
        <v>24</v>
      </c>
      <c r="K619" s="159" t="s">
        <v>24</v>
      </c>
      <c r="L619" s="374"/>
    </row>
    <row r="620" customHeight="1" spans="1:12">
      <c r="A620" s="373">
        <v>45812</v>
      </c>
      <c r="B620" s="374" t="s">
        <v>1325</v>
      </c>
      <c r="C620" s="374" t="s">
        <v>462</v>
      </c>
      <c r="D620" s="159">
        <v>5</v>
      </c>
      <c r="E620" s="374" t="s">
        <v>1161</v>
      </c>
      <c r="F620" s="374" t="s">
        <v>1063</v>
      </c>
      <c r="G620" s="157" t="s">
        <v>1064</v>
      </c>
      <c r="H620" s="159">
        <v>1.84</v>
      </c>
      <c r="I620" s="159">
        <v>4.2</v>
      </c>
      <c r="J620" s="159" t="s">
        <v>17</v>
      </c>
      <c r="K620" s="159">
        <v>1.9</v>
      </c>
      <c r="L620" s="374" t="s">
        <v>18</v>
      </c>
    </row>
    <row r="621" customHeight="1" spans="1:12">
      <c r="A621" s="373"/>
      <c r="B621" s="157"/>
      <c r="C621" s="157"/>
      <c r="D621" s="159"/>
      <c r="E621" s="157"/>
      <c r="F621" s="157"/>
      <c r="G621" s="157" t="s">
        <v>1060</v>
      </c>
      <c r="H621" s="159">
        <v>1.92</v>
      </c>
      <c r="I621" s="159">
        <v>0.25</v>
      </c>
      <c r="J621" s="159" t="s">
        <v>22</v>
      </c>
      <c r="K621" s="159">
        <v>2.05</v>
      </c>
      <c r="L621" s="374"/>
    </row>
    <row r="622" customHeight="1" spans="1:12">
      <c r="A622" s="373"/>
      <c r="B622" s="157"/>
      <c r="C622" s="157"/>
      <c r="D622" s="159"/>
      <c r="E622" s="157"/>
      <c r="F622" s="157"/>
      <c r="G622" s="157" t="s">
        <v>1061</v>
      </c>
      <c r="H622" s="159">
        <v>2</v>
      </c>
      <c r="I622" s="159">
        <v>0.15</v>
      </c>
      <c r="J622" s="159" t="s">
        <v>44</v>
      </c>
      <c r="K622" s="159">
        <v>2.1</v>
      </c>
      <c r="L622" s="374"/>
    </row>
    <row r="623" customHeight="1" spans="1:12">
      <c r="A623" s="373"/>
      <c r="B623" s="157"/>
      <c r="C623" s="157"/>
      <c r="D623" s="159"/>
      <c r="E623" s="157"/>
      <c r="F623" s="157"/>
      <c r="G623" s="157" t="s">
        <v>1326</v>
      </c>
      <c r="H623" s="159">
        <v>2.58</v>
      </c>
      <c r="I623" s="159">
        <v>0.15</v>
      </c>
      <c r="J623" s="159" t="s">
        <v>24</v>
      </c>
      <c r="K623" s="159" t="s">
        <v>24</v>
      </c>
      <c r="L623" s="374"/>
    </row>
    <row r="624" customHeight="1" spans="1:12">
      <c r="A624" s="373"/>
      <c r="B624" s="157"/>
      <c r="C624" s="157"/>
      <c r="D624" s="159"/>
      <c r="E624" s="157"/>
      <c r="F624" s="157"/>
      <c r="G624" s="157" t="s">
        <v>1327</v>
      </c>
      <c r="H624" s="159">
        <v>2.58</v>
      </c>
      <c r="I624" s="159">
        <v>0.25</v>
      </c>
      <c r="J624" s="159" t="s">
        <v>24</v>
      </c>
      <c r="K624" s="159" t="s">
        <v>24</v>
      </c>
      <c r="L624" s="374"/>
    </row>
    <row r="625" customHeight="1" spans="1:12">
      <c r="A625" s="373">
        <v>45807</v>
      </c>
      <c r="B625" s="374" t="s">
        <v>1328</v>
      </c>
      <c r="C625" s="374" t="s">
        <v>462</v>
      </c>
      <c r="D625" s="159">
        <v>5</v>
      </c>
      <c r="E625" s="374" t="s">
        <v>1205</v>
      </c>
      <c r="F625" s="374" t="s">
        <v>1206</v>
      </c>
      <c r="G625" s="157" t="s">
        <v>1058</v>
      </c>
      <c r="H625" s="159">
        <v>1.07</v>
      </c>
      <c r="I625" s="159">
        <v>3.6</v>
      </c>
      <c r="J625" s="159" t="s">
        <v>17</v>
      </c>
      <c r="K625" s="159">
        <v>1.88</v>
      </c>
      <c r="L625" s="374" t="s">
        <v>41</v>
      </c>
    </row>
    <row r="626" customHeight="1" spans="1:12">
      <c r="A626" s="373"/>
      <c r="B626" s="157"/>
      <c r="C626" s="157"/>
      <c r="D626" s="159"/>
      <c r="E626" s="157"/>
      <c r="F626" s="157"/>
      <c r="G626" s="157" t="s">
        <v>1059</v>
      </c>
      <c r="H626" s="159">
        <v>1.21</v>
      </c>
      <c r="I626" s="159">
        <v>0.75</v>
      </c>
      <c r="J626" s="159" t="s">
        <v>17</v>
      </c>
      <c r="K626" s="159">
        <v>2.05</v>
      </c>
      <c r="L626" s="374"/>
    </row>
    <row r="627" customHeight="1" spans="1:12">
      <c r="A627" s="373"/>
      <c r="B627" s="157"/>
      <c r="C627" s="157"/>
      <c r="D627" s="159"/>
      <c r="E627" s="157"/>
      <c r="F627" s="157"/>
      <c r="G627" s="157" t="s">
        <v>1060</v>
      </c>
      <c r="H627" s="159">
        <v>1.24</v>
      </c>
      <c r="I627" s="159">
        <v>0.2</v>
      </c>
      <c r="J627" s="159" t="s">
        <v>22</v>
      </c>
      <c r="K627" s="159">
        <v>2.15</v>
      </c>
      <c r="L627" s="374"/>
    </row>
    <row r="628" customHeight="1" spans="1:12">
      <c r="A628" s="373"/>
      <c r="B628" s="157"/>
      <c r="C628" s="157"/>
      <c r="D628" s="159"/>
      <c r="E628" s="157"/>
      <c r="F628" s="157"/>
      <c r="G628" s="157" t="s">
        <v>1061</v>
      </c>
      <c r="H628" s="159">
        <v>1.32</v>
      </c>
      <c r="I628" s="159">
        <v>0.25</v>
      </c>
      <c r="J628" s="159" t="s">
        <v>96</v>
      </c>
      <c r="K628" s="159">
        <v>4.6</v>
      </c>
      <c r="L628" s="374"/>
    </row>
    <row r="629" customHeight="1" spans="1:12">
      <c r="A629" s="373"/>
      <c r="B629" s="157"/>
      <c r="C629" s="157"/>
      <c r="D629" s="159"/>
      <c r="E629" s="157"/>
      <c r="F629" s="157"/>
      <c r="G629" s="157" t="s">
        <v>1083</v>
      </c>
      <c r="H629" s="159">
        <v>1.74</v>
      </c>
      <c r="I629" s="159">
        <v>0.2</v>
      </c>
      <c r="J629" s="159" t="s">
        <v>24</v>
      </c>
      <c r="K629" s="159" t="s">
        <v>24</v>
      </c>
      <c r="L629" s="374"/>
    </row>
    <row r="630" customHeight="1" spans="1:12">
      <c r="A630" s="373">
        <v>45812</v>
      </c>
      <c r="B630" s="374" t="s">
        <v>1329</v>
      </c>
      <c r="C630" s="374" t="s">
        <v>459</v>
      </c>
      <c r="D630" s="159">
        <v>9.3</v>
      </c>
      <c r="E630" s="374" t="s">
        <v>477</v>
      </c>
      <c r="F630" s="374" t="s">
        <v>482</v>
      </c>
      <c r="G630" s="157" t="s">
        <v>1064</v>
      </c>
      <c r="H630" s="159">
        <v>1</v>
      </c>
      <c r="I630" s="159">
        <v>9</v>
      </c>
      <c r="J630" s="159" t="s">
        <v>17</v>
      </c>
      <c r="K630" s="159">
        <v>1.95</v>
      </c>
      <c r="L630" s="374" t="s">
        <v>35</v>
      </c>
    </row>
    <row r="631" customHeight="1" spans="1:12">
      <c r="A631" s="373"/>
      <c r="B631" s="157"/>
      <c r="C631" s="157"/>
      <c r="D631" s="159"/>
      <c r="E631" s="157"/>
      <c r="F631" s="157"/>
      <c r="G631" s="157" t="s">
        <v>1060</v>
      </c>
      <c r="H631" s="159">
        <v>1</v>
      </c>
      <c r="I631" s="159">
        <v>0.3</v>
      </c>
      <c r="J631" s="159" t="s">
        <v>22</v>
      </c>
      <c r="K631" s="159">
        <v>2.15</v>
      </c>
      <c r="L631" s="374"/>
    </row>
    <row r="632" customHeight="1" spans="1:12">
      <c r="A632" s="373">
        <v>45818</v>
      </c>
      <c r="B632" s="374" t="s">
        <v>1330</v>
      </c>
      <c r="C632" s="374" t="s">
        <v>462</v>
      </c>
      <c r="D632" s="159">
        <v>5</v>
      </c>
      <c r="E632" s="374" t="s">
        <v>486</v>
      </c>
      <c r="F632" s="374" t="s">
        <v>1063</v>
      </c>
      <c r="G632" s="157" t="s">
        <v>1064</v>
      </c>
      <c r="H632" s="159">
        <v>1.04</v>
      </c>
      <c r="I632" s="159">
        <v>4.35</v>
      </c>
      <c r="J632" s="159" t="s">
        <v>17</v>
      </c>
      <c r="K632" s="159">
        <v>1.84</v>
      </c>
      <c r="L632" s="374" t="s">
        <v>27</v>
      </c>
    </row>
    <row r="633" customHeight="1" spans="1:12">
      <c r="A633" s="373"/>
      <c r="B633" s="157"/>
      <c r="C633" s="157"/>
      <c r="D633" s="159"/>
      <c r="E633" s="157"/>
      <c r="F633" s="157"/>
      <c r="G633" s="157" t="s">
        <v>1060</v>
      </c>
      <c r="H633" s="159">
        <v>1.04</v>
      </c>
      <c r="I633" s="159">
        <v>0.15</v>
      </c>
      <c r="J633" s="159" t="s">
        <v>22</v>
      </c>
      <c r="K633" s="159">
        <v>1.94</v>
      </c>
      <c r="L633" s="374"/>
    </row>
    <row r="634" customHeight="1" spans="1:12">
      <c r="A634" s="373"/>
      <c r="B634" s="157"/>
      <c r="C634" s="157"/>
      <c r="D634" s="159"/>
      <c r="E634" s="157"/>
      <c r="F634" s="157"/>
      <c r="G634" s="157" t="s">
        <v>1321</v>
      </c>
      <c r="H634" s="159">
        <v>1.55</v>
      </c>
      <c r="I634" s="159">
        <v>0.25</v>
      </c>
      <c r="J634" s="159" t="s">
        <v>24</v>
      </c>
      <c r="K634" s="159" t="s">
        <v>24</v>
      </c>
      <c r="L634" s="374"/>
    </row>
    <row r="635" customHeight="1" spans="1:12">
      <c r="A635" s="373"/>
      <c r="B635" s="157"/>
      <c r="C635" s="157"/>
      <c r="D635" s="159"/>
      <c r="E635" s="157"/>
      <c r="F635" s="157"/>
      <c r="G635" s="157" t="s">
        <v>1322</v>
      </c>
      <c r="H635" s="159">
        <v>1.55</v>
      </c>
      <c r="I635" s="159">
        <v>0.25</v>
      </c>
      <c r="J635" s="159" t="s">
        <v>24</v>
      </c>
      <c r="K635" s="159" t="s">
        <v>24</v>
      </c>
      <c r="L635" s="374"/>
    </row>
    <row r="636" customHeight="1" spans="1:12">
      <c r="A636" s="373">
        <v>45819</v>
      </c>
      <c r="B636" s="374" t="s">
        <v>1331</v>
      </c>
      <c r="C636" s="374" t="s">
        <v>462</v>
      </c>
      <c r="D636" s="159">
        <v>10</v>
      </c>
      <c r="E636" s="374" t="s">
        <v>1057</v>
      </c>
      <c r="F636" s="374" t="s">
        <v>1332</v>
      </c>
      <c r="G636" s="157" t="s">
        <v>1058</v>
      </c>
      <c r="H636" s="159">
        <v>1.08</v>
      </c>
      <c r="I636" s="159">
        <v>7</v>
      </c>
      <c r="J636" s="159" t="s">
        <v>17</v>
      </c>
      <c r="K636" s="159">
        <v>1.89</v>
      </c>
      <c r="L636" s="374" t="s">
        <v>41</v>
      </c>
    </row>
    <row r="637" customHeight="1" spans="1:12">
      <c r="A637" s="373"/>
      <c r="B637" s="157"/>
      <c r="C637" s="157"/>
      <c r="D637" s="159"/>
      <c r="E637" s="157"/>
      <c r="F637" s="157"/>
      <c r="G637" s="157" t="s">
        <v>1059</v>
      </c>
      <c r="H637" s="159">
        <v>1.21</v>
      </c>
      <c r="I637" s="159">
        <v>1.4</v>
      </c>
      <c r="J637" s="159" t="s">
        <v>17</v>
      </c>
      <c r="K637" s="159">
        <v>1.96</v>
      </c>
      <c r="L637" s="374"/>
    </row>
    <row r="638" customHeight="1" spans="1:12">
      <c r="A638" s="373"/>
      <c r="B638" s="157"/>
      <c r="C638" s="157"/>
      <c r="D638" s="159"/>
      <c r="E638" s="157"/>
      <c r="F638" s="157"/>
      <c r="G638" s="157" t="s">
        <v>1060</v>
      </c>
      <c r="H638" s="159">
        <v>1.25</v>
      </c>
      <c r="I638" s="159">
        <v>0.55</v>
      </c>
      <c r="J638" s="159" t="s">
        <v>22</v>
      </c>
      <c r="K638" s="159">
        <v>2.06</v>
      </c>
      <c r="L638" s="374"/>
    </row>
    <row r="639" customHeight="1" spans="1:12">
      <c r="A639" s="373"/>
      <c r="B639" s="157"/>
      <c r="C639" s="157"/>
      <c r="D639" s="159"/>
      <c r="E639" s="157"/>
      <c r="F639" s="157"/>
      <c r="G639" s="157" t="s">
        <v>1061</v>
      </c>
      <c r="H639" s="159">
        <v>1.33</v>
      </c>
      <c r="I639" s="159">
        <v>0.55</v>
      </c>
      <c r="J639" s="159" t="s">
        <v>351</v>
      </c>
      <c r="K639" s="159">
        <v>4.6</v>
      </c>
      <c r="L639" s="374"/>
    </row>
    <row r="640" customHeight="1" spans="1:12">
      <c r="A640" s="373"/>
      <c r="B640" s="157"/>
      <c r="C640" s="157"/>
      <c r="D640" s="159"/>
      <c r="E640" s="157"/>
      <c r="F640" s="157"/>
      <c r="G640" s="157" t="s">
        <v>1083</v>
      </c>
      <c r="H640" s="159">
        <v>1.75</v>
      </c>
      <c r="I640" s="159">
        <v>0.5</v>
      </c>
      <c r="J640" s="159" t="s">
        <v>24</v>
      </c>
      <c r="K640" s="159" t="s">
        <v>24</v>
      </c>
      <c r="L640" s="374"/>
    </row>
    <row r="641" customHeight="1" spans="1:12">
      <c r="A641" s="373">
        <v>45819</v>
      </c>
      <c r="B641" s="374" t="s">
        <v>1333</v>
      </c>
      <c r="C641" s="374" t="s">
        <v>462</v>
      </c>
      <c r="D641" s="159">
        <v>5</v>
      </c>
      <c r="E641" s="374" t="s">
        <v>486</v>
      </c>
      <c r="F641" s="374" t="s">
        <v>1063</v>
      </c>
      <c r="G641" s="157" t="s">
        <v>1064</v>
      </c>
      <c r="H641" s="159">
        <v>1.55</v>
      </c>
      <c r="I641" s="159">
        <v>4.075</v>
      </c>
      <c r="J641" s="159" t="s">
        <v>17</v>
      </c>
      <c r="K641" s="159">
        <v>1.98</v>
      </c>
      <c r="L641" s="374" t="s">
        <v>27</v>
      </c>
    </row>
    <row r="642" customHeight="1" spans="1:12">
      <c r="A642" s="373"/>
      <c r="B642" s="157"/>
      <c r="C642" s="157"/>
      <c r="D642" s="159"/>
      <c r="E642" s="157"/>
      <c r="F642" s="157"/>
      <c r="G642" s="157" t="s">
        <v>1060</v>
      </c>
      <c r="H642" s="159">
        <v>2</v>
      </c>
      <c r="I642" s="159">
        <v>0.225</v>
      </c>
      <c r="J642" s="159" t="s">
        <v>22</v>
      </c>
      <c r="K642" s="159">
        <v>2.05</v>
      </c>
      <c r="L642" s="374"/>
    </row>
    <row r="643" customHeight="1" spans="1:12">
      <c r="A643" s="373"/>
      <c r="B643" s="157"/>
      <c r="C643" s="157"/>
      <c r="D643" s="159"/>
      <c r="E643" s="157"/>
      <c r="F643" s="157"/>
      <c r="G643" s="157" t="s">
        <v>1321</v>
      </c>
      <c r="H643" s="159">
        <v>3.04</v>
      </c>
      <c r="I643" s="159">
        <v>0.45</v>
      </c>
      <c r="J643" s="159" t="s">
        <v>24</v>
      </c>
      <c r="K643" s="159" t="s">
        <v>24</v>
      </c>
      <c r="L643" s="374"/>
    </row>
    <row r="644" customHeight="1" spans="1:12">
      <c r="A644" s="375"/>
      <c r="B644" s="162"/>
      <c r="C644" s="162"/>
      <c r="D644" s="376"/>
      <c r="E644" s="162"/>
      <c r="F644" s="162"/>
      <c r="G644" s="162" t="s">
        <v>1322</v>
      </c>
      <c r="H644" s="376">
        <v>3.04</v>
      </c>
      <c r="I644" s="376">
        <v>0.25</v>
      </c>
      <c r="J644" s="376" t="s">
        <v>24</v>
      </c>
      <c r="K644" s="376" t="s">
        <v>24</v>
      </c>
      <c r="L644" s="377"/>
    </row>
    <row r="645" customHeight="1" spans="1:12">
      <c r="A645" s="378" t="s">
        <v>1334</v>
      </c>
      <c r="B645" s="148" t="s">
        <v>1335</v>
      </c>
      <c r="C645" s="205" t="s">
        <v>459</v>
      </c>
      <c r="D645" s="160">
        <v>10</v>
      </c>
      <c r="E645" s="205" t="s">
        <v>484</v>
      </c>
      <c r="F645" s="205" t="s">
        <v>523</v>
      </c>
      <c r="G645" s="112" t="s">
        <v>1047</v>
      </c>
      <c r="H645" s="159">
        <v>2</v>
      </c>
      <c r="I645" s="159">
        <v>8.7</v>
      </c>
      <c r="J645" s="52" t="s">
        <v>17</v>
      </c>
      <c r="K645" s="159">
        <v>2.18</v>
      </c>
      <c r="L645" s="217" t="s">
        <v>35</v>
      </c>
    </row>
    <row r="646" customHeight="1" spans="1:12">
      <c r="A646" s="378"/>
      <c r="B646" s="54"/>
      <c r="C646" s="111"/>
      <c r="D646" s="160"/>
      <c r="E646" s="111"/>
      <c r="F646" s="111"/>
      <c r="G646" s="112" t="s">
        <v>1048</v>
      </c>
      <c r="H646" s="159">
        <v>2</v>
      </c>
      <c r="I646" s="159">
        <v>0.4</v>
      </c>
      <c r="J646" s="52" t="s">
        <v>22</v>
      </c>
      <c r="K646" s="159">
        <v>2.38</v>
      </c>
    </row>
    <row r="647" customHeight="1" spans="1:12">
      <c r="A647" s="378"/>
      <c r="B647" s="54"/>
      <c r="C647" s="111"/>
      <c r="D647" s="160"/>
      <c r="E647" s="111"/>
      <c r="F647" s="111"/>
      <c r="G647" s="112" t="s">
        <v>1055</v>
      </c>
      <c r="H647" s="159">
        <v>2</v>
      </c>
      <c r="I647" s="159">
        <v>0.4</v>
      </c>
      <c r="J647" s="52" t="s">
        <v>64</v>
      </c>
      <c r="K647" s="159">
        <v>3.6</v>
      </c>
    </row>
    <row r="648" customHeight="1" spans="1:12">
      <c r="A648" s="378"/>
      <c r="B648" s="54"/>
      <c r="C648" s="111"/>
      <c r="D648" s="160"/>
      <c r="E648" s="111"/>
      <c r="F648" s="111"/>
      <c r="G648" s="112" t="s">
        <v>1051</v>
      </c>
      <c r="H648" s="159">
        <v>2.92</v>
      </c>
      <c r="I648" s="159">
        <v>0.5</v>
      </c>
      <c r="J648" s="52" t="s">
        <v>24</v>
      </c>
      <c r="K648" s="159" t="s">
        <v>24</v>
      </c>
    </row>
    <row r="649" customHeight="1" spans="1:12">
      <c r="A649" s="378" t="s">
        <v>1336</v>
      </c>
      <c r="B649" s="148" t="s">
        <v>1337</v>
      </c>
      <c r="C649" s="205" t="s">
        <v>462</v>
      </c>
      <c r="D649" s="160">
        <v>7</v>
      </c>
      <c r="E649" s="205" t="s">
        <v>552</v>
      </c>
      <c r="F649" s="205" t="s">
        <v>1063</v>
      </c>
      <c r="G649" s="112" t="s">
        <v>1047</v>
      </c>
      <c r="H649" s="159">
        <v>1.49</v>
      </c>
      <c r="I649" s="159">
        <v>5.92</v>
      </c>
      <c r="J649" s="52" t="s">
        <v>17</v>
      </c>
      <c r="K649" s="159">
        <v>2.2</v>
      </c>
      <c r="L649" s="205" t="s">
        <v>67</v>
      </c>
    </row>
    <row r="650" customHeight="1" spans="1:12">
      <c r="A650" s="378"/>
      <c r="B650" s="54"/>
      <c r="C650" s="111"/>
      <c r="D650" s="160"/>
      <c r="E650" s="111"/>
      <c r="F650" s="111"/>
      <c r="G650" s="112" t="s">
        <v>1048</v>
      </c>
      <c r="H650" s="159">
        <v>1.49</v>
      </c>
      <c r="I650" s="159">
        <v>0.31</v>
      </c>
      <c r="J650" s="52" t="s">
        <v>22</v>
      </c>
      <c r="K650" s="159">
        <v>2.6</v>
      </c>
      <c r="L650" s="205"/>
    </row>
    <row r="651" customHeight="1" spans="1:12">
      <c r="A651" s="378"/>
      <c r="B651" s="54"/>
      <c r="C651" s="111"/>
      <c r="D651" s="160"/>
      <c r="E651" s="111"/>
      <c r="F651" s="111"/>
      <c r="G651" s="95" t="s">
        <v>1061</v>
      </c>
      <c r="H651" s="159">
        <v>1.49</v>
      </c>
      <c r="I651" s="159">
        <v>0.28</v>
      </c>
      <c r="J651" s="52" t="s">
        <v>44</v>
      </c>
      <c r="K651" s="159">
        <v>4</v>
      </c>
      <c r="L651" s="205"/>
    </row>
    <row r="652" customHeight="1" spans="1:12">
      <c r="A652" s="378"/>
      <c r="B652" s="54"/>
      <c r="C652" s="111"/>
      <c r="D652" s="160"/>
      <c r="E652" s="111"/>
      <c r="F652" s="111"/>
      <c r="G652" s="95" t="s">
        <v>1083</v>
      </c>
      <c r="H652" s="159">
        <v>1.49</v>
      </c>
      <c r="I652" s="159">
        <v>0.49</v>
      </c>
      <c r="J652" s="52" t="s">
        <v>24</v>
      </c>
      <c r="K652" s="159" t="s">
        <v>24</v>
      </c>
      <c r="L652" s="205"/>
    </row>
    <row r="653" customHeight="1" spans="1:12">
      <c r="A653" s="378" t="s">
        <v>1334</v>
      </c>
      <c r="B653" s="148" t="s">
        <v>1338</v>
      </c>
      <c r="C653" s="205" t="s">
        <v>459</v>
      </c>
      <c r="D653" s="160">
        <v>10</v>
      </c>
      <c r="E653" s="205" t="s">
        <v>484</v>
      </c>
      <c r="F653" s="205" t="s">
        <v>1140</v>
      </c>
      <c r="G653" s="112" t="s">
        <v>1047</v>
      </c>
      <c r="H653" s="159">
        <v>0.42</v>
      </c>
      <c r="I653" s="159">
        <v>9</v>
      </c>
      <c r="J653" s="52" t="s">
        <v>17</v>
      </c>
      <c r="K653" s="159">
        <v>1.83</v>
      </c>
      <c r="L653" s="217" t="s">
        <v>35</v>
      </c>
    </row>
    <row r="654" customHeight="1" spans="1:12">
      <c r="A654" s="378"/>
      <c r="B654" s="54"/>
      <c r="C654" s="111"/>
      <c r="D654" s="160"/>
      <c r="E654" s="111"/>
      <c r="F654" s="111"/>
      <c r="G654" s="112" t="s">
        <v>1048</v>
      </c>
      <c r="H654" s="159">
        <v>0.42</v>
      </c>
      <c r="I654" s="159">
        <v>0.5</v>
      </c>
      <c r="J654" s="52" t="s">
        <v>22</v>
      </c>
      <c r="K654" s="159">
        <v>2</v>
      </c>
    </row>
    <row r="655" customHeight="1" spans="1:12">
      <c r="A655" s="378"/>
      <c r="B655" s="54"/>
      <c r="C655" s="111"/>
      <c r="D655" s="160"/>
      <c r="E655" s="111"/>
      <c r="F655" s="111"/>
      <c r="G655" s="95" t="s">
        <v>1083</v>
      </c>
      <c r="H655" s="159">
        <v>1.42</v>
      </c>
      <c r="I655" s="159">
        <v>0.5</v>
      </c>
      <c r="J655" s="105" t="s">
        <v>24</v>
      </c>
      <c r="K655" s="159" t="s">
        <v>24</v>
      </c>
    </row>
    <row r="656" customHeight="1" spans="1:12">
      <c r="A656" s="378" t="s">
        <v>1339</v>
      </c>
      <c r="B656" s="148" t="s">
        <v>1340</v>
      </c>
      <c r="C656" s="205" t="s">
        <v>462</v>
      </c>
      <c r="D656" s="160">
        <v>4.75</v>
      </c>
      <c r="E656" s="205" t="s">
        <v>477</v>
      </c>
      <c r="F656" s="205" t="s">
        <v>523</v>
      </c>
      <c r="G656" s="112" t="s">
        <v>1047</v>
      </c>
      <c r="H656" s="159">
        <v>0.75</v>
      </c>
      <c r="I656" s="159">
        <v>4.47</v>
      </c>
      <c r="J656" s="52" t="s">
        <v>17</v>
      </c>
      <c r="K656" s="105">
        <v>1.8</v>
      </c>
      <c r="L656" s="205" t="s">
        <v>112</v>
      </c>
    </row>
    <row r="657" customHeight="1" spans="1:12">
      <c r="A657" s="378"/>
      <c r="B657" s="54"/>
      <c r="C657" s="111"/>
      <c r="D657" s="160"/>
      <c r="E657" s="111"/>
      <c r="F657" s="111"/>
      <c r="G657" s="112" t="s">
        <v>1048</v>
      </c>
      <c r="H657" s="159">
        <v>0.75</v>
      </c>
      <c r="I657" s="159">
        <v>0.28</v>
      </c>
      <c r="J657" s="52" t="s">
        <v>22</v>
      </c>
      <c r="K657" s="105">
        <v>1.98</v>
      </c>
      <c r="L657" s="205"/>
    </row>
    <row r="658" customHeight="1" spans="1:12">
      <c r="A658" s="378" t="s">
        <v>1339</v>
      </c>
      <c r="B658" s="148" t="s">
        <v>1341</v>
      </c>
      <c r="C658" s="205" t="s">
        <v>462</v>
      </c>
      <c r="D658" s="160">
        <v>4</v>
      </c>
      <c r="E658" s="205" t="s">
        <v>477</v>
      </c>
      <c r="F658" s="205" t="s">
        <v>487</v>
      </c>
      <c r="G658" s="112" t="s">
        <v>1047</v>
      </c>
      <c r="H658" s="159">
        <v>2.02</v>
      </c>
      <c r="I658" s="159">
        <v>3.36</v>
      </c>
      <c r="J658" s="52" t="s">
        <v>17</v>
      </c>
      <c r="K658" s="105">
        <v>2.05</v>
      </c>
      <c r="L658" s="205" t="s">
        <v>1176</v>
      </c>
    </row>
    <row r="659" customHeight="1" spans="1:12">
      <c r="A659" s="378"/>
      <c r="B659" s="54"/>
      <c r="C659" s="111"/>
      <c r="D659" s="160"/>
      <c r="E659" s="111"/>
      <c r="F659" s="111"/>
      <c r="G659" s="112" t="s">
        <v>1048</v>
      </c>
      <c r="H659" s="159">
        <v>2.02</v>
      </c>
      <c r="I659" s="159">
        <v>0.28</v>
      </c>
      <c r="J659" s="52" t="s">
        <v>22</v>
      </c>
      <c r="K659" s="105">
        <v>2.3</v>
      </c>
      <c r="L659" s="205"/>
    </row>
    <row r="660" customHeight="1" spans="1:12">
      <c r="A660" s="378"/>
      <c r="B660" s="54"/>
      <c r="C660" s="111"/>
      <c r="D660" s="160"/>
      <c r="E660" s="111"/>
      <c r="F660" s="111"/>
      <c r="G660" s="95" t="s">
        <v>1083</v>
      </c>
      <c r="H660" s="159">
        <v>2.02</v>
      </c>
      <c r="I660" s="159">
        <v>0.36</v>
      </c>
      <c r="J660" s="105" t="s">
        <v>24</v>
      </c>
      <c r="K660" s="105" t="s">
        <v>24</v>
      </c>
      <c r="L660" s="205"/>
    </row>
    <row r="661" customHeight="1" spans="1:12">
      <c r="A661" s="314" t="s">
        <v>1342</v>
      </c>
      <c r="B661" s="253" t="s">
        <v>1343</v>
      </c>
      <c r="C661" s="165" t="s">
        <v>459</v>
      </c>
      <c r="D661" s="315">
        <v>4.75</v>
      </c>
      <c r="E661" s="165" t="s">
        <v>1344</v>
      </c>
      <c r="F661" s="165" t="s">
        <v>474</v>
      </c>
      <c r="G661" s="112" t="s">
        <v>1121</v>
      </c>
      <c r="H661" s="159">
        <v>1.0384</v>
      </c>
      <c r="I661" s="159">
        <v>3.6</v>
      </c>
      <c r="J661" s="52" t="s">
        <v>17</v>
      </c>
      <c r="K661" s="159">
        <v>1.85</v>
      </c>
      <c r="L661" s="165" t="s">
        <v>41</v>
      </c>
    </row>
    <row r="662" customHeight="1" spans="1:12">
      <c r="A662" s="318"/>
      <c r="B662" s="87"/>
      <c r="C662" s="140"/>
      <c r="D662" s="319"/>
      <c r="E662" s="140"/>
      <c r="F662" s="140"/>
      <c r="G662" s="112" t="s">
        <v>1122</v>
      </c>
      <c r="H662" s="159">
        <v>1.1671</v>
      </c>
      <c r="I662" s="159">
        <v>0.8</v>
      </c>
      <c r="J662" s="52" t="s">
        <v>17</v>
      </c>
      <c r="K662" s="159">
        <v>2</v>
      </c>
      <c r="L662" s="259"/>
    </row>
    <row r="663" customHeight="1" spans="1:12">
      <c r="A663" s="318"/>
      <c r="B663" s="87"/>
      <c r="C663" s="140"/>
      <c r="D663" s="319"/>
      <c r="E663" s="140"/>
      <c r="F663" s="140"/>
      <c r="G663" s="112" t="s">
        <v>1048</v>
      </c>
      <c r="H663" s="159">
        <v>1.21</v>
      </c>
      <c r="I663" s="159">
        <v>0.17</v>
      </c>
      <c r="J663" s="52" t="s">
        <v>17</v>
      </c>
      <c r="K663" s="159">
        <v>2.08</v>
      </c>
      <c r="L663" s="259"/>
    </row>
    <row r="664" customHeight="1" spans="1:12">
      <c r="A664" s="318"/>
      <c r="B664" s="87"/>
      <c r="C664" s="140"/>
      <c r="D664" s="319"/>
      <c r="E664" s="140"/>
      <c r="F664" s="140"/>
      <c r="G664" s="112" t="s">
        <v>1050</v>
      </c>
      <c r="H664" s="159">
        <v>1.25</v>
      </c>
      <c r="I664" s="159">
        <v>0.18</v>
      </c>
      <c r="J664" s="52" t="s">
        <v>22</v>
      </c>
      <c r="K664" s="159">
        <v>4.6</v>
      </c>
      <c r="L664" s="259"/>
    </row>
    <row r="665" customHeight="1" spans="1:12">
      <c r="A665" s="314" t="s">
        <v>1345</v>
      </c>
      <c r="B665" s="253" t="s">
        <v>1346</v>
      </c>
      <c r="C665" s="165" t="s">
        <v>462</v>
      </c>
      <c r="D665" s="315">
        <v>5</v>
      </c>
      <c r="E665" s="165" t="s">
        <v>486</v>
      </c>
      <c r="F665" s="165" t="s">
        <v>1063</v>
      </c>
      <c r="G665" s="112" t="s">
        <v>1047</v>
      </c>
      <c r="H665" s="159">
        <v>1</v>
      </c>
      <c r="I665" s="159">
        <v>4.35</v>
      </c>
      <c r="J665" s="105" t="s">
        <v>17</v>
      </c>
      <c r="K665" s="159">
        <v>1.85</v>
      </c>
      <c r="L665" s="165" t="s">
        <v>27</v>
      </c>
    </row>
    <row r="666" customHeight="1" spans="1:12">
      <c r="A666" s="318"/>
      <c r="B666" s="87"/>
      <c r="C666" s="140"/>
      <c r="D666" s="319"/>
      <c r="E666" s="140"/>
      <c r="F666" s="140"/>
      <c r="G666" s="112" t="s">
        <v>1048</v>
      </c>
      <c r="H666" s="159">
        <v>1</v>
      </c>
      <c r="I666" s="159">
        <v>0.15</v>
      </c>
      <c r="J666" s="105" t="s">
        <v>22</v>
      </c>
      <c r="K666" s="159">
        <v>1.92</v>
      </c>
      <c r="L666" s="259"/>
    </row>
    <row r="667" customHeight="1" spans="1:12">
      <c r="A667" s="318"/>
      <c r="B667" s="87"/>
      <c r="C667" s="140"/>
      <c r="D667" s="319"/>
      <c r="E667" s="140"/>
      <c r="F667" s="140"/>
      <c r="G667" s="112" t="s">
        <v>1347</v>
      </c>
      <c r="H667" s="159">
        <v>1.75</v>
      </c>
      <c r="I667" s="159">
        <v>0.25</v>
      </c>
      <c r="J667" s="105" t="s">
        <v>24</v>
      </c>
      <c r="K667" s="159" t="s">
        <v>24</v>
      </c>
      <c r="L667" s="259"/>
    </row>
    <row r="668" customHeight="1" spans="1:12">
      <c r="A668" s="316"/>
      <c r="B668" s="83"/>
      <c r="C668" s="143"/>
      <c r="D668" s="317"/>
      <c r="E668" s="143"/>
      <c r="F668" s="143"/>
      <c r="G668" s="112" t="s">
        <v>1348</v>
      </c>
      <c r="H668" s="159">
        <v>1.75</v>
      </c>
      <c r="I668" s="159">
        <v>0.25</v>
      </c>
      <c r="J668" s="105" t="s">
        <v>24</v>
      </c>
      <c r="K668" s="159" t="s">
        <v>24</v>
      </c>
      <c r="L668" s="261"/>
    </row>
    <row r="669" customHeight="1" spans="1:12">
      <c r="A669" s="314" t="s">
        <v>1342</v>
      </c>
      <c r="B669" s="253" t="s">
        <v>1349</v>
      </c>
      <c r="C669" s="165" t="s">
        <v>459</v>
      </c>
      <c r="D669" s="315">
        <v>10</v>
      </c>
      <c r="E669" s="165" t="s">
        <v>911</v>
      </c>
      <c r="F669" s="165" t="s">
        <v>482</v>
      </c>
      <c r="G669" s="112" t="s">
        <v>1047</v>
      </c>
      <c r="H669" s="159">
        <v>2</v>
      </c>
      <c r="I669" s="159">
        <v>8.7</v>
      </c>
      <c r="J669" s="105" t="s">
        <v>17</v>
      </c>
      <c r="K669" s="159">
        <v>1.88</v>
      </c>
      <c r="L669" s="165" t="s">
        <v>35</v>
      </c>
    </row>
    <row r="670" customHeight="1" spans="1:12">
      <c r="A670" s="318"/>
      <c r="B670" s="87"/>
      <c r="C670" s="140"/>
      <c r="D670" s="319"/>
      <c r="E670" s="140"/>
      <c r="F670" s="140"/>
      <c r="G670" s="112" t="s">
        <v>1048</v>
      </c>
      <c r="H670" s="159">
        <v>2</v>
      </c>
      <c r="I670" s="159">
        <v>0.4</v>
      </c>
      <c r="J670" s="105" t="s">
        <v>22</v>
      </c>
      <c r="K670" s="159">
        <v>2.1</v>
      </c>
      <c r="L670" s="259"/>
    </row>
    <row r="671" customHeight="1" spans="1:12">
      <c r="A671" s="318"/>
      <c r="B671" s="87"/>
      <c r="C671" s="140"/>
      <c r="D671" s="319"/>
      <c r="E671" s="140"/>
      <c r="F671" s="140"/>
      <c r="G671" s="112" t="s">
        <v>1055</v>
      </c>
      <c r="H671" s="159">
        <v>2</v>
      </c>
      <c r="I671" s="159">
        <v>0.4</v>
      </c>
      <c r="J671" s="105" t="s">
        <v>44</v>
      </c>
      <c r="K671" s="159">
        <v>3.4</v>
      </c>
      <c r="L671" s="259"/>
    </row>
    <row r="672" customHeight="1" spans="1:12">
      <c r="A672" s="316"/>
      <c r="B672" s="83"/>
      <c r="C672" s="143"/>
      <c r="D672" s="317"/>
      <c r="E672" s="143"/>
      <c r="F672" s="143"/>
      <c r="G672" s="112" t="s">
        <v>1051</v>
      </c>
      <c r="H672" s="159">
        <v>2</v>
      </c>
      <c r="I672" s="159">
        <v>0.5</v>
      </c>
      <c r="J672" s="105" t="s">
        <v>24</v>
      </c>
      <c r="K672" s="159" t="s">
        <v>24</v>
      </c>
      <c r="L672" s="261"/>
    </row>
    <row r="673" customHeight="1" spans="1:12">
      <c r="A673" s="314" t="s">
        <v>1345</v>
      </c>
      <c r="B673" s="253" t="s">
        <v>1350</v>
      </c>
      <c r="C673" s="165" t="s">
        <v>459</v>
      </c>
      <c r="D673" s="315">
        <v>4</v>
      </c>
      <c r="E673" s="165" t="s">
        <v>477</v>
      </c>
      <c r="F673" s="165" t="s">
        <v>1140</v>
      </c>
      <c r="G673" s="112" t="s">
        <v>1047</v>
      </c>
      <c r="H673" s="159">
        <v>1.52</v>
      </c>
      <c r="I673" s="159">
        <v>3.36</v>
      </c>
      <c r="J673" s="105" t="s">
        <v>17</v>
      </c>
      <c r="K673" s="159">
        <v>2.04</v>
      </c>
      <c r="L673" s="165" t="s">
        <v>112</v>
      </c>
    </row>
    <row r="674" customHeight="1" spans="1:12">
      <c r="A674" s="318"/>
      <c r="B674" s="87"/>
      <c r="C674" s="140"/>
      <c r="D674" s="319"/>
      <c r="E674" s="140"/>
      <c r="F674" s="140"/>
      <c r="G674" s="112" t="s">
        <v>1048</v>
      </c>
      <c r="H674" s="159">
        <v>1.52</v>
      </c>
      <c r="I674" s="159">
        <v>0.28</v>
      </c>
      <c r="J674" s="105" t="s">
        <v>22</v>
      </c>
      <c r="K674" s="159">
        <v>2.3</v>
      </c>
      <c r="L674" s="259"/>
    </row>
    <row r="675" customHeight="1" spans="1:12">
      <c r="A675" s="318"/>
      <c r="B675" s="87"/>
      <c r="C675" s="140"/>
      <c r="D675" s="319"/>
      <c r="E675" s="140"/>
      <c r="F675" s="140"/>
      <c r="G675" s="112" t="s">
        <v>1051</v>
      </c>
      <c r="H675" s="159">
        <v>1.52</v>
      </c>
      <c r="I675" s="159">
        <f>D673-I673-I674</f>
        <v>0.36</v>
      </c>
      <c r="J675" s="105" t="s">
        <v>24</v>
      </c>
      <c r="K675" s="159" t="s">
        <v>24</v>
      </c>
      <c r="L675" s="261"/>
    </row>
    <row r="676" customHeight="1" spans="1:12">
      <c r="A676" s="314" t="s">
        <v>1351</v>
      </c>
      <c r="B676" s="253" t="s">
        <v>1352</v>
      </c>
      <c r="C676" s="165" t="s">
        <v>462</v>
      </c>
      <c r="D676" s="315">
        <v>5</v>
      </c>
      <c r="E676" s="165" t="s">
        <v>486</v>
      </c>
      <c r="F676" s="165" t="s">
        <v>474</v>
      </c>
      <c r="G676" s="112" t="s">
        <v>1121</v>
      </c>
      <c r="H676" s="159">
        <v>0.98</v>
      </c>
      <c r="I676" s="159">
        <v>1.5</v>
      </c>
      <c r="J676" s="105" t="s">
        <v>17</v>
      </c>
      <c r="K676" s="159">
        <v>2.3</v>
      </c>
      <c r="L676" s="165" t="s">
        <v>1082</v>
      </c>
    </row>
    <row r="677" customHeight="1" spans="1:12">
      <c r="A677" s="318"/>
      <c r="B677" s="87"/>
      <c r="C677" s="140"/>
      <c r="D677" s="319"/>
      <c r="E677" s="140"/>
      <c r="F677" s="140"/>
      <c r="G677" s="112" t="s">
        <v>1122</v>
      </c>
      <c r="H677" s="159">
        <v>1.98</v>
      </c>
      <c r="I677" s="159">
        <v>2</v>
      </c>
      <c r="J677" s="105" t="s">
        <v>17</v>
      </c>
      <c r="K677" s="159">
        <v>2.7</v>
      </c>
      <c r="L677" s="259"/>
    </row>
    <row r="678" customHeight="1" spans="1:12">
      <c r="A678" s="318"/>
      <c r="B678" s="87"/>
      <c r="C678" s="140"/>
      <c r="D678" s="319"/>
      <c r="E678" s="140"/>
      <c r="F678" s="140"/>
      <c r="G678" s="112" t="s">
        <v>1141</v>
      </c>
      <c r="H678" s="159">
        <v>2.98</v>
      </c>
      <c r="I678" s="159">
        <v>1.425</v>
      </c>
      <c r="J678" s="105" t="s">
        <v>17</v>
      </c>
      <c r="K678" s="159">
        <v>4.1</v>
      </c>
      <c r="L678" s="259"/>
    </row>
    <row r="679" customHeight="1" spans="1:12">
      <c r="A679" s="316"/>
      <c r="B679" s="83"/>
      <c r="C679" s="143"/>
      <c r="D679" s="317"/>
      <c r="E679" s="143"/>
      <c r="F679" s="143"/>
      <c r="G679" s="112" t="s">
        <v>1051</v>
      </c>
      <c r="H679" s="159">
        <v>2.98</v>
      </c>
      <c r="I679" s="159">
        <v>0.075</v>
      </c>
      <c r="J679" s="105" t="s">
        <v>24</v>
      </c>
      <c r="K679" s="159" t="s">
        <v>24</v>
      </c>
      <c r="L679" s="261"/>
    </row>
    <row r="680" customHeight="1" spans="1:12">
      <c r="A680" s="314" t="s">
        <v>1353</v>
      </c>
      <c r="B680" s="253" t="s">
        <v>1354</v>
      </c>
      <c r="C680" s="165" t="s">
        <v>462</v>
      </c>
      <c r="D680" s="315">
        <v>6</v>
      </c>
      <c r="E680" s="165" t="s">
        <v>1136</v>
      </c>
      <c r="F680" s="165" t="s">
        <v>530</v>
      </c>
      <c r="G680" s="112" t="s">
        <v>1137</v>
      </c>
      <c r="H680" s="159">
        <v>0.9781</v>
      </c>
      <c r="I680" s="159">
        <v>5.91</v>
      </c>
      <c r="J680" s="105" t="s">
        <v>17</v>
      </c>
      <c r="K680" s="159">
        <v>2.35</v>
      </c>
      <c r="L680" s="165" t="s">
        <v>1082</v>
      </c>
    </row>
    <row r="681" customHeight="1" spans="1:12">
      <c r="A681" s="318"/>
      <c r="B681" s="87"/>
      <c r="C681" s="140"/>
      <c r="D681" s="319"/>
      <c r="E681" s="140"/>
      <c r="F681" s="140"/>
      <c r="G681" s="112" t="s">
        <v>1051</v>
      </c>
      <c r="H681" s="159">
        <v>3.0603</v>
      </c>
      <c r="I681" s="159">
        <v>0.09</v>
      </c>
      <c r="J681" s="105" t="s">
        <v>24</v>
      </c>
      <c r="K681" s="159" t="s">
        <v>24</v>
      </c>
      <c r="L681" s="261"/>
    </row>
    <row r="682" customHeight="1" spans="1:12">
      <c r="A682" s="314" t="s">
        <v>1353</v>
      </c>
      <c r="B682" s="253" t="s">
        <v>1355</v>
      </c>
      <c r="C682" s="165" t="s">
        <v>462</v>
      </c>
      <c r="D682" s="315">
        <v>8</v>
      </c>
      <c r="E682" s="165" t="s">
        <v>486</v>
      </c>
      <c r="F682" s="165" t="s">
        <v>1153</v>
      </c>
      <c r="G682" s="112" t="s">
        <v>1047</v>
      </c>
      <c r="H682" s="159">
        <v>0.9781</v>
      </c>
      <c r="I682" s="159">
        <v>2.4</v>
      </c>
      <c r="J682" s="52" t="s">
        <v>17</v>
      </c>
      <c r="K682" s="159">
        <v>2.3</v>
      </c>
      <c r="L682" s="165" t="s">
        <v>1082</v>
      </c>
    </row>
    <row r="683" customHeight="1" spans="1:12">
      <c r="A683" s="318"/>
      <c r="B683" s="87"/>
      <c r="C683" s="140"/>
      <c r="D683" s="319"/>
      <c r="E683" s="140"/>
      <c r="F683" s="140"/>
      <c r="G683" s="112" t="s">
        <v>1048</v>
      </c>
      <c r="H683" s="159">
        <v>1.9781</v>
      </c>
      <c r="I683" s="159">
        <v>3.2</v>
      </c>
      <c r="J683" s="52" t="s">
        <v>17</v>
      </c>
      <c r="K683" s="159">
        <v>2.7</v>
      </c>
      <c r="L683" s="259"/>
    </row>
    <row r="684" customHeight="1" spans="1:12">
      <c r="A684" s="318"/>
      <c r="B684" s="87"/>
      <c r="C684" s="140"/>
      <c r="D684" s="319"/>
      <c r="E684" s="140"/>
      <c r="F684" s="140"/>
      <c r="G684" s="112" t="s">
        <v>1050</v>
      </c>
      <c r="H684" s="159">
        <v>2.9781</v>
      </c>
      <c r="I684" s="159">
        <v>2.28</v>
      </c>
      <c r="J684" s="52" t="s">
        <v>17</v>
      </c>
      <c r="K684" s="159">
        <v>4.1</v>
      </c>
      <c r="L684" s="259"/>
    </row>
    <row r="685" customHeight="1" spans="1:12">
      <c r="A685" s="316"/>
      <c r="B685" s="83"/>
      <c r="C685" s="143"/>
      <c r="D685" s="317"/>
      <c r="E685" s="143"/>
      <c r="F685" s="143"/>
      <c r="G685" s="112" t="s">
        <v>1051</v>
      </c>
      <c r="H685" s="159">
        <v>2.9781</v>
      </c>
      <c r="I685" s="159">
        <v>0.12</v>
      </c>
      <c r="J685" s="105" t="s">
        <v>24</v>
      </c>
      <c r="K685" s="159" t="s">
        <v>24</v>
      </c>
      <c r="L685" s="261"/>
    </row>
    <row r="686" customHeight="1" spans="1:12">
      <c r="A686" s="314" t="s">
        <v>1345</v>
      </c>
      <c r="B686" s="253" t="s">
        <v>1356</v>
      </c>
      <c r="C686" s="165" t="s">
        <v>462</v>
      </c>
      <c r="D686" s="315">
        <v>7</v>
      </c>
      <c r="E686" s="165" t="s">
        <v>481</v>
      </c>
      <c r="F686" s="165" t="s">
        <v>482</v>
      </c>
      <c r="G686" s="112" t="s">
        <v>1121</v>
      </c>
      <c r="H686" s="159">
        <v>0.96</v>
      </c>
      <c r="I686" s="159">
        <v>4.9</v>
      </c>
      <c r="J686" s="105" t="s">
        <v>17</v>
      </c>
      <c r="K686" s="159">
        <v>1.82</v>
      </c>
      <c r="L686" s="165" t="s">
        <v>74</v>
      </c>
    </row>
    <row r="687" customHeight="1" spans="1:12">
      <c r="A687" s="318"/>
      <c r="B687" s="87"/>
      <c r="C687" s="140"/>
      <c r="D687" s="319"/>
      <c r="E687" s="140"/>
      <c r="F687" s="140"/>
      <c r="G687" s="112" t="s">
        <v>1122</v>
      </c>
      <c r="H687" s="159">
        <v>1.21</v>
      </c>
      <c r="I687" s="159">
        <v>1.4</v>
      </c>
      <c r="J687" s="105" t="s">
        <v>17</v>
      </c>
      <c r="K687" s="159">
        <v>1.87</v>
      </c>
      <c r="L687" s="259"/>
    </row>
    <row r="688" customHeight="1" spans="1:12">
      <c r="A688" s="318"/>
      <c r="B688" s="87"/>
      <c r="C688" s="140"/>
      <c r="D688" s="319"/>
      <c r="E688" s="140"/>
      <c r="F688" s="140"/>
      <c r="G688" s="112" t="s">
        <v>1048</v>
      </c>
      <c r="H688" s="159">
        <v>1.21</v>
      </c>
      <c r="I688" s="159">
        <v>0.21</v>
      </c>
      <c r="J688" s="105" t="s">
        <v>22</v>
      </c>
      <c r="K688" s="159">
        <v>2.19</v>
      </c>
      <c r="L688" s="259"/>
    </row>
    <row r="689" customHeight="1" spans="1:12">
      <c r="A689" s="316"/>
      <c r="B689" s="83"/>
      <c r="C689" s="143"/>
      <c r="D689" s="317"/>
      <c r="E689" s="143"/>
      <c r="F689" s="143"/>
      <c r="G689" s="112" t="s">
        <v>1051</v>
      </c>
      <c r="H689" s="159">
        <v>1.71</v>
      </c>
      <c r="I689" s="159">
        <v>0.49</v>
      </c>
      <c r="J689" s="105" t="s">
        <v>24</v>
      </c>
      <c r="K689" s="159" t="s">
        <v>24</v>
      </c>
      <c r="L689" s="261"/>
    </row>
    <row r="690" customHeight="1" spans="1:12">
      <c r="A690" s="314" t="s">
        <v>1342</v>
      </c>
      <c r="B690" s="253" t="s">
        <v>1357</v>
      </c>
      <c r="C690" s="165" t="s">
        <v>462</v>
      </c>
      <c r="D690" s="315">
        <v>3</v>
      </c>
      <c r="E690" s="165" t="s">
        <v>477</v>
      </c>
      <c r="F690" s="165" t="s">
        <v>460</v>
      </c>
      <c r="G690" s="112" t="s">
        <v>1047</v>
      </c>
      <c r="H690" s="159">
        <v>1.0356</v>
      </c>
      <c r="I690" s="159">
        <v>2.52</v>
      </c>
      <c r="J690" s="105" t="s">
        <v>17</v>
      </c>
      <c r="K690" s="159">
        <v>1.83</v>
      </c>
      <c r="L690" s="165" t="s">
        <v>27</v>
      </c>
    </row>
    <row r="691" customHeight="1" spans="1:12">
      <c r="A691" s="318"/>
      <c r="B691" s="87"/>
      <c r="C691" s="140"/>
      <c r="D691" s="319"/>
      <c r="E691" s="140"/>
      <c r="F691" s="140"/>
      <c r="G691" s="112" t="s">
        <v>1048</v>
      </c>
      <c r="H691" s="159">
        <v>1.0356</v>
      </c>
      <c r="I691" s="159">
        <v>0.17</v>
      </c>
      <c r="J691" s="105" t="s">
        <v>22</v>
      </c>
      <c r="K691" s="159">
        <v>1.87</v>
      </c>
      <c r="L691" s="259"/>
    </row>
    <row r="692" customHeight="1" spans="1:12">
      <c r="A692" s="318"/>
      <c r="B692" s="87"/>
      <c r="C692" s="140"/>
      <c r="D692" s="319"/>
      <c r="E692" s="140"/>
      <c r="F692" s="140"/>
      <c r="G692" s="112" t="s">
        <v>1051</v>
      </c>
      <c r="H692" s="159">
        <v>1.1123</v>
      </c>
      <c r="I692" s="159">
        <v>0.31</v>
      </c>
      <c r="J692" s="105" t="s">
        <v>24</v>
      </c>
      <c r="K692" s="159" t="s">
        <v>24</v>
      </c>
      <c r="L692" s="259"/>
    </row>
    <row r="693" customHeight="1" spans="1:12">
      <c r="A693" s="314" t="s">
        <v>1351</v>
      </c>
      <c r="B693" s="253" t="s">
        <v>1358</v>
      </c>
      <c r="C693" s="165" t="s">
        <v>462</v>
      </c>
      <c r="D693" s="315">
        <v>38</v>
      </c>
      <c r="E693" s="165" t="s">
        <v>1265</v>
      </c>
      <c r="F693" s="165" t="s">
        <v>1359</v>
      </c>
      <c r="G693" s="112" t="s">
        <v>1047</v>
      </c>
      <c r="H693" s="159">
        <v>0.99</v>
      </c>
      <c r="I693" s="159">
        <v>30.4</v>
      </c>
      <c r="J693" s="105" t="s">
        <v>17</v>
      </c>
      <c r="K693" s="159">
        <v>1.74</v>
      </c>
      <c r="L693" s="165" t="s">
        <v>435</v>
      </c>
    </row>
    <row r="694" customHeight="1" spans="1:12">
      <c r="A694" s="318"/>
      <c r="B694" s="87"/>
      <c r="C694" s="140"/>
      <c r="D694" s="319"/>
      <c r="E694" s="140"/>
      <c r="F694" s="140"/>
      <c r="G694" s="112" t="s">
        <v>1048</v>
      </c>
      <c r="H694" s="159">
        <v>0.99</v>
      </c>
      <c r="I694" s="379">
        <v>5.7</v>
      </c>
      <c r="J694" s="105" t="s">
        <v>22</v>
      </c>
      <c r="K694" s="159">
        <v>12</v>
      </c>
      <c r="L694" s="259"/>
    </row>
    <row r="695" customHeight="1" spans="1:12">
      <c r="A695" s="316"/>
      <c r="B695" s="83"/>
      <c r="C695" s="143"/>
      <c r="D695" s="317"/>
      <c r="E695" s="143"/>
      <c r="F695" s="143"/>
      <c r="G695" s="112" t="s">
        <v>1051</v>
      </c>
      <c r="H695" s="159">
        <v>0.99</v>
      </c>
      <c r="I695" s="379">
        <v>1.9</v>
      </c>
      <c r="J695" s="105" t="s">
        <v>24</v>
      </c>
      <c r="K695" s="159" t="s">
        <v>24</v>
      </c>
      <c r="L695" s="261"/>
    </row>
    <row r="696" customHeight="1" spans="1:12">
      <c r="A696" s="314" t="s">
        <v>1360</v>
      </c>
      <c r="B696" s="253" t="s">
        <v>1361</v>
      </c>
      <c r="C696" s="165" t="s">
        <v>459</v>
      </c>
      <c r="D696" s="315">
        <v>9.3</v>
      </c>
      <c r="E696" s="165" t="s">
        <v>477</v>
      </c>
      <c r="F696" s="165" t="s">
        <v>482</v>
      </c>
      <c r="G696" s="112" t="s">
        <v>1047</v>
      </c>
      <c r="H696" s="159">
        <v>0.92</v>
      </c>
      <c r="I696" s="379">
        <v>9</v>
      </c>
      <c r="J696" s="105" t="s">
        <v>17</v>
      </c>
      <c r="K696" s="159">
        <v>1.88</v>
      </c>
      <c r="L696" s="165" t="s">
        <v>35</v>
      </c>
    </row>
    <row r="697" customHeight="1" spans="1:12">
      <c r="A697" s="318"/>
      <c r="B697" s="87"/>
      <c r="C697" s="140"/>
      <c r="D697" s="319"/>
      <c r="E697" s="140"/>
      <c r="F697" s="140"/>
      <c r="G697" s="112" t="s">
        <v>1048</v>
      </c>
      <c r="H697" s="159">
        <v>0.92</v>
      </c>
      <c r="I697" s="379">
        <v>0.3</v>
      </c>
      <c r="J697" s="105" t="s">
        <v>22</v>
      </c>
      <c r="K697" s="159">
        <v>2.1</v>
      </c>
      <c r="L697" s="261"/>
    </row>
    <row r="698" customHeight="1" spans="1:12">
      <c r="A698" s="314" t="s">
        <v>1351</v>
      </c>
      <c r="B698" s="253" t="s">
        <v>1362</v>
      </c>
      <c r="C698" s="165" t="s">
        <v>459</v>
      </c>
      <c r="D698" s="315">
        <v>7</v>
      </c>
      <c r="E698" s="165" t="s">
        <v>552</v>
      </c>
      <c r="F698" s="165" t="s">
        <v>474</v>
      </c>
      <c r="G698" s="112" t="s">
        <v>1047</v>
      </c>
      <c r="H698" s="159">
        <v>1.4932</v>
      </c>
      <c r="I698" s="379">
        <v>5.93</v>
      </c>
      <c r="J698" s="105" t="s">
        <v>17</v>
      </c>
      <c r="K698" s="159">
        <v>2.2</v>
      </c>
      <c r="L698" s="165" t="s">
        <v>67</v>
      </c>
    </row>
    <row r="699" customHeight="1" spans="1:12">
      <c r="A699" s="318"/>
      <c r="B699" s="87"/>
      <c r="C699" s="140"/>
      <c r="D699" s="319"/>
      <c r="E699" s="140"/>
      <c r="F699" s="140"/>
      <c r="G699" s="112" t="s">
        <v>1048</v>
      </c>
      <c r="H699" s="159">
        <v>1.4932</v>
      </c>
      <c r="I699" s="379">
        <v>0.3</v>
      </c>
      <c r="J699" s="105" t="s">
        <v>22</v>
      </c>
      <c r="K699" s="159">
        <v>2.6</v>
      </c>
      <c r="L699" s="259"/>
    </row>
    <row r="700" customHeight="1" spans="1:12">
      <c r="A700" s="318"/>
      <c r="B700" s="87"/>
      <c r="C700" s="140"/>
      <c r="D700" s="319"/>
      <c r="E700" s="140"/>
      <c r="F700" s="140"/>
      <c r="G700" s="112" t="s">
        <v>1050</v>
      </c>
      <c r="H700" s="159">
        <v>1.4932</v>
      </c>
      <c r="I700" s="379">
        <v>0.28</v>
      </c>
      <c r="J700" s="105" t="s">
        <v>44</v>
      </c>
      <c r="K700" s="159">
        <v>4</v>
      </c>
      <c r="L700" s="259"/>
    </row>
    <row r="701" customHeight="1" spans="1:12">
      <c r="A701" s="316"/>
      <c r="B701" s="83"/>
      <c r="C701" s="143"/>
      <c r="D701" s="317"/>
      <c r="E701" s="143"/>
      <c r="F701" s="143"/>
      <c r="G701" s="112" t="s">
        <v>1051</v>
      </c>
      <c r="H701" s="159">
        <v>1.4932</v>
      </c>
      <c r="I701" s="379">
        <v>0.49</v>
      </c>
      <c r="J701" s="105" t="s">
        <v>24</v>
      </c>
      <c r="K701" s="159" t="s">
        <v>24</v>
      </c>
      <c r="L701" s="261"/>
    </row>
    <row r="702" customHeight="1" spans="1:12">
      <c r="A702" s="314" t="s">
        <v>1360</v>
      </c>
      <c r="B702" s="253" t="s">
        <v>1363</v>
      </c>
      <c r="C702" s="165" t="s">
        <v>459</v>
      </c>
      <c r="D702" s="315">
        <v>9.3</v>
      </c>
      <c r="E702" s="165" t="s">
        <v>477</v>
      </c>
      <c r="F702" s="165" t="s">
        <v>482</v>
      </c>
      <c r="G702" s="112" t="s">
        <v>1047</v>
      </c>
      <c r="H702" s="159">
        <v>0.92</v>
      </c>
      <c r="I702" s="379">
        <v>9</v>
      </c>
      <c r="J702" s="105" t="s">
        <v>17</v>
      </c>
      <c r="K702" s="159">
        <v>1.88</v>
      </c>
      <c r="L702" s="165" t="s">
        <v>35</v>
      </c>
    </row>
    <row r="703" customHeight="1" spans="1:12">
      <c r="A703" s="316"/>
      <c r="B703" s="83"/>
      <c r="C703" s="143"/>
      <c r="D703" s="317"/>
      <c r="E703" s="143"/>
      <c r="F703" s="143"/>
      <c r="G703" s="112" t="s">
        <v>1048</v>
      </c>
      <c r="H703" s="159">
        <v>0.92</v>
      </c>
      <c r="I703" s="379">
        <v>0.3</v>
      </c>
      <c r="J703" s="105" t="s">
        <v>22</v>
      </c>
      <c r="K703" s="159">
        <v>2.1</v>
      </c>
      <c r="L703" s="261"/>
    </row>
    <row r="704" customHeight="1" spans="1:12">
      <c r="A704" s="314" t="s">
        <v>1345</v>
      </c>
      <c r="B704" s="253" t="s">
        <v>1364</v>
      </c>
      <c r="C704" s="165" t="s">
        <v>462</v>
      </c>
      <c r="D704" s="315">
        <v>10</v>
      </c>
      <c r="E704" s="165" t="s">
        <v>1109</v>
      </c>
      <c r="F704" s="165" t="s">
        <v>460</v>
      </c>
      <c r="G704" s="112" t="s">
        <v>1047</v>
      </c>
      <c r="H704" s="159">
        <v>1.0055</v>
      </c>
      <c r="I704" s="379">
        <v>8</v>
      </c>
      <c r="J704" s="105" t="s">
        <v>17</v>
      </c>
      <c r="K704" s="159">
        <v>1.85</v>
      </c>
      <c r="L704" s="165" t="s">
        <v>27</v>
      </c>
    </row>
    <row r="705" customHeight="1" spans="1:12">
      <c r="A705" s="318"/>
      <c r="B705" s="87"/>
      <c r="C705" s="140"/>
      <c r="D705" s="319"/>
      <c r="E705" s="140"/>
      <c r="F705" s="140"/>
      <c r="G705" s="112" t="s">
        <v>1048</v>
      </c>
      <c r="H705" s="159">
        <v>1.0055</v>
      </c>
      <c r="I705" s="379">
        <v>0.61</v>
      </c>
      <c r="J705" s="105" t="s">
        <v>22</v>
      </c>
      <c r="K705" s="159">
        <v>1.89</v>
      </c>
      <c r="L705" s="259"/>
    </row>
    <row r="706" customHeight="1" spans="1:12">
      <c r="A706" s="316"/>
      <c r="B706" s="83"/>
      <c r="C706" s="143"/>
      <c r="D706" s="317"/>
      <c r="E706" s="143"/>
      <c r="F706" s="143"/>
      <c r="G706" s="112" t="s">
        <v>1051</v>
      </c>
      <c r="H706" s="159">
        <v>3.0055</v>
      </c>
      <c r="I706" s="379">
        <v>1.39</v>
      </c>
      <c r="J706" s="105" t="s">
        <v>24</v>
      </c>
      <c r="K706" s="159" t="s">
        <v>24</v>
      </c>
      <c r="L706" s="261"/>
    </row>
    <row r="707" customHeight="1" spans="1:12">
      <c r="A707" s="314" t="s">
        <v>1342</v>
      </c>
      <c r="B707" s="253" t="s">
        <v>1365</v>
      </c>
      <c r="C707" s="165" t="s">
        <v>459</v>
      </c>
      <c r="D707" s="315">
        <v>9.3</v>
      </c>
      <c r="E707" s="165" t="s">
        <v>1066</v>
      </c>
      <c r="F707" s="165" t="s">
        <v>482</v>
      </c>
      <c r="G707" s="112" t="s">
        <v>1047</v>
      </c>
      <c r="H707" s="159">
        <v>1</v>
      </c>
      <c r="I707" s="379">
        <v>9</v>
      </c>
      <c r="J707" s="105" t="s">
        <v>17</v>
      </c>
      <c r="K707" s="159">
        <v>1.9</v>
      </c>
      <c r="L707" s="165" t="s">
        <v>35</v>
      </c>
    </row>
    <row r="708" customHeight="1" spans="1:12">
      <c r="A708" s="318"/>
      <c r="B708" s="87"/>
      <c r="C708" s="140"/>
      <c r="D708" s="319"/>
      <c r="E708" s="140"/>
      <c r="F708" s="140"/>
      <c r="G708" s="119" t="s">
        <v>1048</v>
      </c>
      <c r="H708" s="380">
        <v>1</v>
      </c>
      <c r="I708" s="381">
        <v>0.3</v>
      </c>
      <c r="J708" s="117" t="s">
        <v>22</v>
      </c>
      <c r="K708" s="376">
        <v>2.1</v>
      </c>
      <c r="L708" s="259"/>
    </row>
    <row r="709" customHeight="1" spans="1:12">
      <c r="A709" s="111" t="s">
        <v>1366</v>
      </c>
      <c r="B709" s="214" t="s">
        <v>1367</v>
      </c>
      <c r="C709" s="205" t="s">
        <v>462</v>
      </c>
      <c r="D709" s="160">
        <v>5.7</v>
      </c>
      <c r="E709" s="205" t="s">
        <v>477</v>
      </c>
      <c r="F709" s="205" t="s">
        <v>523</v>
      </c>
      <c r="G709" s="112" t="s">
        <v>1047</v>
      </c>
      <c r="H709" s="159">
        <v>0.7616</v>
      </c>
      <c r="I709" s="379">
        <v>5.37</v>
      </c>
      <c r="J709" s="105" t="s">
        <v>17</v>
      </c>
      <c r="K709" s="159">
        <v>1.79</v>
      </c>
      <c r="L709" s="205" t="s">
        <v>112</v>
      </c>
    </row>
    <row r="710" customHeight="1" spans="1:12">
      <c r="A710" s="111"/>
      <c r="C710" s="111"/>
      <c r="D710" s="160"/>
      <c r="E710" s="111"/>
      <c r="F710" s="111"/>
      <c r="G710" s="112" t="s">
        <v>1048</v>
      </c>
      <c r="H710" s="159">
        <v>0.7616</v>
      </c>
      <c r="I710" s="379">
        <v>0.33</v>
      </c>
      <c r="J710" s="105" t="s">
        <v>22</v>
      </c>
      <c r="K710" s="159">
        <v>1.98</v>
      </c>
      <c r="L710" s="205"/>
    </row>
    <row r="711" customHeight="1" spans="1:12">
      <c r="A711" s="111" t="s">
        <v>1360</v>
      </c>
      <c r="B711" s="214" t="s">
        <v>1368</v>
      </c>
      <c r="C711" s="205" t="s">
        <v>462</v>
      </c>
      <c r="D711" s="160">
        <v>10</v>
      </c>
      <c r="E711" s="205" t="s">
        <v>484</v>
      </c>
      <c r="F711" s="205" t="s">
        <v>460</v>
      </c>
      <c r="G711" s="112" t="s">
        <v>1047</v>
      </c>
      <c r="H711" s="159">
        <v>1.9123</v>
      </c>
      <c r="I711" s="379">
        <v>8.7</v>
      </c>
      <c r="J711" s="105" t="s">
        <v>17</v>
      </c>
      <c r="K711" s="159">
        <v>2</v>
      </c>
      <c r="L711" s="205" t="s">
        <v>35</v>
      </c>
    </row>
    <row r="712" customHeight="1" spans="1:12">
      <c r="A712" s="111"/>
      <c r="C712" s="111"/>
      <c r="D712" s="160"/>
      <c r="E712" s="111"/>
      <c r="F712" s="111"/>
      <c r="G712" s="112" t="s">
        <v>1048</v>
      </c>
      <c r="H712" s="159">
        <v>1.9123</v>
      </c>
      <c r="I712" s="379">
        <v>0.4</v>
      </c>
      <c r="J712" s="105" t="s">
        <v>22</v>
      </c>
      <c r="K712" s="159">
        <v>2.1</v>
      </c>
      <c r="L712" s="205"/>
    </row>
    <row r="713" customHeight="1" spans="1:12">
      <c r="A713" s="111"/>
      <c r="C713" s="111"/>
      <c r="D713" s="160"/>
      <c r="E713" s="111"/>
      <c r="F713" s="111"/>
      <c r="G713" s="112" t="s">
        <v>1050</v>
      </c>
      <c r="H713" s="380">
        <v>1.9123</v>
      </c>
      <c r="I713" s="379">
        <v>0.4</v>
      </c>
      <c r="J713" s="105" t="s">
        <v>64</v>
      </c>
      <c r="K713" s="159">
        <v>3.4</v>
      </c>
      <c r="L713" s="205"/>
    </row>
    <row r="714" customHeight="1" spans="1:12">
      <c r="A714" s="111"/>
      <c r="C714" s="111"/>
      <c r="D714" s="160"/>
      <c r="E714" s="111"/>
      <c r="F714" s="111"/>
      <c r="G714" s="112" t="s">
        <v>1051</v>
      </c>
      <c r="H714" s="159">
        <v>2.8306</v>
      </c>
      <c r="I714" s="379">
        <v>0.5</v>
      </c>
      <c r="J714" s="105" t="s">
        <v>24</v>
      </c>
      <c r="K714" s="159" t="s">
        <v>24</v>
      </c>
      <c r="L714" s="205"/>
    </row>
    <row r="715" customHeight="1" spans="1:12">
      <c r="A715" s="111" t="s">
        <v>1366</v>
      </c>
      <c r="B715" s="214" t="s">
        <v>1369</v>
      </c>
      <c r="C715" s="205" t="s">
        <v>459</v>
      </c>
      <c r="D715" s="160">
        <v>5</v>
      </c>
      <c r="E715" s="205" t="s">
        <v>1205</v>
      </c>
      <c r="F715" s="205" t="s">
        <v>474</v>
      </c>
      <c r="G715" s="112" t="s">
        <v>1047</v>
      </c>
      <c r="H715" s="159">
        <v>0.9973</v>
      </c>
      <c r="I715" s="381">
        <v>4.4</v>
      </c>
      <c r="J715" s="105" t="s">
        <v>17</v>
      </c>
      <c r="K715" s="159">
        <v>1.85</v>
      </c>
      <c r="L715" s="205" t="s">
        <v>41</v>
      </c>
    </row>
    <row r="716" customHeight="1" spans="1:12">
      <c r="A716" s="111"/>
      <c r="C716" s="111"/>
      <c r="D716" s="160"/>
      <c r="E716" s="111"/>
      <c r="F716" s="111"/>
      <c r="G716" s="112" t="s">
        <v>1048</v>
      </c>
      <c r="H716" s="159">
        <v>0.9973</v>
      </c>
      <c r="I716" s="379">
        <v>0.17</v>
      </c>
      <c r="J716" s="117" t="s">
        <v>22</v>
      </c>
      <c r="K716" s="159">
        <v>2.05</v>
      </c>
      <c r="L716" s="205"/>
    </row>
    <row r="717" customHeight="1" spans="1:12">
      <c r="A717" s="111"/>
      <c r="C717" s="111"/>
      <c r="D717" s="160"/>
      <c r="E717" s="111"/>
      <c r="F717" s="111"/>
      <c r="G717" s="112" t="s">
        <v>1050</v>
      </c>
      <c r="H717" s="159">
        <v>0.9973</v>
      </c>
      <c r="I717" s="379">
        <v>0.18</v>
      </c>
      <c r="J717" s="105" t="s">
        <v>1370</v>
      </c>
      <c r="K717" s="376">
        <v>4.5</v>
      </c>
      <c r="L717" s="205"/>
    </row>
    <row r="718" customHeight="1" spans="1:12">
      <c r="A718" s="111"/>
      <c r="C718" s="111"/>
      <c r="D718" s="160"/>
      <c r="E718" s="111"/>
      <c r="F718" s="111"/>
      <c r="G718" s="112" t="s">
        <v>1051</v>
      </c>
      <c r="H718" s="380">
        <v>2.7432</v>
      </c>
      <c r="I718" s="379">
        <v>0.25</v>
      </c>
      <c r="J718" s="105" t="s">
        <v>24</v>
      </c>
      <c r="K718" s="159" t="s">
        <v>24</v>
      </c>
      <c r="L718" s="205"/>
    </row>
    <row r="719" customHeight="1" spans="1:12">
      <c r="A719" s="111" t="s">
        <v>1360</v>
      </c>
      <c r="B719" s="214" t="s">
        <v>1371</v>
      </c>
      <c r="C719" s="205" t="s">
        <v>462</v>
      </c>
      <c r="D719" s="160">
        <v>10</v>
      </c>
      <c r="E719" s="205" t="s">
        <v>1079</v>
      </c>
      <c r="F719" s="205" t="s">
        <v>1140</v>
      </c>
      <c r="G719" s="112" t="s">
        <v>1047</v>
      </c>
      <c r="H719" s="159">
        <v>1.0795</v>
      </c>
      <c r="I719" s="379">
        <v>9</v>
      </c>
      <c r="J719" s="105" t="s">
        <v>17</v>
      </c>
      <c r="K719" s="159">
        <v>1.82</v>
      </c>
      <c r="L719" s="205" t="s">
        <v>35</v>
      </c>
    </row>
    <row r="720" customHeight="1" spans="1:12">
      <c r="A720" s="111"/>
      <c r="C720" s="111"/>
      <c r="D720" s="160"/>
      <c r="E720" s="111"/>
      <c r="F720" s="111"/>
      <c r="G720" s="112" t="s">
        <v>1048</v>
      </c>
      <c r="H720" s="159">
        <v>1.1644</v>
      </c>
      <c r="I720" s="379">
        <v>0.3</v>
      </c>
      <c r="J720" s="105" t="s">
        <v>22</v>
      </c>
      <c r="K720" s="159">
        <v>2.1</v>
      </c>
      <c r="L720" s="205"/>
    </row>
    <row r="721" customHeight="1" spans="1:35">
      <c r="A721" s="111"/>
      <c r="C721" s="111"/>
      <c r="D721" s="160"/>
      <c r="E721" s="111"/>
      <c r="F721" s="111"/>
      <c r="G721" s="112" t="s">
        <v>1050</v>
      </c>
      <c r="H721" s="159">
        <v>1.1644</v>
      </c>
      <c r="I721" s="379">
        <v>0.2</v>
      </c>
      <c r="J721" s="105" t="s">
        <v>64</v>
      </c>
      <c r="K721" s="159">
        <v>3.4</v>
      </c>
      <c r="L721" s="205"/>
    </row>
    <row r="722" customHeight="1" spans="1:35">
      <c r="A722" s="111"/>
      <c r="C722" s="111"/>
      <c r="D722" s="160"/>
      <c r="E722" s="111"/>
      <c r="F722" s="111"/>
      <c r="G722" s="112" t="s">
        <v>1051</v>
      </c>
      <c r="H722" s="159">
        <v>1.9918</v>
      </c>
      <c r="I722" s="381">
        <v>0.5</v>
      </c>
      <c r="J722" s="105" t="s">
        <v>24</v>
      </c>
      <c r="K722" s="159" t="s">
        <v>24</v>
      </c>
      <c r="L722" s="205"/>
    </row>
    <row r="723" s="295" customFormat="1" customHeight="1" spans="1:35">
      <c r="A723" s="111" t="s">
        <v>1360</v>
      </c>
      <c r="B723" s="214" t="s">
        <v>1372</v>
      </c>
      <c r="C723" s="205" t="s">
        <v>462</v>
      </c>
      <c r="D723" s="160">
        <v>3</v>
      </c>
      <c r="E723" s="205" t="s">
        <v>477</v>
      </c>
      <c r="F723" s="205" t="s">
        <v>1091</v>
      </c>
      <c r="G723" s="112" t="s">
        <v>1047</v>
      </c>
      <c r="H723" s="380">
        <v>0.9945</v>
      </c>
      <c r="I723" s="379">
        <v>2.58</v>
      </c>
      <c r="J723" s="105" t="s">
        <v>17</v>
      </c>
      <c r="K723" s="159">
        <v>1.88</v>
      </c>
      <c r="L723" s="205" t="s">
        <v>35</v>
      </c>
      <c r="M723" s="296"/>
      <c r="N723" s="296"/>
      <c r="O723" s="296"/>
      <c r="P723" s="296"/>
      <c r="Q723" s="296"/>
      <c r="R723" s="296"/>
      <c r="S723" s="296"/>
      <c r="T723" s="296"/>
      <c r="U723" s="296"/>
      <c r="V723" s="296"/>
      <c r="W723" s="296"/>
      <c r="X723" s="296"/>
      <c r="Y723" s="296"/>
      <c r="Z723" s="296"/>
      <c r="AA723" s="296"/>
      <c r="AB723" s="296"/>
      <c r="AC723" s="296"/>
      <c r="AD723" s="296"/>
      <c r="AE723" s="296"/>
      <c r="AF723" s="296"/>
      <c r="AG723" s="296"/>
      <c r="AH723" s="296"/>
      <c r="AI723" s="296"/>
    </row>
    <row r="724" s="296" customFormat="1" customHeight="1" spans="1:35">
      <c r="A724" s="111"/>
      <c r="B724" s="48"/>
      <c r="C724" s="111"/>
      <c r="D724" s="160"/>
      <c r="E724" s="111"/>
      <c r="F724" s="111"/>
      <c r="G724" s="112" t="s">
        <v>1048</v>
      </c>
      <c r="H724" s="159">
        <v>0.9945</v>
      </c>
      <c r="I724" s="379">
        <v>0.12</v>
      </c>
      <c r="J724" s="117" t="s">
        <v>22</v>
      </c>
      <c r="K724" s="159">
        <v>2.15</v>
      </c>
      <c r="L724" s="205"/>
    </row>
    <row r="725" s="295" customFormat="1" customHeight="1" spans="1:35">
      <c r="A725" s="111"/>
      <c r="B725" s="48"/>
      <c r="C725" s="111"/>
      <c r="D725" s="160"/>
      <c r="E725" s="111"/>
      <c r="F725" s="111"/>
      <c r="G725" s="112" t="s">
        <v>1050</v>
      </c>
      <c r="H725" s="159">
        <v>0.9945</v>
      </c>
      <c r="I725" s="379">
        <v>0.15</v>
      </c>
      <c r="J725" s="105" t="s">
        <v>64</v>
      </c>
      <c r="K725" s="159">
        <v>3.3</v>
      </c>
      <c r="L725" s="205"/>
      <c r="M725" s="296"/>
      <c r="N725" s="296"/>
      <c r="O725" s="296"/>
      <c r="P725" s="296"/>
      <c r="Q725" s="296"/>
      <c r="R725" s="296"/>
      <c r="S725" s="296"/>
      <c r="T725" s="296"/>
      <c r="U725" s="296"/>
      <c r="V725" s="296"/>
      <c r="W725" s="296"/>
      <c r="X725" s="296"/>
      <c r="Y725" s="296"/>
      <c r="Z725" s="296"/>
      <c r="AA725" s="296"/>
      <c r="AB725" s="296"/>
      <c r="AC725" s="296"/>
      <c r="AD725" s="296"/>
      <c r="AE725" s="296"/>
      <c r="AF725" s="296"/>
      <c r="AG725" s="296"/>
      <c r="AH725" s="296"/>
      <c r="AI725" s="296"/>
    </row>
    <row r="726" customHeight="1" spans="1:35">
      <c r="A726" s="111"/>
      <c r="C726" s="111"/>
      <c r="D726" s="160"/>
      <c r="E726" s="111"/>
      <c r="F726" s="111"/>
      <c r="G726" s="112" t="s">
        <v>1051</v>
      </c>
      <c r="H726" s="159">
        <v>1.5836</v>
      </c>
      <c r="I726" s="379">
        <v>0.15</v>
      </c>
      <c r="J726" s="105" t="s">
        <v>24</v>
      </c>
      <c r="K726" s="376" t="s">
        <v>24</v>
      </c>
      <c r="L726" s="205"/>
    </row>
    <row r="727" customHeight="1" spans="1:35">
      <c r="A727" s="111" t="s">
        <v>1360</v>
      </c>
      <c r="B727" s="214" t="s">
        <v>1373</v>
      </c>
      <c r="C727" s="205" t="s">
        <v>462</v>
      </c>
      <c r="D727" s="160">
        <v>10</v>
      </c>
      <c r="E727" s="205" t="s">
        <v>492</v>
      </c>
      <c r="F727" s="205" t="s">
        <v>487</v>
      </c>
      <c r="G727" s="112" t="s">
        <v>1121</v>
      </c>
      <c r="H727" s="159">
        <v>0.9507</v>
      </c>
      <c r="I727" s="379">
        <v>7</v>
      </c>
      <c r="J727" s="105" t="s">
        <v>17</v>
      </c>
      <c r="K727" s="159">
        <v>1.8</v>
      </c>
      <c r="L727" s="205" t="s">
        <v>74</v>
      </c>
    </row>
    <row r="728" customHeight="1" spans="1:35">
      <c r="A728" s="111"/>
      <c r="C728" s="111"/>
      <c r="D728" s="160"/>
      <c r="E728" s="111"/>
      <c r="F728" s="111"/>
      <c r="G728" s="112" t="s">
        <v>1122</v>
      </c>
      <c r="H728" s="380">
        <v>1.2027</v>
      </c>
      <c r="I728" s="379">
        <v>2</v>
      </c>
      <c r="J728" s="105" t="s">
        <v>17</v>
      </c>
      <c r="K728" s="159">
        <v>1.85</v>
      </c>
      <c r="L728" s="205"/>
    </row>
    <row r="729" customHeight="1" spans="1:35">
      <c r="A729" s="111"/>
      <c r="C729" s="111"/>
      <c r="D729" s="160"/>
      <c r="E729" s="111"/>
      <c r="F729" s="111"/>
      <c r="G729" s="112" t="s">
        <v>1048</v>
      </c>
      <c r="H729" s="159">
        <v>1.2027</v>
      </c>
      <c r="I729" s="381">
        <v>0.3</v>
      </c>
      <c r="J729" s="105" t="s">
        <v>22</v>
      </c>
      <c r="K729" s="159">
        <v>2.19</v>
      </c>
      <c r="L729" s="205"/>
    </row>
    <row r="730" customHeight="1" spans="1:35">
      <c r="A730" s="116"/>
      <c r="B730" s="88"/>
      <c r="C730" s="116"/>
      <c r="D730" s="315"/>
      <c r="E730" s="116"/>
      <c r="F730" s="116"/>
      <c r="G730" s="119" t="s">
        <v>1051</v>
      </c>
      <c r="H730" s="376">
        <v>1.6986</v>
      </c>
      <c r="I730" s="381">
        <v>0.7</v>
      </c>
      <c r="J730" s="117" t="s">
        <v>24</v>
      </c>
      <c r="K730" s="376" t="s">
        <v>24</v>
      </c>
      <c r="L730" s="165"/>
    </row>
    <row r="731" customHeight="1" spans="1:35">
      <c r="A731" s="382">
        <v>45848</v>
      </c>
      <c r="B731" s="374" t="s">
        <v>1374</v>
      </c>
      <c r="C731" s="374" t="s">
        <v>462</v>
      </c>
      <c r="D731" s="159">
        <v>5</v>
      </c>
      <c r="E731" s="374" t="s">
        <v>536</v>
      </c>
      <c r="F731" s="374" t="s">
        <v>460</v>
      </c>
      <c r="G731" s="157" t="s">
        <v>1064</v>
      </c>
      <c r="H731" s="159">
        <v>1.05</v>
      </c>
      <c r="I731" s="159">
        <v>4.12</v>
      </c>
      <c r="J731" s="159" t="s">
        <v>17</v>
      </c>
      <c r="K731" s="159">
        <v>1.8</v>
      </c>
      <c r="L731" s="374" t="s">
        <v>27</v>
      </c>
    </row>
    <row r="732" customHeight="1" spans="1:35">
      <c r="A732" s="382"/>
      <c r="B732" s="157"/>
      <c r="C732" s="157"/>
      <c r="D732" s="159"/>
      <c r="E732" s="157"/>
      <c r="F732" s="157"/>
      <c r="G732" s="157" t="s">
        <v>1060</v>
      </c>
      <c r="H732" s="159">
        <v>1.05</v>
      </c>
      <c r="I732" s="159">
        <v>0.28</v>
      </c>
      <c r="J732" s="159" t="s">
        <v>22</v>
      </c>
      <c r="K732" s="159">
        <v>1.85</v>
      </c>
      <c r="L732" s="374"/>
    </row>
    <row r="733" customHeight="1" spans="1:35">
      <c r="A733" s="382"/>
      <c r="B733" s="157"/>
      <c r="C733" s="157"/>
      <c r="D733" s="159"/>
      <c r="E733" s="157"/>
      <c r="F733" s="157"/>
      <c r="G733" s="157" t="s">
        <v>1321</v>
      </c>
      <c r="H733" s="159">
        <v>1.88</v>
      </c>
      <c r="I733" s="159">
        <v>0.35</v>
      </c>
      <c r="J733" s="159" t="s">
        <v>24</v>
      </c>
      <c r="K733" s="159" t="s">
        <v>24</v>
      </c>
      <c r="L733" s="374"/>
    </row>
    <row r="734" customHeight="1" spans="1:35">
      <c r="A734" s="382"/>
      <c r="B734" s="157"/>
      <c r="C734" s="157"/>
      <c r="D734" s="159"/>
      <c r="E734" s="157"/>
      <c r="F734" s="157"/>
      <c r="G734" s="157" t="s">
        <v>1322</v>
      </c>
      <c r="H734" s="159">
        <v>1.88</v>
      </c>
      <c r="I734" s="159">
        <v>0.25</v>
      </c>
      <c r="J734" s="159" t="s">
        <v>24</v>
      </c>
      <c r="K734" s="159" t="s">
        <v>24</v>
      </c>
      <c r="L734" s="374"/>
    </row>
    <row r="735" customHeight="1" spans="1:35">
      <c r="A735" s="382">
        <v>45847</v>
      </c>
      <c r="B735" s="374" t="s">
        <v>1375</v>
      </c>
      <c r="C735" s="374" t="s">
        <v>462</v>
      </c>
      <c r="D735" s="159">
        <v>5</v>
      </c>
      <c r="E735" s="374" t="s">
        <v>477</v>
      </c>
      <c r="F735" s="374" t="s">
        <v>474</v>
      </c>
      <c r="G735" s="157" t="s">
        <v>1058</v>
      </c>
      <c r="H735" s="159">
        <v>1.04</v>
      </c>
      <c r="I735" s="159">
        <v>3.5</v>
      </c>
      <c r="J735" s="159" t="s">
        <v>17</v>
      </c>
      <c r="K735" s="159">
        <v>1.8</v>
      </c>
      <c r="L735" s="374" t="s">
        <v>41</v>
      </c>
    </row>
    <row r="736" customHeight="1" spans="1:35">
      <c r="A736" s="382"/>
      <c r="B736" s="157"/>
      <c r="C736" s="157"/>
      <c r="D736" s="159"/>
      <c r="E736" s="157"/>
      <c r="F736" s="157"/>
      <c r="G736" s="157" t="s">
        <v>1059</v>
      </c>
      <c r="H736" s="159">
        <v>1.17</v>
      </c>
      <c r="I736" s="159">
        <v>0.7</v>
      </c>
      <c r="J736" s="159" t="s">
        <v>17</v>
      </c>
      <c r="K736" s="159">
        <v>1.93</v>
      </c>
      <c r="L736" s="374"/>
    </row>
    <row r="737" customHeight="1" spans="1:12">
      <c r="A737" s="382"/>
      <c r="B737" s="157"/>
      <c r="C737" s="157"/>
      <c r="D737" s="159"/>
      <c r="E737" s="157"/>
      <c r="F737" s="157"/>
      <c r="G737" s="157" t="s">
        <v>1060</v>
      </c>
      <c r="H737" s="159">
        <v>1.25</v>
      </c>
      <c r="I737" s="159">
        <v>0.27</v>
      </c>
      <c r="J737" s="159" t="s">
        <v>22</v>
      </c>
      <c r="K737" s="159">
        <v>2.09</v>
      </c>
      <c r="L737" s="374"/>
    </row>
    <row r="738" customHeight="1" spans="1:12">
      <c r="A738" s="382"/>
      <c r="B738" s="157"/>
      <c r="C738" s="157"/>
      <c r="D738" s="159"/>
      <c r="E738" s="157"/>
      <c r="F738" s="157"/>
      <c r="G738" s="157" t="s">
        <v>1061</v>
      </c>
      <c r="H738" s="159">
        <v>1.29</v>
      </c>
      <c r="I738" s="159">
        <v>0.28</v>
      </c>
      <c r="J738" s="159" t="s">
        <v>351</v>
      </c>
      <c r="K738" s="159">
        <v>4.5</v>
      </c>
      <c r="L738" s="374"/>
    </row>
    <row r="739" customHeight="1" spans="1:12">
      <c r="A739" s="382"/>
      <c r="B739" s="157"/>
      <c r="C739" s="157"/>
      <c r="D739" s="159"/>
      <c r="E739" s="157"/>
      <c r="F739" s="157"/>
      <c r="G739" s="157" t="s">
        <v>1083</v>
      </c>
      <c r="H739" s="159">
        <v>1.75</v>
      </c>
      <c r="I739" s="159">
        <v>0.25</v>
      </c>
      <c r="J739" s="159" t="s">
        <v>24</v>
      </c>
      <c r="K739" s="159" t="s">
        <v>24</v>
      </c>
      <c r="L739" s="374"/>
    </row>
    <row r="740" customHeight="1" spans="1:12">
      <c r="A740" s="382">
        <v>45846</v>
      </c>
      <c r="B740" s="374" t="s">
        <v>1376</v>
      </c>
      <c r="C740" s="374" t="s">
        <v>462</v>
      </c>
      <c r="D740" s="159">
        <v>3</v>
      </c>
      <c r="E740" s="374" t="s">
        <v>1045</v>
      </c>
      <c r="F740" s="374" t="s">
        <v>1377</v>
      </c>
      <c r="G740" s="157" t="s">
        <v>1064</v>
      </c>
      <c r="H740" s="159">
        <v>1.25</v>
      </c>
      <c r="I740" s="159">
        <v>2.5</v>
      </c>
      <c r="J740" s="159" t="s">
        <v>17</v>
      </c>
      <c r="K740" s="159">
        <v>2.3</v>
      </c>
      <c r="L740" s="374" t="s">
        <v>123</v>
      </c>
    </row>
    <row r="741" customHeight="1" spans="1:12">
      <c r="A741" s="382"/>
      <c r="B741" s="157"/>
      <c r="C741" s="157"/>
      <c r="D741" s="159"/>
      <c r="E741" s="157"/>
      <c r="F741" s="157"/>
      <c r="G741" s="157" t="s">
        <v>1060</v>
      </c>
      <c r="H741" s="159">
        <v>1.25</v>
      </c>
      <c r="I741" s="159">
        <v>0.2</v>
      </c>
      <c r="J741" s="159" t="s">
        <v>22</v>
      </c>
      <c r="K741" s="159">
        <v>2.8</v>
      </c>
      <c r="L741" s="374"/>
    </row>
    <row r="742" customHeight="1" spans="1:12">
      <c r="A742" s="382"/>
      <c r="B742" s="157"/>
      <c r="C742" s="157"/>
      <c r="D742" s="159"/>
      <c r="E742" s="157"/>
      <c r="F742" s="157"/>
      <c r="G742" s="157" t="s">
        <v>1061</v>
      </c>
      <c r="H742" s="159">
        <v>1.25</v>
      </c>
      <c r="I742" s="159">
        <v>0.15</v>
      </c>
      <c r="J742" s="159" t="s">
        <v>44</v>
      </c>
      <c r="K742" s="159">
        <v>3</v>
      </c>
      <c r="L742" s="374"/>
    </row>
    <row r="743" customHeight="1" spans="1:12">
      <c r="A743" s="382"/>
      <c r="B743" s="157"/>
      <c r="C743" s="157"/>
      <c r="D743" s="159"/>
      <c r="E743" s="157"/>
      <c r="F743" s="157"/>
      <c r="G743" s="157" t="s">
        <v>1083</v>
      </c>
      <c r="H743" s="159">
        <v>1.25</v>
      </c>
      <c r="I743" s="159">
        <v>0.15</v>
      </c>
      <c r="J743" s="159" t="s">
        <v>24</v>
      </c>
      <c r="K743" s="159" t="s">
        <v>24</v>
      </c>
      <c r="L743" s="374"/>
    </row>
    <row r="744" customHeight="1" spans="1:12">
      <c r="A744" s="382">
        <v>45846</v>
      </c>
      <c r="B744" s="374" t="s">
        <v>1378</v>
      </c>
      <c r="C744" s="374" t="s">
        <v>462</v>
      </c>
      <c r="D744" s="159">
        <v>10</v>
      </c>
      <c r="E744" s="374" t="s">
        <v>536</v>
      </c>
      <c r="F744" s="374" t="s">
        <v>460</v>
      </c>
      <c r="G744" s="157" t="s">
        <v>1064</v>
      </c>
      <c r="H744" s="159">
        <v>1.92</v>
      </c>
      <c r="I744" s="159">
        <v>8.7</v>
      </c>
      <c r="J744" s="159" t="s">
        <v>17</v>
      </c>
      <c r="K744" s="159">
        <v>1.98</v>
      </c>
      <c r="L744" s="374" t="s">
        <v>35</v>
      </c>
    </row>
    <row r="745" customHeight="1" spans="1:12">
      <c r="A745" s="382"/>
      <c r="B745" s="157"/>
      <c r="C745" s="157"/>
      <c r="D745" s="159"/>
      <c r="E745" s="157"/>
      <c r="F745" s="157"/>
      <c r="G745" s="157" t="s">
        <v>1060</v>
      </c>
      <c r="H745" s="159">
        <v>1.92</v>
      </c>
      <c r="I745" s="159">
        <v>0.4</v>
      </c>
      <c r="J745" s="159" t="s">
        <v>22</v>
      </c>
      <c r="K745" s="159">
        <v>2.08</v>
      </c>
      <c r="L745" s="374"/>
    </row>
    <row r="746" customHeight="1" spans="1:12">
      <c r="A746" s="382"/>
      <c r="B746" s="157"/>
      <c r="C746" s="157"/>
      <c r="D746" s="159"/>
      <c r="E746" s="157"/>
      <c r="F746" s="157"/>
      <c r="G746" s="157" t="s">
        <v>1061</v>
      </c>
      <c r="H746" s="159">
        <v>1.92</v>
      </c>
      <c r="I746" s="159">
        <v>0.4</v>
      </c>
      <c r="J746" s="159" t="s">
        <v>64</v>
      </c>
      <c r="K746" s="159">
        <v>3.4</v>
      </c>
      <c r="L746" s="374"/>
    </row>
    <row r="747" customHeight="1" spans="1:12">
      <c r="A747" s="382"/>
      <c r="B747" s="157"/>
      <c r="C747" s="157"/>
      <c r="D747" s="159"/>
      <c r="E747" s="157"/>
      <c r="F747" s="157"/>
      <c r="G747" s="157" t="s">
        <v>1083</v>
      </c>
      <c r="H747" s="159">
        <v>2.83</v>
      </c>
      <c r="I747" s="159">
        <v>0.5</v>
      </c>
      <c r="J747" s="159" t="s">
        <v>24</v>
      </c>
      <c r="K747" s="159" t="s">
        <v>24</v>
      </c>
      <c r="L747" s="374"/>
    </row>
    <row r="748" customHeight="1" spans="1:12">
      <c r="A748" s="382">
        <v>45849</v>
      </c>
      <c r="B748" s="374" t="s">
        <v>1379</v>
      </c>
      <c r="C748" s="374" t="s">
        <v>462</v>
      </c>
      <c r="D748" s="159">
        <v>30</v>
      </c>
      <c r="E748" s="374" t="s">
        <v>1265</v>
      </c>
      <c r="F748" s="374" t="s">
        <v>1063</v>
      </c>
      <c r="G748" s="157" t="s">
        <v>1064</v>
      </c>
      <c r="H748" s="159">
        <v>1</v>
      </c>
      <c r="I748" s="159">
        <v>24</v>
      </c>
      <c r="J748" s="159" t="s">
        <v>17</v>
      </c>
      <c r="K748" s="159">
        <v>1.69</v>
      </c>
      <c r="L748" s="374" t="s">
        <v>435</v>
      </c>
    </row>
    <row r="749" customHeight="1" spans="1:12">
      <c r="A749" s="382"/>
      <c r="B749" s="157"/>
      <c r="C749" s="157"/>
      <c r="D749" s="159"/>
      <c r="E749" s="157"/>
      <c r="F749" s="157"/>
      <c r="G749" s="157" t="s">
        <v>1060</v>
      </c>
      <c r="H749" s="159">
        <v>1</v>
      </c>
      <c r="I749" s="159">
        <v>4.5</v>
      </c>
      <c r="J749" s="159" t="s">
        <v>22</v>
      </c>
      <c r="K749" s="159">
        <v>12</v>
      </c>
      <c r="L749" s="374"/>
    </row>
    <row r="750" customHeight="1" spans="1:12">
      <c r="A750" s="382"/>
      <c r="B750" s="157"/>
      <c r="C750" s="157"/>
      <c r="D750" s="159"/>
      <c r="E750" s="157"/>
      <c r="F750" s="157"/>
      <c r="G750" s="157" t="s">
        <v>1083</v>
      </c>
      <c r="H750" s="159">
        <v>1</v>
      </c>
      <c r="I750" s="159">
        <v>1.5</v>
      </c>
      <c r="J750" s="159" t="s">
        <v>24</v>
      </c>
      <c r="K750" s="159" t="s">
        <v>24</v>
      </c>
      <c r="L750" s="374"/>
    </row>
    <row r="751" customHeight="1" spans="1:12">
      <c r="A751" s="383">
        <v>45847</v>
      </c>
      <c r="B751" s="377" t="s">
        <v>1380</v>
      </c>
      <c r="C751" s="377" t="s">
        <v>459</v>
      </c>
      <c r="D751" s="376">
        <v>10</v>
      </c>
      <c r="E751" s="377" t="s">
        <v>1381</v>
      </c>
      <c r="F751" s="377" t="s">
        <v>482</v>
      </c>
      <c r="G751" s="157" t="s">
        <v>1064</v>
      </c>
      <c r="H751" s="159">
        <v>1</v>
      </c>
      <c r="I751" s="159">
        <v>8.24</v>
      </c>
      <c r="J751" s="159" t="s">
        <v>17</v>
      </c>
      <c r="K751" s="159">
        <v>1.83</v>
      </c>
      <c r="L751" s="377" t="s">
        <v>1382</v>
      </c>
    </row>
    <row r="752" customHeight="1" spans="1:12">
      <c r="A752" s="384"/>
      <c r="B752" s="385"/>
      <c r="C752" s="385"/>
      <c r="D752" s="386"/>
      <c r="E752" s="385"/>
      <c r="F752" s="385"/>
      <c r="G752" s="157" t="s">
        <v>1060</v>
      </c>
      <c r="H752" s="159">
        <v>1</v>
      </c>
      <c r="I752" s="159">
        <v>0.52</v>
      </c>
      <c r="J752" s="159" t="s">
        <v>22</v>
      </c>
      <c r="K752" s="159">
        <v>1.95</v>
      </c>
      <c r="L752" s="387"/>
    </row>
    <row r="753" customHeight="1" spans="1:14">
      <c r="A753" s="384"/>
      <c r="B753" s="385"/>
      <c r="C753" s="385"/>
      <c r="D753" s="386"/>
      <c r="E753" s="385"/>
      <c r="F753" s="385"/>
      <c r="G753" s="157" t="s">
        <v>1061</v>
      </c>
      <c r="H753" s="159">
        <v>1.09</v>
      </c>
      <c r="I753" s="159">
        <v>0.46</v>
      </c>
      <c r="J753" s="159" t="s">
        <v>44</v>
      </c>
      <c r="K753" s="159">
        <v>2.8</v>
      </c>
      <c r="L753" s="387"/>
    </row>
    <row r="754" customHeight="1" spans="1:14">
      <c r="A754" s="388"/>
      <c r="B754" s="389"/>
      <c r="C754" s="389"/>
      <c r="D754" s="390"/>
      <c r="E754" s="389"/>
      <c r="F754" s="389"/>
      <c r="G754" s="157" t="s">
        <v>1083</v>
      </c>
      <c r="H754" s="159">
        <v>1.51</v>
      </c>
      <c r="I754" s="159">
        <v>0.78</v>
      </c>
      <c r="J754" s="159" t="s">
        <v>24</v>
      </c>
      <c r="K754" s="159" t="s">
        <v>24</v>
      </c>
      <c r="L754" s="391"/>
    </row>
    <row r="755" customHeight="1" spans="1:14">
      <c r="A755" s="383">
        <v>45847</v>
      </c>
      <c r="B755" s="377" t="s">
        <v>1383</v>
      </c>
      <c r="C755" s="377" t="s">
        <v>459</v>
      </c>
      <c r="D755" s="376">
        <v>10</v>
      </c>
      <c r="E755" s="377" t="s">
        <v>1381</v>
      </c>
      <c r="F755" s="377" t="s">
        <v>482</v>
      </c>
      <c r="G755" s="157" t="s">
        <v>1064</v>
      </c>
      <c r="H755" s="159">
        <v>1</v>
      </c>
      <c r="I755" s="159">
        <v>8.66</v>
      </c>
      <c r="J755" s="159" t="s">
        <v>17</v>
      </c>
      <c r="K755" s="159">
        <v>1.88</v>
      </c>
      <c r="L755" s="377" t="s">
        <v>1382</v>
      </c>
    </row>
    <row r="756" customHeight="1" spans="1:14">
      <c r="A756" s="384"/>
      <c r="B756" s="385"/>
      <c r="C756" s="385"/>
      <c r="D756" s="386"/>
      <c r="E756" s="385"/>
      <c r="F756" s="385"/>
      <c r="G756" s="157" t="s">
        <v>1060</v>
      </c>
      <c r="H756" s="159">
        <v>1</v>
      </c>
      <c r="I756" s="159">
        <v>0.56</v>
      </c>
      <c r="J756" s="159" t="s">
        <v>22</v>
      </c>
      <c r="K756" s="159">
        <v>2.1</v>
      </c>
      <c r="L756" s="387"/>
    </row>
    <row r="757" customHeight="1" spans="1:14">
      <c r="A757" s="384"/>
      <c r="B757" s="385"/>
      <c r="C757" s="385"/>
      <c r="D757" s="386"/>
      <c r="E757" s="385"/>
      <c r="F757" s="385"/>
      <c r="G757" s="157" t="s">
        <v>1061</v>
      </c>
      <c r="H757" s="159">
        <v>1</v>
      </c>
      <c r="I757" s="159">
        <v>0.28</v>
      </c>
      <c r="J757" s="159" t="s">
        <v>64</v>
      </c>
      <c r="K757" s="159">
        <v>2.8</v>
      </c>
      <c r="L757" s="387"/>
    </row>
    <row r="758" customHeight="1" spans="1:14">
      <c r="A758" s="384"/>
      <c r="B758" s="385"/>
      <c r="C758" s="385"/>
      <c r="D758" s="386"/>
      <c r="E758" s="385"/>
      <c r="F758" s="385"/>
      <c r="G758" s="162" t="s">
        <v>1083</v>
      </c>
      <c r="H758" s="376">
        <v>1</v>
      </c>
      <c r="I758" s="376">
        <v>0.5</v>
      </c>
      <c r="J758" s="376" t="s">
        <v>24</v>
      </c>
      <c r="K758" s="376" t="s">
        <v>24</v>
      </c>
      <c r="L758" s="387"/>
    </row>
    <row r="759" s="297" customFormat="1" customHeight="1" spans="1:14">
      <c r="A759" s="392">
        <v>45849</v>
      </c>
      <c r="B759" s="393" t="s">
        <v>1384</v>
      </c>
      <c r="C759" s="393" t="s">
        <v>459</v>
      </c>
      <c r="D759" s="130">
        <v>5</v>
      </c>
      <c r="E759" s="393" t="s">
        <v>1344</v>
      </c>
      <c r="F759" s="393" t="s">
        <v>474</v>
      </c>
      <c r="G759" s="394" t="s">
        <v>1058</v>
      </c>
      <c r="H759" s="130">
        <v>1.07</v>
      </c>
      <c r="I759" s="130">
        <v>3.6</v>
      </c>
      <c r="J759" s="130" t="s">
        <v>17</v>
      </c>
      <c r="K759" s="130">
        <v>1.83</v>
      </c>
      <c r="L759" s="393" t="s">
        <v>41</v>
      </c>
      <c r="M759" s="395"/>
      <c r="N759" s="395"/>
    </row>
    <row r="760" s="297" customFormat="1" customHeight="1" spans="1:14">
      <c r="A760" s="392"/>
      <c r="B760" s="394"/>
      <c r="C760" s="394"/>
      <c r="D760" s="130"/>
      <c r="E760" s="394"/>
      <c r="F760" s="394"/>
      <c r="G760" s="394" t="s">
        <v>1059</v>
      </c>
      <c r="H760" s="130">
        <v>1.22</v>
      </c>
      <c r="I760" s="130">
        <v>0.75</v>
      </c>
      <c r="J760" s="130" t="s">
        <v>17</v>
      </c>
      <c r="K760" s="130">
        <v>1.94</v>
      </c>
      <c r="L760" s="393"/>
      <c r="M760" s="395"/>
      <c r="N760" s="395"/>
    </row>
    <row r="761" s="297" customFormat="1" customHeight="1" spans="1:14">
      <c r="A761" s="392"/>
      <c r="B761" s="394"/>
      <c r="C761" s="394"/>
      <c r="D761" s="130"/>
      <c r="E761" s="394"/>
      <c r="F761" s="394"/>
      <c r="G761" s="394" t="s">
        <v>1060</v>
      </c>
      <c r="H761" s="130">
        <v>1.26</v>
      </c>
      <c r="I761" s="130">
        <v>0.2</v>
      </c>
      <c r="J761" s="130" t="s">
        <v>22</v>
      </c>
      <c r="K761" s="130">
        <v>2.08</v>
      </c>
      <c r="L761" s="393"/>
      <c r="M761" s="395"/>
      <c r="N761" s="395"/>
    </row>
    <row r="762" s="297" customFormat="1" customHeight="1" spans="1:14">
      <c r="A762" s="392"/>
      <c r="B762" s="394"/>
      <c r="C762" s="394"/>
      <c r="D762" s="130"/>
      <c r="E762" s="394"/>
      <c r="F762" s="394"/>
      <c r="G762" s="394" t="s">
        <v>1061</v>
      </c>
      <c r="H762" s="130">
        <v>1.34</v>
      </c>
      <c r="I762" s="130">
        <v>0.2</v>
      </c>
      <c r="J762" s="130" t="s">
        <v>44</v>
      </c>
      <c r="K762" s="130">
        <v>4.5</v>
      </c>
      <c r="L762" s="393"/>
      <c r="M762" s="395"/>
      <c r="N762" s="395"/>
    </row>
    <row r="763" s="297" customFormat="1" customHeight="1" spans="1:14">
      <c r="A763" s="392"/>
      <c r="B763" s="394"/>
      <c r="C763" s="394"/>
      <c r="D763" s="130"/>
      <c r="E763" s="394"/>
      <c r="F763" s="394"/>
      <c r="G763" s="394" t="s">
        <v>1083</v>
      </c>
      <c r="H763" s="130">
        <v>1.72</v>
      </c>
      <c r="I763" s="130">
        <v>0.25</v>
      </c>
      <c r="J763" s="130" t="s">
        <v>24</v>
      </c>
      <c r="K763" s="130" t="s">
        <v>24</v>
      </c>
      <c r="L763" s="393"/>
      <c r="M763" s="395"/>
      <c r="N763" s="395"/>
    </row>
    <row r="764" customHeight="1" spans="1:14">
      <c r="A764" s="396">
        <v>45855</v>
      </c>
      <c r="B764" s="148" t="s">
        <v>1385</v>
      </c>
      <c r="C764" s="205" t="s">
        <v>459</v>
      </c>
      <c r="D764" s="160">
        <v>9</v>
      </c>
      <c r="E764" s="205" t="s">
        <v>1079</v>
      </c>
      <c r="F764" s="205" t="s">
        <v>1063</v>
      </c>
      <c r="G764" s="112" t="s">
        <v>1137</v>
      </c>
      <c r="H764" s="105">
        <v>1.42</v>
      </c>
      <c r="I764" s="105">
        <v>8.1</v>
      </c>
      <c r="J764" s="52" t="s">
        <v>17</v>
      </c>
      <c r="K764" s="52">
        <v>1.95</v>
      </c>
      <c r="L764" s="205" t="s">
        <v>35</v>
      </c>
    </row>
    <row r="765" customHeight="1" spans="1:14">
      <c r="A765" s="396"/>
      <c r="B765" s="54"/>
      <c r="C765" s="111"/>
      <c r="D765" s="160"/>
      <c r="E765" s="111"/>
      <c r="F765" s="111"/>
      <c r="G765" s="112" t="s">
        <v>1055</v>
      </c>
      <c r="H765" s="105">
        <v>2</v>
      </c>
      <c r="I765" s="105">
        <v>0.45</v>
      </c>
      <c r="J765" s="52" t="s">
        <v>96</v>
      </c>
      <c r="K765" s="52">
        <v>3.3</v>
      </c>
      <c r="L765" s="205"/>
    </row>
    <row r="766" customHeight="1" spans="1:14">
      <c r="A766" s="396"/>
      <c r="B766" s="54"/>
      <c r="C766" s="111"/>
      <c r="D766" s="160"/>
      <c r="E766" s="111"/>
      <c r="F766" s="111"/>
      <c r="G766" s="112" t="s">
        <v>1051</v>
      </c>
      <c r="H766" s="105">
        <v>2</v>
      </c>
      <c r="I766" s="105">
        <v>0.45</v>
      </c>
      <c r="J766" s="105" t="s">
        <v>24</v>
      </c>
      <c r="K766" s="52" t="s">
        <v>24</v>
      </c>
      <c r="L766" s="205"/>
    </row>
    <row r="767" customHeight="1" spans="1:14">
      <c r="A767" s="396">
        <v>45854</v>
      </c>
      <c r="B767" s="148" t="s">
        <v>1386</v>
      </c>
      <c r="C767" s="205" t="s">
        <v>462</v>
      </c>
      <c r="D767" s="160">
        <v>4</v>
      </c>
      <c r="E767" s="205" t="s">
        <v>486</v>
      </c>
      <c r="F767" s="205" t="s">
        <v>1063</v>
      </c>
      <c r="G767" s="95" t="s">
        <v>1064</v>
      </c>
      <c r="H767" s="105">
        <v>1.53</v>
      </c>
      <c r="I767" s="105">
        <v>3.26</v>
      </c>
      <c r="J767" s="52" t="s">
        <v>17</v>
      </c>
      <c r="K767" s="105">
        <v>1.8</v>
      </c>
      <c r="L767" s="205" t="s">
        <v>27</v>
      </c>
    </row>
    <row r="768" customHeight="1" spans="1:14">
      <c r="A768" s="396"/>
      <c r="B768" s="54"/>
      <c r="C768" s="111"/>
      <c r="D768" s="160"/>
      <c r="E768" s="111"/>
      <c r="F768" s="111"/>
      <c r="G768" s="95" t="s">
        <v>1060</v>
      </c>
      <c r="H768" s="105">
        <v>1.99</v>
      </c>
      <c r="I768" s="105">
        <v>0.18</v>
      </c>
      <c r="J768" s="52" t="s">
        <v>96</v>
      </c>
      <c r="K768" s="105">
        <v>1.94</v>
      </c>
      <c r="L768" s="205"/>
    </row>
    <row r="769" customHeight="1" spans="1:12">
      <c r="A769" s="396"/>
      <c r="B769" s="54"/>
      <c r="C769" s="111"/>
      <c r="D769" s="160"/>
      <c r="E769" s="111"/>
      <c r="F769" s="111"/>
      <c r="G769" s="95" t="s">
        <v>1086</v>
      </c>
      <c r="H769" s="105">
        <v>3.03</v>
      </c>
      <c r="I769" s="105">
        <v>0.36</v>
      </c>
      <c r="J769" s="105" t="s">
        <v>24</v>
      </c>
      <c r="K769" s="105" t="s">
        <v>24</v>
      </c>
      <c r="L769" s="205"/>
    </row>
    <row r="770" customHeight="1" spans="1:12">
      <c r="A770" s="396"/>
      <c r="B770" s="54"/>
      <c r="C770" s="111"/>
      <c r="D770" s="160"/>
      <c r="E770" s="111"/>
      <c r="F770" s="111"/>
      <c r="G770" s="95" t="s">
        <v>1087</v>
      </c>
      <c r="H770" s="105">
        <v>3.03</v>
      </c>
      <c r="I770" s="105">
        <v>0.2</v>
      </c>
      <c r="J770" s="105" t="s">
        <v>24</v>
      </c>
      <c r="K770" s="105" t="s">
        <v>24</v>
      </c>
      <c r="L770" s="205"/>
    </row>
    <row r="771" customHeight="1" spans="1:12">
      <c r="A771" s="396">
        <v>45854</v>
      </c>
      <c r="B771" s="148" t="s">
        <v>1387</v>
      </c>
      <c r="C771" s="205" t="s">
        <v>459</v>
      </c>
      <c r="D771" s="160">
        <v>10</v>
      </c>
      <c r="E771" s="205" t="s">
        <v>1109</v>
      </c>
      <c r="F771" s="205" t="s">
        <v>460</v>
      </c>
      <c r="G771" s="95" t="s">
        <v>1064</v>
      </c>
      <c r="H771" s="105">
        <v>1.03</v>
      </c>
      <c r="I771" s="105">
        <v>8.7</v>
      </c>
      <c r="J771" s="52" t="s">
        <v>17</v>
      </c>
      <c r="K771" s="52">
        <v>1.78</v>
      </c>
      <c r="L771" s="205" t="s">
        <v>27</v>
      </c>
    </row>
    <row r="772" customHeight="1" spans="1:12">
      <c r="A772" s="396"/>
      <c r="B772" s="54"/>
      <c r="C772" s="111"/>
      <c r="D772" s="160"/>
      <c r="E772" s="111"/>
      <c r="F772" s="111"/>
      <c r="G772" s="95" t="s">
        <v>1060</v>
      </c>
      <c r="H772" s="105">
        <v>1.03</v>
      </c>
      <c r="I772" s="105">
        <v>0.5</v>
      </c>
      <c r="J772" s="52" t="s">
        <v>96</v>
      </c>
      <c r="K772" s="52">
        <v>1.88</v>
      </c>
      <c r="L772" s="205"/>
    </row>
    <row r="773" customHeight="1" spans="1:12">
      <c r="A773" s="396"/>
      <c r="B773" s="54"/>
      <c r="C773" s="111"/>
      <c r="D773" s="160"/>
      <c r="E773" s="111"/>
      <c r="F773" s="111"/>
      <c r="G773" s="112" t="s">
        <v>1051</v>
      </c>
      <c r="H773" s="105">
        <v>1.86</v>
      </c>
      <c r="I773" s="105">
        <v>0.8</v>
      </c>
      <c r="J773" s="105" t="s">
        <v>24</v>
      </c>
      <c r="K773" s="52" t="s">
        <v>24</v>
      </c>
      <c r="L773" s="205"/>
    </row>
    <row r="774" customHeight="1" spans="1:12">
      <c r="A774" s="397" t="s">
        <v>1388</v>
      </c>
      <c r="B774" s="213" t="s">
        <v>1389</v>
      </c>
      <c r="C774" s="213" t="s">
        <v>462</v>
      </c>
      <c r="D774" s="398">
        <v>7</v>
      </c>
      <c r="E774" s="399" t="s">
        <v>492</v>
      </c>
      <c r="F774" s="399" t="s">
        <v>460</v>
      </c>
      <c r="G774" s="400" t="s">
        <v>1064</v>
      </c>
      <c r="H774" s="368">
        <v>1.4986</v>
      </c>
      <c r="I774" s="368">
        <v>5.922</v>
      </c>
      <c r="J774" s="368" t="s">
        <v>17</v>
      </c>
      <c r="K774" s="368">
        <v>1.95</v>
      </c>
      <c r="L774" s="199" t="s">
        <v>67</v>
      </c>
    </row>
    <row r="775" customHeight="1" spans="1:12">
      <c r="A775" s="401"/>
      <c r="B775" s="173"/>
      <c r="C775" s="173"/>
      <c r="D775" s="402"/>
      <c r="E775" s="403"/>
      <c r="F775" s="403"/>
      <c r="G775" s="404" t="s">
        <v>1060</v>
      </c>
      <c r="H775" s="368">
        <v>1.4986</v>
      </c>
      <c r="I775" s="368">
        <v>0.308</v>
      </c>
      <c r="J775" s="368" t="s">
        <v>22</v>
      </c>
      <c r="K775" s="368">
        <v>2.55</v>
      </c>
      <c r="L775" s="369"/>
    </row>
    <row r="776" customHeight="1" spans="1:12">
      <c r="A776" s="401"/>
      <c r="B776" s="173"/>
      <c r="C776" s="173"/>
      <c r="D776" s="402"/>
      <c r="E776" s="403"/>
      <c r="F776" s="403"/>
      <c r="G776" s="404" t="s">
        <v>1061</v>
      </c>
      <c r="H776" s="368">
        <v>1.4986</v>
      </c>
      <c r="I776" s="368">
        <v>0.28</v>
      </c>
      <c r="J776" s="368" t="s">
        <v>44</v>
      </c>
      <c r="K776" s="368">
        <v>4</v>
      </c>
      <c r="L776" s="369"/>
    </row>
    <row r="777" customHeight="1" spans="1:12">
      <c r="A777" s="405"/>
      <c r="B777" s="176"/>
      <c r="C777" s="176"/>
      <c r="D777" s="406"/>
      <c r="E777" s="407"/>
      <c r="F777" s="407"/>
      <c r="G777" s="404" t="s">
        <v>1083</v>
      </c>
      <c r="H777" s="368">
        <v>1.4986</v>
      </c>
      <c r="I777" s="368">
        <v>0.49</v>
      </c>
      <c r="J777" s="368" t="s">
        <v>24</v>
      </c>
      <c r="K777" s="368" t="s">
        <v>24</v>
      </c>
      <c r="L777" s="371"/>
    </row>
    <row r="778" customHeight="1" spans="1:12">
      <c r="A778" s="397" t="s">
        <v>1388</v>
      </c>
      <c r="B778" s="213" t="s">
        <v>1390</v>
      </c>
      <c r="C778" s="213" t="s">
        <v>462</v>
      </c>
      <c r="D778" s="398">
        <v>5</v>
      </c>
      <c r="E778" s="399" t="s">
        <v>536</v>
      </c>
      <c r="F778" s="399" t="s">
        <v>490</v>
      </c>
      <c r="G778" s="367" t="s">
        <v>1047</v>
      </c>
      <c r="H778" s="74">
        <v>0.9616</v>
      </c>
      <c r="I778" s="74">
        <v>4.5</v>
      </c>
      <c r="J778" s="74" t="s">
        <v>17</v>
      </c>
      <c r="K778" s="74">
        <v>1.73</v>
      </c>
      <c r="L778" s="199" t="s">
        <v>74</v>
      </c>
    </row>
    <row r="779" customHeight="1" spans="1:12">
      <c r="A779" s="401"/>
      <c r="B779" s="173"/>
      <c r="C779" s="173"/>
      <c r="D779" s="402"/>
      <c r="E779" s="403"/>
      <c r="F779" s="403"/>
      <c r="G779" s="367" t="s">
        <v>1048</v>
      </c>
      <c r="H779" s="74">
        <v>1.2384</v>
      </c>
      <c r="I779" s="74">
        <v>0.15</v>
      </c>
      <c r="J779" s="74" t="s">
        <v>22</v>
      </c>
      <c r="K779" s="74">
        <v>2.1</v>
      </c>
      <c r="L779" s="369"/>
    </row>
    <row r="780" customHeight="1" spans="1:12">
      <c r="A780" s="405"/>
      <c r="B780" s="176"/>
      <c r="C780" s="176"/>
      <c r="D780" s="406"/>
      <c r="E780" s="407"/>
      <c r="F780" s="407"/>
      <c r="G780" s="367" t="s">
        <v>1051</v>
      </c>
      <c r="H780" s="74">
        <v>1.7205</v>
      </c>
      <c r="I780" s="74">
        <v>0.35</v>
      </c>
      <c r="J780" s="74" t="s">
        <v>24</v>
      </c>
      <c r="K780" s="74" t="s">
        <v>24</v>
      </c>
      <c r="L780" s="371"/>
    </row>
    <row r="781" customHeight="1" spans="1:12">
      <c r="A781" s="397" t="s">
        <v>1388</v>
      </c>
      <c r="B781" s="213" t="s">
        <v>1391</v>
      </c>
      <c r="C781" s="213" t="s">
        <v>462</v>
      </c>
      <c r="D781" s="398">
        <v>3</v>
      </c>
      <c r="E781" s="399" t="s">
        <v>477</v>
      </c>
      <c r="F781" s="399" t="s">
        <v>1117</v>
      </c>
      <c r="G781" s="367" t="s">
        <v>1047</v>
      </c>
      <c r="H781" s="74">
        <v>1.0082</v>
      </c>
      <c r="I781" s="74">
        <v>2.505</v>
      </c>
      <c r="J781" s="74" t="s">
        <v>17</v>
      </c>
      <c r="K781" s="74">
        <v>1.78</v>
      </c>
      <c r="L781" s="199" t="s">
        <v>27</v>
      </c>
    </row>
    <row r="782" customHeight="1" spans="1:12">
      <c r="A782" s="401"/>
      <c r="B782" s="173"/>
      <c r="C782" s="173"/>
      <c r="D782" s="402"/>
      <c r="E782" s="403"/>
      <c r="F782" s="403"/>
      <c r="G782" s="367" t="s">
        <v>1048</v>
      </c>
      <c r="H782" s="74">
        <v>1.0082</v>
      </c>
      <c r="I782" s="74">
        <v>0.21</v>
      </c>
      <c r="J782" s="74" t="s">
        <v>22</v>
      </c>
      <c r="K782" s="74">
        <v>1.88</v>
      </c>
      <c r="L782" s="369"/>
    </row>
    <row r="783" customHeight="1" spans="1:12">
      <c r="A783" s="401"/>
      <c r="B783" s="173"/>
      <c r="C783" s="173"/>
      <c r="D783" s="402"/>
      <c r="E783" s="403"/>
      <c r="F783" s="403"/>
      <c r="G783" s="367" t="s">
        <v>1113</v>
      </c>
      <c r="H783" s="74">
        <v>1.7562</v>
      </c>
      <c r="I783" s="74">
        <v>0.135</v>
      </c>
      <c r="J783" s="74" t="s">
        <v>24</v>
      </c>
      <c r="K783" s="74" t="s">
        <v>24</v>
      </c>
      <c r="L783" s="369"/>
    </row>
    <row r="784" customHeight="1" spans="1:12">
      <c r="A784" s="405"/>
      <c r="B784" s="176"/>
      <c r="C784" s="176"/>
      <c r="D784" s="406"/>
      <c r="E784" s="407"/>
      <c r="F784" s="407"/>
      <c r="G784" s="367" t="s">
        <v>1114</v>
      </c>
      <c r="H784" s="74">
        <v>1.7562</v>
      </c>
      <c r="I784" s="74">
        <v>0.15</v>
      </c>
      <c r="J784" s="74" t="s">
        <v>24</v>
      </c>
      <c r="K784" s="74" t="s">
        <v>24</v>
      </c>
      <c r="L784" s="371"/>
    </row>
    <row r="785" customHeight="1" spans="1:12">
      <c r="A785" s="397" t="s">
        <v>1392</v>
      </c>
      <c r="B785" s="213" t="s">
        <v>1393</v>
      </c>
      <c r="C785" s="213" t="s">
        <v>462</v>
      </c>
      <c r="D785" s="398">
        <v>9.3</v>
      </c>
      <c r="E785" s="399" t="s">
        <v>1066</v>
      </c>
      <c r="F785" s="399" t="s">
        <v>523</v>
      </c>
      <c r="G785" s="367" t="s">
        <v>1047</v>
      </c>
      <c r="H785" s="74">
        <v>1</v>
      </c>
      <c r="I785" s="74">
        <v>9</v>
      </c>
      <c r="J785" s="74" t="s">
        <v>17</v>
      </c>
      <c r="K785" s="74">
        <v>1.75</v>
      </c>
      <c r="L785" s="199" t="s">
        <v>35</v>
      </c>
    </row>
    <row r="786" customHeight="1" spans="1:12">
      <c r="A786" s="405"/>
      <c r="B786" s="176"/>
      <c r="C786" s="176"/>
      <c r="D786" s="406"/>
      <c r="E786" s="407"/>
      <c r="F786" s="407"/>
      <c r="G786" s="367" t="s">
        <v>1048</v>
      </c>
      <c r="H786" s="74">
        <v>1</v>
      </c>
      <c r="I786" s="74">
        <v>0.3</v>
      </c>
      <c r="J786" s="74" t="s">
        <v>22</v>
      </c>
      <c r="K786" s="74">
        <v>1.95</v>
      </c>
      <c r="L786" s="371"/>
    </row>
    <row r="787" customHeight="1" spans="1:12">
      <c r="A787" s="397" t="s">
        <v>1394</v>
      </c>
      <c r="B787" s="213" t="s">
        <v>1395</v>
      </c>
      <c r="C787" s="213" t="s">
        <v>462</v>
      </c>
      <c r="D787" s="398">
        <v>5</v>
      </c>
      <c r="E787" s="399" t="s">
        <v>477</v>
      </c>
      <c r="F787" s="399" t="s">
        <v>523</v>
      </c>
      <c r="G787" s="367" t="s">
        <v>1047</v>
      </c>
      <c r="H787" s="74">
        <v>1.0301</v>
      </c>
      <c r="I787" s="74">
        <v>4.47</v>
      </c>
      <c r="J787" s="74" t="s">
        <v>17</v>
      </c>
      <c r="K787" s="74">
        <v>1.74</v>
      </c>
      <c r="L787" s="199" t="s">
        <v>112</v>
      </c>
    </row>
    <row r="788" customHeight="1" spans="1:12">
      <c r="A788" s="401"/>
      <c r="B788" s="173"/>
      <c r="C788" s="173"/>
      <c r="D788" s="402"/>
      <c r="E788" s="403"/>
      <c r="F788" s="403"/>
      <c r="G788" s="367" t="s">
        <v>1048</v>
      </c>
      <c r="H788" s="74">
        <v>1.0301</v>
      </c>
      <c r="I788" s="74">
        <v>0.28</v>
      </c>
      <c r="J788" s="74" t="s">
        <v>22</v>
      </c>
      <c r="K788" s="74">
        <v>1.98</v>
      </c>
      <c r="L788" s="369"/>
    </row>
    <row r="789" customHeight="1" spans="1:12">
      <c r="A789" s="401"/>
      <c r="B789" s="173"/>
      <c r="C789" s="173"/>
      <c r="D789" s="402"/>
      <c r="E789" s="403"/>
      <c r="F789" s="403"/>
      <c r="G789" s="367" t="s">
        <v>1113</v>
      </c>
      <c r="H789" s="74">
        <v>3.0247</v>
      </c>
      <c r="I789" s="74">
        <v>0.1</v>
      </c>
      <c r="J789" s="74" t="s">
        <v>24</v>
      </c>
      <c r="K789" s="74" t="s">
        <v>24</v>
      </c>
      <c r="L789" s="369"/>
    </row>
    <row r="790" customHeight="1" spans="1:12">
      <c r="A790" s="405"/>
      <c r="B790" s="176"/>
      <c r="C790" s="176"/>
      <c r="D790" s="406"/>
      <c r="E790" s="407"/>
      <c r="F790" s="407"/>
      <c r="G790" s="367" t="s">
        <v>1114</v>
      </c>
      <c r="H790" s="74">
        <v>3.0247</v>
      </c>
      <c r="I790" s="74">
        <v>0.15</v>
      </c>
      <c r="J790" s="74" t="s">
        <v>24</v>
      </c>
      <c r="K790" s="74" t="s">
        <v>24</v>
      </c>
      <c r="L790" s="371"/>
    </row>
    <row r="791" customHeight="1" spans="1:12">
      <c r="A791" s="397" t="s">
        <v>1396</v>
      </c>
      <c r="B791" s="213" t="s">
        <v>1397</v>
      </c>
      <c r="C791" s="213" t="s">
        <v>459</v>
      </c>
      <c r="D791" s="398">
        <v>10</v>
      </c>
      <c r="E791" s="399" t="s">
        <v>484</v>
      </c>
      <c r="F791" s="399" t="s">
        <v>1140</v>
      </c>
      <c r="G791" s="367" t="s">
        <v>1047</v>
      </c>
      <c r="H791" s="74">
        <v>1.8301</v>
      </c>
      <c r="I791" s="74">
        <v>8.7</v>
      </c>
      <c r="J791" s="74" t="s">
        <v>17</v>
      </c>
      <c r="K791" s="74">
        <v>1.95</v>
      </c>
      <c r="L791" s="199" t="s">
        <v>35</v>
      </c>
    </row>
    <row r="792" customHeight="1" spans="1:12">
      <c r="A792" s="401"/>
      <c r="B792" s="173"/>
      <c r="C792" s="173"/>
      <c r="D792" s="402"/>
      <c r="E792" s="403"/>
      <c r="F792" s="403"/>
      <c r="G792" s="367" t="s">
        <v>1048</v>
      </c>
      <c r="H792" s="74">
        <v>1.8301</v>
      </c>
      <c r="I792" s="74">
        <v>0.4</v>
      </c>
      <c r="J792" s="74" t="s">
        <v>22</v>
      </c>
      <c r="K792" s="74">
        <v>2.04</v>
      </c>
      <c r="L792" s="369"/>
    </row>
    <row r="793" customHeight="1" spans="1:12">
      <c r="A793" s="401"/>
      <c r="B793" s="173"/>
      <c r="C793" s="173"/>
      <c r="D793" s="402"/>
      <c r="E793" s="403"/>
      <c r="F793" s="403"/>
      <c r="G793" s="112" t="s">
        <v>1050</v>
      </c>
      <c r="H793" s="105">
        <v>1.8301</v>
      </c>
      <c r="I793" s="105">
        <v>0.4</v>
      </c>
      <c r="J793" s="105" t="s">
        <v>64</v>
      </c>
      <c r="K793" s="105">
        <v>3.6</v>
      </c>
      <c r="L793" s="369"/>
    </row>
    <row r="794" customHeight="1" spans="1:12">
      <c r="A794" s="405"/>
      <c r="B794" s="176"/>
      <c r="C794" s="176"/>
      <c r="D794" s="406"/>
      <c r="E794" s="407"/>
      <c r="F794" s="407"/>
      <c r="G794" s="112" t="s">
        <v>1051</v>
      </c>
      <c r="H794" s="105">
        <v>2.7486</v>
      </c>
      <c r="I794" s="105">
        <v>0.5</v>
      </c>
      <c r="J794" s="105" t="s">
        <v>24</v>
      </c>
      <c r="K794" s="105" t="s">
        <v>24</v>
      </c>
      <c r="L794" s="371"/>
    </row>
    <row r="795" customHeight="1" spans="1:12">
      <c r="A795" s="397" t="s">
        <v>1396</v>
      </c>
      <c r="B795" s="213" t="s">
        <v>1398</v>
      </c>
      <c r="C795" s="213" t="s">
        <v>462</v>
      </c>
      <c r="D795" s="398">
        <v>20</v>
      </c>
      <c r="E795" s="399" t="s">
        <v>1252</v>
      </c>
      <c r="F795" s="399" t="s">
        <v>1096</v>
      </c>
      <c r="G795" s="112" t="s">
        <v>1047</v>
      </c>
      <c r="H795" s="105">
        <v>1</v>
      </c>
      <c r="I795" s="105">
        <v>18</v>
      </c>
      <c r="J795" s="105" t="s">
        <v>17</v>
      </c>
      <c r="K795" s="105">
        <v>1.69</v>
      </c>
      <c r="L795" s="199" t="s">
        <v>1253</v>
      </c>
    </row>
    <row r="796" customHeight="1" spans="1:12">
      <c r="A796" s="401"/>
      <c r="B796" s="173"/>
      <c r="C796" s="173"/>
      <c r="D796" s="402"/>
      <c r="E796" s="403"/>
      <c r="F796" s="403"/>
      <c r="G796" s="112" t="s">
        <v>1048</v>
      </c>
      <c r="H796" s="105">
        <v>1</v>
      </c>
      <c r="I796" s="105">
        <v>1.6</v>
      </c>
      <c r="J796" s="105" t="s">
        <v>136</v>
      </c>
      <c r="K796" s="105">
        <v>9</v>
      </c>
      <c r="L796" s="369"/>
    </row>
    <row r="797" customHeight="1" spans="1:12">
      <c r="A797" s="408"/>
      <c r="B797" s="409"/>
      <c r="C797" s="409"/>
      <c r="D797" s="410"/>
      <c r="E797" s="411"/>
      <c r="F797" s="411"/>
      <c r="G797" s="112" t="s">
        <v>1399</v>
      </c>
      <c r="H797" s="105">
        <v>1</v>
      </c>
      <c r="I797" s="105">
        <v>0.4</v>
      </c>
      <c r="J797" s="105" t="s">
        <v>44</v>
      </c>
      <c r="K797" s="105" t="s">
        <v>24</v>
      </c>
      <c r="L797" s="412"/>
    </row>
    <row r="798" customHeight="1" spans="1:12">
      <c r="A798" s="397" t="s">
        <v>1400</v>
      </c>
      <c r="B798" s="213" t="s">
        <v>1401</v>
      </c>
      <c r="C798" s="213" t="s">
        <v>462</v>
      </c>
      <c r="D798" s="398">
        <v>5</v>
      </c>
      <c r="E798" s="399" t="s">
        <v>486</v>
      </c>
      <c r="F798" s="399" t="s">
        <v>1117</v>
      </c>
      <c r="G798" s="112" t="s">
        <v>1121</v>
      </c>
      <c r="H798" s="105">
        <v>1.0767</v>
      </c>
      <c r="I798" s="105">
        <v>4.2</v>
      </c>
      <c r="J798" s="105" t="s">
        <v>17</v>
      </c>
      <c r="K798" s="105">
        <v>1.74</v>
      </c>
      <c r="L798" s="199" t="s">
        <v>18</v>
      </c>
    </row>
    <row r="799" customHeight="1" spans="1:12">
      <c r="A799" s="401"/>
      <c r="B799" s="173"/>
      <c r="C799" s="173"/>
      <c r="D799" s="402"/>
      <c r="E799" s="403"/>
      <c r="F799" s="403"/>
      <c r="G799" s="112" t="s">
        <v>1122</v>
      </c>
      <c r="H799" s="105">
        <v>1.2384</v>
      </c>
      <c r="I799" s="105">
        <v>0.3</v>
      </c>
      <c r="J799" s="105" t="s">
        <v>17</v>
      </c>
      <c r="K799" s="105">
        <v>1.79</v>
      </c>
      <c r="L799" s="369"/>
    </row>
    <row r="800" customHeight="1" spans="1:12">
      <c r="A800" s="401"/>
      <c r="B800" s="173"/>
      <c r="C800" s="173"/>
      <c r="D800" s="402"/>
      <c r="E800" s="403"/>
      <c r="F800" s="403"/>
      <c r="G800" s="367" t="s">
        <v>1048</v>
      </c>
      <c r="H800" s="74">
        <v>1.4055</v>
      </c>
      <c r="I800" s="74">
        <v>0.25</v>
      </c>
      <c r="J800" s="74" t="s">
        <v>22</v>
      </c>
      <c r="K800" s="74">
        <v>2</v>
      </c>
      <c r="L800" s="369"/>
    </row>
    <row r="801" customHeight="1" spans="1:12">
      <c r="A801" s="405"/>
      <c r="B801" s="176"/>
      <c r="C801" s="176"/>
      <c r="D801" s="406"/>
      <c r="E801" s="407"/>
      <c r="F801" s="407"/>
      <c r="G801" s="367" t="s">
        <v>1051</v>
      </c>
      <c r="H801" s="74">
        <v>2.5738</v>
      </c>
      <c r="I801" s="74">
        <v>0.25</v>
      </c>
      <c r="J801" s="74" t="s">
        <v>24</v>
      </c>
      <c r="K801" s="74" t="s">
        <v>24</v>
      </c>
      <c r="L801" s="371"/>
    </row>
    <row r="802" customHeight="1" spans="1:12">
      <c r="A802" s="397" t="s">
        <v>1402</v>
      </c>
      <c r="B802" s="213" t="s">
        <v>1403</v>
      </c>
      <c r="C802" s="213" t="s">
        <v>462</v>
      </c>
      <c r="D802" s="398">
        <v>6</v>
      </c>
      <c r="E802" s="399" t="s">
        <v>486</v>
      </c>
      <c r="F802" s="399" t="s">
        <v>530</v>
      </c>
      <c r="G802" s="367" t="s">
        <v>1137</v>
      </c>
      <c r="H802" s="74">
        <v>0.9836</v>
      </c>
      <c r="I802" s="74">
        <v>5.91</v>
      </c>
      <c r="J802" s="74" t="s">
        <v>17</v>
      </c>
      <c r="K802" s="74">
        <v>2.35</v>
      </c>
      <c r="L802" s="199" t="s">
        <v>1082</v>
      </c>
    </row>
    <row r="803" customHeight="1" spans="1:12">
      <c r="A803" s="405"/>
      <c r="B803" s="176"/>
      <c r="C803" s="176"/>
      <c r="D803" s="406"/>
      <c r="E803" s="407"/>
      <c r="F803" s="407"/>
      <c r="G803" s="367" t="s">
        <v>1051</v>
      </c>
      <c r="H803" s="74">
        <v>2.9891</v>
      </c>
      <c r="I803" s="74">
        <v>0.09</v>
      </c>
      <c r="J803" s="74" t="s">
        <v>24</v>
      </c>
      <c r="K803" s="74" t="s">
        <v>24</v>
      </c>
      <c r="L803" s="371"/>
    </row>
    <row r="804" customHeight="1" spans="1:12">
      <c r="A804" s="302" t="s">
        <v>1404</v>
      </c>
      <c r="B804" s="303" t="s">
        <v>1405</v>
      </c>
      <c r="C804" s="303" t="s">
        <v>462</v>
      </c>
      <c r="D804" s="304">
        <v>6</v>
      </c>
      <c r="E804" s="303" t="s">
        <v>492</v>
      </c>
      <c r="F804" s="303" t="s">
        <v>460</v>
      </c>
      <c r="G804" s="112" t="s">
        <v>1047</v>
      </c>
      <c r="H804" s="52">
        <v>1</v>
      </c>
      <c r="I804" s="52">
        <v>5.28</v>
      </c>
      <c r="J804" s="105" t="s">
        <v>17</v>
      </c>
      <c r="K804" s="105">
        <v>1.78</v>
      </c>
      <c r="L804" s="305" t="s">
        <v>86</v>
      </c>
    </row>
    <row r="805" customHeight="1" spans="1:12">
      <c r="A805" s="306"/>
      <c r="B805" s="89"/>
      <c r="C805" s="89"/>
      <c r="D805" s="307"/>
      <c r="E805" s="89"/>
      <c r="F805" s="89"/>
      <c r="G805" s="112" t="s">
        <v>1048</v>
      </c>
      <c r="H805" s="52">
        <v>1</v>
      </c>
      <c r="I805" s="52">
        <v>0.24</v>
      </c>
      <c r="J805" s="105" t="s">
        <v>22</v>
      </c>
      <c r="K805" s="105">
        <v>1.95</v>
      </c>
      <c r="L805" s="308"/>
    </row>
    <row r="806" customHeight="1" spans="1:12">
      <c r="A806" s="306"/>
      <c r="B806" s="89"/>
      <c r="C806" s="89"/>
      <c r="D806" s="307"/>
      <c r="E806" s="89"/>
      <c r="F806" s="89"/>
      <c r="G806" s="112" t="s">
        <v>1050</v>
      </c>
      <c r="H806" s="52">
        <v>1</v>
      </c>
      <c r="I806" s="52">
        <v>0.18</v>
      </c>
      <c r="J806" s="105" t="s">
        <v>96</v>
      </c>
      <c r="K806" s="105">
        <v>4</v>
      </c>
      <c r="L806" s="308"/>
    </row>
    <row r="807" customHeight="1" spans="1:12">
      <c r="A807" s="309"/>
      <c r="B807" s="90"/>
      <c r="C807" s="90"/>
      <c r="D807" s="310"/>
      <c r="E807" s="90"/>
      <c r="F807" s="90"/>
      <c r="G807" s="112" t="s">
        <v>1051</v>
      </c>
      <c r="H807" s="52">
        <v>4</v>
      </c>
      <c r="I807" s="52">
        <v>0.3</v>
      </c>
      <c r="J807" s="105" t="s">
        <v>24</v>
      </c>
      <c r="K807" s="105" t="s">
        <v>24</v>
      </c>
      <c r="L807" s="311"/>
    </row>
    <row r="808" customHeight="1" spans="1:12">
      <c r="A808" s="302" t="s">
        <v>1406</v>
      </c>
      <c r="B808" s="303" t="s">
        <v>1407</v>
      </c>
      <c r="C808" s="303" t="s">
        <v>462</v>
      </c>
      <c r="D808" s="304">
        <v>10</v>
      </c>
      <c r="E808" s="303" t="s">
        <v>1079</v>
      </c>
      <c r="F808" s="303" t="s">
        <v>1140</v>
      </c>
      <c r="G808" s="112" t="s">
        <v>1047</v>
      </c>
      <c r="H808" s="52">
        <v>1.0849</v>
      </c>
      <c r="I808" s="52">
        <v>9</v>
      </c>
      <c r="J808" s="105" t="s">
        <v>17</v>
      </c>
      <c r="K808" s="105">
        <v>1.8</v>
      </c>
      <c r="L808" s="305" t="s">
        <v>35</v>
      </c>
    </row>
    <row r="809" customHeight="1" spans="1:12">
      <c r="A809" s="306"/>
      <c r="B809" s="89"/>
      <c r="C809" s="89"/>
      <c r="D809" s="307"/>
      <c r="E809" s="89"/>
      <c r="F809" s="89"/>
      <c r="G809" s="112" t="s">
        <v>1048</v>
      </c>
      <c r="H809" s="52">
        <v>1.1671</v>
      </c>
      <c r="I809" s="52">
        <v>0.3</v>
      </c>
      <c r="J809" s="105" t="s">
        <v>22</v>
      </c>
      <c r="K809" s="105">
        <v>2.05</v>
      </c>
      <c r="L809" s="308"/>
    </row>
    <row r="810" customHeight="1" spans="1:12">
      <c r="A810" s="306"/>
      <c r="B810" s="89"/>
      <c r="C810" s="89"/>
      <c r="D810" s="307"/>
      <c r="E810" s="89"/>
      <c r="F810" s="89"/>
      <c r="G810" s="112" t="s">
        <v>1050</v>
      </c>
      <c r="H810" s="52">
        <v>1.1671</v>
      </c>
      <c r="I810" s="52">
        <v>0.2</v>
      </c>
      <c r="J810" s="105" t="s">
        <v>64</v>
      </c>
      <c r="K810" s="105">
        <v>3.3</v>
      </c>
      <c r="L810" s="308"/>
    </row>
    <row r="811" customHeight="1" spans="1:12">
      <c r="A811" s="309"/>
      <c r="B811" s="90"/>
      <c r="C811" s="90"/>
      <c r="D811" s="310"/>
      <c r="E811" s="90"/>
      <c r="F811" s="90"/>
      <c r="G811" s="112" t="s">
        <v>1051</v>
      </c>
      <c r="H811" s="52">
        <v>1.9973</v>
      </c>
      <c r="I811" s="52">
        <v>0.5</v>
      </c>
      <c r="J811" s="105" t="s">
        <v>24</v>
      </c>
      <c r="K811" s="105" t="s">
        <v>24</v>
      </c>
      <c r="L811" s="311"/>
    </row>
    <row r="812" customHeight="1" spans="1:12">
      <c r="A812" s="302" t="s">
        <v>1408</v>
      </c>
      <c r="B812" s="303" t="s">
        <v>1409</v>
      </c>
      <c r="C812" s="303" t="s">
        <v>459</v>
      </c>
      <c r="D812" s="304">
        <v>9.3</v>
      </c>
      <c r="E812" s="303" t="s">
        <v>1066</v>
      </c>
      <c r="F812" s="303" t="s">
        <v>460</v>
      </c>
      <c r="G812" s="112" t="s">
        <v>1047</v>
      </c>
      <c r="H812" s="52">
        <v>0.9973</v>
      </c>
      <c r="I812" s="52">
        <v>9</v>
      </c>
      <c r="J812" s="105" t="s">
        <v>17</v>
      </c>
      <c r="K812" s="105">
        <v>1.85</v>
      </c>
      <c r="L812" s="165" t="s">
        <v>35</v>
      </c>
    </row>
    <row r="813" customHeight="1" spans="1:12">
      <c r="A813" s="309"/>
      <c r="B813" s="90"/>
      <c r="C813" s="90"/>
      <c r="D813" s="310"/>
      <c r="E813" s="90"/>
      <c r="F813" s="90"/>
      <c r="G813" s="112" t="s">
        <v>1048</v>
      </c>
      <c r="H813" s="52">
        <v>0.9973</v>
      </c>
      <c r="I813" s="52">
        <v>0.3</v>
      </c>
      <c r="J813" s="105" t="s">
        <v>22</v>
      </c>
      <c r="K813" s="105">
        <v>1.95</v>
      </c>
      <c r="L813" s="261"/>
    </row>
    <row r="814" customHeight="1" spans="1:12">
      <c r="A814" s="302" t="s">
        <v>1410</v>
      </c>
      <c r="B814" s="303" t="s">
        <v>1411</v>
      </c>
      <c r="C814" s="303" t="s">
        <v>459</v>
      </c>
      <c r="D814" s="304">
        <v>10</v>
      </c>
      <c r="E814" s="303" t="s">
        <v>911</v>
      </c>
      <c r="F814" s="303" t="s">
        <v>482</v>
      </c>
      <c r="G814" s="112" t="s">
        <v>1047</v>
      </c>
      <c r="H814" s="52">
        <v>2</v>
      </c>
      <c r="I814" s="52">
        <v>8.7</v>
      </c>
      <c r="J814" s="105" t="s">
        <v>17</v>
      </c>
      <c r="K814" s="105">
        <v>1.82</v>
      </c>
      <c r="L814" s="305" t="s">
        <v>35</v>
      </c>
    </row>
    <row r="815" customHeight="1" spans="1:12">
      <c r="A815" s="306"/>
      <c r="B815" s="89"/>
      <c r="C815" s="89"/>
      <c r="D815" s="307"/>
      <c r="E815" s="89"/>
      <c r="F815" s="89"/>
      <c r="G815" s="112" t="s">
        <v>1048</v>
      </c>
      <c r="H815" s="52">
        <v>2</v>
      </c>
      <c r="I815" s="52">
        <v>0.4</v>
      </c>
      <c r="J815" s="105" t="s">
        <v>22</v>
      </c>
      <c r="K815" s="105">
        <v>2.05</v>
      </c>
      <c r="L815" s="308"/>
    </row>
    <row r="816" customHeight="1" spans="1:12">
      <c r="A816" s="306"/>
      <c r="B816" s="89"/>
      <c r="C816" s="89"/>
      <c r="D816" s="307"/>
      <c r="E816" s="89"/>
      <c r="F816" s="89"/>
      <c r="G816" s="112" t="s">
        <v>1050</v>
      </c>
      <c r="H816" s="52">
        <v>2</v>
      </c>
      <c r="I816" s="52">
        <v>0.4</v>
      </c>
      <c r="J816" s="105" t="s">
        <v>44</v>
      </c>
      <c r="K816" s="105">
        <v>3.4</v>
      </c>
      <c r="L816" s="308"/>
    </row>
    <row r="817" customHeight="1" spans="1:12">
      <c r="A817" s="309"/>
      <c r="B817" s="90"/>
      <c r="C817" s="90"/>
      <c r="D817" s="310"/>
      <c r="E817" s="90"/>
      <c r="F817" s="90"/>
      <c r="G817" s="112" t="s">
        <v>1051</v>
      </c>
      <c r="H817" s="52">
        <v>2</v>
      </c>
      <c r="I817" s="52">
        <v>0.5</v>
      </c>
      <c r="J817" s="105" t="s">
        <v>24</v>
      </c>
      <c r="K817" s="105" t="s">
        <v>24</v>
      </c>
      <c r="L817" s="311"/>
    </row>
    <row r="818" customHeight="1" spans="1:12">
      <c r="A818" s="302" t="s">
        <v>1410</v>
      </c>
      <c r="B818" s="303" t="s">
        <v>1412</v>
      </c>
      <c r="C818" s="303" t="s">
        <v>459</v>
      </c>
      <c r="D818" s="304">
        <v>10</v>
      </c>
      <c r="E818" s="303" t="s">
        <v>486</v>
      </c>
      <c r="F818" s="303" t="s">
        <v>1117</v>
      </c>
      <c r="G818" s="112" t="s">
        <v>1121</v>
      </c>
      <c r="H818" s="52">
        <v>0.8411</v>
      </c>
      <c r="I818" s="52">
        <v>8.4</v>
      </c>
      <c r="J818" s="105" t="s">
        <v>17</v>
      </c>
      <c r="K818" s="105">
        <v>1.78</v>
      </c>
      <c r="L818" s="165" t="s">
        <v>18</v>
      </c>
    </row>
    <row r="819" customHeight="1" spans="1:12">
      <c r="A819" s="306"/>
      <c r="B819" s="89"/>
      <c r="C819" s="89"/>
      <c r="D819" s="307"/>
      <c r="E819" s="89"/>
      <c r="F819" s="89"/>
      <c r="G819" s="112" t="s">
        <v>1122</v>
      </c>
      <c r="H819" s="52">
        <v>1.0055</v>
      </c>
      <c r="I819" s="52">
        <v>0.6</v>
      </c>
      <c r="J819" s="105" t="s">
        <v>17</v>
      </c>
      <c r="K819" s="105">
        <v>1.79</v>
      </c>
      <c r="L819" s="259"/>
    </row>
    <row r="820" customHeight="1" spans="1:12">
      <c r="A820" s="306"/>
      <c r="B820" s="89"/>
      <c r="C820" s="89"/>
      <c r="D820" s="307"/>
      <c r="E820" s="89"/>
      <c r="F820" s="89"/>
      <c r="G820" s="112" t="s">
        <v>1048</v>
      </c>
      <c r="H820" s="52">
        <v>1.3397</v>
      </c>
      <c r="I820" s="52">
        <v>0.5</v>
      </c>
      <c r="J820" s="105" t="s">
        <v>22</v>
      </c>
      <c r="K820" s="105">
        <v>2</v>
      </c>
      <c r="L820" s="259"/>
    </row>
    <row r="821" customHeight="1" spans="1:12">
      <c r="A821" s="309"/>
      <c r="B821" s="90"/>
      <c r="C821" s="90"/>
      <c r="D821" s="310"/>
      <c r="E821" s="90"/>
      <c r="F821" s="90"/>
      <c r="G821" s="112" t="s">
        <v>1051</v>
      </c>
      <c r="H821" s="52">
        <v>2.3388</v>
      </c>
      <c r="I821" s="52">
        <v>0.5</v>
      </c>
      <c r="J821" s="105" t="s">
        <v>24</v>
      </c>
      <c r="K821" s="105" t="s">
        <v>24</v>
      </c>
      <c r="L821" s="261"/>
    </row>
    <row r="822" customHeight="1" spans="1:12">
      <c r="A822" s="299" t="s">
        <v>1394</v>
      </c>
      <c r="B822" s="214" t="s">
        <v>1413</v>
      </c>
      <c r="C822" s="214" t="s">
        <v>459</v>
      </c>
      <c r="D822" s="51">
        <v>2.01</v>
      </c>
      <c r="E822" s="214" t="s">
        <v>486</v>
      </c>
      <c r="F822" s="214" t="s">
        <v>543</v>
      </c>
      <c r="G822" s="112" t="s">
        <v>1047</v>
      </c>
      <c r="H822" s="52">
        <v>1.01</v>
      </c>
      <c r="I822" s="52">
        <v>2.01</v>
      </c>
      <c r="J822" s="105" t="s">
        <v>17</v>
      </c>
      <c r="K822" s="105">
        <v>2.35</v>
      </c>
      <c r="L822" s="205" t="s">
        <v>1082</v>
      </c>
    </row>
    <row r="823" customHeight="1" spans="1:12">
      <c r="A823" s="54" t="s">
        <v>1414</v>
      </c>
      <c r="B823" s="148" t="s">
        <v>1415</v>
      </c>
      <c r="C823" s="148" t="s">
        <v>459</v>
      </c>
      <c r="D823" s="56">
        <v>9.3</v>
      </c>
      <c r="E823" s="148" t="s">
        <v>1066</v>
      </c>
      <c r="F823" s="148" t="s">
        <v>1054</v>
      </c>
      <c r="G823" s="112" t="s">
        <v>1047</v>
      </c>
      <c r="H823" s="105">
        <v>1</v>
      </c>
      <c r="I823" s="105">
        <v>9</v>
      </c>
      <c r="J823" s="105" t="s">
        <v>17</v>
      </c>
      <c r="K823" s="105">
        <v>1.8</v>
      </c>
      <c r="L823" s="205" t="s">
        <v>35</v>
      </c>
    </row>
    <row r="824" customHeight="1" spans="1:12">
      <c r="A824" s="54"/>
      <c r="B824" s="54"/>
      <c r="C824" s="54"/>
      <c r="D824" s="56"/>
      <c r="E824" s="54"/>
      <c r="F824" s="54"/>
      <c r="G824" s="112" t="s">
        <v>1048</v>
      </c>
      <c r="H824" s="105">
        <v>1</v>
      </c>
      <c r="I824" s="105">
        <v>0.3</v>
      </c>
      <c r="J824" s="105" t="s">
        <v>22</v>
      </c>
      <c r="K824" s="105">
        <v>2.1</v>
      </c>
      <c r="L824" s="205"/>
    </row>
    <row r="825" customHeight="1" spans="1:12">
      <c r="A825" s="54" t="s">
        <v>1416</v>
      </c>
      <c r="B825" s="148" t="s">
        <v>1417</v>
      </c>
      <c r="C825" s="148" t="s">
        <v>459</v>
      </c>
      <c r="D825" s="56">
        <v>5</v>
      </c>
      <c r="E825" s="148" t="s">
        <v>477</v>
      </c>
      <c r="F825" s="148" t="s">
        <v>487</v>
      </c>
      <c r="G825" s="112" t="s">
        <v>1047</v>
      </c>
      <c r="H825" s="105">
        <v>1.04</v>
      </c>
      <c r="I825" s="105">
        <v>4.47</v>
      </c>
      <c r="J825" s="105" t="s">
        <v>17</v>
      </c>
      <c r="K825" s="105">
        <v>1.75</v>
      </c>
      <c r="L825" s="205" t="s">
        <v>112</v>
      </c>
    </row>
    <row r="826" customHeight="1" spans="1:12">
      <c r="A826" s="54"/>
      <c r="B826" s="54"/>
      <c r="C826" s="54"/>
      <c r="D826" s="56"/>
      <c r="E826" s="54"/>
      <c r="F826" s="54"/>
      <c r="G826" s="112" t="s">
        <v>1048</v>
      </c>
      <c r="H826" s="105">
        <v>1.04</v>
      </c>
      <c r="I826" s="105">
        <v>0.28</v>
      </c>
      <c r="J826" s="105" t="s">
        <v>22</v>
      </c>
      <c r="K826" s="105">
        <v>1.93</v>
      </c>
      <c r="L826" s="205"/>
    </row>
    <row r="827" customHeight="1" spans="1:12">
      <c r="A827" s="54"/>
      <c r="B827" s="54"/>
      <c r="C827" s="54"/>
      <c r="D827" s="56"/>
      <c r="E827" s="54"/>
      <c r="F827" s="54"/>
      <c r="G827" s="112" t="s">
        <v>1113</v>
      </c>
      <c r="H827" s="105">
        <v>1.04</v>
      </c>
      <c r="I827" s="105">
        <v>0.1</v>
      </c>
      <c r="J827" s="105" t="s">
        <v>24</v>
      </c>
      <c r="K827" s="105" t="s">
        <v>24</v>
      </c>
      <c r="L827" s="205"/>
    </row>
    <row r="828" customHeight="1" spans="1:12">
      <c r="A828" s="54"/>
      <c r="B828" s="54"/>
      <c r="C828" s="54"/>
      <c r="D828" s="56"/>
      <c r="E828" s="54"/>
      <c r="F828" s="54"/>
      <c r="G828" s="112" t="s">
        <v>1114</v>
      </c>
      <c r="H828" s="105">
        <v>1.04</v>
      </c>
      <c r="I828" s="105">
        <v>0.15</v>
      </c>
      <c r="J828" s="105" t="s">
        <v>24</v>
      </c>
      <c r="K828" s="105" t="s">
        <v>24</v>
      </c>
      <c r="L828" s="205"/>
    </row>
    <row r="829" customHeight="1" spans="1:12">
      <c r="A829" s="54" t="s">
        <v>1416</v>
      </c>
      <c r="B829" s="148" t="s">
        <v>1418</v>
      </c>
      <c r="C829" s="148" t="s">
        <v>462</v>
      </c>
      <c r="D829" s="56">
        <v>5</v>
      </c>
      <c r="E829" s="148" t="s">
        <v>486</v>
      </c>
      <c r="F829" s="148" t="s">
        <v>1063</v>
      </c>
      <c r="G829" s="112" t="s">
        <v>1121</v>
      </c>
      <c r="H829" s="105">
        <v>1.08</v>
      </c>
      <c r="I829" s="105">
        <v>4.2</v>
      </c>
      <c r="J829" s="105" t="s">
        <v>17</v>
      </c>
      <c r="K829" s="105">
        <v>1.73</v>
      </c>
      <c r="L829" s="165" t="s">
        <v>18</v>
      </c>
    </row>
    <row r="830" customHeight="1" spans="1:12">
      <c r="A830" s="54"/>
      <c r="B830" s="54"/>
      <c r="C830" s="54"/>
      <c r="D830" s="56"/>
      <c r="E830" s="54"/>
      <c r="F830" s="54"/>
      <c r="G830" s="112" t="s">
        <v>1122</v>
      </c>
      <c r="H830" s="105">
        <v>1.25</v>
      </c>
      <c r="I830" s="105">
        <v>0.3</v>
      </c>
      <c r="J830" s="105" t="s">
        <v>17</v>
      </c>
      <c r="K830" s="105">
        <v>1.82</v>
      </c>
      <c r="L830" s="259"/>
    </row>
    <row r="831" customHeight="1" spans="1:12">
      <c r="A831" s="54"/>
      <c r="B831" s="54"/>
      <c r="C831" s="54"/>
      <c r="D831" s="56"/>
      <c r="E831" s="54"/>
      <c r="F831" s="54"/>
      <c r="G831" s="112" t="s">
        <v>1048</v>
      </c>
      <c r="H831" s="105">
        <v>1.41</v>
      </c>
      <c r="I831" s="105">
        <v>0.25</v>
      </c>
      <c r="J831" s="105" t="s">
        <v>22</v>
      </c>
      <c r="K831" s="105">
        <v>2</v>
      </c>
      <c r="L831" s="259"/>
    </row>
    <row r="832" customHeight="1" spans="1:12">
      <c r="A832" s="54"/>
      <c r="B832" s="54"/>
      <c r="C832" s="54"/>
      <c r="D832" s="56"/>
      <c r="E832" s="54"/>
      <c r="F832" s="54"/>
      <c r="G832" s="112" t="s">
        <v>1051</v>
      </c>
      <c r="H832" s="105">
        <v>2.58</v>
      </c>
      <c r="I832" s="105">
        <v>0.25</v>
      </c>
      <c r="J832" s="105" t="s">
        <v>24</v>
      </c>
      <c r="K832" s="105" t="s">
        <v>24</v>
      </c>
      <c r="L832" s="261"/>
    </row>
    <row r="833" customHeight="1" spans="1:12">
      <c r="A833" s="54" t="s">
        <v>1419</v>
      </c>
      <c r="B833" s="148" t="s">
        <v>1420</v>
      </c>
      <c r="C833" s="148" t="s">
        <v>462</v>
      </c>
      <c r="D833" s="56">
        <v>10</v>
      </c>
      <c r="E833" s="148" t="s">
        <v>536</v>
      </c>
      <c r="F833" s="148" t="s">
        <v>1421</v>
      </c>
      <c r="G833" s="112" t="s">
        <v>1047</v>
      </c>
      <c r="H833" s="105">
        <v>1.92</v>
      </c>
      <c r="I833" s="105">
        <v>8.7</v>
      </c>
      <c r="J833" s="105" t="s">
        <v>17</v>
      </c>
      <c r="K833" s="105">
        <v>1.9</v>
      </c>
      <c r="L833" s="165" t="s">
        <v>35</v>
      </c>
    </row>
    <row r="834" customHeight="1" spans="1:12">
      <c r="A834" s="54"/>
      <c r="B834" s="54"/>
      <c r="C834" s="54"/>
      <c r="D834" s="56"/>
      <c r="E834" s="54"/>
      <c r="F834" s="54"/>
      <c r="G834" s="112" t="s">
        <v>1048</v>
      </c>
      <c r="H834" s="105">
        <v>1.92</v>
      </c>
      <c r="I834" s="105">
        <v>0.4</v>
      </c>
      <c r="J834" s="105" t="s">
        <v>22</v>
      </c>
      <c r="K834" s="105">
        <v>2</v>
      </c>
      <c r="L834" s="259"/>
    </row>
    <row r="835" customHeight="1" spans="1:12">
      <c r="A835" s="54"/>
      <c r="B835" s="54"/>
      <c r="C835" s="54"/>
      <c r="D835" s="56"/>
      <c r="E835" s="54"/>
      <c r="F835" s="54"/>
      <c r="G835" s="112" t="s">
        <v>1055</v>
      </c>
      <c r="H835" s="105">
        <v>1.92</v>
      </c>
      <c r="I835" s="105">
        <v>0.4</v>
      </c>
      <c r="J835" s="105" t="s">
        <v>64</v>
      </c>
      <c r="K835" s="105">
        <v>3.4</v>
      </c>
      <c r="L835" s="259"/>
    </row>
    <row r="836" customHeight="1" spans="1:12">
      <c r="A836" s="54"/>
      <c r="B836" s="54"/>
      <c r="C836" s="54"/>
      <c r="D836" s="56"/>
      <c r="E836" s="54"/>
      <c r="F836" s="54"/>
      <c r="G836" s="112" t="s">
        <v>1051</v>
      </c>
      <c r="H836" s="105">
        <v>2.83</v>
      </c>
      <c r="I836" s="105">
        <v>0.5</v>
      </c>
      <c r="J836" s="105" t="s">
        <v>24</v>
      </c>
      <c r="K836" s="105" t="s">
        <v>24</v>
      </c>
      <c r="L836" s="261"/>
    </row>
    <row r="837" customHeight="1" spans="1:12">
      <c r="A837" s="276">
        <v>45877</v>
      </c>
      <c r="B837" s="148" t="s">
        <v>1422</v>
      </c>
      <c r="C837" s="148" t="s">
        <v>459</v>
      </c>
      <c r="D837" s="56">
        <v>4</v>
      </c>
      <c r="E837" s="148" t="s">
        <v>477</v>
      </c>
      <c r="F837" s="148" t="s">
        <v>1140</v>
      </c>
      <c r="G837" s="112" t="s">
        <v>1047</v>
      </c>
      <c r="H837" s="105">
        <v>2.05</v>
      </c>
      <c r="I837" s="105">
        <v>3.36</v>
      </c>
      <c r="J837" s="105" t="s">
        <v>17</v>
      </c>
      <c r="K837" s="105">
        <v>1.95</v>
      </c>
      <c r="L837" s="205" t="s">
        <v>112</v>
      </c>
    </row>
    <row r="838" customHeight="1" spans="1:12">
      <c r="A838" s="54"/>
      <c r="B838" s="54"/>
      <c r="C838" s="54"/>
      <c r="D838" s="56"/>
      <c r="E838" s="54"/>
      <c r="F838" s="54"/>
      <c r="G838" s="112" t="s">
        <v>1048</v>
      </c>
      <c r="H838" s="105">
        <v>2.05</v>
      </c>
      <c r="I838" s="105">
        <v>0.28</v>
      </c>
      <c r="J838" s="105" t="s">
        <v>22</v>
      </c>
      <c r="K838" s="105">
        <v>2.2</v>
      </c>
      <c r="L838" s="205"/>
    </row>
    <row r="839" customHeight="1" spans="1:12">
      <c r="A839" s="54"/>
      <c r="B839" s="54"/>
      <c r="C839" s="54"/>
      <c r="D839" s="56"/>
      <c r="E839" s="54"/>
      <c r="F839" s="54"/>
      <c r="G839" s="112" t="s">
        <v>1051</v>
      </c>
      <c r="H839" s="105">
        <v>2.05</v>
      </c>
      <c r="I839" s="105">
        <v>0.36</v>
      </c>
      <c r="J839" s="105" t="s">
        <v>24</v>
      </c>
      <c r="K839" s="105" t="s">
        <v>24</v>
      </c>
      <c r="L839" s="205"/>
    </row>
    <row r="840" customHeight="1" spans="1:12">
      <c r="A840" s="276">
        <v>45877</v>
      </c>
      <c r="B840" s="148" t="s">
        <v>1423</v>
      </c>
      <c r="C840" s="148" t="s">
        <v>462</v>
      </c>
      <c r="D840" s="56">
        <v>10</v>
      </c>
      <c r="E840" s="148" t="s">
        <v>911</v>
      </c>
      <c r="F840" s="148" t="s">
        <v>1063</v>
      </c>
      <c r="G840" s="112" t="s">
        <v>1047</v>
      </c>
      <c r="H840" s="105">
        <v>1.99</v>
      </c>
      <c r="I840" s="105">
        <v>8.7</v>
      </c>
      <c r="J840" s="105" t="s">
        <v>17</v>
      </c>
      <c r="K840" s="105">
        <v>1.8</v>
      </c>
      <c r="L840" s="205" t="s">
        <v>35</v>
      </c>
    </row>
    <row r="841" customHeight="1" spans="1:12">
      <c r="A841" s="54"/>
      <c r="B841" s="54"/>
      <c r="C841" s="54"/>
      <c r="D841" s="56"/>
      <c r="E841" s="54"/>
      <c r="F841" s="54"/>
      <c r="G841" s="112" t="s">
        <v>1048</v>
      </c>
      <c r="H841" s="105">
        <v>1.99</v>
      </c>
      <c r="I841" s="105">
        <v>0.4</v>
      </c>
      <c r="J841" s="105" t="s">
        <v>22</v>
      </c>
      <c r="K841" s="105">
        <v>2</v>
      </c>
      <c r="L841" s="205"/>
    </row>
    <row r="842" customHeight="1" spans="1:12">
      <c r="A842" s="54"/>
      <c r="B842" s="54"/>
      <c r="C842" s="54"/>
      <c r="D842" s="56"/>
      <c r="E842" s="54"/>
      <c r="F842" s="54"/>
      <c r="G842" s="112" t="s">
        <v>1055</v>
      </c>
      <c r="H842" s="105">
        <v>1.99</v>
      </c>
      <c r="I842" s="105">
        <v>0.4</v>
      </c>
      <c r="J842" s="105" t="s">
        <v>44</v>
      </c>
      <c r="K842" s="105">
        <v>3.4</v>
      </c>
      <c r="L842" s="205"/>
    </row>
    <row r="843" customHeight="1" spans="1:12">
      <c r="A843" s="80"/>
      <c r="B843" s="80"/>
      <c r="C843" s="80"/>
      <c r="D843" s="413"/>
      <c r="E843" s="80"/>
      <c r="F843" s="80"/>
      <c r="G843" s="119" t="s">
        <v>1051</v>
      </c>
      <c r="H843" s="117">
        <v>1.99</v>
      </c>
      <c r="I843" s="117">
        <v>0.5</v>
      </c>
      <c r="J843" s="117" t="s">
        <v>24</v>
      </c>
      <c r="K843" s="117" t="s">
        <v>24</v>
      </c>
      <c r="L843" s="165"/>
    </row>
    <row r="844" customHeight="1" spans="1:12">
      <c r="A844" s="267">
        <v>45890</v>
      </c>
      <c r="B844" s="122" t="s">
        <v>1424</v>
      </c>
      <c r="C844" s="122" t="s">
        <v>459</v>
      </c>
      <c r="D844" s="52">
        <v>9.3</v>
      </c>
      <c r="E844" s="122" t="s">
        <v>1066</v>
      </c>
      <c r="F844" s="122" t="s">
        <v>1054</v>
      </c>
      <c r="G844" s="95" t="s">
        <v>1064</v>
      </c>
      <c r="H844" s="52">
        <v>1</v>
      </c>
      <c r="I844" s="52">
        <v>9</v>
      </c>
      <c r="J844" s="52" t="s">
        <v>17</v>
      </c>
      <c r="K844" s="52">
        <v>1.8</v>
      </c>
      <c r="L844" s="122" t="s">
        <v>35</v>
      </c>
    </row>
    <row r="845" customHeight="1" spans="1:12">
      <c r="A845" s="95"/>
      <c r="B845" s="95"/>
      <c r="C845" s="95"/>
      <c r="D845" s="52"/>
      <c r="E845" s="95"/>
      <c r="F845" s="95"/>
      <c r="G845" s="95" t="s">
        <v>1060</v>
      </c>
      <c r="H845" s="52">
        <v>1</v>
      </c>
      <c r="I845" s="52">
        <v>0.3</v>
      </c>
      <c r="J845" s="52" t="s">
        <v>22</v>
      </c>
      <c r="K845" s="52">
        <v>2</v>
      </c>
      <c r="L845" s="122"/>
    </row>
    <row r="846" customHeight="1" spans="1:12">
      <c r="A846" s="267">
        <v>45881</v>
      </c>
      <c r="B846" s="122" t="s">
        <v>1425</v>
      </c>
      <c r="C846" s="122" t="s">
        <v>459</v>
      </c>
      <c r="D846" s="52">
        <v>10</v>
      </c>
      <c r="E846" s="122" t="s">
        <v>486</v>
      </c>
      <c r="F846" s="122" t="s">
        <v>1063</v>
      </c>
      <c r="G846" s="95" t="s">
        <v>1058</v>
      </c>
      <c r="H846" s="52">
        <v>1.05</v>
      </c>
      <c r="I846" s="52">
        <v>8.4</v>
      </c>
      <c r="J846" s="52" t="s">
        <v>17</v>
      </c>
      <c r="K846" s="52">
        <v>1.71</v>
      </c>
      <c r="L846" s="122" t="s">
        <v>18</v>
      </c>
    </row>
    <row r="847" customHeight="1" spans="1:12">
      <c r="A847" s="267"/>
      <c r="B847" s="95"/>
      <c r="C847" s="95"/>
      <c r="D847" s="52"/>
      <c r="E847" s="95"/>
      <c r="F847" s="95"/>
      <c r="G847" s="95" t="s">
        <v>1059</v>
      </c>
      <c r="H847" s="52">
        <v>1.22</v>
      </c>
      <c r="I847" s="52">
        <v>0.6</v>
      </c>
      <c r="J847" s="52" t="s">
        <v>17</v>
      </c>
      <c r="K847" s="52">
        <v>1.8</v>
      </c>
      <c r="L847" s="122"/>
    </row>
    <row r="848" customHeight="1" spans="1:12">
      <c r="A848" s="267"/>
      <c r="B848" s="95"/>
      <c r="C848" s="95"/>
      <c r="D848" s="52"/>
      <c r="E848" s="95"/>
      <c r="F848" s="95"/>
      <c r="G848" s="95" t="s">
        <v>1060</v>
      </c>
      <c r="H848" s="52">
        <v>1.39</v>
      </c>
      <c r="I848" s="52">
        <v>0.5</v>
      </c>
      <c r="J848" s="52" t="s">
        <v>22</v>
      </c>
      <c r="K848" s="52">
        <v>2</v>
      </c>
      <c r="L848" s="122"/>
    </row>
    <row r="849" customHeight="1" spans="1:12">
      <c r="A849" s="267"/>
      <c r="B849" s="95"/>
      <c r="C849" s="95"/>
      <c r="D849" s="52"/>
      <c r="E849" s="95"/>
      <c r="F849" s="95"/>
      <c r="G849" s="95" t="s">
        <v>1083</v>
      </c>
      <c r="H849" s="52">
        <v>2.59</v>
      </c>
      <c r="I849" s="52">
        <v>0.5</v>
      </c>
      <c r="J849" s="52" t="s">
        <v>24</v>
      </c>
      <c r="K849" s="52" t="s">
        <v>24</v>
      </c>
      <c r="L849" s="122"/>
    </row>
    <row r="850" customHeight="1" spans="1:12">
      <c r="A850" s="267">
        <v>45881</v>
      </c>
      <c r="B850" s="122" t="s">
        <v>1426</v>
      </c>
      <c r="C850" s="122" t="s">
        <v>459</v>
      </c>
      <c r="D850" s="52">
        <v>5</v>
      </c>
      <c r="E850" s="122" t="s">
        <v>1074</v>
      </c>
      <c r="F850" s="122" t="s">
        <v>1377</v>
      </c>
      <c r="G850" s="95" t="s">
        <v>1081</v>
      </c>
      <c r="H850" s="52">
        <v>1.58</v>
      </c>
      <c r="I850" s="52">
        <v>4</v>
      </c>
      <c r="J850" s="52" t="s">
        <v>17</v>
      </c>
      <c r="K850" s="52">
        <v>2.5</v>
      </c>
      <c r="L850" s="122" t="s">
        <v>1075</v>
      </c>
    </row>
    <row r="851" customHeight="1" spans="1:12">
      <c r="A851" s="267"/>
      <c r="B851" s="95"/>
      <c r="C851" s="95"/>
      <c r="D851" s="52"/>
      <c r="E851" s="95"/>
      <c r="F851" s="95"/>
      <c r="G851" s="95" t="s">
        <v>1083</v>
      </c>
      <c r="H851" s="52">
        <v>1.58</v>
      </c>
      <c r="I851" s="52">
        <v>1</v>
      </c>
      <c r="J851" s="52" t="s">
        <v>24</v>
      </c>
      <c r="K851" s="52" t="s">
        <v>24</v>
      </c>
      <c r="L851" s="122"/>
    </row>
    <row r="852" customHeight="1" spans="1:12">
      <c r="A852" s="267">
        <v>45882</v>
      </c>
      <c r="B852" s="122" t="s">
        <v>1427</v>
      </c>
      <c r="C852" s="122" t="s">
        <v>459</v>
      </c>
      <c r="D852" s="52">
        <v>5</v>
      </c>
      <c r="E852" s="122" t="s">
        <v>477</v>
      </c>
      <c r="F852" s="122" t="s">
        <v>474</v>
      </c>
      <c r="G852" s="95" t="s">
        <v>1064</v>
      </c>
      <c r="H852" s="52">
        <v>1</v>
      </c>
      <c r="I852" s="52">
        <v>4.4</v>
      </c>
      <c r="J852" s="52" t="s">
        <v>17</v>
      </c>
      <c r="K852" s="52">
        <v>1.8</v>
      </c>
      <c r="L852" s="122" t="s">
        <v>41</v>
      </c>
    </row>
    <row r="853" customHeight="1" spans="1:12">
      <c r="A853" s="267"/>
      <c r="B853" s="95"/>
      <c r="C853" s="95"/>
      <c r="D853" s="52"/>
      <c r="E853" s="95"/>
      <c r="F853" s="95"/>
      <c r="G853" s="95" t="s">
        <v>1060</v>
      </c>
      <c r="H853" s="52">
        <v>1</v>
      </c>
      <c r="I853" s="52">
        <v>0.17</v>
      </c>
      <c r="J853" s="52" t="s">
        <v>22</v>
      </c>
      <c r="K853" s="52">
        <v>2.05</v>
      </c>
      <c r="L853" s="122"/>
    </row>
    <row r="854" customHeight="1" spans="1:12">
      <c r="A854" s="267"/>
      <c r="B854" s="95"/>
      <c r="C854" s="95"/>
      <c r="D854" s="52"/>
      <c r="E854" s="95"/>
      <c r="F854" s="95"/>
      <c r="G854" s="95" t="s">
        <v>1061</v>
      </c>
      <c r="H854" s="52">
        <v>1</v>
      </c>
      <c r="I854" s="52">
        <v>0.18</v>
      </c>
      <c r="J854" s="52" t="s">
        <v>136</v>
      </c>
      <c r="K854" s="52">
        <v>4.5</v>
      </c>
      <c r="L854" s="122"/>
    </row>
    <row r="855" customHeight="1" spans="1:12">
      <c r="A855" s="267"/>
      <c r="B855" s="95"/>
      <c r="C855" s="95"/>
      <c r="D855" s="52"/>
      <c r="E855" s="95"/>
      <c r="F855" s="95"/>
      <c r="G855" s="95" t="s">
        <v>1083</v>
      </c>
      <c r="H855" s="52">
        <v>2.75</v>
      </c>
      <c r="I855" s="52">
        <v>0.25</v>
      </c>
      <c r="J855" s="52" t="s">
        <v>24</v>
      </c>
      <c r="K855" s="52" t="s">
        <v>24</v>
      </c>
      <c r="L855" s="122"/>
    </row>
    <row r="856" customHeight="1" spans="1:12">
      <c r="A856" s="267">
        <v>45918</v>
      </c>
      <c r="B856" s="122" t="s">
        <v>1428</v>
      </c>
      <c r="C856" s="122" t="s">
        <v>459</v>
      </c>
      <c r="D856" s="52">
        <v>2</v>
      </c>
      <c r="E856" s="122" t="s">
        <v>1429</v>
      </c>
      <c r="F856" s="122" t="s">
        <v>1430</v>
      </c>
      <c r="G856" s="95" t="s">
        <v>1081</v>
      </c>
      <c r="H856" s="52">
        <v>2</v>
      </c>
      <c r="I856" s="52">
        <v>1.6</v>
      </c>
      <c r="J856" s="52" t="s">
        <v>17</v>
      </c>
      <c r="K856" s="52">
        <v>2.2</v>
      </c>
      <c r="L856" s="122" t="s">
        <v>1431</v>
      </c>
    </row>
    <row r="857" customHeight="1" spans="1:12">
      <c r="A857" s="267"/>
      <c r="B857" s="95"/>
      <c r="C857" s="95"/>
      <c r="D857" s="52"/>
      <c r="E857" s="95"/>
      <c r="F857" s="95"/>
      <c r="G857" s="95" t="s">
        <v>1083</v>
      </c>
      <c r="H857" s="52">
        <v>2</v>
      </c>
      <c r="I857" s="52">
        <v>0.4</v>
      </c>
      <c r="J857" s="52" t="s">
        <v>24</v>
      </c>
      <c r="K857" s="52" t="s">
        <v>24</v>
      </c>
      <c r="L857" s="122"/>
    </row>
    <row r="858" customHeight="1" spans="1:12">
      <c r="A858" s="267">
        <v>45881</v>
      </c>
      <c r="B858" s="122" t="s">
        <v>1432</v>
      </c>
      <c r="C858" s="122" t="s">
        <v>459</v>
      </c>
      <c r="D858" s="52">
        <v>8</v>
      </c>
      <c r="E858" s="122" t="s">
        <v>552</v>
      </c>
      <c r="F858" s="122" t="s">
        <v>474</v>
      </c>
      <c r="G858" s="95" t="s">
        <v>1064</v>
      </c>
      <c r="H858" s="52">
        <v>1.5</v>
      </c>
      <c r="I858" s="52">
        <v>6.77</v>
      </c>
      <c r="J858" s="52" t="s">
        <v>17</v>
      </c>
      <c r="K858" s="52">
        <v>2.1</v>
      </c>
      <c r="L858" s="122" t="s">
        <v>67</v>
      </c>
    </row>
    <row r="859" customHeight="1" spans="1:12">
      <c r="A859" s="267"/>
      <c r="B859" s="95"/>
      <c r="C859" s="95"/>
      <c r="D859" s="52"/>
      <c r="E859" s="95"/>
      <c r="F859" s="95"/>
      <c r="G859" s="95" t="s">
        <v>1060</v>
      </c>
      <c r="H859" s="52">
        <v>1.5</v>
      </c>
      <c r="I859" s="52">
        <v>0.35</v>
      </c>
      <c r="J859" s="52" t="s">
        <v>22</v>
      </c>
      <c r="K859" s="52">
        <v>2.5</v>
      </c>
      <c r="L859" s="122"/>
    </row>
    <row r="860" customHeight="1" spans="1:12">
      <c r="A860" s="267"/>
      <c r="B860" s="95"/>
      <c r="C860" s="95"/>
      <c r="D860" s="52"/>
      <c r="E860" s="95"/>
      <c r="F860" s="95"/>
      <c r="G860" s="95" t="s">
        <v>1061</v>
      </c>
      <c r="H860" s="52">
        <v>1.5</v>
      </c>
      <c r="I860" s="52">
        <v>0.32</v>
      </c>
      <c r="J860" s="52" t="s">
        <v>44</v>
      </c>
      <c r="K860" s="52">
        <v>4</v>
      </c>
      <c r="L860" s="122"/>
    </row>
    <row r="861" customHeight="1" spans="1:12">
      <c r="A861" s="267"/>
      <c r="B861" s="95"/>
      <c r="C861" s="95"/>
      <c r="D861" s="52"/>
      <c r="E861" s="95"/>
      <c r="F861" s="95"/>
      <c r="G861" s="95" t="s">
        <v>1083</v>
      </c>
      <c r="H861" s="52">
        <v>1.5</v>
      </c>
      <c r="I861" s="52">
        <v>0.56</v>
      </c>
      <c r="J861" s="52" t="s">
        <v>24</v>
      </c>
      <c r="K861" s="52" t="s">
        <v>24</v>
      </c>
      <c r="L861" s="122"/>
    </row>
    <row r="862" customHeight="1" spans="1:12">
      <c r="A862" s="267">
        <v>45881</v>
      </c>
      <c r="B862" s="122" t="s">
        <v>1433</v>
      </c>
      <c r="C862" s="122" t="s">
        <v>459</v>
      </c>
      <c r="D862" s="52">
        <v>4.75</v>
      </c>
      <c r="E862" s="122" t="s">
        <v>477</v>
      </c>
      <c r="F862" s="122" t="s">
        <v>474</v>
      </c>
      <c r="G862" s="95" t="s">
        <v>1058</v>
      </c>
      <c r="H862" s="52">
        <v>1.04</v>
      </c>
      <c r="I862" s="52">
        <v>3.6</v>
      </c>
      <c r="J862" s="52" t="s">
        <v>17</v>
      </c>
      <c r="K862" s="52">
        <v>1.8</v>
      </c>
      <c r="L862" s="122" t="s">
        <v>41</v>
      </c>
    </row>
    <row r="863" customHeight="1" spans="1:12">
      <c r="A863" s="267"/>
      <c r="B863" s="95"/>
      <c r="C863" s="95"/>
      <c r="D863" s="52"/>
      <c r="E863" s="95"/>
      <c r="F863" s="95"/>
      <c r="G863" s="95" t="s">
        <v>1059</v>
      </c>
      <c r="H863" s="52">
        <v>1.17</v>
      </c>
      <c r="I863" s="52">
        <v>0.8</v>
      </c>
      <c r="J863" s="52" t="s">
        <v>17</v>
      </c>
      <c r="K863" s="52">
        <v>1.88</v>
      </c>
      <c r="L863" s="122"/>
    </row>
    <row r="864" customHeight="1" spans="1:12">
      <c r="A864" s="267"/>
      <c r="B864" s="95"/>
      <c r="C864" s="95"/>
      <c r="D864" s="52"/>
      <c r="E864" s="95"/>
      <c r="F864" s="95"/>
      <c r="G864" s="95" t="s">
        <v>1434</v>
      </c>
      <c r="H864" s="52">
        <v>1.17</v>
      </c>
      <c r="I864" s="52">
        <v>0.17</v>
      </c>
      <c r="J864" s="52" t="s">
        <v>17</v>
      </c>
      <c r="K864" s="52">
        <v>2</v>
      </c>
      <c r="L864" s="122"/>
    </row>
    <row r="865" customHeight="1" spans="1:12">
      <c r="A865" s="414"/>
      <c r="B865" s="138"/>
      <c r="C865" s="138"/>
      <c r="D865" s="150"/>
      <c r="E865" s="138"/>
      <c r="F865" s="138"/>
      <c r="G865" s="138" t="s">
        <v>1103</v>
      </c>
      <c r="H865" s="150">
        <v>1.21</v>
      </c>
      <c r="I865" s="150">
        <v>0.18</v>
      </c>
      <c r="J865" s="150" t="s">
        <v>22</v>
      </c>
      <c r="K865" s="150">
        <v>4.5</v>
      </c>
      <c r="L865" s="415"/>
    </row>
    <row r="866" customHeight="1" spans="1:12">
      <c r="A866" s="267">
        <v>45881</v>
      </c>
      <c r="B866" s="122" t="s">
        <v>1435</v>
      </c>
      <c r="C866" s="122" t="s">
        <v>459</v>
      </c>
      <c r="D866" s="52">
        <v>15</v>
      </c>
      <c r="E866" s="122" t="s">
        <v>1381</v>
      </c>
      <c r="F866" s="122" t="s">
        <v>482</v>
      </c>
      <c r="G866" s="95" t="s">
        <v>1064</v>
      </c>
      <c r="H866" s="52">
        <v>0.92</v>
      </c>
      <c r="I866" s="52">
        <v>13.2</v>
      </c>
      <c r="J866" s="52" t="s">
        <v>17</v>
      </c>
      <c r="K866" s="52">
        <v>1.78</v>
      </c>
      <c r="L866" s="122" t="s">
        <v>1382</v>
      </c>
    </row>
    <row r="867" customHeight="1" spans="1:12">
      <c r="A867" s="267"/>
      <c r="B867" s="95"/>
      <c r="C867" s="95"/>
      <c r="D867" s="52"/>
      <c r="E867" s="95"/>
      <c r="F867" s="95"/>
      <c r="G867" s="95" t="s">
        <v>1060</v>
      </c>
      <c r="H867" s="52">
        <v>1</v>
      </c>
      <c r="I867" s="52">
        <v>1.05</v>
      </c>
      <c r="J867" s="52" t="s">
        <v>22</v>
      </c>
      <c r="K867" s="52">
        <v>1.88</v>
      </c>
      <c r="L867" s="122"/>
    </row>
    <row r="868" customHeight="1" spans="1:12">
      <c r="A868" s="267"/>
      <c r="B868" s="95"/>
      <c r="C868" s="95"/>
      <c r="D868" s="52"/>
      <c r="E868" s="95"/>
      <c r="F868" s="95"/>
      <c r="G868" s="95" t="s">
        <v>1083</v>
      </c>
      <c r="H868" s="52">
        <v>1.5</v>
      </c>
      <c r="I868" s="52">
        <v>0.75</v>
      </c>
      <c r="J868" s="52" t="s">
        <v>24</v>
      </c>
      <c r="K868" s="52" t="s">
        <v>24</v>
      </c>
      <c r="L868" s="122"/>
    </row>
    <row r="869" customHeight="1" spans="1:12">
      <c r="A869" s="267">
        <v>45881</v>
      </c>
      <c r="B869" s="122" t="s">
        <v>1436</v>
      </c>
      <c r="C869" s="122" t="s">
        <v>459</v>
      </c>
      <c r="D869" s="52">
        <v>15</v>
      </c>
      <c r="E869" s="122" t="s">
        <v>1381</v>
      </c>
      <c r="F869" s="122" t="s">
        <v>482</v>
      </c>
      <c r="G869" s="95" t="s">
        <v>1064</v>
      </c>
      <c r="H869" s="52">
        <v>1</v>
      </c>
      <c r="I869" s="52">
        <v>12.36</v>
      </c>
      <c r="J869" s="52" t="s">
        <v>17</v>
      </c>
      <c r="K869" s="52">
        <v>1.78</v>
      </c>
      <c r="L869" s="122" t="s">
        <v>1382</v>
      </c>
    </row>
    <row r="870" customHeight="1" spans="1:12">
      <c r="A870" s="267"/>
      <c r="B870" s="95"/>
      <c r="C870" s="95"/>
      <c r="D870" s="52"/>
      <c r="E870" s="95"/>
      <c r="F870" s="95"/>
      <c r="G870" s="95" t="s">
        <v>1060</v>
      </c>
      <c r="H870" s="52">
        <v>1</v>
      </c>
      <c r="I870" s="52">
        <v>0.78</v>
      </c>
      <c r="J870" s="52" t="s">
        <v>22</v>
      </c>
      <c r="K870" s="52">
        <v>1.88</v>
      </c>
      <c r="L870" s="122"/>
    </row>
    <row r="871" customHeight="1" spans="1:12">
      <c r="A871" s="267"/>
      <c r="B871" s="95"/>
      <c r="C871" s="95"/>
      <c r="D871" s="52"/>
      <c r="E871" s="95"/>
      <c r="F871" s="95"/>
      <c r="G871" s="95" t="s">
        <v>1061</v>
      </c>
      <c r="H871" s="52">
        <v>1.09</v>
      </c>
      <c r="I871" s="52">
        <v>0.69</v>
      </c>
      <c r="J871" s="52" t="s">
        <v>44</v>
      </c>
      <c r="K871" s="52">
        <v>2.8</v>
      </c>
      <c r="L871" s="122"/>
    </row>
    <row r="872" customHeight="1" spans="1:12">
      <c r="A872" s="267"/>
      <c r="B872" s="95"/>
      <c r="C872" s="95"/>
      <c r="D872" s="52"/>
      <c r="E872" s="95"/>
      <c r="F872" s="95"/>
      <c r="G872" s="95" t="s">
        <v>1083</v>
      </c>
      <c r="H872" s="52">
        <v>1.5</v>
      </c>
      <c r="I872" s="52">
        <v>1.17</v>
      </c>
      <c r="J872" s="52" t="s">
        <v>24</v>
      </c>
      <c r="K872" s="52" t="s">
        <v>24</v>
      </c>
      <c r="L872" s="122"/>
    </row>
    <row r="873" s="298" customFormat="1" customHeight="1" spans="1:12">
      <c r="A873" s="397" t="s">
        <v>1437</v>
      </c>
      <c r="B873" s="213" t="s">
        <v>1438</v>
      </c>
      <c r="C873" s="213" t="s">
        <v>462</v>
      </c>
      <c r="D873" s="398">
        <v>10</v>
      </c>
      <c r="E873" s="213" t="s">
        <v>492</v>
      </c>
      <c r="F873" s="213" t="s">
        <v>487</v>
      </c>
      <c r="G873" s="78" t="s">
        <v>1047</v>
      </c>
      <c r="H873" s="368">
        <v>0.9753</v>
      </c>
      <c r="I873" s="368">
        <v>9</v>
      </c>
      <c r="J873" s="368" t="s">
        <v>17</v>
      </c>
      <c r="K873" s="74">
        <v>1.77</v>
      </c>
      <c r="L873" s="199" t="s">
        <v>74</v>
      </c>
    </row>
    <row r="874" s="298" customFormat="1" customHeight="1" spans="1:12">
      <c r="A874" s="401"/>
      <c r="B874" s="173"/>
      <c r="C874" s="173"/>
      <c r="D874" s="402"/>
      <c r="E874" s="173"/>
      <c r="F874" s="173"/>
      <c r="G874" s="78" t="s">
        <v>1048</v>
      </c>
      <c r="H874" s="368">
        <v>1.2247</v>
      </c>
      <c r="I874" s="368">
        <v>0.3</v>
      </c>
      <c r="J874" s="368" t="s">
        <v>22</v>
      </c>
      <c r="K874" s="74">
        <v>2.1</v>
      </c>
      <c r="L874" s="369"/>
    </row>
    <row r="875" s="298" customFormat="1" customHeight="1" spans="1:12">
      <c r="A875" s="405"/>
      <c r="B875" s="176"/>
      <c r="C875" s="176"/>
      <c r="D875" s="406"/>
      <c r="E875" s="176"/>
      <c r="F875" s="176"/>
      <c r="G875" s="78" t="s">
        <v>1051</v>
      </c>
      <c r="H875" s="368">
        <v>1.737</v>
      </c>
      <c r="I875" s="368">
        <v>0.7</v>
      </c>
      <c r="J875" s="368" t="s">
        <v>24</v>
      </c>
      <c r="K875" s="74" t="s">
        <v>24</v>
      </c>
      <c r="L875" s="371"/>
    </row>
    <row r="876" s="298" customFormat="1" customHeight="1" spans="1:12">
      <c r="A876" s="397" t="s">
        <v>1437</v>
      </c>
      <c r="B876" s="213" t="s">
        <v>1439</v>
      </c>
      <c r="C876" s="213" t="s">
        <v>462</v>
      </c>
      <c r="D876" s="398">
        <v>4</v>
      </c>
      <c r="E876" s="213" t="s">
        <v>536</v>
      </c>
      <c r="F876" s="213" t="s">
        <v>530</v>
      </c>
      <c r="G876" s="367" t="s">
        <v>1047</v>
      </c>
      <c r="H876" s="74">
        <v>1.1644</v>
      </c>
      <c r="I876" s="74">
        <v>3.28</v>
      </c>
      <c r="J876" s="368" t="s">
        <v>17</v>
      </c>
      <c r="K876" s="74">
        <v>2.35</v>
      </c>
      <c r="L876" s="199" t="s">
        <v>233</v>
      </c>
    </row>
    <row r="877" s="298" customFormat="1" customHeight="1" spans="1:12">
      <c r="A877" s="401"/>
      <c r="B877" s="173"/>
      <c r="C877" s="173"/>
      <c r="D877" s="402"/>
      <c r="E877" s="173"/>
      <c r="F877" s="173"/>
      <c r="G877" s="367" t="s">
        <v>1048</v>
      </c>
      <c r="H877" s="74">
        <v>1.3342</v>
      </c>
      <c r="I877" s="74">
        <v>0.32</v>
      </c>
      <c r="J877" s="368" t="s">
        <v>22</v>
      </c>
      <c r="K877" s="74">
        <v>2.8</v>
      </c>
      <c r="L877" s="369"/>
    </row>
    <row r="878" s="298" customFormat="1" customHeight="1" spans="1:12">
      <c r="A878" s="405"/>
      <c r="B878" s="176"/>
      <c r="C878" s="176"/>
      <c r="D878" s="406"/>
      <c r="E878" s="176"/>
      <c r="F878" s="176"/>
      <c r="G878" s="367" t="s">
        <v>1051</v>
      </c>
      <c r="H878" s="74">
        <v>2.5792</v>
      </c>
      <c r="I878" s="74">
        <v>0.4</v>
      </c>
      <c r="J878" s="74" t="s">
        <v>24</v>
      </c>
      <c r="K878" s="74">
        <v>5.7</v>
      </c>
      <c r="L878" s="371"/>
    </row>
    <row r="879" s="298" customFormat="1" customHeight="1" spans="1:12">
      <c r="A879" s="397" t="s">
        <v>1440</v>
      </c>
      <c r="B879" s="213" t="s">
        <v>1441</v>
      </c>
      <c r="C879" s="213" t="s">
        <v>462</v>
      </c>
      <c r="D879" s="398">
        <v>10</v>
      </c>
      <c r="E879" s="213" t="s">
        <v>536</v>
      </c>
      <c r="F879" s="213" t="s">
        <v>1117</v>
      </c>
      <c r="G879" s="367" t="s">
        <v>1047</v>
      </c>
      <c r="H879" s="74">
        <v>1.8274</v>
      </c>
      <c r="I879" s="74">
        <v>8.7</v>
      </c>
      <c r="J879" s="74" t="s">
        <v>17</v>
      </c>
      <c r="K879" s="74">
        <v>1.9</v>
      </c>
      <c r="L879" s="199" t="s">
        <v>35</v>
      </c>
    </row>
    <row r="880" s="298" customFormat="1" customHeight="1" spans="1:12">
      <c r="A880" s="401"/>
      <c r="B880" s="173"/>
      <c r="C880" s="173"/>
      <c r="D880" s="402"/>
      <c r="E880" s="173"/>
      <c r="F880" s="173"/>
      <c r="G880" s="367" t="s">
        <v>1048</v>
      </c>
      <c r="H880" s="74">
        <v>1.8274</v>
      </c>
      <c r="I880" s="74">
        <v>0.4</v>
      </c>
      <c r="J880" s="74" t="s">
        <v>22</v>
      </c>
      <c r="K880" s="74">
        <v>2.05</v>
      </c>
      <c r="L880" s="369"/>
    </row>
    <row r="881" s="298" customFormat="1" customHeight="1" spans="1:12">
      <c r="A881" s="401"/>
      <c r="B881" s="173"/>
      <c r="C881" s="173"/>
      <c r="D881" s="402"/>
      <c r="E881" s="173"/>
      <c r="F881" s="173"/>
      <c r="G881" s="367" t="s">
        <v>1050</v>
      </c>
      <c r="H881" s="74">
        <v>1.8274</v>
      </c>
      <c r="I881" s="74">
        <v>0.4</v>
      </c>
      <c r="J881" s="74" t="s">
        <v>64</v>
      </c>
      <c r="K881" s="74">
        <v>3.4</v>
      </c>
      <c r="L881" s="369"/>
    </row>
    <row r="882" s="298" customFormat="1" customHeight="1" spans="1:12">
      <c r="A882" s="405"/>
      <c r="B882" s="176"/>
      <c r="C882" s="176"/>
      <c r="D882" s="406"/>
      <c r="E882" s="176"/>
      <c r="F882" s="176"/>
      <c r="G882" s="367" t="s">
        <v>1051</v>
      </c>
      <c r="H882" s="74">
        <v>2.7459</v>
      </c>
      <c r="I882" s="74">
        <v>0.5</v>
      </c>
      <c r="J882" s="74" t="s">
        <v>24</v>
      </c>
      <c r="K882" s="74" t="s">
        <v>24</v>
      </c>
      <c r="L882" s="371"/>
    </row>
    <row r="883" s="298" customFormat="1" customHeight="1" spans="1:12">
      <c r="A883" s="397" t="s">
        <v>1442</v>
      </c>
      <c r="B883" s="213" t="s">
        <v>1443</v>
      </c>
      <c r="C883" s="213" t="s">
        <v>462</v>
      </c>
      <c r="D883" s="398">
        <v>9.3</v>
      </c>
      <c r="E883" s="213" t="s">
        <v>477</v>
      </c>
      <c r="F883" s="213" t="s">
        <v>495</v>
      </c>
      <c r="G883" s="367" t="s">
        <v>1047</v>
      </c>
      <c r="H883" s="74">
        <v>1</v>
      </c>
      <c r="I883" s="74">
        <v>9</v>
      </c>
      <c r="J883" s="74" t="s">
        <v>17</v>
      </c>
      <c r="K883" s="74">
        <v>1.77</v>
      </c>
      <c r="L883" s="199" t="s">
        <v>35</v>
      </c>
    </row>
    <row r="884" s="298" customFormat="1" customHeight="1" spans="1:12">
      <c r="A884" s="405"/>
      <c r="B884" s="176"/>
      <c r="C884" s="176"/>
      <c r="D884" s="406"/>
      <c r="E884" s="176"/>
      <c r="F884" s="176"/>
      <c r="G884" s="367" t="s">
        <v>1048</v>
      </c>
      <c r="H884" s="74">
        <v>1</v>
      </c>
      <c r="I884" s="74">
        <v>0.3</v>
      </c>
      <c r="J884" s="74" t="s">
        <v>22</v>
      </c>
      <c r="K884" s="74">
        <v>2</v>
      </c>
      <c r="L884" s="371"/>
    </row>
    <row r="885" s="298" customFormat="1" customHeight="1" spans="1:12">
      <c r="A885" s="397" t="s">
        <v>1440</v>
      </c>
      <c r="B885" s="213" t="s">
        <v>1444</v>
      </c>
      <c r="C885" s="213" t="s">
        <v>459</v>
      </c>
      <c r="D885" s="398">
        <v>5</v>
      </c>
      <c r="E885" s="213" t="s">
        <v>481</v>
      </c>
      <c r="F885" s="213" t="s">
        <v>1117</v>
      </c>
      <c r="G885" s="367" t="s">
        <v>1047</v>
      </c>
      <c r="H885" s="74">
        <v>1</v>
      </c>
      <c r="I885" s="74">
        <v>4.4</v>
      </c>
      <c r="J885" s="74" t="s">
        <v>17</v>
      </c>
      <c r="K885" s="74">
        <v>1.75</v>
      </c>
      <c r="L885" s="199" t="s">
        <v>86</v>
      </c>
    </row>
    <row r="886" s="298" customFormat="1" customHeight="1" spans="1:12">
      <c r="A886" s="401"/>
      <c r="B886" s="173"/>
      <c r="C886" s="173"/>
      <c r="D886" s="402"/>
      <c r="E886" s="173"/>
      <c r="F886" s="173"/>
      <c r="G886" s="367" t="s">
        <v>1048</v>
      </c>
      <c r="H886" s="74">
        <v>1</v>
      </c>
      <c r="I886" s="74">
        <v>0.3</v>
      </c>
      <c r="J886" s="74" t="s">
        <v>22</v>
      </c>
      <c r="K886" s="74">
        <v>1.95</v>
      </c>
      <c r="L886" s="369"/>
    </row>
    <row r="887" s="298" customFormat="1" customHeight="1" spans="1:12">
      <c r="A887" s="405"/>
      <c r="B887" s="176"/>
      <c r="C887" s="176"/>
      <c r="D887" s="406"/>
      <c r="E887" s="176"/>
      <c r="F887" s="176"/>
      <c r="G887" s="367" t="s">
        <v>1051</v>
      </c>
      <c r="H887" s="74">
        <v>4</v>
      </c>
      <c r="I887" s="74">
        <v>0.3</v>
      </c>
      <c r="J887" s="74" t="s">
        <v>24</v>
      </c>
      <c r="K887" s="74" t="s">
        <v>24</v>
      </c>
      <c r="L887" s="371"/>
    </row>
    <row r="888" s="298" customFormat="1" customHeight="1" spans="1:12">
      <c r="A888" s="397" t="s">
        <v>1445</v>
      </c>
      <c r="B888" s="213" t="s">
        <v>1446</v>
      </c>
      <c r="C888" s="213" t="s">
        <v>459</v>
      </c>
      <c r="D888" s="398">
        <v>2.5</v>
      </c>
      <c r="E888" s="213" t="s">
        <v>486</v>
      </c>
      <c r="F888" s="213" t="s">
        <v>1046</v>
      </c>
      <c r="G888" s="367" t="s">
        <v>1047</v>
      </c>
      <c r="H888" s="74">
        <v>1.8411</v>
      </c>
      <c r="I888" s="74">
        <v>2.1</v>
      </c>
      <c r="J888" s="74" t="s">
        <v>17</v>
      </c>
      <c r="K888" s="74">
        <v>2.3</v>
      </c>
      <c r="L888" s="199" t="s">
        <v>70</v>
      </c>
    </row>
    <row r="889" s="298" customFormat="1" customHeight="1" spans="1:12">
      <c r="A889" s="401"/>
      <c r="B889" s="173"/>
      <c r="C889" s="173"/>
      <c r="D889" s="402"/>
      <c r="E889" s="173"/>
      <c r="F889" s="173"/>
      <c r="G889" s="367" t="s">
        <v>1048</v>
      </c>
      <c r="H889" s="74">
        <v>1.9233</v>
      </c>
      <c r="I889" s="74">
        <v>0.1</v>
      </c>
      <c r="J889" s="74" t="s">
        <v>22</v>
      </c>
      <c r="K889" s="74">
        <v>2.95</v>
      </c>
      <c r="L889" s="369"/>
    </row>
    <row r="890" s="298" customFormat="1" customHeight="1" spans="1:12">
      <c r="A890" s="405"/>
      <c r="B890" s="176"/>
      <c r="C890" s="176"/>
      <c r="D890" s="406"/>
      <c r="E890" s="176"/>
      <c r="F890" s="176"/>
      <c r="G890" s="367" t="s">
        <v>1051</v>
      </c>
      <c r="H890" s="74">
        <v>2.6803</v>
      </c>
      <c r="I890" s="74">
        <v>0.3</v>
      </c>
      <c r="J890" s="74" t="s">
        <v>24</v>
      </c>
      <c r="K890" s="74" t="s">
        <v>24</v>
      </c>
      <c r="L890" s="371"/>
    </row>
    <row r="891" s="298" customFormat="1" customHeight="1" spans="1:12">
      <c r="A891" s="397" t="s">
        <v>1440</v>
      </c>
      <c r="B891" s="213" t="s">
        <v>1447</v>
      </c>
      <c r="C891" s="213" t="s">
        <v>462</v>
      </c>
      <c r="D891" s="398">
        <v>5</v>
      </c>
      <c r="E891" s="213" t="s">
        <v>481</v>
      </c>
      <c r="F891" s="213" t="s">
        <v>482</v>
      </c>
      <c r="G891" s="367" t="s">
        <v>1047</v>
      </c>
      <c r="H891" s="74">
        <v>0.9781</v>
      </c>
      <c r="I891" s="74">
        <v>4.5</v>
      </c>
      <c r="J891" s="74" t="s">
        <v>17</v>
      </c>
      <c r="K891" s="74">
        <v>1.77</v>
      </c>
      <c r="L891" s="199" t="s">
        <v>74</v>
      </c>
    </row>
    <row r="892" s="298" customFormat="1" customHeight="1" spans="1:12">
      <c r="A892" s="401"/>
      <c r="B892" s="173"/>
      <c r="C892" s="173"/>
      <c r="D892" s="402"/>
      <c r="E892" s="173"/>
      <c r="F892" s="173"/>
      <c r="G892" s="367" t="s">
        <v>1048</v>
      </c>
      <c r="H892" s="74">
        <v>1.2274</v>
      </c>
      <c r="I892" s="74">
        <v>0.15</v>
      </c>
      <c r="J892" s="74" t="s">
        <v>22</v>
      </c>
      <c r="K892" s="74">
        <v>2.1</v>
      </c>
      <c r="L892" s="369"/>
    </row>
    <row r="893" s="298" customFormat="1" customHeight="1" spans="1:12">
      <c r="A893" s="405"/>
      <c r="B893" s="176"/>
      <c r="C893" s="176"/>
      <c r="D893" s="406"/>
      <c r="E893" s="176"/>
      <c r="F893" s="176"/>
      <c r="G893" s="367" t="s">
        <v>1051</v>
      </c>
      <c r="H893" s="74">
        <v>1.726</v>
      </c>
      <c r="I893" s="74">
        <v>0.35</v>
      </c>
      <c r="J893" s="74" t="s">
        <v>24</v>
      </c>
      <c r="K893" s="74" t="s">
        <v>24</v>
      </c>
      <c r="L893" s="371"/>
    </row>
    <row r="894" s="298" customFormat="1" customHeight="1" spans="1:12">
      <c r="A894" s="397" t="s">
        <v>1445</v>
      </c>
      <c r="B894" s="213" t="s">
        <v>1448</v>
      </c>
      <c r="C894" s="213" t="s">
        <v>462</v>
      </c>
      <c r="D894" s="398">
        <v>6</v>
      </c>
      <c r="E894" s="213" t="s">
        <v>552</v>
      </c>
      <c r="F894" s="213" t="s">
        <v>482</v>
      </c>
      <c r="G894" s="367" t="s">
        <v>1047</v>
      </c>
      <c r="H894" s="74">
        <v>2</v>
      </c>
      <c r="I894" s="74">
        <v>5.04</v>
      </c>
      <c r="J894" s="74" t="s">
        <v>17</v>
      </c>
      <c r="K894" s="74">
        <v>2.1</v>
      </c>
      <c r="L894" s="199" t="s">
        <v>67</v>
      </c>
    </row>
    <row r="895" s="298" customFormat="1" customHeight="1" spans="1:12">
      <c r="A895" s="401"/>
      <c r="B895" s="173"/>
      <c r="C895" s="173"/>
      <c r="D895" s="402"/>
      <c r="E895" s="173"/>
      <c r="F895" s="173"/>
      <c r="G895" s="367" t="s">
        <v>1048</v>
      </c>
      <c r="H895" s="74">
        <v>2</v>
      </c>
      <c r="I895" s="74">
        <v>0.3</v>
      </c>
      <c r="J895" s="74" t="s">
        <v>22</v>
      </c>
      <c r="K895" s="74">
        <v>2.5</v>
      </c>
      <c r="L895" s="369"/>
    </row>
    <row r="896" s="298" customFormat="1" customHeight="1" spans="1:12">
      <c r="A896" s="401"/>
      <c r="B896" s="173"/>
      <c r="C896" s="173"/>
      <c r="D896" s="402"/>
      <c r="E896" s="173"/>
      <c r="F896" s="173"/>
      <c r="G896" s="367" t="s">
        <v>1050</v>
      </c>
      <c r="H896" s="74">
        <v>2</v>
      </c>
      <c r="I896" s="74">
        <v>0.24</v>
      </c>
      <c r="J896" s="74" t="s">
        <v>44</v>
      </c>
      <c r="K896" s="74">
        <v>4</v>
      </c>
      <c r="L896" s="369"/>
    </row>
    <row r="897" s="298" customFormat="1" customHeight="1" spans="1:12">
      <c r="A897" s="405"/>
      <c r="B897" s="176"/>
      <c r="C897" s="176"/>
      <c r="D897" s="406"/>
      <c r="E897" s="176"/>
      <c r="F897" s="176"/>
      <c r="G897" s="367" t="s">
        <v>1051</v>
      </c>
      <c r="H897" s="74">
        <v>2</v>
      </c>
      <c r="I897" s="74">
        <v>0.42</v>
      </c>
      <c r="J897" s="74" t="s">
        <v>24</v>
      </c>
      <c r="K897" s="74" t="s">
        <v>24</v>
      </c>
      <c r="L897" s="371"/>
    </row>
    <row r="898" s="298" customFormat="1" customHeight="1" spans="1:12">
      <c r="A898" s="397" t="s">
        <v>1449</v>
      </c>
      <c r="B898" s="213" t="s">
        <v>1450</v>
      </c>
      <c r="C898" s="213" t="s">
        <v>462</v>
      </c>
      <c r="D898" s="398">
        <v>8</v>
      </c>
      <c r="E898" s="213" t="s">
        <v>492</v>
      </c>
      <c r="F898" s="213" t="s">
        <v>460</v>
      </c>
      <c r="G898" s="367" t="s">
        <v>1047</v>
      </c>
      <c r="H898" s="74">
        <v>0.9918</v>
      </c>
      <c r="I898" s="74">
        <v>7.04</v>
      </c>
      <c r="J898" s="74" t="s">
        <v>17</v>
      </c>
      <c r="K898" s="74">
        <v>1.77</v>
      </c>
      <c r="L898" s="199" t="s">
        <v>86</v>
      </c>
    </row>
    <row r="899" s="298" customFormat="1" customHeight="1" spans="1:12">
      <c r="A899" s="401"/>
      <c r="B899" s="173"/>
      <c r="C899" s="173"/>
      <c r="D899" s="402"/>
      <c r="E899" s="173"/>
      <c r="F899" s="173"/>
      <c r="G899" s="367" t="s">
        <v>1048</v>
      </c>
      <c r="H899" s="74">
        <v>0.9918</v>
      </c>
      <c r="I899" s="74">
        <v>0.32</v>
      </c>
      <c r="J899" s="74" t="s">
        <v>22</v>
      </c>
      <c r="K899" s="74">
        <v>1.95</v>
      </c>
      <c r="L899" s="369"/>
    </row>
    <row r="900" s="298" customFormat="1" customHeight="1" spans="1:12">
      <c r="A900" s="401"/>
      <c r="B900" s="173"/>
      <c r="C900" s="173"/>
      <c r="D900" s="402"/>
      <c r="E900" s="173"/>
      <c r="F900" s="173"/>
      <c r="G900" s="367" t="s">
        <v>1050</v>
      </c>
      <c r="H900" s="74">
        <v>0.9918</v>
      </c>
      <c r="I900" s="74">
        <v>0.24</v>
      </c>
      <c r="J900" s="74" t="s">
        <v>96</v>
      </c>
      <c r="K900" s="74">
        <v>4</v>
      </c>
      <c r="L900" s="369"/>
    </row>
    <row r="901" s="298" customFormat="1" customHeight="1" spans="1:12">
      <c r="A901" s="405"/>
      <c r="B901" s="176"/>
      <c r="C901" s="176"/>
      <c r="D901" s="406"/>
      <c r="E901" s="176"/>
      <c r="F901" s="176"/>
      <c r="G901" s="367" t="s">
        <v>1051</v>
      </c>
      <c r="H901" s="74">
        <v>3.9945</v>
      </c>
      <c r="I901" s="74">
        <v>0.4</v>
      </c>
      <c r="J901" s="74" t="s">
        <v>24</v>
      </c>
      <c r="K901" s="74" t="s">
        <v>24</v>
      </c>
      <c r="L901" s="371"/>
    </row>
    <row r="902" s="298" customFormat="1" customHeight="1" spans="1:12">
      <c r="A902" s="397" t="s">
        <v>1449</v>
      </c>
      <c r="B902" s="213" t="s">
        <v>1451</v>
      </c>
      <c r="C902" s="213" t="s">
        <v>462</v>
      </c>
      <c r="D902" s="398">
        <v>6</v>
      </c>
      <c r="E902" s="213" t="s">
        <v>486</v>
      </c>
      <c r="F902" s="213" t="s">
        <v>1153</v>
      </c>
      <c r="G902" s="367" t="s">
        <v>1121</v>
      </c>
      <c r="H902" s="74">
        <v>0.9096</v>
      </c>
      <c r="I902" s="74">
        <v>1.8</v>
      </c>
      <c r="J902" s="74" t="s">
        <v>17</v>
      </c>
      <c r="K902" s="74">
        <v>2.3</v>
      </c>
      <c r="L902" s="199" t="s">
        <v>1082</v>
      </c>
    </row>
    <row r="903" s="298" customFormat="1" customHeight="1" spans="1:12">
      <c r="A903" s="401"/>
      <c r="B903" s="173"/>
      <c r="C903" s="173"/>
      <c r="D903" s="402"/>
      <c r="E903" s="173"/>
      <c r="F903" s="173"/>
      <c r="G903" s="367" t="s">
        <v>1122</v>
      </c>
      <c r="H903" s="74">
        <v>1.9096</v>
      </c>
      <c r="I903" s="74">
        <v>2.4</v>
      </c>
      <c r="J903" s="74" t="s">
        <v>17</v>
      </c>
      <c r="K903" s="74">
        <v>2.7</v>
      </c>
      <c r="L903" s="369"/>
    </row>
    <row r="904" s="298" customFormat="1" customHeight="1" spans="1:12">
      <c r="A904" s="401"/>
      <c r="B904" s="173"/>
      <c r="C904" s="173"/>
      <c r="D904" s="402"/>
      <c r="E904" s="173"/>
      <c r="F904" s="173"/>
      <c r="G904" s="367" t="s">
        <v>1141</v>
      </c>
      <c r="H904" s="74">
        <v>2.9153</v>
      </c>
      <c r="I904" s="74">
        <v>1.71</v>
      </c>
      <c r="J904" s="74" t="s">
        <v>17</v>
      </c>
      <c r="K904" s="74">
        <v>4</v>
      </c>
      <c r="L904" s="369"/>
    </row>
    <row r="905" s="298" customFormat="1" customHeight="1" spans="1:12">
      <c r="A905" s="405"/>
      <c r="B905" s="176"/>
      <c r="C905" s="176"/>
      <c r="D905" s="406"/>
      <c r="E905" s="176"/>
      <c r="F905" s="176"/>
      <c r="G905" s="367" t="s">
        <v>1051</v>
      </c>
      <c r="H905" s="74">
        <v>2.9535</v>
      </c>
      <c r="I905" s="74">
        <v>0.09</v>
      </c>
      <c r="J905" s="74" t="s">
        <v>24</v>
      </c>
      <c r="K905" s="74" t="s">
        <v>24</v>
      </c>
      <c r="L905" s="371"/>
    </row>
    <row r="906" s="298" customFormat="1" customHeight="1" spans="1:12">
      <c r="A906" s="397" t="s">
        <v>1442</v>
      </c>
      <c r="B906" s="213" t="s">
        <v>1452</v>
      </c>
      <c r="C906" s="213" t="s">
        <v>462</v>
      </c>
      <c r="D906" s="398">
        <v>10</v>
      </c>
      <c r="E906" s="213" t="s">
        <v>536</v>
      </c>
      <c r="F906" s="213" t="s">
        <v>490</v>
      </c>
      <c r="G906" s="367" t="s">
        <v>1047</v>
      </c>
      <c r="H906" s="74">
        <v>1</v>
      </c>
      <c r="I906" s="74">
        <v>9</v>
      </c>
      <c r="J906" s="74" t="s">
        <v>17</v>
      </c>
      <c r="K906" s="74">
        <v>1.79</v>
      </c>
      <c r="L906" s="199" t="s">
        <v>74</v>
      </c>
    </row>
    <row r="907" s="298" customFormat="1" customHeight="1" spans="1:12">
      <c r="A907" s="401"/>
      <c r="B907" s="173"/>
      <c r="C907" s="173"/>
      <c r="D907" s="402"/>
      <c r="E907" s="173"/>
      <c r="F907" s="173"/>
      <c r="G907" s="367" t="s">
        <v>1048</v>
      </c>
      <c r="H907" s="74">
        <v>1.2521</v>
      </c>
      <c r="I907" s="74">
        <v>0.3</v>
      </c>
      <c r="J907" s="74" t="s">
        <v>22</v>
      </c>
      <c r="K907" s="74">
        <v>2.1</v>
      </c>
      <c r="L907" s="369"/>
    </row>
    <row r="908" s="298" customFormat="1" customHeight="1" spans="1:12">
      <c r="A908" s="405"/>
      <c r="B908" s="176"/>
      <c r="C908" s="176"/>
      <c r="D908" s="406"/>
      <c r="E908" s="176"/>
      <c r="F908" s="176"/>
      <c r="G908" s="367" t="s">
        <v>1051</v>
      </c>
      <c r="H908" s="74">
        <v>1.7479</v>
      </c>
      <c r="I908" s="74">
        <v>0.7</v>
      </c>
      <c r="J908" s="74" t="s">
        <v>24</v>
      </c>
      <c r="K908" s="74" t="s">
        <v>24</v>
      </c>
      <c r="L908" s="371"/>
    </row>
    <row r="909" s="298" customFormat="1" customHeight="1" spans="1:12">
      <c r="A909" s="397" t="s">
        <v>1437</v>
      </c>
      <c r="B909" s="213" t="s">
        <v>1453</v>
      </c>
      <c r="C909" s="213" t="s">
        <v>462</v>
      </c>
      <c r="D909" s="398">
        <v>10</v>
      </c>
      <c r="E909" s="213" t="s">
        <v>536</v>
      </c>
      <c r="F909" s="213" t="s">
        <v>490</v>
      </c>
      <c r="G909" s="367" t="s">
        <v>1047</v>
      </c>
      <c r="H909" s="74">
        <v>1</v>
      </c>
      <c r="I909" s="74">
        <v>9</v>
      </c>
      <c r="J909" s="74" t="s">
        <v>17</v>
      </c>
      <c r="K909" s="74">
        <v>1.77</v>
      </c>
      <c r="L909" s="199" t="s">
        <v>74</v>
      </c>
    </row>
    <row r="910" s="298" customFormat="1" customHeight="1" spans="1:12">
      <c r="A910" s="401"/>
      <c r="B910" s="173"/>
      <c r="C910" s="173"/>
      <c r="D910" s="402"/>
      <c r="E910" s="173"/>
      <c r="F910" s="173"/>
      <c r="G910" s="367" t="s">
        <v>1048</v>
      </c>
      <c r="H910" s="74">
        <v>1.2521</v>
      </c>
      <c r="I910" s="74">
        <v>0.3</v>
      </c>
      <c r="J910" s="74" t="s">
        <v>22</v>
      </c>
      <c r="K910" s="74">
        <v>2.1</v>
      </c>
      <c r="L910" s="369"/>
    </row>
    <row r="911" s="298" customFormat="1" customHeight="1" spans="1:12">
      <c r="A911" s="405"/>
      <c r="B911" s="176"/>
      <c r="C911" s="176"/>
      <c r="D911" s="406"/>
      <c r="E911" s="176"/>
      <c r="F911" s="176"/>
      <c r="G911" s="367" t="s">
        <v>1051</v>
      </c>
      <c r="H911" s="74">
        <v>1.7479</v>
      </c>
      <c r="I911" s="74">
        <v>0.7</v>
      </c>
      <c r="J911" s="74" t="s">
        <v>24</v>
      </c>
      <c r="K911" s="74" t="s">
        <v>24</v>
      </c>
      <c r="L911" s="371"/>
    </row>
    <row r="912" s="298" customFormat="1" customHeight="1" spans="1:12">
      <c r="A912" s="397" t="s">
        <v>1449</v>
      </c>
      <c r="B912" s="213" t="s">
        <v>1454</v>
      </c>
      <c r="C912" s="213" t="s">
        <v>462</v>
      </c>
      <c r="D912" s="398">
        <v>15</v>
      </c>
      <c r="E912" s="213" t="s">
        <v>1109</v>
      </c>
      <c r="F912" s="213" t="s">
        <v>460</v>
      </c>
      <c r="G912" s="367" t="s">
        <v>1047</v>
      </c>
      <c r="H912" s="74">
        <v>1.0247</v>
      </c>
      <c r="I912" s="74">
        <v>12.525</v>
      </c>
      <c r="J912" s="74" t="s">
        <v>17</v>
      </c>
      <c r="K912" s="74">
        <v>1.76</v>
      </c>
      <c r="L912" s="199" t="s">
        <v>27</v>
      </c>
    </row>
    <row r="913" s="298" customFormat="1" customHeight="1" spans="1:12">
      <c r="A913" s="401"/>
      <c r="B913" s="173"/>
      <c r="C913" s="173"/>
      <c r="D913" s="402"/>
      <c r="E913" s="173"/>
      <c r="F913" s="173"/>
      <c r="G913" s="367" t="s">
        <v>1048</v>
      </c>
      <c r="H913" s="74">
        <v>1.0247</v>
      </c>
      <c r="I913" s="74">
        <v>1.05</v>
      </c>
      <c r="J913" s="74" t="s">
        <v>22</v>
      </c>
      <c r="K913" s="74">
        <v>1.8</v>
      </c>
      <c r="L913" s="369"/>
    </row>
    <row r="914" s="298" customFormat="1" customHeight="1" spans="1:12">
      <c r="A914" s="405"/>
      <c r="B914" s="176"/>
      <c r="C914" s="176"/>
      <c r="D914" s="406"/>
      <c r="E914" s="176"/>
      <c r="F914" s="176"/>
      <c r="G914" s="367" t="s">
        <v>1051</v>
      </c>
      <c r="H914" s="74">
        <v>1.7726</v>
      </c>
      <c r="I914" s="74">
        <v>1.425</v>
      </c>
      <c r="J914" s="74" t="s">
        <v>24</v>
      </c>
      <c r="K914" s="74" t="s">
        <v>24</v>
      </c>
      <c r="L914" s="371"/>
    </row>
    <row r="915" s="298" customFormat="1" customHeight="1" spans="1:12">
      <c r="A915" s="397" t="s">
        <v>1449</v>
      </c>
      <c r="B915" s="213" t="s">
        <v>1455</v>
      </c>
      <c r="C915" s="213" t="s">
        <v>462</v>
      </c>
      <c r="D915" s="398">
        <v>4</v>
      </c>
      <c r="E915" s="213" t="s">
        <v>1277</v>
      </c>
      <c r="F915" s="213" t="s">
        <v>487</v>
      </c>
      <c r="G915" s="367" t="s">
        <v>1047</v>
      </c>
      <c r="H915" s="74">
        <v>1.4137</v>
      </c>
      <c r="I915" s="74">
        <v>3.4</v>
      </c>
      <c r="J915" s="74" t="s">
        <v>17</v>
      </c>
      <c r="K915" s="74">
        <v>1.79</v>
      </c>
      <c r="L915" s="199" t="s">
        <v>355</v>
      </c>
    </row>
    <row r="916" s="298" customFormat="1" customHeight="1" spans="1:12">
      <c r="A916" s="401"/>
      <c r="B916" s="173"/>
      <c r="C916" s="173"/>
      <c r="D916" s="402"/>
      <c r="E916" s="173"/>
      <c r="F916" s="173"/>
      <c r="G916" s="367" t="s">
        <v>1048</v>
      </c>
      <c r="H916" s="74">
        <v>1.9973</v>
      </c>
      <c r="I916" s="74">
        <v>0.2</v>
      </c>
      <c r="J916" s="74" t="s">
        <v>22</v>
      </c>
      <c r="K916" s="74">
        <v>1.92</v>
      </c>
      <c r="L916" s="369"/>
    </row>
    <row r="917" s="298" customFormat="1" customHeight="1" spans="1:12">
      <c r="A917" s="401"/>
      <c r="B917" s="173"/>
      <c r="C917" s="173"/>
      <c r="D917" s="402"/>
      <c r="E917" s="173"/>
      <c r="F917" s="173"/>
      <c r="G917" s="367" t="s">
        <v>1050</v>
      </c>
      <c r="H917" s="74">
        <v>1.9973</v>
      </c>
      <c r="I917" s="74">
        <v>0.16</v>
      </c>
      <c r="J917" s="74" t="s">
        <v>100</v>
      </c>
      <c r="K917" s="74">
        <v>2.78</v>
      </c>
      <c r="L917" s="369"/>
    </row>
    <row r="918" s="298" customFormat="1" customHeight="1" spans="1:12">
      <c r="A918" s="405"/>
      <c r="B918" s="176"/>
      <c r="C918" s="176"/>
      <c r="D918" s="406"/>
      <c r="E918" s="176"/>
      <c r="F918" s="176"/>
      <c r="G918" s="367" t="s">
        <v>1051</v>
      </c>
      <c r="H918" s="74">
        <v>1.9973</v>
      </c>
      <c r="I918" s="74">
        <v>0.24</v>
      </c>
      <c r="J918" s="74" t="s">
        <v>24</v>
      </c>
      <c r="K918" s="74" t="s">
        <v>24</v>
      </c>
      <c r="L918" s="371"/>
    </row>
    <row r="919" s="298" customFormat="1" customHeight="1" spans="1:12">
      <c r="A919" s="397" t="s">
        <v>1445</v>
      </c>
      <c r="B919" s="213" t="s">
        <v>1456</v>
      </c>
      <c r="C919" s="213" t="s">
        <v>459</v>
      </c>
      <c r="D919" s="398">
        <v>9.3</v>
      </c>
      <c r="E919" s="213" t="s">
        <v>477</v>
      </c>
      <c r="F919" s="213" t="s">
        <v>1225</v>
      </c>
      <c r="G919" s="367" t="s">
        <v>1047</v>
      </c>
      <c r="H919" s="74">
        <v>1</v>
      </c>
      <c r="I919" s="74">
        <v>9</v>
      </c>
      <c r="J919" s="74" t="s">
        <v>17</v>
      </c>
      <c r="K919" s="74">
        <v>1.77</v>
      </c>
      <c r="L919" s="199" t="s">
        <v>35</v>
      </c>
    </row>
    <row r="920" s="298" customFormat="1" customHeight="1" spans="1:12">
      <c r="A920" s="405"/>
      <c r="B920" s="176"/>
      <c r="C920" s="176"/>
      <c r="D920" s="406"/>
      <c r="E920" s="176"/>
      <c r="F920" s="176"/>
      <c r="G920" s="367" t="s">
        <v>1048</v>
      </c>
      <c r="H920" s="74">
        <v>1</v>
      </c>
      <c r="I920" s="74">
        <v>0.3</v>
      </c>
      <c r="J920" s="74" t="s">
        <v>22</v>
      </c>
      <c r="K920" s="74">
        <v>2.05</v>
      </c>
      <c r="L920" s="371"/>
    </row>
    <row r="921" s="298" customFormat="1" customHeight="1" spans="1:12">
      <c r="A921" s="397" t="s">
        <v>1449</v>
      </c>
      <c r="B921" s="213" t="s">
        <v>1457</v>
      </c>
      <c r="C921" s="213" t="s">
        <v>459</v>
      </c>
      <c r="D921" s="398">
        <v>5</v>
      </c>
      <c r="E921" s="213" t="s">
        <v>1109</v>
      </c>
      <c r="F921" s="213" t="s">
        <v>460</v>
      </c>
      <c r="G921" s="367" t="s">
        <v>1047</v>
      </c>
      <c r="H921" s="74">
        <v>1.0247</v>
      </c>
      <c r="I921" s="74">
        <v>4.35</v>
      </c>
      <c r="J921" s="74" t="s">
        <v>17</v>
      </c>
      <c r="K921" s="74">
        <v>1.77</v>
      </c>
      <c r="L921" s="199" t="s">
        <v>27</v>
      </c>
    </row>
    <row r="922" s="298" customFormat="1" customHeight="1" spans="1:12">
      <c r="A922" s="401"/>
      <c r="B922" s="173"/>
      <c r="C922" s="173"/>
      <c r="D922" s="402"/>
      <c r="E922" s="173"/>
      <c r="F922" s="173"/>
      <c r="G922" s="367" t="s">
        <v>1048</v>
      </c>
      <c r="H922" s="74">
        <v>1.0247</v>
      </c>
      <c r="I922" s="74">
        <v>0.25</v>
      </c>
      <c r="J922" s="74" t="s">
        <v>22</v>
      </c>
      <c r="K922" s="74">
        <v>1.81</v>
      </c>
      <c r="L922" s="369"/>
    </row>
    <row r="923" s="298" customFormat="1" customHeight="1" spans="1:12">
      <c r="A923" s="405"/>
      <c r="B923" s="176"/>
      <c r="C923" s="176"/>
      <c r="D923" s="406"/>
      <c r="E923" s="176"/>
      <c r="F923" s="176"/>
      <c r="G923" s="367" t="s">
        <v>1051</v>
      </c>
      <c r="H923" s="74">
        <v>1.863</v>
      </c>
      <c r="I923" s="74">
        <v>0.4</v>
      </c>
      <c r="J923" s="74" t="s">
        <v>24</v>
      </c>
      <c r="K923" s="74" t="s">
        <v>24</v>
      </c>
      <c r="L923" s="371"/>
    </row>
    <row r="924" s="298" customFormat="1" customHeight="1" spans="1:12">
      <c r="A924" s="302" t="s">
        <v>1449</v>
      </c>
      <c r="B924" s="303" t="s">
        <v>1458</v>
      </c>
      <c r="C924" s="303" t="s">
        <v>459</v>
      </c>
      <c r="D924" s="304">
        <v>5</v>
      </c>
      <c r="E924" s="303" t="s">
        <v>1205</v>
      </c>
      <c r="F924" s="303" t="s">
        <v>474</v>
      </c>
      <c r="G924" s="112" t="s">
        <v>1121</v>
      </c>
      <c r="H924" s="105">
        <v>1.0767</v>
      </c>
      <c r="I924" s="105">
        <v>3.6</v>
      </c>
      <c r="J924" s="105" t="s">
        <v>17</v>
      </c>
      <c r="K924" s="105">
        <v>1.8</v>
      </c>
      <c r="L924" s="305" t="s">
        <v>41</v>
      </c>
    </row>
    <row r="925" s="298" customFormat="1" customHeight="1" spans="1:12">
      <c r="A925" s="306"/>
      <c r="B925" s="89"/>
      <c r="C925" s="89"/>
      <c r="D925" s="307"/>
      <c r="E925" s="89"/>
      <c r="F925" s="89"/>
      <c r="G925" s="112" t="s">
        <v>1122</v>
      </c>
      <c r="H925" s="105">
        <v>1.2</v>
      </c>
      <c r="I925" s="105">
        <v>0.75</v>
      </c>
      <c r="J925" s="105" t="s">
        <v>17</v>
      </c>
      <c r="K925" s="105">
        <v>1.88</v>
      </c>
      <c r="L925" s="308"/>
    </row>
    <row r="926" s="298" customFormat="1" customHeight="1" spans="1:12">
      <c r="A926" s="306"/>
      <c r="B926" s="89"/>
      <c r="C926" s="89"/>
      <c r="D926" s="307"/>
      <c r="E926" s="89"/>
      <c r="F926" s="89"/>
      <c r="G926" s="112" t="s">
        <v>1048</v>
      </c>
      <c r="H926" s="105">
        <v>1.2411</v>
      </c>
      <c r="I926" s="105">
        <v>0.2</v>
      </c>
      <c r="J926" s="105" t="s">
        <v>22</v>
      </c>
      <c r="K926" s="105">
        <v>2.1</v>
      </c>
      <c r="L926" s="308"/>
    </row>
    <row r="927" s="298" customFormat="1" customHeight="1" spans="1:12">
      <c r="A927" s="306"/>
      <c r="B927" s="89"/>
      <c r="C927" s="89"/>
      <c r="D927" s="307"/>
      <c r="E927" s="89"/>
      <c r="F927" s="89"/>
      <c r="G927" s="112" t="s">
        <v>1050</v>
      </c>
      <c r="H927" s="105">
        <v>1.326</v>
      </c>
      <c r="I927" s="105">
        <v>0.2</v>
      </c>
      <c r="J927" s="105" t="s">
        <v>44</v>
      </c>
      <c r="K927" s="105">
        <v>4.5</v>
      </c>
      <c r="L927" s="308"/>
    </row>
    <row r="928" s="298" customFormat="1" customHeight="1" spans="1:12">
      <c r="A928" s="309"/>
      <c r="B928" s="90"/>
      <c r="C928" s="90"/>
      <c r="D928" s="310"/>
      <c r="E928" s="90"/>
      <c r="F928" s="90"/>
      <c r="G928" s="112" t="s">
        <v>1051</v>
      </c>
      <c r="H928" s="105">
        <v>1.7397</v>
      </c>
      <c r="I928" s="105">
        <v>0.25</v>
      </c>
      <c r="J928" s="105" t="s">
        <v>24</v>
      </c>
      <c r="K928" s="105" t="s">
        <v>24</v>
      </c>
      <c r="L928" s="311"/>
    </row>
    <row r="929" s="298" customFormat="1" customHeight="1" spans="1:12">
      <c r="A929" s="416">
        <v>45895</v>
      </c>
      <c r="B929" s="253" t="s">
        <v>1459</v>
      </c>
      <c r="C929" s="253" t="s">
        <v>459</v>
      </c>
      <c r="D929" s="417">
        <v>3</v>
      </c>
      <c r="E929" s="253" t="s">
        <v>1074</v>
      </c>
      <c r="F929" s="253" t="s">
        <v>1377</v>
      </c>
      <c r="G929" s="48" t="s">
        <v>1137</v>
      </c>
      <c r="H929" s="51">
        <v>1.537</v>
      </c>
      <c r="I929" s="51">
        <v>2.4</v>
      </c>
      <c r="J929" s="51" t="s">
        <v>17</v>
      </c>
      <c r="K929" s="52">
        <v>2.5</v>
      </c>
      <c r="L929" s="253" t="s">
        <v>1075</v>
      </c>
    </row>
    <row r="930" customHeight="1" spans="1:12">
      <c r="A930" s="418"/>
      <c r="B930" s="83"/>
      <c r="C930" s="83"/>
      <c r="D930" s="419"/>
      <c r="E930" s="83"/>
      <c r="F930" s="83"/>
      <c r="G930" s="48" t="s">
        <v>1051</v>
      </c>
      <c r="H930" s="51">
        <v>1.537</v>
      </c>
      <c r="I930" s="51">
        <v>0.6</v>
      </c>
      <c r="J930" s="51" t="s">
        <v>24</v>
      </c>
      <c r="K930" s="51" t="s">
        <v>24</v>
      </c>
      <c r="L930" s="260"/>
    </row>
    <row r="931" customHeight="1" spans="1:12">
      <c r="A931" s="416">
        <v>45898</v>
      </c>
      <c r="B931" s="253" t="s">
        <v>1460</v>
      </c>
      <c r="C931" s="253" t="s">
        <v>459</v>
      </c>
      <c r="D931" s="417">
        <v>9.3</v>
      </c>
      <c r="E931" s="253" t="s">
        <v>477</v>
      </c>
      <c r="F931" s="253" t="s">
        <v>1206</v>
      </c>
      <c r="G931" s="48" t="s">
        <v>1047</v>
      </c>
      <c r="H931" s="51">
        <v>1.0055</v>
      </c>
      <c r="I931" s="51">
        <v>9</v>
      </c>
      <c r="J931" s="51" t="s">
        <v>17</v>
      </c>
      <c r="K931" s="52">
        <v>1.81</v>
      </c>
      <c r="L931" s="253" t="s">
        <v>35</v>
      </c>
    </row>
    <row r="932" customHeight="1" spans="1:12">
      <c r="A932" s="420"/>
      <c r="B932" s="87"/>
      <c r="C932" s="87"/>
      <c r="D932" s="421"/>
      <c r="E932" s="87"/>
      <c r="F932" s="87"/>
      <c r="G932" s="48" t="s">
        <v>1048</v>
      </c>
      <c r="H932" s="51">
        <v>1.0055</v>
      </c>
      <c r="I932" s="51">
        <v>0.3</v>
      </c>
      <c r="J932" s="51" t="s">
        <v>22</v>
      </c>
      <c r="K932" s="52">
        <v>2</v>
      </c>
      <c r="L932" s="258"/>
    </row>
    <row r="933" customHeight="1" spans="1:12">
      <c r="A933" s="416">
        <v>45896</v>
      </c>
      <c r="B933" s="253" t="s">
        <v>1461</v>
      </c>
      <c r="C933" s="253" t="s">
        <v>459</v>
      </c>
      <c r="D933" s="417">
        <v>10</v>
      </c>
      <c r="E933" s="253" t="s">
        <v>911</v>
      </c>
      <c r="F933" s="253" t="s">
        <v>495</v>
      </c>
      <c r="G933" s="48" t="s">
        <v>1047</v>
      </c>
      <c r="H933" s="51">
        <v>2</v>
      </c>
      <c r="I933" s="51">
        <v>8.7</v>
      </c>
      <c r="J933" s="51" t="s">
        <v>17</v>
      </c>
      <c r="K933" s="52">
        <v>1.84</v>
      </c>
      <c r="L933" s="253" t="s">
        <v>35</v>
      </c>
    </row>
    <row r="934" customHeight="1" spans="1:12">
      <c r="A934" s="420"/>
      <c r="B934" s="87"/>
      <c r="C934" s="87"/>
      <c r="D934" s="421"/>
      <c r="E934" s="87"/>
      <c r="F934" s="87"/>
      <c r="G934" s="48" t="s">
        <v>1048</v>
      </c>
      <c r="H934" s="51">
        <v>2</v>
      </c>
      <c r="I934" s="51">
        <v>0.4</v>
      </c>
      <c r="J934" s="51" t="s">
        <v>22</v>
      </c>
      <c r="K934" s="52">
        <v>2.09</v>
      </c>
      <c r="L934" s="258"/>
    </row>
    <row r="935" customHeight="1" spans="1:12">
      <c r="A935" s="420"/>
      <c r="B935" s="87"/>
      <c r="C935" s="87"/>
      <c r="D935" s="421"/>
      <c r="E935" s="87"/>
      <c r="F935" s="87"/>
      <c r="G935" s="48" t="s">
        <v>1050</v>
      </c>
      <c r="H935" s="51">
        <v>2</v>
      </c>
      <c r="I935" s="51">
        <v>0.4</v>
      </c>
      <c r="J935" s="51" t="s">
        <v>44</v>
      </c>
      <c r="K935" s="52">
        <v>3.4</v>
      </c>
      <c r="L935" s="258"/>
    </row>
    <row r="936" customHeight="1" spans="1:12">
      <c r="A936" s="418"/>
      <c r="B936" s="83"/>
      <c r="C936" s="83"/>
      <c r="D936" s="419"/>
      <c r="E936" s="83"/>
      <c r="F936" s="83"/>
      <c r="G936" s="48" t="s">
        <v>1051</v>
      </c>
      <c r="H936" s="51">
        <v>2</v>
      </c>
      <c r="I936" s="51">
        <v>0.5</v>
      </c>
      <c r="J936" s="51" t="s">
        <v>24</v>
      </c>
      <c r="K936" s="51" t="s">
        <v>24</v>
      </c>
      <c r="L936" s="260"/>
    </row>
    <row r="937" customHeight="1" spans="1:12">
      <c r="A937" s="416">
        <v>45896</v>
      </c>
      <c r="B937" s="253" t="s">
        <v>1462</v>
      </c>
      <c r="C937" s="253" t="s">
        <v>462</v>
      </c>
      <c r="D937" s="417">
        <v>10</v>
      </c>
      <c r="E937" s="253" t="s">
        <v>521</v>
      </c>
      <c r="F937" s="253" t="s">
        <v>487</v>
      </c>
      <c r="G937" s="48" t="s">
        <v>1121</v>
      </c>
      <c r="H937" s="51">
        <v>1.0767</v>
      </c>
      <c r="I937" s="51">
        <v>3.2</v>
      </c>
      <c r="J937" s="51" t="s">
        <v>17</v>
      </c>
      <c r="K937" s="52">
        <v>1.8</v>
      </c>
      <c r="L937" s="253" t="s">
        <v>86</v>
      </c>
    </row>
    <row r="938" customHeight="1" spans="1:12">
      <c r="A938" s="420"/>
      <c r="B938" s="87"/>
      <c r="C938" s="87"/>
      <c r="D938" s="421"/>
      <c r="E938" s="87"/>
      <c r="F938" s="87"/>
      <c r="G938" s="48" t="s">
        <v>1122</v>
      </c>
      <c r="H938" s="51">
        <v>1.6658</v>
      </c>
      <c r="I938" s="51">
        <v>5.8</v>
      </c>
      <c r="J938" s="51" t="s">
        <v>17</v>
      </c>
      <c r="K938" s="52">
        <v>1.82</v>
      </c>
      <c r="L938" s="258"/>
    </row>
    <row r="939" customHeight="1" spans="1:12">
      <c r="A939" s="420"/>
      <c r="B939" s="87"/>
      <c r="C939" s="87"/>
      <c r="D939" s="421"/>
      <c r="E939" s="87"/>
      <c r="F939" s="87"/>
      <c r="G939" s="48" t="s">
        <v>1048</v>
      </c>
      <c r="H939" s="51">
        <v>1.7479</v>
      </c>
      <c r="I939" s="51">
        <v>0.5</v>
      </c>
      <c r="J939" s="51" t="s">
        <v>22</v>
      </c>
      <c r="K939" s="52">
        <v>2.05</v>
      </c>
      <c r="L939" s="258"/>
    </row>
    <row r="940" customHeight="1" spans="1:12">
      <c r="A940" s="418"/>
      <c r="B940" s="83"/>
      <c r="C940" s="83"/>
      <c r="D940" s="419"/>
      <c r="E940" s="83"/>
      <c r="F940" s="83"/>
      <c r="G940" s="48" t="s">
        <v>1051</v>
      </c>
      <c r="H940" s="51">
        <v>1.7479</v>
      </c>
      <c r="I940" s="51">
        <v>0.5</v>
      </c>
      <c r="J940" s="51" t="s">
        <v>24</v>
      </c>
      <c r="K940" s="51" t="s">
        <v>24</v>
      </c>
      <c r="L940" s="260"/>
    </row>
    <row r="941" customHeight="1" spans="1:12">
      <c r="A941" s="416">
        <v>45894</v>
      </c>
      <c r="B941" s="253" t="s">
        <v>1463</v>
      </c>
      <c r="C941" s="422" t="s">
        <v>459</v>
      </c>
      <c r="D941" s="417">
        <v>2.94</v>
      </c>
      <c r="E941" s="253" t="s">
        <v>486</v>
      </c>
      <c r="F941" s="253" t="s">
        <v>543</v>
      </c>
      <c r="G941" s="48" t="s">
        <v>1137</v>
      </c>
      <c r="H941" s="51">
        <v>1.0082</v>
      </c>
      <c r="I941" s="51">
        <v>2.94</v>
      </c>
      <c r="J941" s="51" t="s">
        <v>17</v>
      </c>
      <c r="K941" s="52">
        <v>2.45</v>
      </c>
      <c r="L941" s="253" t="s">
        <v>1082</v>
      </c>
    </row>
    <row r="942" customHeight="1" spans="1:12">
      <c r="A942" s="416">
        <v>45895</v>
      </c>
      <c r="B942" s="253" t="s">
        <v>1464</v>
      </c>
      <c r="C942" s="253" t="s">
        <v>462</v>
      </c>
      <c r="D942" s="417">
        <v>10</v>
      </c>
      <c r="E942" s="253" t="s">
        <v>492</v>
      </c>
      <c r="F942" s="253" t="s">
        <v>487</v>
      </c>
      <c r="G942" s="48" t="s">
        <v>1047</v>
      </c>
      <c r="H942" s="51">
        <v>0.9616</v>
      </c>
      <c r="I942" s="51">
        <v>9</v>
      </c>
      <c r="J942" s="51" t="s">
        <v>17</v>
      </c>
      <c r="K942" s="51">
        <v>1.79</v>
      </c>
      <c r="L942" s="253" t="s">
        <v>74</v>
      </c>
    </row>
    <row r="943" customHeight="1" spans="1:12">
      <c r="A943" s="420"/>
      <c r="B943" s="87"/>
      <c r="C943" s="87"/>
      <c r="D943" s="421"/>
      <c r="E943" s="87"/>
      <c r="F943" s="87"/>
      <c r="G943" s="48" t="s">
        <v>1048</v>
      </c>
      <c r="H943" s="51">
        <v>1.211</v>
      </c>
      <c r="I943" s="51">
        <v>0.3</v>
      </c>
      <c r="J943" s="51" t="s">
        <v>22</v>
      </c>
      <c r="K943" s="51">
        <v>2.1</v>
      </c>
      <c r="L943" s="258"/>
    </row>
    <row r="944" customHeight="1" spans="1:12">
      <c r="A944" s="418"/>
      <c r="B944" s="83"/>
      <c r="C944" s="83"/>
      <c r="D944" s="419"/>
      <c r="E944" s="83"/>
      <c r="F944" s="83"/>
      <c r="G944" s="48" t="s">
        <v>1051</v>
      </c>
      <c r="H944" s="51">
        <v>1.7233</v>
      </c>
      <c r="I944" s="51">
        <v>0.7</v>
      </c>
      <c r="J944" s="51" t="s">
        <v>24</v>
      </c>
      <c r="K944" s="51" t="s">
        <v>24</v>
      </c>
      <c r="L944" s="260"/>
    </row>
    <row r="945" customHeight="1" spans="1:12">
      <c r="A945" s="416">
        <v>45895</v>
      </c>
      <c r="B945" s="253" t="s">
        <v>1465</v>
      </c>
      <c r="C945" s="253" t="s">
        <v>462</v>
      </c>
      <c r="D945" s="417">
        <v>5</v>
      </c>
      <c r="E945" s="253" t="s">
        <v>481</v>
      </c>
      <c r="F945" s="253" t="s">
        <v>495</v>
      </c>
      <c r="G945" s="48" t="s">
        <v>1121</v>
      </c>
      <c r="H945" s="51">
        <v>1.0411</v>
      </c>
      <c r="I945" s="51">
        <v>3.5</v>
      </c>
      <c r="J945" s="51" t="s">
        <v>17</v>
      </c>
      <c r="K945" s="51">
        <v>1.8</v>
      </c>
      <c r="L945" s="253" t="s">
        <v>41</v>
      </c>
    </row>
    <row r="946" customHeight="1" spans="1:12">
      <c r="A946" s="420"/>
      <c r="B946" s="87"/>
      <c r="C946" s="87"/>
      <c r="D946" s="421"/>
      <c r="E946" s="87"/>
      <c r="F946" s="87"/>
      <c r="G946" s="48" t="s">
        <v>1122</v>
      </c>
      <c r="H946" s="51">
        <v>1.1589</v>
      </c>
      <c r="I946" s="51">
        <v>0.7</v>
      </c>
      <c r="J946" s="51" t="s">
        <v>17</v>
      </c>
      <c r="K946" s="51">
        <v>1.92</v>
      </c>
      <c r="L946" s="258"/>
    </row>
    <row r="947" customHeight="1" spans="1:12">
      <c r="A947" s="420"/>
      <c r="B947" s="87"/>
      <c r="C947" s="87"/>
      <c r="D947" s="421"/>
      <c r="E947" s="87"/>
      <c r="F947" s="87"/>
      <c r="G947" s="48" t="s">
        <v>1048</v>
      </c>
      <c r="H947" s="51">
        <v>1.2082</v>
      </c>
      <c r="I947" s="51">
        <v>0.27</v>
      </c>
      <c r="J947" s="51" t="s">
        <v>22</v>
      </c>
      <c r="K947" s="51">
        <v>2.15</v>
      </c>
      <c r="L947" s="258"/>
    </row>
    <row r="948" customHeight="1" spans="1:12">
      <c r="A948" s="420"/>
      <c r="B948" s="87"/>
      <c r="C948" s="87"/>
      <c r="D948" s="421"/>
      <c r="E948" s="87"/>
      <c r="F948" s="87"/>
      <c r="G948" s="48" t="s">
        <v>1050</v>
      </c>
      <c r="H948" s="51">
        <v>1.2904</v>
      </c>
      <c r="I948" s="51">
        <v>0.28</v>
      </c>
      <c r="J948" s="51" t="s">
        <v>351</v>
      </c>
      <c r="K948" s="51">
        <v>4.5</v>
      </c>
      <c r="L948" s="258"/>
    </row>
    <row r="949" customHeight="1" spans="1:12">
      <c r="A949" s="418"/>
      <c r="B949" s="83"/>
      <c r="C949" s="83"/>
      <c r="D949" s="419"/>
      <c r="E949" s="83"/>
      <c r="F949" s="83"/>
      <c r="G949" s="48" t="s">
        <v>1051</v>
      </c>
      <c r="H949" s="51">
        <v>1.7452</v>
      </c>
      <c r="I949" s="51">
        <v>0.25</v>
      </c>
      <c r="J949" s="51" t="s">
        <v>24</v>
      </c>
      <c r="K949" s="51" t="s">
        <v>24</v>
      </c>
      <c r="L949" s="260"/>
    </row>
    <row r="950" customHeight="1" spans="1:12">
      <c r="A950" s="416">
        <v>45891</v>
      </c>
      <c r="B950" s="253" t="s">
        <v>1466</v>
      </c>
      <c r="C950" s="253" t="s">
        <v>462</v>
      </c>
      <c r="D950" s="417">
        <v>10</v>
      </c>
      <c r="E950" s="253" t="s">
        <v>486</v>
      </c>
      <c r="F950" s="253" t="s">
        <v>1153</v>
      </c>
      <c r="G950" s="112" t="s">
        <v>1121</v>
      </c>
      <c r="H950" s="51">
        <v>0.9836</v>
      </c>
      <c r="I950" s="51">
        <v>3</v>
      </c>
      <c r="J950" s="51" t="s">
        <v>17</v>
      </c>
      <c r="K950" s="51">
        <v>2.3</v>
      </c>
      <c r="L950" s="253" t="s">
        <v>1082</v>
      </c>
    </row>
    <row r="951" customHeight="1" spans="1:12">
      <c r="A951" s="420"/>
      <c r="B951" s="87"/>
      <c r="C951" s="87"/>
      <c r="D951" s="421"/>
      <c r="E951" s="87"/>
      <c r="F951" s="87"/>
      <c r="G951" s="112" t="s">
        <v>1122</v>
      </c>
      <c r="H951" s="51">
        <v>1.9808</v>
      </c>
      <c r="I951" s="51">
        <v>4</v>
      </c>
      <c r="J951" s="51" t="s">
        <v>17</v>
      </c>
      <c r="K951" s="51">
        <v>2.7</v>
      </c>
      <c r="L951" s="258"/>
    </row>
    <row r="952" customHeight="1" spans="1:12">
      <c r="A952" s="420"/>
      <c r="B952" s="87"/>
      <c r="C952" s="87"/>
      <c r="D952" s="421"/>
      <c r="E952" s="87"/>
      <c r="F952" s="87"/>
      <c r="G952" s="112" t="s">
        <v>1141</v>
      </c>
      <c r="H952" s="51">
        <v>2.9781</v>
      </c>
      <c r="I952" s="51">
        <v>2.85</v>
      </c>
      <c r="J952" s="51" t="s">
        <v>17</v>
      </c>
      <c r="K952" s="51">
        <v>3.9</v>
      </c>
      <c r="L952" s="258"/>
    </row>
    <row r="953" customHeight="1" spans="1:12">
      <c r="A953" s="418"/>
      <c r="B953" s="83"/>
      <c r="C953" s="83"/>
      <c r="D953" s="419"/>
      <c r="E953" s="83"/>
      <c r="F953" s="83"/>
      <c r="G953" s="48" t="s">
        <v>1051</v>
      </c>
      <c r="H953" s="51">
        <v>2.9781</v>
      </c>
      <c r="I953" s="51">
        <v>0.15</v>
      </c>
      <c r="J953" s="51" t="s">
        <v>24</v>
      </c>
      <c r="K953" s="51" t="s">
        <v>24</v>
      </c>
      <c r="L953" s="260"/>
    </row>
    <row r="954" customHeight="1" spans="1:12">
      <c r="A954" s="416">
        <v>45895</v>
      </c>
      <c r="B954" s="253" t="s">
        <v>1467</v>
      </c>
      <c r="C954" s="253" t="s">
        <v>462</v>
      </c>
      <c r="D954" s="417">
        <v>40</v>
      </c>
      <c r="E954" s="253" t="s">
        <v>1095</v>
      </c>
      <c r="F954" s="253" t="s">
        <v>1096</v>
      </c>
      <c r="G954" s="48" t="s">
        <v>1047</v>
      </c>
      <c r="H954" s="51">
        <v>0.9973</v>
      </c>
      <c r="I954" s="51">
        <v>32</v>
      </c>
      <c r="J954" s="51" t="s">
        <v>17</v>
      </c>
      <c r="K954" s="51">
        <v>1.75</v>
      </c>
      <c r="L954" s="253" t="s">
        <v>1097</v>
      </c>
    </row>
    <row r="955" customHeight="1" spans="1:12">
      <c r="A955" s="420"/>
      <c r="B955" s="87"/>
      <c r="C955" s="87"/>
      <c r="D955" s="421"/>
      <c r="E955" s="87"/>
      <c r="F955" s="87"/>
      <c r="G955" s="48" t="s">
        <v>1048</v>
      </c>
      <c r="H955" s="51">
        <v>0.9973</v>
      </c>
      <c r="I955" s="51">
        <v>6</v>
      </c>
      <c r="J955" s="51" t="s">
        <v>136</v>
      </c>
      <c r="K955" s="51">
        <v>7.5</v>
      </c>
      <c r="L955" s="258"/>
    </row>
    <row r="956" customHeight="1" spans="1:12">
      <c r="A956" s="418"/>
      <c r="B956" s="83"/>
      <c r="C956" s="83"/>
      <c r="D956" s="419"/>
      <c r="E956" s="83"/>
      <c r="F956" s="83"/>
      <c r="G956" s="48" t="s">
        <v>1200</v>
      </c>
      <c r="H956" s="51">
        <v>0.9973</v>
      </c>
      <c r="I956" s="51">
        <v>2</v>
      </c>
      <c r="J956" s="51" t="s">
        <v>44</v>
      </c>
      <c r="K956" s="51" t="s">
        <v>24</v>
      </c>
      <c r="L956" s="260"/>
    </row>
    <row r="957" customHeight="1" spans="1:12">
      <c r="A957" s="416">
        <v>45897</v>
      </c>
      <c r="B957" s="253" t="s">
        <v>1468</v>
      </c>
      <c r="C957" s="253" t="s">
        <v>462</v>
      </c>
      <c r="D957" s="417">
        <v>10</v>
      </c>
      <c r="E957" s="253" t="s">
        <v>1057</v>
      </c>
      <c r="F957" s="253" t="s">
        <v>474</v>
      </c>
      <c r="G957" s="48" t="s">
        <v>1121</v>
      </c>
      <c r="H957" s="51">
        <v>1.074</v>
      </c>
      <c r="I957" s="51">
        <v>7.2</v>
      </c>
      <c r="J957" s="51" t="s">
        <v>17</v>
      </c>
      <c r="K957" s="52">
        <v>1.83</v>
      </c>
      <c r="L957" s="253" t="s">
        <v>41</v>
      </c>
    </row>
    <row r="958" customHeight="1" spans="1:12">
      <c r="A958" s="420"/>
      <c r="B958" s="87"/>
      <c r="C958" s="87"/>
      <c r="D958" s="421"/>
      <c r="E958" s="87"/>
      <c r="F958" s="87"/>
      <c r="G958" s="48" t="s">
        <v>1122</v>
      </c>
      <c r="H958" s="51">
        <v>1.2493</v>
      </c>
      <c r="I958" s="51">
        <v>1.5</v>
      </c>
      <c r="J958" s="51" t="s">
        <v>17</v>
      </c>
      <c r="K958" s="52">
        <v>1.88</v>
      </c>
      <c r="L958" s="258"/>
    </row>
    <row r="959" customHeight="1" spans="1:12">
      <c r="A959" s="420"/>
      <c r="B959" s="87"/>
      <c r="C959" s="87"/>
      <c r="D959" s="421"/>
      <c r="E959" s="87"/>
      <c r="F959" s="87"/>
      <c r="G959" s="48" t="s">
        <v>1048</v>
      </c>
      <c r="H959" s="51">
        <v>1.326</v>
      </c>
      <c r="I959" s="51">
        <v>0.4</v>
      </c>
      <c r="J959" s="51" t="s">
        <v>22</v>
      </c>
      <c r="K959" s="52">
        <v>2.1</v>
      </c>
      <c r="L959" s="258"/>
    </row>
    <row r="960" customHeight="1" spans="1:12">
      <c r="A960" s="420"/>
      <c r="B960" s="87"/>
      <c r="C960" s="87"/>
      <c r="D960" s="421"/>
      <c r="E960" s="87"/>
      <c r="F960" s="87"/>
      <c r="G960" s="48" t="s">
        <v>1050</v>
      </c>
      <c r="H960" s="51">
        <v>1.3753</v>
      </c>
      <c r="I960" s="51">
        <v>0.4</v>
      </c>
      <c r="J960" s="51" t="s">
        <v>44</v>
      </c>
      <c r="K960" s="52">
        <v>4.5</v>
      </c>
      <c r="L960" s="258"/>
    </row>
    <row r="961" customHeight="1" spans="1:12">
      <c r="A961" s="418"/>
      <c r="B961" s="83"/>
      <c r="C961" s="83"/>
      <c r="D961" s="419"/>
      <c r="E961" s="83"/>
      <c r="F961" s="83"/>
      <c r="G961" s="48" t="s">
        <v>1051</v>
      </c>
      <c r="H961" s="51">
        <v>1.7452</v>
      </c>
      <c r="I961" s="51">
        <v>0.5</v>
      </c>
      <c r="J961" s="51" t="s">
        <v>24</v>
      </c>
      <c r="K961" s="51" t="s">
        <v>24</v>
      </c>
      <c r="L961" s="260"/>
    </row>
    <row r="962" customHeight="1" spans="1:12">
      <c r="A962" s="416">
        <v>45896</v>
      </c>
      <c r="B962" s="253" t="s">
        <v>1469</v>
      </c>
      <c r="C962" s="253" t="s">
        <v>462</v>
      </c>
      <c r="D962" s="417">
        <v>20</v>
      </c>
      <c r="E962" s="253" t="s">
        <v>1470</v>
      </c>
      <c r="F962" s="253" t="s">
        <v>1471</v>
      </c>
      <c r="G962" s="48" t="s">
        <v>1047</v>
      </c>
      <c r="H962" s="51">
        <v>0.9973</v>
      </c>
      <c r="I962" s="51">
        <v>18.4</v>
      </c>
      <c r="J962" s="51" t="s">
        <v>17</v>
      </c>
      <c r="K962" s="52">
        <v>1.71</v>
      </c>
      <c r="L962" s="253" t="s">
        <v>1472</v>
      </c>
    </row>
    <row r="963" customHeight="1" spans="1:12">
      <c r="A963" s="418"/>
      <c r="B963" s="83"/>
      <c r="C963" s="83"/>
      <c r="D963" s="419"/>
      <c r="E963" s="83"/>
      <c r="F963" s="83"/>
      <c r="G963" s="48" t="s">
        <v>1048</v>
      </c>
      <c r="H963" s="51">
        <v>0.9973</v>
      </c>
      <c r="I963" s="51">
        <v>1.6</v>
      </c>
      <c r="J963" s="51" t="s">
        <v>44</v>
      </c>
      <c r="K963" s="52" t="s">
        <v>24</v>
      </c>
      <c r="L963" s="260"/>
    </row>
    <row r="964" customHeight="1" spans="1:12">
      <c r="A964" s="416">
        <v>45891</v>
      </c>
      <c r="B964" s="253" t="s">
        <v>1473</v>
      </c>
      <c r="C964" s="253" t="s">
        <v>462</v>
      </c>
      <c r="D964" s="417">
        <v>10</v>
      </c>
      <c r="E964" s="253" t="s">
        <v>536</v>
      </c>
      <c r="F964" s="253" t="s">
        <v>1140</v>
      </c>
      <c r="G964" s="48" t="s">
        <v>1047</v>
      </c>
      <c r="H964" s="51">
        <v>1.9918</v>
      </c>
      <c r="I964" s="51">
        <v>8.7</v>
      </c>
      <c r="J964" s="51" t="s">
        <v>17</v>
      </c>
      <c r="K964" s="52">
        <v>1.94</v>
      </c>
      <c r="L964" s="253" t="s">
        <v>35</v>
      </c>
    </row>
    <row r="965" customHeight="1" spans="1:12">
      <c r="A965" s="420"/>
      <c r="B965" s="87"/>
      <c r="C965" s="87"/>
      <c r="D965" s="421"/>
      <c r="E965" s="87"/>
      <c r="F965" s="87"/>
      <c r="G965" s="48" t="s">
        <v>1048</v>
      </c>
      <c r="H965" s="51">
        <v>1.9918</v>
      </c>
      <c r="I965" s="51">
        <v>0.4</v>
      </c>
      <c r="J965" s="51" t="s">
        <v>22</v>
      </c>
      <c r="K965" s="52">
        <v>2.1</v>
      </c>
      <c r="L965" s="258"/>
    </row>
    <row r="966" customHeight="1" spans="1:12">
      <c r="A966" s="420"/>
      <c r="B966" s="87"/>
      <c r="C966" s="87"/>
      <c r="D966" s="421"/>
      <c r="E966" s="87"/>
      <c r="F966" s="87"/>
      <c r="G966" s="48" t="s">
        <v>1050</v>
      </c>
      <c r="H966" s="51">
        <v>1.9918</v>
      </c>
      <c r="I966" s="51">
        <v>0.4</v>
      </c>
      <c r="J966" s="51" t="s">
        <v>64</v>
      </c>
      <c r="K966" s="52">
        <v>3.4</v>
      </c>
      <c r="L966" s="258"/>
    </row>
    <row r="967" customHeight="1" spans="1:12">
      <c r="A967" s="418"/>
      <c r="B967" s="83"/>
      <c r="C967" s="83"/>
      <c r="D967" s="419"/>
      <c r="E967" s="83"/>
      <c r="F967" s="83"/>
      <c r="G967" s="48" t="s">
        <v>1051</v>
      </c>
      <c r="H967" s="51">
        <v>2.9098</v>
      </c>
      <c r="I967" s="51">
        <v>0.5</v>
      </c>
      <c r="J967" s="51" t="s">
        <v>24</v>
      </c>
      <c r="K967" s="51" t="s">
        <v>24</v>
      </c>
      <c r="L967" s="260"/>
    </row>
    <row r="968" customHeight="1" spans="1:12">
      <c r="A968" s="416">
        <v>45891</v>
      </c>
      <c r="B968" s="253" t="s">
        <v>1474</v>
      </c>
      <c r="C968" s="253" t="s">
        <v>462</v>
      </c>
      <c r="D968" s="417">
        <v>3</v>
      </c>
      <c r="E968" s="253" t="s">
        <v>481</v>
      </c>
      <c r="F968" s="253" t="s">
        <v>460</v>
      </c>
      <c r="G968" s="48" t="s">
        <v>1047</v>
      </c>
      <c r="H968" s="51">
        <v>1.0082</v>
      </c>
      <c r="I968" s="51">
        <v>2.7</v>
      </c>
      <c r="J968" s="51" t="s">
        <v>17</v>
      </c>
      <c r="K968" s="51">
        <v>1.83</v>
      </c>
      <c r="L968" s="253" t="s">
        <v>27</v>
      </c>
    </row>
    <row r="969" customHeight="1" spans="1:12">
      <c r="A969" s="420"/>
      <c r="B969" s="87"/>
      <c r="C969" s="87"/>
      <c r="D969" s="421"/>
      <c r="E969" s="87"/>
      <c r="F969" s="87"/>
      <c r="G969" s="48" t="s">
        <v>1048</v>
      </c>
      <c r="H969" s="51">
        <v>1.0082</v>
      </c>
      <c r="I969" s="51">
        <v>0.15</v>
      </c>
      <c r="J969" s="51" t="s">
        <v>22</v>
      </c>
      <c r="K969" s="51">
        <v>1.9</v>
      </c>
      <c r="L969" s="258"/>
    </row>
    <row r="970" customHeight="1" spans="1:12">
      <c r="A970" s="418"/>
      <c r="B970" s="83"/>
      <c r="C970" s="83"/>
      <c r="D970" s="419"/>
      <c r="E970" s="83"/>
      <c r="F970" s="83"/>
      <c r="G970" s="48" t="s">
        <v>1051</v>
      </c>
      <c r="H970" s="51">
        <v>1.0986</v>
      </c>
      <c r="I970" s="51">
        <v>0.15</v>
      </c>
      <c r="J970" s="51" t="s">
        <v>24</v>
      </c>
      <c r="K970" s="51" t="s">
        <v>24</v>
      </c>
      <c r="L970" s="260"/>
    </row>
    <row r="971" customHeight="1" spans="1:12">
      <c r="A971" s="416">
        <v>45891</v>
      </c>
      <c r="B971" s="253" t="s">
        <v>1475</v>
      </c>
      <c r="C971" s="253" t="s">
        <v>462</v>
      </c>
      <c r="D971" s="417">
        <v>10</v>
      </c>
      <c r="E971" s="253" t="s">
        <v>492</v>
      </c>
      <c r="F971" s="253" t="s">
        <v>487</v>
      </c>
      <c r="G971" s="48" t="s">
        <v>1047</v>
      </c>
      <c r="H971" s="51">
        <v>0.9699</v>
      </c>
      <c r="I971" s="51">
        <v>9</v>
      </c>
      <c r="J971" s="51" t="s">
        <v>17</v>
      </c>
      <c r="K971" s="51">
        <v>1.79</v>
      </c>
      <c r="L971" s="253" t="s">
        <v>74</v>
      </c>
    </row>
    <row r="972" customHeight="1" spans="1:12">
      <c r="A972" s="420"/>
      <c r="B972" s="87"/>
      <c r="C972" s="87"/>
      <c r="D972" s="421"/>
      <c r="E972" s="87"/>
      <c r="F972" s="87"/>
      <c r="G972" s="48" t="s">
        <v>1048</v>
      </c>
      <c r="H972" s="51">
        <v>1.2192</v>
      </c>
      <c r="I972" s="51">
        <v>0.3</v>
      </c>
      <c r="J972" s="51" t="s">
        <v>22</v>
      </c>
      <c r="K972" s="51">
        <v>2.1</v>
      </c>
      <c r="L972" s="258"/>
    </row>
    <row r="973" customHeight="1" spans="1:12">
      <c r="A973" s="418"/>
      <c r="B973" s="83"/>
      <c r="C973" s="83"/>
      <c r="D973" s="419"/>
      <c r="E973" s="83"/>
      <c r="F973" s="83"/>
      <c r="G973" s="48" t="s">
        <v>1051</v>
      </c>
      <c r="H973" s="51">
        <v>1.7315</v>
      </c>
      <c r="I973" s="51">
        <v>0.7</v>
      </c>
      <c r="J973" s="51" t="s">
        <v>24</v>
      </c>
      <c r="K973" s="51" t="s">
        <v>24</v>
      </c>
      <c r="L973" s="260"/>
    </row>
    <row r="974" customHeight="1" spans="1:12">
      <c r="A974" s="416">
        <v>45891</v>
      </c>
      <c r="B974" s="253" t="s">
        <v>1476</v>
      </c>
      <c r="C974" s="253" t="s">
        <v>462</v>
      </c>
      <c r="D974" s="417">
        <v>10</v>
      </c>
      <c r="E974" s="253" t="s">
        <v>1079</v>
      </c>
      <c r="F974" s="253" t="s">
        <v>482</v>
      </c>
      <c r="G974" s="48" t="s">
        <v>1047</v>
      </c>
      <c r="H974" s="51">
        <v>1.5014</v>
      </c>
      <c r="I974" s="51">
        <v>8.3</v>
      </c>
      <c r="J974" s="51" t="s">
        <v>17</v>
      </c>
      <c r="K974" s="51">
        <v>1.84</v>
      </c>
      <c r="L974" s="253" t="s">
        <v>35</v>
      </c>
    </row>
    <row r="975" customHeight="1" spans="1:12">
      <c r="A975" s="420"/>
      <c r="B975" s="87"/>
      <c r="C975" s="87"/>
      <c r="D975" s="421"/>
      <c r="E975" s="87"/>
      <c r="F975" s="87"/>
      <c r="G975" s="48" t="s">
        <v>1048</v>
      </c>
      <c r="H975" s="51">
        <v>1.5014</v>
      </c>
      <c r="I975" s="51">
        <v>0.5</v>
      </c>
      <c r="J975" s="51" t="s">
        <v>22</v>
      </c>
      <c r="K975" s="51">
        <v>2</v>
      </c>
      <c r="L975" s="258"/>
    </row>
    <row r="976" customHeight="1" spans="1:12">
      <c r="A976" s="420"/>
      <c r="B976" s="87"/>
      <c r="C976" s="87"/>
      <c r="D976" s="421"/>
      <c r="E976" s="87"/>
      <c r="F976" s="87"/>
      <c r="G976" s="48" t="s">
        <v>1050</v>
      </c>
      <c r="H976" s="51">
        <v>1.9918</v>
      </c>
      <c r="I976" s="51">
        <v>0.7</v>
      </c>
      <c r="J976" s="51" t="s">
        <v>100</v>
      </c>
      <c r="K976" s="51">
        <v>3.4</v>
      </c>
      <c r="L976" s="258"/>
    </row>
    <row r="977" customHeight="1" spans="1:12">
      <c r="A977" s="418"/>
      <c r="B977" s="83"/>
      <c r="C977" s="83"/>
      <c r="D977" s="419"/>
      <c r="E977" s="83"/>
      <c r="F977" s="83"/>
      <c r="G977" s="48" t="s">
        <v>1051</v>
      </c>
      <c r="H977" s="51">
        <v>1.9918</v>
      </c>
      <c r="I977" s="51">
        <v>0.5</v>
      </c>
      <c r="J977" s="51" t="s">
        <v>24</v>
      </c>
      <c r="K977" s="51" t="s">
        <v>24</v>
      </c>
      <c r="L977" s="260"/>
    </row>
    <row r="978" customHeight="1" spans="1:12">
      <c r="A978" s="416">
        <v>45891</v>
      </c>
      <c r="B978" s="253" t="s">
        <v>1477</v>
      </c>
      <c r="C978" s="253" t="s">
        <v>462</v>
      </c>
      <c r="D978" s="417">
        <v>5</v>
      </c>
      <c r="E978" s="253" t="s">
        <v>477</v>
      </c>
      <c r="F978" s="253" t="s">
        <v>523</v>
      </c>
      <c r="G978" s="48" t="s">
        <v>1047</v>
      </c>
      <c r="H978" s="51">
        <v>1.0137</v>
      </c>
      <c r="I978" s="51">
        <v>4.5</v>
      </c>
      <c r="J978" s="51" t="s">
        <v>17</v>
      </c>
      <c r="K978" s="51">
        <v>1.77</v>
      </c>
      <c r="L978" s="253" t="s">
        <v>112</v>
      </c>
    </row>
    <row r="979" customHeight="1" spans="1:12">
      <c r="A979" s="420"/>
      <c r="B979" s="87"/>
      <c r="C979" s="87"/>
      <c r="D979" s="421"/>
      <c r="E979" s="87"/>
      <c r="F979" s="87"/>
      <c r="G979" s="48" t="s">
        <v>1048</v>
      </c>
      <c r="H979" s="51">
        <v>1.0137</v>
      </c>
      <c r="I979" s="51">
        <v>0.25</v>
      </c>
      <c r="J979" s="51" t="s">
        <v>22</v>
      </c>
      <c r="K979" s="51">
        <v>2</v>
      </c>
      <c r="L979" s="258"/>
    </row>
    <row r="980" customHeight="1" spans="1:12">
      <c r="A980" s="420"/>
      <c r="B980" s="87"/>
      <c r="C980" s="87"/>
      <c r="D980" s="421"/>
      <c r="E980" s="87"/>
      <c r="F980" s="87"/>
      <c r="G980" s="48" t="s">
        <v>1347</v>
      </c>
      <c r="H980" s="51">
        <v>1.0137</v>
      </c>
      <c r="I980" s="51">
        <v>0.1</v>
      </c>
      <c r="J980" s="51" t="s">
        <v>24</v>
      </c>
      <c r="K980" s="51" t="s">
        <v>24</v>
      </c>
      <c r="L980" s="258"/>
    </row>
    <row r="981" customHeight="1" spans="1:12">
      <c r="A981" s="418"/>
      <c r="B981" s="83"/>
      <c r="C981" s="83"/>
      <c r="D981" s="419"/>
      <c r="E981" s="83"/>
      <c r="F981" s="83"/>
      <c r="G981" s="48" t="s">
        <v>1348</v>
      </c>
      <c r="H981" s="51">
        <v>1.0137</v>
      </c>
      <c r="I981" s="51">
        <v>0.15</v>
      </c>
      <c r="J981" s="51" t="s">
        <v>24</v>
      </c>
      <c r="K981" s="51" t="s">
        <v>24</v>
      </c>
      <c r="L981" s="260"/>
    </row>
    <row r="982" customHeight="1" spans="1:12">
      <c r="A982" s="48" t="s">
        <v>1478</v>
      </c>
      <c r="B982" s="148" t="s">
        <v>1479</v>
      </c>
      <c r="C982" s="214" t="s">
        <v>462</v>
      </c>
      <c r="D982" s="51">
        <v>5</v>
      </c>
      <c r="E982" s="214" t="s">
        <v>481</v>
      </c>
      <c r="F982" s="214" t="s">
        <v>474</v>
      </c>
      <c r="G982" s="48" t="s">
        <v>1121</v>
      </c>
      <c r="H982" s="51">
        <v>1.07</v>
      </c>
      <c r="I982" s="51">
        <v>3.6</v>
      </c>
      <c r="J982" s="51" t="s">
        <v>17</v>
      </c>
      <c r="K982" s="51">
        <v>1.8</v>
      </c>
      <c r="L982" s="148" t="s">
        <v>41</v>
      </c>
    </row>
    <row r="983" customHeight="1" spans="1:12">
      <c r="A983" s="48"/>
      <c r="G983" s="48" t="s">
        <v>1122</v>
      </c>
      <c r="H983" s="51">
        <v>1.2</v>
      </c>
      <c r="I983" s="51">
        <v>0.75</v>
      </c>
      <c r="J983" s="51" t="s">
        <v>17</v>
      </c>
      <c r="K983" s="51">
        <v>1.95</v>
      </c>
      <c r="L983" s="214"/>
    </row>
    <row r="984" customHeight="1" spans="1:12">
      <c r="A984" s="48"/>
      <c r="G984" s="48" t="s">
        <v>1048</v>
      </c>
      <c r="H984" s="51">
        <v>1.25</v>
      </c>
      <c r="I984" s="51">
        <v>0.2</v>
      </c>
      <c r="J984" s="51" t="s">
        <v>22</v>
      </c>
      <c r="K984" s="51">
        <v>2.1</v>
      </c>
      <c r="L984" s="214"/>
    </row>
    <row r="985" customHeight="1" spans="1:12">
      <c r="A985" s="48"/>
      <c r="G985" s="48" t="s">
        <v>1050</v>
      </c>
      <c r="H985" s="51">
        <v>1.33</v>
      </c>
      <c r="I985" s="51">
        <v>0.2</v>
      </c>
      <c r="J985" s="51" t="s">
        <v>44</v>
      </c>
      <c r="K985" s="51">
        <v>4.5</v>
      </c>
      <c r="L985" s="214"/>
    </row>
    <row r="986" customHeight="1" spans="1:12">
      <c r="A986" s="48"/>
      <c r="G986" s="48" t="s">
        <v>1051</v>
      </c>
      <c r="H986" s="51">
        <v>1.75</v>
      </c>
      <c r="I986" s="51">
        <v>0.25</v>
      </c>
      <c r="J986" s="51" t="s">
        <v>24</v>
      </c>
      <c r="K986" s="51" t="s">
        <v>24</v>
      </c>
      <c r="L986" s="214"/>
    </row>
    <row r="987" customHeight="1" spans="1:12">
      <c r="A987" s="48" t="s">
        <v>1480</v>
      </c>
      <c r="B987" s="214" t="s">
        <v>1481</v>
      </c>
      <c r="C987" s="214" t="s">
        <v>459</v>
      </c>
      <c r="D987" s="51">
        <v>10</v>
      </c>
      <c r="E987" s="214" t="s">
        <v>911</v>
      </c>
      <c r="F987" s="214" t="s">
        <v>1096</v>
      </c>
      <c r="G987" s="48" t="s">
        <v>1047</v>
      </c>
      <c r="H987" s="51">
        <v>2</v>
      </c>
      <c r="I987" s="51">
        <v>8.7</v>
      </c>
      <c r="J987" s="51" t="s">
        <v>17</v>
      </c>
      <c r="K987" s="51">
        <v>1.83</v>
      </c>
      <c r="L987" s="148" t="s">
        <v>35</v>
      </c>
    </row>
    <row r="988" customHeight="1" spans="1:12">
      <c r="A988" s="48"/>
      <c r="G988" s="48" t="s">
        <v>1048</v>
      </c>
      <c r="H988" s="51">
        <v>2</v>
      </c>
      <c r="I988" s="51">
        <v>0.4</v>
      </c>
      <c r="J988" s="51" t="s">
        <v>22</v>
      </c>
      <c r="K988" s="51">
        <v>2.08</v>
      </c>
      <c r="L988" s="214"/>
    </row>
    <row r="989" customHeight="1" spans="1:12">
      <c r="A989" s="48"/>
      <c r="G989" s="112" t="s">
        <v>1055</v>
      </c>
      <c r="H989" s="51">
        <v>2</v>
      </c>
      <c r="I989" s="51">
        <v>0.4</v>
      </c>
      <c r="J989" s="51" t="s">
        <v>44</v>
      </c>
      <c r="K989" s="51">
        <v>3.4</v>
      </c>
      <c r="L989" s="214"/>
    </row>
    <row r="990" customHeight="1" spans="1:12">
      <c r="A990" s="48"/>
      <c r="G990" s="112" t="s">
        <v>1051</v>
      </c>
      <c r="H990" s="51">
        <v>2</v>
      </c>
      <c r="I990" s="51">
        <v>0.5</v>
      </c>
      <c r="J990" s="51" t="s">
        <v>24</v>
      </c>
      <c r="K990" s="51" t="s">
        <v>24</v>
      </c>
      <c r="L990" s="214"/>
    </row>
    <row r="991" customHeight="1" spans="1:12">
      <c r="A991" s="48" t="s">
        <v>1478</v>
      </c>
      <c r="B991" s="214" t="s">
        <v>1482</v>
      </c>
      <c r="C991" s="214" t="s">
        <v>459</v>
      </c>
      <c r="D991" s="51">
        <v>9.3</v>
      </c>
      <c r="E991" s="214" t="s">
        <v>477</v>
      </c>
      <c r="F991" s="214" t="s">
        <v>482</v>
      </c>
      <c r="G991" s="48" t="s">
        <v>1047</v>
      </c>
      <c r="H991" s="51">
        <v>1</v>
      </c>
      <c r="I991" s="51">
        <v>9</v>
      </c>
      <c r="J991" s="51" t="s">
        <v>17</v>
      </c>
      <c r="K991" s="51">
        <v>1.8</v>
      </c>
      <c r="L991" s="148" t="s">
        <v>35</v>
      </c>
    </row>
    <row r="992" customHeight="1" spans="1:12">
      <c r="A992" s="48"/>
      <c r="G992" s="48" t="s">
        <v>1048</v>
      </c>
      <c r="H992" s="51">
        <v>1</v>
      </c>
      <c r="I992" s="51">
        <v>0.3</v>
      </c>
      <c r="J992" s="51" t="s">
        <v>22</v>
      </c>
      <c r="K992" s="51">
        <v>2.05</v>
      </c>
      <c r="L992" s="214"/>
    </row>
    <row r="993" customHeight="1" spans="1:12">
      <c r="A993" s="48" t="s">
        <v>1483</v>
      </c>
      <c r="B993" s="214" t="s">
        <v>1484</v>
      </c>
      <c r="C993" s="214" t="s">
        <v>459</v>
      </c>
      <c r="D993" s="51">
        <v>10</v>
      </c>
      <c r="E993" s="214" t="s">
        <v>536</v>
      </c>
      <c r="F993" s="214" t="s">
        <v>482</v>
      </c>
      <c r="G993" s="48" t="s">
        <v>1047</v>
      </c>
      <c r="H993" s="51">
        <v>2</v>
      </c>
      <c r="I993" s="51">
        <v>8.7</v>
      </c>
      <c r="J993" s="51" t="s">
        <v>17</v>
      </c>
      <c r="K993" s="51">
        <v>1.98</v>
      </c>
      <c r="L993" s="148" t="s">
        <v>35</v>
      </c>
    </row>
    <row r="994" customHeight="1" spans="1:12">
      <c r="A994" s="48"/>
      <c r="G994" s="48" t="s">
        <v>1048</v>
      </c>
      <c r="H994" s="51">
        <v>2</v>
      </c>
      <c r="I994" s="51">
        <v>0.4</v>
      </c>
      <c r="J994" s="51" t="s">
        <v>22</v>
      </c>
      <c r="K994" s="51">
        <v>2.1</v>
      </c>
      <c r="L994" s="214"/>
    </row>
    <row r="995" customHeight="1" spans="1:12">
      <c r="A995" s="48"/>
      <c r="G995" s="112" t="s">
        <v>1055</v>
      </c>
      <c r="H995" s="51">
        <v>2</v>
      </c>
      <c r="I995" s="51">
        <v>0.4</v>
      </c>
      <c r="J995" s="51" t="s">
        <v>64</v>
      </c>
      <c r="K995" s="51">
        <v>3.4</v>
      </c>
      <c r="L995" s="214"/>
    </row>
    <row r="996" customHeight="1" spans="1:12">
      <c r="A996" s="48"/>
      <c r="G996" s="112" t="s">
        <v>1051</v>
      </c>
      <c r="H996" s="51">
        <v>2.92</v>
      </c>
      <c r="I996" s="51">
        <v>0.5</v>
      </c>
      <c r="J996" s="51" t="s">
        <v>24</v>
      </c>
      <c r="K996" s="51" t="s">
        <v>24</v>
      </c>
      <c r="L996" s="214"/>
    </row>
    <row r="997" customHeight="1" spans="1:12">
      <c r="A997" s="48" t="s">
        <v>1478</v>
      </c>
      <c r="B997" s="148" t="s">
        <v>1485</v>
      </c>
      <c r="C997" s="214" t="s">
        <v>462</v>
      </c>
      <c r="D997" s="51">
        <v>4</v>
      </c>
      <c r="E997" s="214" t="s">
        <v>477</v>
      </c>
      <c r="F997" s="214" t="s">
        <v>523</v>
      </c>
      <c r="G997" s="48" t="s">
        <v>1047</v>
      </c>
      <c r="H997" s="51">
        <v>1.03</v>
      </c>
      <c r="I997" s="51">
        <v>3.56</v>
      </c>
      <c r="J997" s="51" t="s">
        <v>17</v>
      </c>
      <c r="K997" s="51">
        <v>1.77</v>
      </c>
      <c r="L997" s="148" t="s">
        <v>112</v>
      </c>
    </row>
    <row r="998" customHeight="1" spans="1:12">
      <c r="A998" s="48"/>
      <c r="G998" s="48" t="s">
        <v>1048</v>
      </c>
      <c r="H998" s="51">
        <v>1.03</v>
      </c>
      <c r="I998" s="51">
        <v>0.24</v>
      </c>
      <c r="J998" s="51" t="s">
        <v>22</v>
      </c>
      <c r="K998" s="51">
        <v>2</v>
      </c>
      <c r="L998" s="214"/>
    </row>
    <row r="999" customHeight="1" spans="1:12">
      <c r="A999" s="48"/>
      <c r="G999" s="112" t="s">
        <v>1113</v>
      </c>
      <c r="H999" s="51">
        <v>3.03</v>
      </c>
      <c r="I999" s="51">
        <v>0.08</v>
      </c>
      <c r="J999" s="51" t="s">
        <v>24</v>
      </c>
      <c r="K999" s="51" t="s">
        <v>24</v>
      </c>
      <c r="L999" s="214"/>
    </row>
    <row r="1000" customHeight="1" spans="1:12">
      <c r="A1000" s="88"/>
      <c r="B1000" s="88"/>
      <c r="C1000" s="88"/>
      <c r="D1000" s="304"/>
      <c r="E1000" s="88"/>
      <c r="F1000" s="88"/>
      <c r="G1000" s="119" t="s">
        <v>1114</v>
      </c>
      <c r="H1000" s="304">
        <v>3.03</v>
      </c>
      <c r="I1000" s="304">
        <v>0.12</v>
      </c>
      <c r="J1000" s="304" t="s">
        <v>24</v>
      </c>
      <c r="K1000" s="304" t="s">
        <v>24</v>
      </c>
      <c r="L1000" s="303"/>
    </row>
    <row r="1001" customHeight="1" spans="1:12">
      <c r="A1001" s="267">
        <v>45912</v>
      </c>
      <c r="B1001" s="122" t="s">
        <v>1486</v>
      </c>
      <c r="C1001" s="122" t="s">
        <v>459</v>
      </c>
      <c r="D1001" s="52">
        <v>10</v>
      </c>
      <c r="E1001" s="122" t="s">
        <v>1487</v>
      </c>
      <c r="F1001" s="122" t="s">
        <v>482</v>
      </c>
      <c r="G1001" s="95" t="s">
        <v>1064</v>
      </c>
      <c r="H1001" s="304">
        <v>1</v>
      </c>
      <c r="I1001" s="52">
        <v>8.24</v>
      </c>
      <c r="J1001" s="51" t="s">
        <v>17</v>
      </c>
      <c r="K1001" s="52">
        <v>1.79</v>
      </c>
      <c r="L1001" s="122" t="s">
        <v>1382</v>
      </c>
    </row>
    <row r="1002" customHeight="1" spans="1:12">
      <c r="A1002" s="95"/>
      <c r="B1002" s="122"/>
      <c r="C1002" s="122"/>
      <c r="D1002" s="52"/>
      <c r="E1002" s="122"/>
      <c r="F1002" s="122"/>
      <c r="G1002" s="95" t="s">
        <v>1060</v>
      </c>
      <c r="H1002" s="304">
        <v>1</v>
      </c>
      <c r="I1002" s="52">
        <v>0.52</v>
      </c>
      <c r="J1002" s="51" t="s">
        <v>22</v>
      </c>
      <c r="K1002" s="52">
        <v>1.88</v>
      </c>
      <c r="L1002" s="122"/>
    </row>
    <row r="1003" customHeight="1" spans="1:12">
      <c r="A1003" s="95"/>
      <c r="B1003" s="122"/>
      <c r="C1003" s="122"/>
      <c r="D1003" s="52"/>
      <c r="E1003" s="122"/>
      <c r="F1003" s="122"/>
      <c r="G1003" s="95" t="s">
        <v>1061</v>
      </c>
      <c r="H1003" s="304">
        <v>1.08</v>
      </c>
      <c r="I1003" s="52">
        <v>0.46</v>
      </c>
      <c r="J1003" s="52" t="s">
        <v>44</v>
      </c>
      <c r="K1003" s="52">
        <v>2.8</v>
      </c>
      <c r="L1003" s="122"/>
    </row>
    <row r="1004" customHeight="1" spans="1:12">
      <c r="A1004" s="95"/>
      <c r="B1004" s="122"/>
      <c r="C1004" s="122"/>
      <c r="D1004" s="52"/>
      <c r="E1004" s="122"/>
      <c r="F1004" s="122"/>
      <c r="G1004" s="95" t="s">
        <v>1083</v>
      </c>
      <c r="H1004" s="304">
        <v>1.49</v>
      </c>
      <c r="I1004" s="52">
        <v>0.78</v>
      </c>
      <c r="J1004" s="52" t="s">
        <v>24</v>
      </c>
      <c r="K1004" s="52" t="s">
        <v>24</v>
      </c>
      <c r="L1004" s="122"/>
    </row>
    <row r="1005" customHeight="1" spans="1:12">
      <c r="A1005" s="423">
        <v>45916</v>
      </c>
      <c r="B1005" s="424" t="s">
        <v>1488</v>
      </c>
      <c r="C1005" s="424" t="s">
        <v>459</v>
      </c>
      <c r="D1005" s="425">
        <v>9.3</v>
      </c>
      <c r="E1005" s="424" t="s">
        <v>1066</v>
      </c>
      <c r="F1005" s="424" t="s">
        <v>1054</v>
      </c>
      <c r="G1005" s="144" t="s">
        <v>1064</v>
      </c>
      <c r="H1005" s="304">
        <v>1</v>
      </c>
      <c r="I1005" s="425">
        <v>9</v>
      </c>
      <c r="J1005" s="51" t="s">
        <v>17</v>
      </c>
      <c r="K1005" s="425">
        <v>1.8</v>
      </c>
      <c r="L1005" s="424" t="s">
        <v>35</v>
      </c>
    </row>
    <row r="1006" customHeight="1" spans="1:12">
      <c r="A1006" s="95"/>
      <c r="B1006" s="122"/>
      <c r="C1006" s="122"/>
      <c r="D1006" s="52"/>
      <c r="E1006" s="122"/>
      <c r="F1006" s="122"/>
      <c r="G1006" s="95" t="s">
        <v>1060</v>
      </c>
      <c r="H1006" s="304">
        <v>1</v>
      </c>
      <c r="I1006" s="52">
        <v>0.3</v>
      </c>
      <c r="J1006" s="51" t="s">
        <v>22</v>
      </c>
      <c r="K1006" s="52">
        <v>2</v>
      </c>
      <c r="L1006" s="122"/>
    </row>
    <row r="1007" customHeight="1" spans="1:12">
      <c r="A1007" s="267">
        <v>45910</v>
      </c>
      <c r="B1007" s="122" t="s">
        <v>1489</v>
      </c>
      <c r="C1007" s="122" t="s">
        <v>459</v>
      </c>
      <c r="D1007" s="52">
        <v>5</v>
      </c>
      <c r="E1007" s="122" t="s">
        <v>477</v>
      </c>
      <c r="F1007" s="122" t="s">
        <v>474</v>
      </c>
      <c r="G1007" s="95" t="s">
        <v>1058</v>
      </c>
      <c r="H1007" s="426">
        <v>1.08</v>
      </c>
      <c r="I1007" s="52">
        <v>3.6</v>
      </c>
      <c r="J1007" s="52" t="s">
        <v>17</v>
      </c>
      <c r="K1007" s="51">
        <v>1.8</v>
      </c>
      <c r="L1007" s="122" t="s">
        <v>41</v>
      </c>
    </row>
    <row r="1008" customHeight="1" spans="1:12">
      <c r="A1008" s="267"/>
      <c r="B1008" s="122"/>
      <c r="C1008" s="122"/>
      <c r="D1008" s="52"/>
      <c r="E1008" s="122"/>
      <c r="F1008" s="122"/>
      <c r="G1008" s="95" t="s">
        <v>1059</v>
      </c>
      <c r="H1008" s="426">
        <v>1.21</v>
      </c>
      <c r="I1008" s="52">
        <v>0.75</v>
      </c>
      <c r="J1008" s="52" t="s">
        <v>17</v>
      </c>
      <c r="K1008" s="51">
        <v>1.94</v>
      </c>
      <c r="L1008" s="122"/>
    </row>
    <row r="1009" customHeight="1" spans="1:12">
      <c r="A1009" s="267"/>
      <c r="B1009" s="122"/>
      <c r="C1009" s="122"/>
      <c r="D1009" s="52"/>
      <c r="E1009" s="122"/>
      <c r="F1009" s="122"/>
      <c r="G1009" s="95" t="s">
        <v>1060</v>
      </c>
      <c r="H1009" s="426">
        <v>1.25</v>
      </c>
      <c r="I1009" s="52">
        <v>0.2</v>
      </c>
      <c r="J1009" s="52" t="s">
        <v>22</v>
      </c>
      <c r="K1009" s="51">
        <v>2.1</v>
      </c>
      <c r="L1009" s="122"/>
    </row>
    <row r="1010" customHeight="1" spans="1:12">
      <c r="A1010" s="267"/>
      <c r="B1010" s="122"/>
      <c r="C1010" s="122"/>
      <c r="D1010" s="52"/>
      <c r="E1010" s="122"/>
      <c r="F1010" s="122"/>
      <c r="G1010" s="95" t="s">
        <v>1061</v>
      </c>
      <c r="H1010" s="426">
        <v>1.33</v>
      </c>
      <c r="I1010" s="52">
        <v>0.2</v>
      </c>
      <c r="J1010" s="52" t="s">
        <v>44</v>
      </c>
      <c r="K1010" s="51">
        <v>4.5</v>
      </c>
      <c r="L1010" s="122"/>
    </row>
    <row r="1011" customHeight="1" spans="1:12">
      <c r="A1011" s="267"/>
      <c r="B1011" s="122"/>
      <c r="C1011" s="122"/>
      <c r="D1011" s="52"/>
      <c r="E1011" s="122"/>
      <c r="F1011" s="122"/>
      <c r="G1011" s="95" t="s">
        <v>1083</v>
      </c>
      <c r="H1011" s="426">
        <v>1.74</v>
      </c>
      <c r="I1011" s="52">
        <v>0.25</v>
      </c>
      <c r="J1011" s="52" t="s">
        <v>24</v>
      </c>
      <c r="K1011" s="51" t="s">
        <v>24</v>
      </c>
      <c r="L1011" s="122"/>
    </row>
    <row r="1012" customHeight="1" spans="1:12">
      <c r="A1012" s="267">
        <v>45912</v>
      </c>
      <c r="B1012" s="122" t="s">
        <v>1490</v>
      </c>
      <c r="C1012" s="122" t="s">
        <v>462</v>
      </c>
      <c r="D1012" s="52">
        <v>10</v>
      </c>
      <c r="E1012" s="122" t="s">
        <v>1057</v>
      </c>
      <c r="F1012" s="122" t="s">
        <v>474</v>
      </c>
      <c r="G1012" s="95" t="s">
        <v>1058</v>
      </c>
      <c r="H1012" s="426">
        <v>1.07</v>
      </c>
      <c r="I1012" s="52">
        <v>7.2</v>
      </c>
      <c r="J1012" s="52" t="s">
        <v>17</v>
      </c>
      <c r="K1012" s="52">
        <v>1.8</v>
      </c>
      <c r="L1012" s="122" t="s">
        <v>41</v>
      </c>
    </row>
    <row r="1013" customHeight="1" spans="1:12">
      <c r="A1013" s="267"/>
      <c r="B1013" s="122"/>
      <c r="C1013" s="122"/>
      <c r="D1013" s="52"/>
      <c r="E1013" s="122"/>
      <c r="F1013" s="122"/>
      <c r="G1013" s="95" t="s">
        <v>1059</v>
      </c>
      <c r="H1013" s="426">
        <v>1.25</v>
      </c>
      <c r="I1013" s="52">
        <v>1.5</v>
      </c>
      <c r="J1013" s="52" t="s">
        <v>17</v>
      </c>
      <c r="K1013" s="52">
        <v>1.9</v>
      </c>
      <c r="L1013" s="122"/>
    </row>
    <row r="1014" customHeight="1" spans="1:12">
      <c r="A1014" s="267"/>
      <c r="B1014" s="122"/>
      <c r="C1014" s="122"/>
      <c r="D1014" s="52"/>
      <c r="E1014" s="122"/>
      <c r="F1014" s="122"/>
      <c r="G1014" s="95" t="s">
        <v>1060</v>
      </c>
      <c r="H1014" s="426">
        <v>1.33</v>
      </c>
      <c r="I1014" s="52">
        <v>0.4</v>
      </c>
      <c r="J1014" s="52" t="s">
        <v>22</v>
      </c>
      <c r="K1014" s="52">
        <v>2.1</v>
      </c>
      <c r="L1014" s="122"/>
    </row>
    <row r="1015" customHeight="1" spans="1:12">
      <c r="A1015" s="267"/>
      <c r="B1015" s="122"/>
      <c r="C1015" s="122"/>
      <c r="D1015" s="52"/>
      <c r="E1015" s="122"/>
      <c r="F1015" s="122"/>
      <c r="G1015" s="95" t="s">
        <v>1061</v>
      </c>
      <c r="H1015" s="426">
        <v>1.37</v>
      </c>
      <c r="I1015" s="52">
        <v>0.4</v>
      </c>
      <c r="J1015" s="52" t="s">
        <v>44</v>
      </c>
      <c r="K1015" s="52">
        <v>4.5</v>
      </c>
      <c r="L1015" s="122"/>
    </row>
    <row r="1016" customHeight="1" spans="1:12">
      <c r="A1016" s="267"/>
      <c r="B1016" s="122"/>
      <c r="C1016" s="122"/>
      <c r="D1016" s="52"/>
      <c r="E1016" s="122"/>
      <c r="F1016" s="122"/>
      <c r="G1016" s="95" t="s">
        <v>1083</v>
      </c>
      <c r="H1016" s="426">
        <v>1.74</v>
      </c>
      <c r="I1016" s="52">
        <v>0.5</v>
      </c>
      <c r="J1016" s="52" t="s">
        <v>24</v>
      </c>
      <c r="K1016" s="52" t="s">
        <v>24</v>
      </c>
      <c r="L1016" s="122"/>
    </row>
    <row r="1017" customHeight="1" spans="1:12">
      <c r="A1017" s="267">
        <v>45910</v>
      </c>
      <c r="B1017" s="122" t="s">
        <v>1491</v>
      </c>
      <c r="C1017" s="122" t="s">
        <v>462</v>
      </c>
      <c r="D1017" s="52">
        <v>10</v>
      </c>
      <c r="E1017" s="122" t="s">
        <v>536</v>
      </c>
      <c r="F1017" s="122" t="s">
        <v>490</v>
      </c>
      <c r="G1017" s="95" t="s">
        <v>1064</v>
      </c>
      <c r="H1017" s="426">
        <v>0.92</v>
      </c>
      <c r="I1017" s="52">
        <v>9</v>
      </c>
      <c r="J1017" s="52" t="s">
        <v>17</v>
      </c>
      <c r="K1017" s="52">
        <v>1.78</v>
      </c>
      <c r="L1017" s="122" t="s">
        <v>74</v>
      </c>
    </row>
    <row r="1018" customHeight="1" spans="1:12">
      <c r="A1018" s="267"/>
      <c r="B1018" s="122"/>
      <c r="C1018" s="122"/>
      <c r="D1018" s="52"/>
      <c r="E1018" s="122"/>
      <c r="F1018" s="122"/>
      <c r="G1018" s="95" t="s">
        <v>1060</v>
      </c>
      <c r="H1018" s="426">
        <v>1.17</v>
      </c>
      <c r="I1018" s="52">
        <v>0.3</v>
      </c>
      <c r="J1018" s="52" t="s">
        <v>22</v>
      </c>
      <c r="K1018" s="52">
        <v>2.1</v>
      </c>
      <c r="L1018" s="122"/>
    </row>
    <row r="1019" customHeight="1" spans="1:12">
      <c r="A1019" s="267"/>
      <c r="B1019" s="122"/>
      <c r="C1019" s="122"/>
      <c r="D1019" s="52"/>
      <c r="E1019" s="122"/>
      <c r="F1019" s="122"/>
      <c r="G1019" s="95" t="s">
        <v>1083</v>
      </c>
      <c r="H1019" s="426">
        <v>1.68</v>
      </c>
      <c r="I1019" s="52">
        <v>0.7</v>
      </c>
      <c r="J1019" s="52" t="s">
        <v>24</v>
      </c>
      <c r="K1019" s="52" t="s">
        <v>24</v>
      </c>
      <c r="L1019" s="122"/>
    </row>
    <row r="1020" customHeight="1" spans="1:12">
      <c r="A1020" s="267">
        <v>45912</v>
      </c>
      <c r="B1020" s="122" t="s">
        <v>1492</v>
      </c>
      <c r="C1020" s="122" t="s">
        <v>462</v>
      </c>
      <c r="D1020" s="52">
        <v>15</v>
      </c>
      <c r="E1020" s="122" t="s">
        <v>536</v>
      </c>
      <c r="F1020" s="122" t="s">
        <v>490</v>
      </c>
      <c r="G1020" s="95" t="s">
        <v>1064</v>
      </c>
      <c r="H1020" s="426">
        <v>0.92</v>
      </c>
      <c r="I1020" s="52">
        <v>13.5</v>
      </c>
      <c r="J1020" s="52" t="s">
        <v>17</v>
      </c>
      <c r="K1020" s="52">
        <v>1.79</v>
      </c>
      <c r="L1020" s="122" t="s">
        <v>74</v>
      </c>
    </row>
    <row r="1021" customHeight="1" spans="1:12">
      <c r="A1021" s="267"/>
      <c r="B1021" s="122"/>
      <c r="C1021" s="122"/>
      <c r="D1021" s="52"/>
      <c r="E1021" s="122"/>
      <c r="F1021" s="122"/>
      <c r="G1021" s="95" t="s">
        <v>1060</v>
      </c>
      <c r="H1021" s="426">
        <v>1.17</v>
      </c>
      <c r="I1021" s="52">
        <v>0.45</v>
      </c>
      <c r="J1021" s="52" t="s">
        <v>22</v>
      </c>
      <c r="K1021" s="52">
        <v>2.1</v>
      </c>
      <c r="L1021" s="122"/>
    </row>
    <row r="1022" customHeight="1" spans="1:12">
      <c r="A1022" s="267"/>
      <c r="B1022" s="122"/>
      <c r="C1022" s="122"/>
      <c r="D1022" s="52"/>
      <c r="E1022" s="122"/>
      <c r="F1022" s="122"/>
      <c r="G1022" s="95" t="s">
        <v>1083</v>
      </c>
      <c r="H1022" s="426">
        <v>1.66</v>
      </c>
      <c r="I1022" s="52">
        <v>1.05</v>
      </c>
      <c r="J1022" s="52" t="s">
        <v>24</v>
      </c>
      <c r="K1022" s="52" t="s">
        <v>24</v>
      </c>
      <c r="L1022" s="122"/>
    </row>
    <row r="1023" customHeight="1" spans="1:12">
      <c r="A1023" s="267">
        <v>45909</v>
      </c>
      <c r="B1023" s="122" t="s">
        <v>1493</v>
      </c>
      <c r="C1023" s="122" t="s">
        <v>462</v>
      </c>
      <c r="D1023" s="52">
        <v>10</v>
      </c>
      <c r="E1023" s="122" t="s">
        <v>536</v>
      </c>
      <c r="F1023" s="122" t="s">
        <v>1140</v>
      </c>
      <c r="G1023" s="95" t="s">
        <v>1064</v>
      </c>
      <c r="H1023" s="426">
        <v>2</v>
      </c>
      <c r="I1023" s="52">
        <v>8.7</v>
      </c>
      <c r="J1023" s="52" t="s">
        <v>17</v>
      </c>
      <c r="K1023" s="52">
        <v>2</v>
      </c>
      <c r="L1023" s="122" t="s">
        <v>35</v>
      </c>
    </row>
    <row r="1024" customHeight="1" spans="1:12">
      <c r="A1024" s="267"/>
      <c r="B1024" s="122"/>
      <c r="C1024" s="122"/>
      <c r="D1024" s="52"/>
      <c r="E1024" s="122"/>
      <c r="F1024" s="122"/>
      <c r="G1024" s="95" t="s">
        <v>1060</v>
      </c>
      <c r="H1024" s="426">
        <v>2</v>
      </c>
      <c r="I1024" s="52">
        <v>0.4</v>
      </c>
      <c r="J1024" s="52" t="s">
        <v>22</v>
      </c>
      <c r="K1024" s="52">
        <v>2.2</v>
      </c>
      <c r="L1024" s="122"/>
    </row>
    <row r="1025" customHeight="1" spans="1:12">
      <c r="A1025" s="267"/>
      <c r="B1025" s="122"/>
      <c r="C1025" s="122"/>
      <c r="D1025" s="52"/>
      <c r="E1025" s="122"/>
      <c r="F1025" s="122"/>
      <c r="G1025" s="95" t="s">
        <v>1061</v>
      </c>
      <c r="H1025" s="426">
        <v>2</v>
      </c>
      <c r="I1025" s="52">
        <v>0.4</v>
      </c>
      <c r="J1025" s="52" t="s">
        <v>64</v>
      </c>
      <c r="K1025" s="52">
        <v>3.4</v>
      </c>
      <c r="L1025" s="122"/>
    </row>
    <row r="1026" customHeight="1" spans="1:12">
      <c r="A1026" s="267"/>
      <c r="B1026" s="122"/>
      <c r="C1026" s="122"/>
      <c r="D1026" s="52"/>
      <c r="E1026" s="122"/>
      <c r="F1026" s="122"/>
      <c r="G1026" s="95" t="s">
        <v>1083</v>
      </c>
      <c r="H1026" s="426">
        <v>2.92</v>
      </c>
      <c r="I1026" s="52">
        <v>0.5</v>
      </c>
      <c r="J1026" s="52" t="s">
        <v>24</v>
      </c>
      <c r="K1026" s="52" t="s">
        <v>24</v>
      </c>
      <c r="L1026" s="122"/>
    </row>
    <row r="1027" customHeight="1" spans="1:12">
      <c r="A1027" s="427">
        <v>45891</v>
      </c>
      <c r="B1027" s="428" t="s">
        <v>1494</v>
      </c>
      <c r="C1027" s="428" t="s">
        <v>459</v>
      </c>
      <c r="D1027" s="429">
        <v>10</v>
      </c>
      <c r="E1027" s="428" t="s">
        <v>486</v>
      </c>
      <c r="F1027" s="428" t="s">
        <v>1063</v>
      </c>
      <c r="G1027" s="430" t="s">
        <v>1058</v>
      </c>
      <c r="H1027" s="431">
        <v>1.07</v>
      </c>
      <c r="I1027" s="429">
        <v>8.4</v>
      </c>
      <c r="J1027" s="429" t="s">
        <v>17</v>
      </c>
      <c r="K1027" s="429">
        <v>1.76</v>
      </c>
      <c r="L1027" s="428" t="s">
        <v>18</v>
      </c>
    </row>
    <row r="1028" customHeight="1" spans="1:12">
      <c r="A1028" s="427"/>
      <c r="B1028" s="428"/>
      <c r="C1028" s="428"/>
      <c r="D1028" s="429"/>
      <c r="E1028" s="428"/>
      <c r="F1028" s="428"/>
      <c r="G1028" s="430" t="s">
        <v>1059</v>
      </c>
      <c r="H1028" s="431">
        <v>1.23</v>
      </c>
      <c r="I1028" s="429">
        <v>0.6</v>
      </c>
      <c r="J1028" s="429" t="s">
        <v>17</v>
      </c>
      <c r="K1028" s="429">
        <v>1.81</v>
      </c>
      <c r="L1028" s="428"/>
    </row>
    <row r="1029" customHeight="1" spans="1:12">
      <c r="A1029" s="427"/>
      <c r="B1029" s="428"/>
      <c r="C1029" s="428"/>
      <c r="D1029" s="429"/>
      <c r="E1029" s="428"/>
      <c r="F1029" s="428"/>
      <c r="G1029" s="430" t="s">
        <v>1060</v>
      </c>
      <c r="H1029" s="431">
        <v>1.41</v>
      </c>
      <c r="I1029" s="429">
        <v>0.5</v>
      </c>
      <c r="J1029" s="429" t="s">
        <v>22</v>
      </c>
      <c r="K1029" s="429">
        <v>2</v>
      </c>
      <c r="L1029" s="428"/>
    </row>
    <row r="1030" customHeight="1" spans="1:12">
      <c r="A1030" s="427"/>
      <c r="B1030" s="428"/>
      <c r="C1030" s="428"/>
      <c r="D1030" s="429"/>
      <c r="E1030" s="428"/>
      <c r="F1030" s="428"/>
      <c r="G1030" s="430" t="s">
        <v>1083</v>
      </c>
      <c r="H1030" s="431">
        <v>2.61</v>
      </c>
      <c r="I1030" s="429">
        <v>0.5</v>
      </c>
      <c r="J1030" s="429" t="s">
        <v>24</v>
      </c>
      <c r="K1030" s="429" t="s">
        <v>24</v>
      </c>
      <c r="L1030" s="428"/>
    </row>
    <row r="1031" customHeight="1" spans="1:12">
      <c r="A1031" s="267">
        <v>45905</v>
      </c>
      <c r="B1031" s="122" t="s">
        <v>1495</v>
      </c>
      <c r="C1031" s="122" t="s">
        <v>459</v>
      </c>
      <c r="D1031" s="52">
        <v>10</v>
      </c>
      <c r="E1031" s="122" t="s">
        <v>486</v>
      </c>
      <c r="F1031" s="122" t="s">
        <v>1063</v>
      </c>
      <c r="G1031" s="95" t="s">
        <v>1058</v>
      </c>
      <c r="H1031" s="426">
        <v>1.07</v>
      </c>
      <c r="I1031" s="52">
        <v>8.4</v>
      </c>
      <c r="J1031" s="52" t="s">
        <v>17</v>
      </c>
      <c r="K1031" s="52">
        <v>1.76</v>
      </c>
      <c r="L1031" s="122" t="s">
        <v>18</v>
      </c>
    </row>
    <row r="1032" customHeight="1" spans="1:12">
      <c r="A1032" s="267"/>
      <c r="B1032" s="122"/>
      <c r="C1032" s="122"/>
      <c r="D1032" s="52"/>
      <c r="E1032" s="122"/>
      <c r="F1032" s="122"/>
      <c r="G1032" s="95" t="s">
        <v>1059</v>
      </c>
      <c r="H1032" s="426">
        <v>1.23</v>
      </c>
      <c r="I1032" s="52">
        <v>0.6</v>
      </c>
      <c r="J1032" s="52" t="s">
        <v>17</v>
      </c>
      <c r="K1032" s="52">
        <v>1.79</v>
      </c>
      <c r="L1032" s="122"/>
    </row>
    <row r="1033" customHeight="1" spans="1:12">
      <c r="A1033" s="267"/>
      <c r="B1033" s="122"/>
      <c r="C1033" s="122"/>
      <c r="D1033" s="52"/>
      <c r="E1033" s="122"/>
      <c r="F1033" s="122"/>
      <c r="G1033" s="95" t="s">
        <v>1060</v>
      </c>
      <c r="H1033" s="426">
        <v>1.41</v>
      </c>
      <c r="I1033" s="52">
        <v>0.5</v>
      </c>
      <c r="J1033" s="52" t="s">
        <v>22</v>
      </c>
      <c r="K1033" s="52">
        <v>2</v>
      </c>
      <c r="L1033" s="122"/>
    </row>
    <row r="1034" customHeight="1" spans="1:12">
      <c r="A1034" s="267"/>
      <c r="B1034" s="122"/>
      <c r="C1034" s="122"/>
      <c r="D1034" s="52"/>
      <c r="E1034" s="122"/>
      <c r="F1034" s="122"/>
      <c r="G1034" s="95" t="s">
        <v>1083</v>
      </c>
      <c r="H1034" s="426">
        <v>2.61</v>
      </c>
      <c r="I1034" s="52">
        <v>0.5</v>
      </c>
      <c r="J1034" s="52" t="s">
        <v>24</v>
      </c>
      <c r="K1034" s="52" t="s">
        <v>24</v>
      </c>
      <c r="L1034" s="122"/>
    </row>
    <row r="1035" customHeight="1" spans="1:12">
      <c r="A1035" s="397" t="s">
        <v>1496</v>
      </c>
      <c r="B1035" s="213" t="s">
        <v>1497</v>
      </c>
      <c r="C1035" s="168" t="s">
        <v>1498</v>
      </c>
      <c r="D1035" s="398">
        <v>3</v>
      </c>
      <c r="E1035" s="168" t="s">
        <v>1499</v>
      </c>
      <c r="F1035" s="168" t="s">
        <v>1500</v>
      </c>
      <c r="G1035" s="78" t="s">
        <v>1047</v>
      </c>
      <c r="H1035" s="368">
        <v>1.0274</v>
      </c>
      <c r="I1035" s="368">
        <v>2.47</v>
      </c>
      <c r="J1035" s="368" t="s">
        <v>17</v>
      </c>
      <c r="K1035" s="368">
        <v>1.83</v>
      </c>
      <c r="L1035" s="199" t="s">
        <v>27</v>
      </c>
    </row>
    <row r="1036" customHeight="1" spans="1:12">
      <c r="A1036" s="401"/>
      <c r="B1036" s="173"/>
      <c r="C1036" s="173"/>
      <c r="D1036" s="402"/>
      <c r="E1036" s="173"/>
      <c r="F1036" s="173"/>
      <c r="G1036" s="78" t="s">
        <v>1048</v>
      </c>
      <c r="H1036" s="368">
        <v>1.0274</v>
      </c>
      <c r="I1036" s="368">
        <v>0.17</v>
      </c>
      <c r="J1036" s="368" t="s">
        <v>22</v>
      </c>
      <c r="K1036" s="368">
        <v>1.87</v>
      </c>
      <c r="L1036" s="369"/>
    </row>
    <row r="1037" customHeight="1" spans="1:12">
      <c r="A1037" s="401"/>
      <c r="B1037" s="173"/>
      <c r="C1037" s="173"/>
      <c r="D1037" s="402"/>
      <c r="E1037" s="173"/>
      <c r="F1037" s="173"/>
      <c r="G1037" s="78" t="s">
        <v>1347</v>
      </c>
      <c r="H1037" s="368">
        <v>1.8521</v>
      </c>
      <c r="I1037" s="368">
        <v>0.21</v>
      </c>
      <c r="J1037" s="368" t="s">
        <v>24</v>
      </c>
      <c r="K1037" s="368" t="s">
        <v>24</v>
      </c>
      <c r="L1037" s="369"/>
    </row>
    <row r="1038" customHeight="1" spans="1:12">
      <c r="A1038" s="405"/>
      <c r="B1038" s="176"/>
      <c r="C1038" s="176"/>
      <c r="D1038" s="406"/>
      <c r="E1038" s="176"/>
      <c r="F1038" s="176"/>
      <c r="G1038" s="78" t="s">
        <v>1348</v>
      </c>
      <c r="H1038" s="368">
        <v>1.8521</v>
      </c>
      <c r="I1038" s="368">
        <v>0.15</v>
      </c>
      <c r="J1038" s="368" t="s">
        <v>24</v>
      </c>
      <c r="K1038" s="368" t="s">
        <v>24</v>
      </c>
      <c r="L1038" s="371"/>
    </row>
    <row r="1039" customHeight="1" spans="1:12">
      <c r="A1039" s="302" t="s">
        <v>1501</v>
      </c>
      <c r="B1039" s="303" t="s">
        <v>1502</v>
      </c>
      <c r="C1039" s="88" t="s">
        <v>1498</v>
      </c>
      <c r="D1039" s="304">
        <v>10</v>
      </c>
      <c r="E1039" s="88" t="s">
        <v>1499</v>
      </c>
      <c r="F1039" s="88" t="s">
        <v>1503</v>
      </c>
      <c r="G1039" s="112" t="s">
        <v>1047</v>
      </c>
      <c r="H1039" s="105">
        <v>2</v>
      </c>
      <c r="I1039" s="105">
        <v>8.7</v>
      </c>
      <c r="J1039" s="105" t="s">
        <v>17</v>
      </c>
      <c r="K1039" s="341">
        <v>2.05</v>
      </c>
      <c r="L1039" s="305" t="s">
        <v>35</v>
      </c>
    </row>
    <row r="1040" customHeight="1" spans="1:12">
      <c r="A1040" s="306"/>
      <c r="B1040" s="89"/>
      <c r="C1040" s="89"/>
      <c r="D1040" s="307"/>
      <c r="E1040" s="89"/>
      <c r="F1040" s="89"/>
      <c r="G1040" s="112" t="s">
        <v>1048</v>
      </c>
      <c r="H1040" s="105">
        <v>2</v>
      </c>
      <c r="I1040" s="105">
        <v>0.4</v>
      </c>
      <c r="J1040" s="105" t="s">
        <v>17</v>
      </c>
      <c r="K1040" s="341">
        <v>2.2</v>
      </c>
      <c r="L1040" s="308"/>
    </row>
    <row r="1041" customHeight="1" spans="1:12">
      <c r="A1041" s="306"/>
      <c r="B1041" s="89"/>
      <c r="C1041" s="89"/>
      <c r="D1041" s="307"/>
      <c r="E1041" s="89"/>
      <c r="F1041" s="89"/>
      <c r="G1041" s="112" t="s">
        <v>1055</v>
      </c>
      <c r="H1041" s="105">
        <v>2</v>
      </c>
      <c r="I1041" s="105">
        <v>0.4</v>
      </c>
      <c r="J1041" s="105" t="s">
        <v>22</v>
      </c>
      <c r="K1041" s="341">
        <v>3.4</v>
      </c>
      <c r="L1041" s="308"/>
    </row>
    <row r="1042" customHeight="1" spans="1:12">
      <c r="A1042" s="309"/>
      <c r="B1042" s="90"/>
      <c r="C1042" s="90"/>
      <c r="D1042" s="310"/>
      <c r="E1042" s="90"/>
      <c r="F1042" s="90"/>
      <c r="G1042" s="112" t="s">
        <v>1051</v>
      </c>
      <c r="H1042" s="105">
        <v>2.9153</v>
      </c>
      <c r="I1042" s="105">
        <v>0.5</v>
      </c>
      <c r="J1042" s="341" t="s">
        <v>24</v>
      </c>
      <c r="K1042" s="341" t="s">
        <v>24</v>
      </c>
      <c r="L1042" s="311"/>
    </row>
    <row r="1043" customHeight="1" spans="1:12">
      <c r="A1043" s="302">
        <v>45923</v>
      </c>
      <c r="B1043" s="303" t="s">
        <v>1504</v>
      </c>
      <c r="C1043" s="88" t="s">
        <v>1498</v>
      </c>
      <c r="D1043" s="304">
        <v>5</v>
      </c>
      <c r="E1043" s="88" t="s">
        <v>1505</v>
      </c>
      <c r="F1043" s="88" t="s">
        <v>1506</v>
      </c>
      <c r="G1043" s="112" t="s">
        <v>1121</v>
      </c>
      <c r="H1043" s="105">
        <v>1.0329</v>
      </c>
      <c r="I1043" s="105">
        <v>3.5</v>
      </c>
      <c r="J1043" s="105" t="s">
        <v>17</v>
      </c>
      <c r="K1043" s="341">
        <v>1.9</v>
      </c>
      <c r="L1043" s="305" t="s">
        <v>41</v>
      </c>
    </row>
    <row r="1044" customHeight="1" spans="1:12">
      <c r="A1044" s="306"/>
      <c r="B1044" s="89"/>
      <c r="C1044" s="89"/>
      <c r="D1044" s="307"/>
      <c r="E1044" s="89"/>
      <c r="F1044" s="89"/>
      <c r="G1044" s="112" t="s">
        <v>1122</v>
      </c>
      <c r="H1044" s="105">
        <v>1.1644</v>
      </c>
      <c r="I1044" s="105">
        <v>0.7</v>
      </c>
      <c r="J1044" s="105" t="s">
        <v>17</v>
      </c>
      <c r="K1044" s="341">
        <v>2</v>
      </c>
      <c r="L1044" s="308"/>
    </row>
    <row r="1045" customHeight="1" spans="1:12">
      <c r="A1045" s="306"/>
      <c r="B1045" s="89"/>
      <c r="C1045" s="89"/>
      <c r="D1045" s="307"/>
      <c r="E1045" s="89"/>
      <c r="F1045" s="89"/>
      <c r="G1045" s="112" t="s">
        <v>1048</v>
      </c>
      <c r="H1045" s="105">
        <v>1.2466</v>
      </c>
      <c r="I1045" s="105">
        <v>0.27</v>
      </c>
      <c r="J1045" s="105" t="s">
        <v>22</v>
      </c>
      <c r="K1045" s="341">
        <v>2.1</v>
      </c>
      <c r="L1045" s="308"/>
    </row>
    <row r="1046" customHeight="1" spans="1:12">
      <c r="A1046" s="306"/>
      <c r="B1046" s="89"/>
      <c r="C1046" s="89"/>
      <c r="D1046" s="307"/>
      <c r="E1046" s="89"/>
      <c r="F1046" s="89"/>
      <c r="G1046" s="112" t="s">
        <v>1050</v>
      </c>
      <c r="H1046" s="105">
        <v>1.326</v>
      </c>
      <c r="I1046" s="105">
        <v>0.28</v>
      </c>
      <c r="J1046" s="105" t="s">
        <v>100</v>
      </c>
      <c r="K1046" s="341">
        <v>4.5</v>
      </c>
      <c r="L1046" s="308"/>
    </row>
    <row r="1047" customHeight="1" spans="1:12">
      <c r="A1047" s="309"/>
      <c r="B1047" s="90"/>
      <c r="C1047" s="90"/>
      <c r="D1047" s="310"/>
      <c r="E1047" s="90"/>
      <c r="F1047" s="90"/>
      <c r="G1047" s="112" t="s">
        <v>1051</v>
      </c>
      <c r="H1047" s="105">
        <v>1.7452</v>
      </c>
      <c r="I1047" s="105">
        <v>0.25</v>
      </c>
      <c r="J1047" s="341" t="s">
        <v>24</v>
      </c>
      <c r="K1047" s="341" t="s">
        <v>24</v>
      </c>
      <c r="L1047" s="311"/>
    </row>
    <row r="1048" customHeight="1" spans="1:12">
      <c r="A1048" s="302" t="s">
        <v>1507</v>
      </c>
      <c r="B1048" s="88" t="s">
        <v>1508</v>
      </c>
      <c r="C1048" s="88" t="s">
        <v>1498</v>
      </c>
      <c r="D1048" s="304">
        <v>20</v>
      </c>
      <c r="E1048" s="88" t="s">
        <v>1509</v>
      </c>
      <c r="F1048" s="88" t="s">
        <v>1510</v>
      </c>
      <c r="G1048" s="112" t="s">
        <v>1047</v>
      </c>
      <c r="H1048" s="105">
        <v>0.9041</v>
      </c>
      <c r="I1048" s="105">
        <v>18</v>
      </c>
      <c r="J1048" s="105" t="s">
        <v>17</v>
      </c>
      <c r="K1048" s="105">
        <v>1.8</v>
      </c>
      <c r="L1048" s="305" t="s">
        <v>74</v>
      </c>
    </row>
    <row r="1049" customHeight="1" spans="1:12">
      <c r="A1049" s="306"/>
      <c r="B1049" s="89"/>
      <c r="C1049" s="89"/>
      <c r="D1049" s="307"/>
      <c r="E1049" s="89"/>
      <c r="F1049" s="89"/>
      <c r="G1049" s="112" t="s">
        <v>1048</v>
      </c>
      <c r="H1049" s="105">
        <v>1.1534</v>
      </c>
      <c r="I1049" s="105">
        <v>0.6</v>
      </c>
      <c r="J1049" s="105" t="s">
        <v>22</v>
      </c>
      <c r="K1049" s="105">
        <v>1.9</v>
      </c>
      <c r="L1049" s="308"/>
    </row>
    <row r="1050" customHeight="1" spans="1:12">
      <c r="A1050" s="309"/>
      <c r="B1050" s="90"/>
      <c r="C1050" s="90"/>
      <c r="D1050" s="310"/>
      <c r="E1050" s="90"/>
      <c r="F1050" s="90"/>
      <c r="G1050" s="112" t="s">
        <v>1051</v>
      </c>
      <c r="H1050" s="105">
        <v>1.6521</v>
      </c>
      <c r="I1050" s="105">
        <v>1.4</v>
      </c>
      <c r="J1050" s="105" t="s">
        <v>24</v>
      </c>
      <c r="K1050" s="105" t="s">
        <v>24</v>
      </c>
      <c r="L1050" s="311"/>
    </row>
    <row r="1051" customHeight="1" spans="1:12">
      <c r="A1051" s="397" t="s">
        <v>1501</v>
      </c>
      <c r="B1051" s="213" t="s">
        <v>1511</v>
      </c>
      <c r="C1051" s="168" t="s">
        <v>1512</v>
      </c>
      <c r="D1051" s="398">
        <v>3</v>
      </c>
      <c r="E1051" s="168" t="s">
        <v>1513</v>
      </c>
      <c r="F1051" s="168" t="s">
        <v>1046</v>
      </c>
      <c r="G1051" s="367" t="s">
        <v>1047</v>
      </c>
      <c r="H1051" s="74">
        <v>2</v>
      </c>
      <c r="I1051" s="74">
        <v>2.55</v>
      </c>
      <c r="J1051" s="74" t="s">
        <v>17</v>
      </c>
      <c r="K1051" s="368">
        <v>1.99</v>
      </c>
      <c r="L1051" s="199" t="s">
        <v>1514</v>
      </c>
    </row>
    <row r="1052" customHeight="1" spans="1:12">
      <c r="A1052" s="401"/>
      <c r="B1052" s="173"/>
      <c r="C1052" s="173"/>
      <c r="D1052" s="402"/>
      <c r="E1052" s="173"/>
      <c r="F1052" s="173"/>
      <c r="G1052" s="367" t="s">
        <v>1048</v>
      </c>
      <c r="H1052" s="74">
        <v>2</v>
      </c>
      <c r="I1052" s="74">
        <v>0.16</v>
      </c>
      <c r="J1052" s="74" t="s">
        <v>22</v>
      </c>
      <c r="K1052" s="368">
        <v>2.99</v>
      </c>
      <c r="L1052" s="369"/>
    </row>
    <row r="1053" customHeight="1" spans="1:12">
      <c r="A1053" s="405"/>
      <c r="B1053" s="176"/>
      <c r="C1053" s="176"/>
      <c r="D1053" s="406"/>
      <c r="E1053" s="176"/>
      <c r="F1053" s="176"/>
      <c r="G1053" s="367" t="s">
        <v>1051</v>
      </c>
      <c r="H1053" s="74">
        <v>2</v>
      </c>
      <c r="I1053" s="74">
        <v>0.29</v>
      </c>
      <c r="J1053" s="74" t="s">
        <v>24</v>
      </c>
      <c r="K1053" s="368" t="s">
        <v>24</v>
      </c>
      <c r="L1053" s="371"/>
    </row>
    <row r="1054" customHeight="1" spans="1:12">
      <c r="A1054" s="397" t="s">
        <v>1507</v>
      </c>
      <c r="B1054" s="168" t="s">
        <v>1515</v>
      </c>
      <c r="C1054" s="168" t="s">
        <v>1512</v>
      </c>
      <c r="D1054" s="398">
        <v>3.6</v>
      </c>
      <c r="E1054" s="168" t="s">
        <v>1516</v>
      </c>
      <c r="F1054" s="168" t="s">
        <v>1510</v>
      </c>
      <c r="G1054" s="367" t="s">
        <v>1137</v>
      </c>
      <c r="H1054" s="74">
        <v>2</v>
      </c>
      <c r="I1054" s="74">
        <v>3.42</v>
      </c>
      <c r="J1054" s="74" t="s">
        <v>17</v>
      </c>
      <c r="K1054" s="74">
        <v>1.85</v>
      </c>
      <c r="L1054" s="199" t="s">
        <v>1517</v>
      </c>
    </row>
    <row r="1055" customHeight="1" spans="1:12">
      <c r="A1055" s="405"/>
      <c r="B1055" s="176"/>
      <c r="C1055" s="176"/>
      <c r="D1055" s="406"/>
      <c r="E1055" s="176"/>
      <c r="F1055" s="176"/>
      <c r="G1055" s="367" t="s">
        <v>1051</v>
      </c>
      <c r="H1055" s="74">
        <v>2</v>
      </c>
      <c r="I1055" s="74">
        <v>0.18</v>
      </c>
      <c r="J1055" s="74" t="s">
        <v>24</v>
      </c>
      <c r="K1055" s="368" t="s">
        <v>24</v>
      </c>
      <c r="L1055" s="371"/>
    </row>
    <row r="1056" customHeight="1" spans="1:12">
      <c r="A1056" s="397" t="s">
        <v>1507</v>
      </c>
      <c r="B1056" s="168" t="s">
        <v>1518</v>
      </c>
      <c r="C1056" s="168" t="s">
        <v>1512</v>
      </c>
      <c r="D1056" s="398">
        <v>8</v>
      </c>
      <c r="E1056" s="168" t="s">
        <v>1519</v>
      </c>
      <c r="F1056" s="168" t="s">
        <v>1510</v>
      </c>
      <c r="G1056" s="367" t="s">
        <v>1047</v>
      </c>
      <c r="H1056" s="74">
        <v>0.9151</v>
      </c>
      <c r="I1056" s="74">
        <v>7.04</v>
      </c>
      <c r="J1056" s="74" t="s">
        <v>17</v>
      </c>
      <c r="K1056" s="74">
        <v>1.78</v>
      </c>
      <c r="L1056" s="199" t="s">
        <v>1382</v>
      </c>
    </row>
    <row r="1057" customHeight="1" spans="1:12">
      <c r="A1057" s="401"/>
      <c r="B1057" s="173"/>
      <c r="C1057" s="173"/>
      <c r="D1057" s="402"/>
      <c r="E1057" s="173"/>
      <c r="F1057" s="173"/>
      <c r="G1057" s="367" t="s">
        <v>1048</v>
      </c>
      <c r="H1057" s="74">
        <v>1</v>
      </c>
      <c r="I1057" s="74">
        <v>0.56</v>
      </c>
      <c r="J1057" s="74" t="s">
        <v>22</v>
      </c>
      <c r="K1057" s="74">
        <v>1.85</v>
      </c>
      <c r="L1057" s="369"/>
    </row>
    <row r="1058" customHeight="1" spans="1:12">
      <c r="A1058" s="405"/>
      <c r="B1058" s="176"/>
      <c r="C1058" s="176"/>
      <c r="D1058" s="406"/>
      <c r="E1058" s="176"/>
      <c r="F1058" s="176"/>
      <c r="G1058" s="367" t="s">
        <v>1051</v>
      </c>
      <c r="H1058" s="74">
        <v>1.4959</v>
      </c>
      <c r="I1058" s="74">
        <v>0.4</v>
      </c>
      <c r="J1058" s="74" t="s">
        <v>24</v>
      </c>
      <c r="K1058" s="368" t="s">
        <v>24</v>
      </c>
      <c r="L1058" s="371"/>
    </row>
    <row r="1059" customHeight="1" spans="1:12">
      <c r="A1059" s="397" t="s">
        <v>1507</v>
      </c>
      <c r="B1059" s="168" t="s">
        <v>1520</v>
      </c>
      <c r="C1059" s="168" t="s">
        <v>1512</v>
      </c>
      <c r="D1059" s="398">
        <v>10</v>
      </c>
      <c r="E1059" s="168" t="s">
        <v>1521</v>
      </c>
      <c r="F1059" s="168" t="s">
        <v>1225</v>
      </c>
      <c r="G1059" s="367" t="s">
        <v>1121</v>
      </c>
      <c r="H1059" s="74">
        <v>1.0795</v>
      </c>
      <c r="I1059" s="74">
        <v>7.2</v>
      </c>
      <c r="J1059" s="74" t="s">
        <v>17</v>
      </c>
      <c r="K1059" s="74">
        <v>1.85</v>
      </c>
      <c r="L1059" s="199" t="s">
        <v>41</v>
      </c>
    </row>
    <row r="1060" customHeight="1" spans="1:12">
      <c r="A1060" s="401"/>
      <c r="B1060" s="173"/>
      <c r="C1060" s="173"/>
      <c r="D1060" s="402"/>
      <c r="E1060" s="173"/>
      <c r="F1060" s="173"/>
      <c r="G1060" s="367" t="s">
        <v>1122</v>
      </c>
      <c r="H1060" s="74">
        <v>1.2466</v>
      </c>
      <c r="I1060" s="74">
        <v>1.5</v>
      </c>
      <c r="J1060" s="74" t="s">
        <v>17</v>
      </c>
      <c r="K1060" s="74">
        <v>1.94</v>
      </c>
      <c r="L1060" s="369"/>
    </row>
    <row r="1061" customHeight="1" spans="1:12">
      <c r="A1061" s="401"/>
      <c r="B1061" s="173"/>
      <c r="C1061" s="173"/>
      <c r="D1061" s="402"/>
      <c r="E1061" s="173"/>
      <c r="F1061" s="173"/>
      <c r="G1061" s="367" t="s">
        <v>1048</v>
      </c>
      <c r="H1061" s="74">
        <v>1.3315</v>
      </c>
      <c r="I1061" s="74">
        <v>0.4</v>
      </c>
      <c r="J1061" s="74" t="s">
        <v>22</v>
      </c>
      <c r="K1061" s="74">
        <v>2.1</v>
      </c>
      <c r="L1061" s="369"/>
    </row>
    <row r="1062" customHeight="1" spans="1:12">
      <c r="A1062" s="401"/>
      <c r="B1062" s="173"/>
      <c r="C1062" s="173"/>
      <c r="D1062" s="402"/>
      <c r="E1062" s="173"/>
      <c r="F1062" s="173"/>
      <c r="G1062" s="367" t="s">
        <v>1050</v>
      </c>
      <c r="H1062" s="74">
        <v>1.4164</v>
      </c>
      <c r="I1062" s="74">
        <v>0.4</v>
      </c>
      <c r="J1062" s="74" t="s">
        <v>44</v>
      </c>
      <c r="K1062" s="74">
        <v>4.5</v>
      </c>
      <c r="L1062" s="369"/>
    </row>
    <row r="1063" customHeight="1" spans="1:12">
      <c r="A1063" s="405"/>
      <c r="B1063" s="176"/>
      <c r="C1063" s="176"/>
      <c r="D1063" s="406"/>
      <c r="E1063" s="176"/>
      <c r="F1063" s="176"/>
      <c r="G1063" s="367" t="s">
        <v>1051</v>
      </c>
      <c r="H1063" s="74">
        <v>1.7452</v>
      </c>
      <c r="I1063" s="74">
        <v>0.5</v>
      </c>
      <c r="J1063" s="74" t="s">
        <v>24</v>
      </c>
      <c r="K1063" s="368" t="s">
        <v>24</v>
      </c>
      <c r="L1063" s="371"/>
    </row>
    <row r="1064" customHeight="1" spans="1:12">
      <c r="A1064" s="397" t="s">
        <v>1501</v>
      </c>
      <c r="B1064" s="168" t="s">
        <v>1522</v>
      </c>
      <c r="C1064" s="168" t="s">
        <v>1512</v>
      </c>
      <c r="D1064" s="398">
        <v>9.3</v>
      </c>
      <c r="E1064" s="168" t="s">
        <v>1523</v>
      </c>
      <c r="F1064" s="168" t="s">
        <v>1500</v>
      </c>
      <c r="G1064" s="367" t="s">
        <v>1047</v>
      </c>
      <c r="H1064" s="74">
        <v>1</v>
      </c>
      <c r="I1064" s="74">
        <v>9</v>
      </c>
      <c r="J1064" s="74" t="s">
        <v>17</v>
      </c>
      <c r="K1064" s="74">
        <v>1.79</v>
      </c>
      <c r="L1064" s="199" t="s">
        <v>35</v>
      </c>
    </row>
    <row r="1065" customHeight="1" spans="1:12">
      <c r="A1065" s="405"/>
      <c r="B1065" s="176"/>
      <c r="C1065" s="176"/>
      <c r="D1065" s="406"/>
      <c r="E1065" s="176"/>
      <c r="F1065" s="176"/>
      <c r="G1065" s="367" t="s">
        <v>1048</v>
      </c>
      <c r="H1065" s="74">
        <v>1</v>
      </c>
      <c r="I1065" s="74">
        <v>0.3</v>
      </c>
      <c r="J1065" s="74" t="s">
        <v>22</v>
      </c>
      <c r="K1065" s="74">
        <v>2.05</v>
      </c>
      <c r="L1065" s="371"/>
    </row>
    <row r="1066" customHeight="1" spans="1:12">
      <c r="A1066" s="397" t="s">
        <v>1507</v>
      </c>
      <c r="B1066" s="168" t="s">
        <v>1524</v>
      </c>
      <c r="C1066" s="168" t="s">
        <v>1498</v>
      </c>
      <c r="D1066" s="398">
        <v>6</v>
      </c>
      <c r="E1066" s="168" t="s">
        <v>1525</v>
      </c>
      <c r="F1066" s="168" t="s">
        <v>1526</v>
      </c>
      <c r="G1066" s="367" t="s">
        <v>1121</v>
      </c>
      <c r="H1066" s="74">
        <v>0.9178</v>
      </c>
      <c r="I1066" s="74">
        <v>1.8</v>
      </c>
      <c r="J1066" s="74" t="s">
        <v>17</v>
      </c>
      <c r="K1066" s="74">
        <v>2.3</v>
      </c>
      <c r="L1066" s="199" t="s">
        <v>1082</v>
      </c>
    </row>
    <row r="1067" customHeight="1" spans="1:12">
      <c r="A1067" s="401"/>
      <c r="B1067" s="173"/>
      <c r="C1067" s="173"/>
      <c r="D1067" s="402"/>
      <c r="E1067" s="173"/>
      <c r="F1067" s="173"/>
      <c r="G1067" s="367" t="s">
        <v>1122</v>
      </c>
      <c r="H1067" s="74">
        <v>1.9151</v>
      </c>
      <c r="I1067" s="74">
        <v>2.4</v>
      </c>
      <c r="J1067" s="74" t="s">
        <v>17</v>
      </c>
      <c r="K1067" s="74">
        <v>2.7</v>
      </c>
      <c r="L1067" s="369"/>
    </row>
    <row r="1068" customHeight="1" spans="1:12">
      <c r="A1068" s="401"/>
      <c r="B1068" s="173"/>
      <c r="C1068" s="173"/>
      <c r="D1068" s="402"/>
      <c r="E1068" s="173"/>
      <c r="F1068" s="173"/>
      <c r="G1068" s="367" t="s">
        <v>1141</v>
      </c>
      <c r="H1068" s="74">
        <v>2.9126</v>
      </c>
      <c r="I1068" s="74">
        <v>1.71</v>
      </c>
      <c r="J1068" s="74" t="s">
        <v>17</v>
      </c>
      <c r="K1068" s="74">
        <v>3.8</v>
      </c>
      <c r="L1068" s="369"/>
    </row>
    <row r="1069" customHeight="1" spans="1:12">
      <c r="A1069" s="405"/>
      <c r="B1069" s="176"/>
      <c r="C1069" s="176"/>
      <c r="D1069" s="406"/>
      <c r="E1069" s="176"/>
      <c r="F1069" s="176"/>
      <c r="G1069" s="367" t="s">
        <v>1051</v>
      </c>
      <c r="H1069" s="74">
        <v>3.2548</v>
      </c>
      <c r="I1069" s="74">
        <v>0.09</v>
      </c>
      <c r="J1069" s="74" t="s">
        <v>24</v>
      </c>
      <c r="K1069" s="368" t="s">
        <v>24</v>
      </c>
      <c r="L1069" s="371"/>
    </row>
    <row r="1070" ht="47" customHeight="1" spans="1:12">
      <c r="A1070" s="432" t="s">
        <v>1527</v>
      </c>
      <c r="B1070" s="72" t="s">
        <v>1528</v>
      </c>
      <c r="C1070" s="72" t="s">
        <v>1498</v>
      </c>
      <c r="D1070" s="433">
        <v>2.77</v>
      </c>
      <c r="E1070" s="72" t="s">
        <v>1529</v>
      </c>
      <c r="F1070" s="72" t="s">
        <v>1530</v>
      </c>
      <c r="G1070" s="367" t="s">
        <v>1137</v>
      </c>
      <c r="H1070" s="74">
        <v>1</v>
      </c>
      <c r="I1070" s="74">
        <v>2.77</v>
      </c>
      <c r="J1070" s="74" t="s">
        <v>17</v>
      </c>
      <c r="K1070" s="74">
        <v>2.45</v>
      </c>
      <c r="L1070" s="434" t="s">
        <v>1082</v>
      </c>
    </row>
    <row r="1071" customHeight="1" spans="1:12">
      <c r="A1071" s="397" t="s">
        <v>1531</v>
      </c>
      <c r="B1071" s="168" t="s">
        <v>1532</v>
      </c>
      <c r="C1071" s="168" t="s">
        <v>1512</v>
      </c>
      <c r="D1071" s="398">
        <v>10</v>
      </c>
      <c r="E1071" s="168" t="s">
        <v>1525</v>
      </c>
      <c r="F1071" s="168" t="s">
        <v>1117</v>
      </c>
      <c r="G1071" s="367" t="s">
        <v>1121</v>
      </c>
      <c r="H1071" s="74">
        <v>1.0438</v>
      </c>
      <c r="I1071" s="74">
        <v>8.4</v>
      </c>
      <c r="J1071" s="74" t="s">
        <v>17</v>
      </c>
      <c r="K1071" s="74">
        <v>1.77</v>
      </c>
      <c r="L1071" s="199" t="s">
        <v>18</v>
      </c>
    </row>
    <row r="1072" customHeight="1" spans="1:12">
      <c r="A1072" s="401"/>
      <c r="B1072" s="173"/>
      <c r="C1072" s="173"/>
      <c r="D1072" s="402"/>
      <c r="E1072" s="173"/>
      <c r="F1072" s="173"/>
      <c r="G1072" s="367" t="s">
        <v>1122</v>
      </c>
      <c r="H1072" s="74">
        <v>1.211</v>
      </c>
      <c r="I1072" s="74">
        <v>0.6</v>
      </c>
      <c r="J1072" s="74" t="s">
        <v>17</v>
      </c>
      <c r="K1072" s="74">
        <v>1.79</v>
      </c>
      <c r="L1072" s="369"/>
    </row>
    <row r="1073" customHeight="1" spans="1:12">
      <c r="A1073" s="401"/>
      <c r="B1073" s="173"/>
      <c r="C1073" s="173"/>
      <c r="D1073" s="402"/>
      <c r="E1073" s="173"/>
      <c r="F1073" s="173"/>
      <c r="G1073" s="367" t="s">
        <v>1048</v>
      </c>
      <c r="H1073" s="74">
        <v>1.3836</v>
      </c>
      <c r="I1073" s="74">
        <v>0.5</v>
      </c>
      <c r="J1073" s="74" t="s">
        <v>22</v>
      </c>
      <c r="K1073" s="74">
        <v>2</v>
      </c>
      <c r="L1073" s="369"/>
    </row>
    <row r="1074" customHeight="1" spans="1:12">
      <c r="A1074" s="405"/>
      <c r="B1074" s="176"/>
      <c r="C1074" s="176"/>
      <c r="D1074" s="406"/>
      <c r="E1074" s="176"/>
      <c r="F1074" s="176"/>
      <c r="G1074" s="367" t="s">
        <v>1051</v>
      </c>
      <c r="H1074" s="74">
        <v>2.5901</v>
      </c>
      <c r="I1074" s="74">
        <v>0.5</v>
      </c>
      <c r="J1074" s="74" t="s">
        <v>24</v>
      </c>
      <c r="K1074" s="368" t="s">
        <v>24</v>
      </c>
      <c r="L1074" s="371"/>
    </row>
    <row r="1075" customHeight="1" spans="1:12">
      <c r="A1075" s="397" t="s">
        <v>1531</v>
      </c>
      <c r="B1075" s="213" t="s">
        <v>1533</v>
      </c>
      <c r="C1075" s="168" t="s">
        <v>1498</v>
      </c>
      <c r="D1075" s="398">
        <v>10</v>
      </c>
      <c r="E1075" s="168" t="s">
        <v>1499</v>
      </c>
      <c r="F1075" s="168" t="s">
        <v>1534</v>
      </c>
      <c r="G1075" s="367" t="s">
        <v>1047</v>
      </c>
      <c r="H1075" s="74">
        <v>1.9096</v>
      </c>
      <c r="I1075" s="74">
        <v>8.7</v>
      </c>
      <c r="J1075" s="74" t="s">
        <v>17</v>
      </c>
      <c r="K1075" s="74">
        <v>2.05</v>
      </c>
      <c r="L1075" s="199" t="s">
        <v>35</v>
      </c>
    </row>
    <row r="1076" customHeight="1" spans="1:12">
      <c r="A1076" s="401"/>
      <c r="B1076" s="173"/>
      <c r="C1076" s="173"/>
      <c r="D1076" s="402"/>
      <c r="E1076" s="173"/>
      <c r="F1076" s="173"/>
      <c r="G1076" s="367" t="s">
        <v>1048</v>
      </c>
      <c r="H1076" s="74">
        <v>1.9096</v>
      </c>
      <c r="I1076" s="74">
        <v>0.4</v>
      </c>
      <c r="J1076" s="74" t="s">
        <v>22</v>
      </c>
      <c r="K1076" s="74">
        <v>2.16</v>
      </c>
      <c r="L1076" s="369"/>
    </row>
    <row r="1077" customHeight="1" spans="1:12">
      <c r="A1077" s="401"/>
      <c r="B1077" s="173"/>
      <c r="C1077" s="173"/>
      <c r="D1077" s="402"/>
      <c r="E1077" s="173"/>
      <c r="F1077" s="173"/>
      <c r="G1077" s="367" t="s">
        <v>1055</v>
      </c>
      <c r="H1077" s="74">
        <v>1.9096</v>
      </c>
      <c r="I1077" s="74">
        <v>0.4</v>
      </c>
      <c r="J1077" s="74" t="s">
        <v>64</v>
      </c>
      <c r="K1077" s="74">
        <v>3.4</v>
      </c>
      <c r="L1077" s="369"/>
    </row>
    <row r="1078" customHeight="1" spans="1:12">
      <c r="A1078" s="405"/>
      <c r="B1078" s="176"/>
      <c r="C1078" s="176"/>
      <c r="D1078" s="406"/>
      <c r="E1078" s="176"/>
      <c r="F1078" s="176"/>
      <c r="G1078" s="367" t="s">
        <v>1051</v>
      </c>
      <c r="H1078" s="74">
        <v>2.8251</v>
      </c>
      <c r="I1078" s="74">
        <v>0.5</v>
      </c>
      <c r="J1078" s="74" t="s">
        <v>24</v>
      </c>
      <c r="K1078" s="74" t="s">
        <v>24</v>
      </c>
      <c r="L1078" s="371"/>
    </row>
    <row r="1079" customHeight="1" spans="1:12">
      <c r="A1079" s="397" t="s">
        <v>1507</v>
      </c>
      <c r="B1079" s="168" t="s">
        <v>1535</v>
      </c>
      <c r="C1079" s="168" t="s">
        <v>1512</v>
      </c>
      <c r="D1079" s="398">
        <v>5</v>
      </c>
      <c r="E1079" s="168" t="s">
        <v>1536</v>
      </c>
      <c r="F1079" s="168" t="s">
        <v>1500</v>
      </c>
      <c r="G1079" s="367" t="s">
        <v>1047</v>
      </c>
      <c r="H1079" s="74">
        <v>1.0329</v>
      </c>
      <c r="I1079" s="74">
        <v>4.35</v>
      </c>
      <c r="J1079" s="74" t="s">
        <v>17</v>
      </c>
      <c r="K1079" s="74">
        <v>1.78</v>
      </c>
      <c r="L1079" s="199" t="s">
        <v>27</v>
      </c>
    </row>
    <row r="1080" customHeight="1" spans="1:12">
      <c r="A1080" s="401"/>
      <c r="B1080" s="173"/>
      <c r="C1080" s="173"/>
      <c r="D1080" s="402"/>
      <c r="E1080" s="173"/>
      <c r="F1080" s="173"/>
      <c r="G1080" s="367" t="s">
        <v>1048</v>
      </c>
      <c r="H1080" s="74">
        <v>1.0329</v>
      </c>
      <c r="I1080" s="74">
        <v>0.25</v>
      </c>
      <c r="J1080" s="74" t="s">
        <v>22</v>
      </c>
      <c r="K1080" s="74">
        <v>1.8</v>
      </c>
      <c r="L1080" s="369"/>
    </row>
    <row r="1081" customHeight="1" spans="1:12">
      <c r="A1081" s="405"/>
      <c r="B1081" s="176"/>
      <c r="C1081" s="176"/>
      <c r="D1081" s="406"/>
      <c r="E1081" s="176"/>
      <c r="F1081" s="176"/>
      <c r="G1081" s="367" t="s">
        <v>1051</v>
      </c>
      <c r="H1081" s="74">
        <v>1.8575</v>
      </c>
      <c r="I1081" s="74">
        <v>0.4</v>
      </c>
      <c r="J1081" s="74" t="s">
        <v>24</v>
      </c>
      <c r="K1081" s="74" t="s">
        <v>24</v>
      </c>
      <c r="L1081" s="371"/>
    </row>
    <row r="1082" customHeight="1" spans="1:12">
      <c r="A1082" s="397" t="s">
        <v>1507</v>
      </c>
      <c r="B1082" s="168" t="s">
        <v>1537</v>
      </c>
      <c r="C1082" s="168" t="s">
        <v>1498</v>
      </c>
      <c r="D1082" s="398">
        <v>15</v>
      </c>
      <c r="E1082" s="168" t="s">
        <v>1536</v>
      </c>
      <c r="F1082" s="168" t="s">
        <v>1510</v>
      </c>
      <c r="G1082" s="367" t="s">
        <v>1047</v>
      </c>
      <c r="H1082" s="74">
        <v>1.0329</v>
      </c>
      <c r="I1082" s="74">
        <v>12.525</v>
      </c>
      <c r="J1082" s="74" t="s">
        <v>17</v>
      </c>
      <c r="K1082" s="74">
        <v>1.79</v>
      </c>
      <c r="L1082" s="199" t="s">
        <v>27</v>
      </c>
    </row>
    <row r="1083" customHeight="1" spans="1:12">
      <c r="A1083" s="401"/>
      <c r="B1083" s="173"/>
      <c r="C1083" s="173"/>
      <c r="D1083" s="402"/>
      <c r="E1083" s="173"/>
      <c r="F1083" s="173"/>
      <c r="G1083" s="367" t="s">
        <v>1048</v>
      </c>
      <c r="H1083" s="74">
        <v>1.0329</v>
      </c>
      <c r="I1083" s="74">
        <v>1.05</v>
      </c>
      <c r="J1083" s="74" t="s">
        <v>22</v>
      </c>
      <c r="K1083" s="74">
        <v>1.8</v>
      </c>
      <c r="L1083" s="369"/>
    </row>
    <row r="1084" customHeight="1" spans="1:12">
      <c r="A1084" s="405"/>
      <c r="B1084" s="176"/>
      <c r="C1084" s="176"/>
      <c r="D1084" s="406"/>
      <c r="E1084" s="176"/>
      <c r="F1084" s="176"/>
      <c r="G1084" s="367" t="s">
        <v>1051</v>
      </c>
      <c r="H1084" s="74">
        <v>1.7808</v>
      </c>
      <c r="I1084" s="74">
        <v>1.425</v>
      </c>
      <c r="J1084" s="74" t="s">
        <v>24</v>
      </c>
      <c r="K1084" s="74" t="s">
        <v>24</v>
      </c>
      <c r="L1084" s="371"/>
    </row>
    <row r="1085" customHeight="1" spans="1:12">
      <c r="A1085" s="302" t="s">
        <v>1531</v>
      </c>
      <c r="B1085" s="88" t="s">
        <v>1538</v>
      </c>
      <c r="C1085" s="88" t="s">
        <v>1498</v>
      </c>
      <c r="D1085" s="304">
        <v>5</v>
      </c>
      <c r="E1085" s="88" t="s">
        <v>1499</v>
      </c>
      <c r="F1085" s="88" t="s">
        <v>1539</v>
      </c>
      <c r="G1085" s="112" t="s">
        <v>1121</v>
      </c>
      <c r="H1085" s="105">
        <v>0.9233</v>
      </c>
      <c r="I1085" s="105">
        <v>1.5</v>
      </c>
      <c r="J1085" s="105" t="s">
        <v>17</v>
      </c>
      <c r="K1085" s="105">
        <v>2.3</v>
      </c>
      <c r="L1085" s="305" t="s">
        <v>1082</v>
      </c>
    </row>
    <row r="1086" customHeight="1" spans="1:12">
      <c r="A1086" s="306"/>
      <c r="B1086" s="89"/>
      <c r="C1086" s="89"/>
      <c r="D1086" s="307"/>
      <c r="E1086" s="89"/>
      <c r="F1086" s="89"/>
      <c r="G1086" s="112" t="s">
        <v>1122</v>
      </c>
      <c r="H1086" s="105">
        <v>1.9205</v>
      </c>
      <c r="I1086" s="105">
        <v>2</v>
      </c>
      <c r="J1086" s="105" t="s">
        <v>17</v>
      </c>
      <c r="K1086" s="105">
        <v>2.7</v>
      </c>
      <c r="L1086" s="308"/>
    </row>
    <row r="1087" customHeight="1" spans="1:12">
      <c r="A1087" s="306"/>
      <c r="B1087" s="89"/>
      <c r="C1087" s="89"/>
      <c r="D1087" s="307"/>
      <c r="E1087" s="89"/>
      <c r="F1087" s="89"/>
      <c r="G1087" s="112" t="s">
        <v>1141</v>
      </c>
      <c r="H1087" s="105">
        <v>2.918</v>
      </c>
      <c r="I1087" s="105">
        <v>1.425</v>
      </c>
      <c r="J1087" s="105" t="s">
        <v>17</v>
      </c>
      <c r="K1087" s="105">
        <v>3.9</v>
      </c>
      <c r="L1087" s="308"/>
    </row>
    <row r="1088" customHeight="1" spans="1:12">
      <c r="A1088" s="309"/>
      <c r="B1088" s="90"/>
      <c r="C1088" s="90"/>
      <c r="D1088" s="310"/>
      <c r="E1088" s="90"/>
      <c r="F1088" s="90"/>
      <c r="G1088" s="112" t="s">
        <v>1051</v>
      </c>
      <c r="H1088" s="105">
        <v>2.918</v>
      </c>
      <c r="I1088" s="105">
        <v>0.075</v>
      </c>
      <c r="J1088" s="105" t="s">
        <v>24</v>
      </c>
      <c r="K1088" s="105" t="s">
        <v>24</v>
      </c>
      <c r="L1088" s="311"/>
    </row>
    <row r="1089" customHeight="1" spans="1:12">
      <c r="A1089" s="302" t="s">
        <v>1540</v>
      </c>
      <c r="B1089" s="303" t="s">
        <v>1541</v>
      </c>
      <c r="C1089" s="88" t="s">
        <v>1512</v>
      </c>
      <c r="D1089" s="304">
        <v>5</v>
      </c>
      <c r="E1089" s="88" t="s">
        <v>1542</v>
      </c>
      <c r="F1089" s="88" t="s">
        <v>1506</v>
      </c>
      <c r="G1089" s="112" t="s">
        <v>1121</v>
      </c>
      <c r="H1089" s="105">
        <v>1.08</v>
      </c>
      <c r="I1089" s="105">
        <v>3.6</v>
      </c>
      <c r="J1089" s="105" t="s">
        <v>17</v>
      </c>
      <c r="K1089" s="105">
        <v>1.89</v>
      </c>
      <c r="L1089" s="305" t="s">
        <v>41</v>
      </c>
    </row>
    <row r="1090" customHeight="1" spans="1:12">
      <c r="A1090" s="306"/>
      <c r="B1090" s="89"/>
      <c r="C1090" s="89"/>
      <c r="D1090" s="307"/>
      <c r="E1090" s="89"/>
      <c r="F1090" s="89"/>
      <c r="G1090" s="112" t="s">
        <v>1122</v>
      </c>
      <c r="H1090" s="105">
        <v>1.21</v>
      </c>
      <c r="I1090" s="105">
        <v>0.75</v>
      </c>
      <c r="J1090" s="105" t="s">
        <v>17</v>
      </c>
      <c r="K1090" s="105">
        <v>2</v>
      </c>
      <c r="L1090" s="308"/>
    </row>
    <row r="1091" customHeight="1" spans="1:12">
      <c r="A1091" s="306"/>
      <c r="B1091" s="89"/>
      <c r="C1091" s="89"/>
      <c r="D1091" s="307"/>
      <c r="E1091" s="89"/>
      <c r="F1091" s="89"/>
      <c r="G1091" s="112" t="s">
        <v>1048</v>
      </c>
      <c r="H1091" s="105">
        <v>1.25</v>
      </c>
      <c r="I1091" s="105">
        <v>0.2</v>
      </c>
      <c r="J1091" s="105" t="s">
        <v>22</v>
      </c>
      <c r="K1091" s="105">
        <v>2.1</v>
      </c>
      <c r="L1091" s="308"/>
    </row>
    <row r="1092" customHeight="1" spans="1:12">
      <c r="A1092" s="306"/>
      <c r="B1092" s="89"/>
      <c r="C1092" s="89"/>
      <c r="D1092" s="307"/>
      <c r="E1092" s="89"/>
      <c r="F1092" s="89"/>
      <c r="G1092" s="112" t="s">
        <v>1050</v>
      </c>
      <c r="H1092" s="105">
        <v>1.33</v>
      </c>
      <c r="I1092" s="105">
        <v>0.2</v>
      </c>
      <c r="J1092" s="149" t="s">
        <v>44</v>
      </c>
      <c r="K1092" s="105">
        <v>4.5</v>
      </c>
      <c r="L1092" s="308"/>
    </row>
    <row r="1093" customHeight="1" spans="1:12">
      <c r="A1093" s="309"/>
      <c r="B1093" s="90"/>
      <c r="C1093" s="90"/>
      <c r="D1093" s="310"/>
      <c r="E1093" s="90"/>
      <c r="F1093" s="90"/>
      <c r="G1093" s="112" t="s">
        <v>1051</v>
      </c>
      <c r="H1093" s="105">
        <v>1.75</v>
      </c>
      <c r="I1093" s="105">
        <v>0.25</v>
      </c>
      <c r="J1093" s="105" t="s">
        <v>24</v>
      </c>
      <c r="K1093" s="105" t="s">
        <v>24</v>
      </c>
      <c r="L1093" s="311"/>
    </row>
    <row r="1094" customHeight="1" spans="1:12">
      <c r="A1094" s="302" t="s">
        <v>1543</v>
      </c>
      <c r="B1094" s="303" t="s">
        <v>1544</v>
      </c>
      <c r="C1094" s="88" t="s">
        <v>1498</v>
      </c>
      <c r="D1094" s="304">
        <v>40</v>
      </c>
      <c r="E1094" s="88" t="s">
        <v>1545</v>
      </c>
      <c r="F1094" s="88" t="s">
        <v>1503</v>
      </c>
      <c r="G1094" s="112" t="s">
        <v>1047</v>
      </c>
      <c r="H1094" s="105">
        <v>0.9973</v>
      </c>
      <c r="I1094" s="105">
        <v>32</v>
      </c>
      <c r="J1094" s="105" t="s">
        <v>17</v>
      </c>
      <c r="K1094" s="105">
        <v>1.73</v>
      </c>
      <c r="L1094" s="305" t="s">
        <v>1097</v>
      </c>
    </row>
    <row r="1095" customHeight="1" spans="1:12">
      <c r="A1095" s="306"/>
      <c r="B1095" s="89"/>
      <c r="C1095" s="89"/>
      <c r="D1095" s="307"/>
      <c r="E1095" s="89"/>
      <c r="F1095" s="89"/>
      <c r="G1095" s="112" t="s">
        <v>1048</v>
      </c>
      <c r="H1095" s="105">
        <v>0.9973</v>
      </c>
      <c r="I1095" s="105">
        <v>6</v>
      </c>
      <c r="J1095" s="105" t="s">
        <v>136</v>
      </c>
      <c r="K1095" s="105">
        <v>7.5</v>
      </c>
      <c r="L1095" s="308"/>
    </row>
    <row r="1096" customHeight="1" spans="1:12">
      <c r="A1096" s="309"/>
      <c r="B1096" s="90"/>
      <c r="C1096" s="90"/>
      <c r="D1096" s="310"/>
      <c r="E1096" s="90"/>
      <c r="F1096" s="90"/>
      <c r="G1096" s="112" t="s">
        <v>1399</v>
      </c>
      <c r="H1096" s="105">
        <v>0.9973</v>
      </c>
      <c r="I1096" s="105">
        <v>2</v>
      </c>
      <c r="J1096" s="105" t="s">
        <v>44</v>
      </c>
      <c r="K1096" s="105" t="s">
        <v>24</v>
      </c>
      <c r="L1096" s="311"/>
    </row>
    <row r="1097" customHeight="1" spans="1:12">
      <c r="A1097" s="302" t="s">
        <v>1543</v>
      </c>
      <c r="B1097" s="303" t="s">
        <v>1546</v>
      </c>
      <c r="C1097" s="88" t="s">
        <v>1498</v>
      </c>
      <c r="D1097" s="304">
        <v>10</v>
      </c>
      <c r="E1097" s="88" t="s">
        <v>1499</v>
      </c>
      <c r="F1097" s="88" t="s">
        <v>1547</v>
      </c>
      <c r="G1097" s="112" t="s">
        <v>1047</v>
      </c>
      <c r="H1097" s="105">
        <v>1.9151</v>
      </c>
      <c r="I1097" s="105">
        <v>8.7</v>
      </c>
      <c r="J1097" s="105" t="s">
        <v>17</v>
      </c>
      <c r="K1097" s="105">
        <v>2.05</v>
      </c>
      <c r="L1097" s="305" t="s">
        <v>35</v>
      </c>
    </row>
    <row r="1098" customHeight="1" spans="1:12">
      <c r="A1098" s="306"/>
      <c r="B1098" s="89"/>
      <c r="C1098" s="89"/>
      <c r="D1098" s="307"/>
      <c r="E1098" s="89"/>
      <c r="F1098" s="89"/>
      <c r="G1098" s="112" t="s">
        <v>1048</v>
      </c>
      <c r="H1098" s="105">
        <v>1.9151</v>
      </c>
      <c r="I1098" s="105">
        <v>0.4</v>
      </c>
      <c r="J1098" s="105" t="s">
        <v>22</v>
      </c>
      <c r="K1098" s="105">
        <v>2.18</v>
      </c>
      <c r="L1098" s="308"/>
    </row>
    <row r="1099" customHeight="1" spans="1:12">
      <c r="A1099" s="306"/>
      <c r="B1099" s="89"/>
      <c r="C1099" s="89"/>
      <c r="D1099" s="307"/>
      <c r="E1099" s="89"/>
      <c r="F1099" s="89"/>
      <c r="G1099" s="112" t="s">
        <v>1055</v>
      </c>
      <c r="H1099" s="105">
        <v>1.9151</v>
      </c>
      <c r="I1099" s="105">
        <v>0.4</v>
      </c>
      <c r="J1099" s="105" t="s">
        <v>64</v>
      </c>
      <c r="K1099" s="105">
        <v>3.4</v>
      </c>
      <c r="L1099" s="308"/>
    </row>
    <row r="1100" customHeight="1" spans="1:12">
      <c r="A1100" s="309"/>
      <c r="B1100" s="90"/>
      <c r="C1100" s="90"/>
      <c r="D1100" s="310"/>
      <c r="E1100" s="90"/>
      <c r="F1100" s="90"/>
      <c r="G1100" s="112" t="s">
        <v>1051</v>
      </c>
      <c r="H1100" s="105">
        <v>2.8306</v>
      </c>
      <c r="I1100" s="105">
        <v>0.5</v>
      </c>
      <c r="J1100" s="105" t="s">
        <v>24</v>
      </c>
      <c r="K1100" s="105" t="s">
        <v>24</v>
      </c>
      <c r="L1100" s="311"/>
    </row>
    <row r="1101" customHeight="1" spans="1:12">
      <c r="A1101" s="302" t="s">
        <v>1543</v>
      </c>
      <c r="B1101" s="303" t="s">
        <v>1548</v>
      </c>
      <c r="C1101" s="88" t="s">
        <v>1498</v>
      </c>
      <c r="D1101" s="304">
        <v>10</v>
      </c>
      <c r="E1101" s="88" t="s">
        <v>1549</v>
      </c>
      <c r="F1101" s="88" t="s">
        <v>1510</v>
      </c>
      <c r="G1101" s="112" t="s">
        <v>1047</v>
      </c>
      <c r="H1101" s="105">
        <v>1.4959</v>
      </c>
      <c r="I1101" s="105">
        <v>8.3</v>
      </c>
      <c r="J1101" s="105" t="s">
        <v>17</v>
      </c>
      <c r="K1101" s="105">
        <v>1.9</v>
      </c>
      <c r="L1101" s="305" t="s">
        <v>35</v>
      </c>
    </row>
    <row r="1102" customHeight="1" spans="1:12">
      <c r="A1102" s="306"/>
      <c r="B1102" s="89"/>
      <c r="C1102" s="89"/>
      <c r="D1102" s="307"/>
      <c r="E1102" s="89"/>
      <c r="F1102" s="89"/>
      <c r="G1102" s="112" t="s">
        <v>1048</v>
      </c>
      <c r="H1102" s="105">
        <v>1.4959</v>
      </c>
      <c r="I1102" s="105">
        <v>0.5</v>
      </c>
      <c r="J1102" s="105" t="s">
        <v>22</v>
      </c>
      <c r="K1102" s="105">
        <v>2.15</v>
      </c>
      <c r="L1102" s="308"/>
    </row>
    <row r="1103" customHeight="1" spans="1:12">
      <c r="A1103" s="306"/>
      <c r="B1103" s="89"/>
      <c r="C1103" s="89"/>
      <c r="D1103" s="307"/>
      <c r="E1103" s="89"/>
      <c r="F1103" s="89"/>
      <c r="G1103" s="112" t="s">
        <v>1055</v>
      </c>
      <c r="H1103" s="105">
        <v>2</v>
      </c>
      <c r="I1103" s="105">
        <v>0.7</v>
      </c>
      <c r="J1103" s="105" t="s">
        <v>100</v>
      </c>
      <c r="K1103" s="105">
        <v>3.4</v>
      </c>
      <c r="L1103" s="308"/>
    </row>
    <row r="1104" customHeight="1" spans="1:12">
      <c r="A1104" s="309"/>
      <c r="B1104" s="90"/>
      <c r="C1104" s="90"/>
      <c r="D1104" s="310"/>
      <c r="E1104" s="90"/>
      <c r="F1104" s="90"/>
      <c r="G1104" s="112" t="s">
        <v>1051</v>
      </c>
      <c r="H1104" s="105">
        <v>2</v>
      </c>
      <c r="I1104" s="105">
        <v>0.5</v>
      </c>
      <c r="J1104" s="105" t="s">
        <v>24</v>
      </c>
      <c r="K1104" s="105" t="s">
        <v>24</v>
      </c>
      <c r="L1104" s="311"/>
    </row>
    <row r="1105" customHeight="1" spans="1:12">
      <c r="A1105" s="302" t="s">
        <v>1550</v>
      </c>
      <c r="B1105" s="88" t="s">
        <v>1551</v>
      </c>
      <c r="C1105" s="88" t="s">
        <v>1498</v>
      </c>
      <c r="D1105" s="304">
        <v>18</v>
      </c>
      <c r="E1105" s="88" t="s">
        <v>1509</v>
      </c>
      <c r="F1105" s="88" t="s">
        <v>1510</v>
      </c>
      <c r="G1105" s="112" t="s">
        <v>1047</v>
      </c>
      <c r="H1105" s="105">
        <v>0.9644</v>
      </c>
      <c r="I1105" s="105">
        <v>16.2</v>
      </c>
      <c r="J1105" s="105" t="s">
        <v>17</v>
      </c>
      <c r="K1105" s="105">
        <v>1.8</v>
      </c>
      <c r="L1105" s="305" t="s">
        <v>74</v>
      </c>
    </row>
    <row r="1106" customHeight="1" spans="1:12">
      <c r="A1106" s="306"/>
      <c r="B1106" s="89"/>
      <c r="C1106" s="89"/>
      <c r="D1106" s="307"/>
      <c r="E1106" s="89"/>
      <c r="F1106" s="89"/>
      <c r="G1106" s="112" t="s">
        <v>1048</v>
      </c>
      <c r="H1106" s="105">
        <v>1.2137</v>
      </c>
      <c r="I1106" s="105">
        <v>0.54</v>
      </c>
      <c r="J1106" s="105" t="s">
        <v>22</v>
      </c>
      <c r="K1106" s="105">
        <v>1.9</v>
      </c>
      <c r="L1106" s="308"/>
    </row>
    <row r="1107" customHeight="1" spans="1:12">
      <c r="A1107" s="309"/>
      <c r="B1107" s="90"/>
      <c r="C1107" s="90"/>
      <c r="D1107" s="310"/>
      <c r="E1107" s="90"/>
      <c r="F1107" s="90"/>
      <c r="G1107" s="112" t="s">
        <v>1051</v>
      </c>
      <c r="H1107" s="105">
        <v>1.7151</v>
      </c>
      <c r="I1107" s="105">
        <v>1.26</v>
      </c>
      <c r="J1107" s="105" t="s">
        <v>24</v>
      </c>
      <c r="K1107" s="105" t="s">
        <v>24</v>
      </c>
      <c r="L1107" s="311"/>
    </row>
    <row r="1108" customHeight="1" spans="1:12">
      <c r="A1108" s="302" t="s">
        <v>1550</v>
      </c>
      <c r="B1108" s="88" t="s">
        <v>1552</v>
      </c>
      <c r="C1108" s="88" t="s">
        <v>1512</v>
      </c>
      <c r="D1108" s="304">
        <v>7</v>
      </c>
      <c r="E1108" s="88" t="s">
        <v>1553</v>
      </c>
      <c r="F1108" s="88" t="s">
        <v>1506</v>
      </c>
      <c r="G1108" s="112" t="s">
        <v>1047</v>
      </c>
      <c r="H1108" s="105">
        <v>2</v>
      </c>
      <c r="I1108" s="105">
        <v>5.88</v>
      </c>
      <c r="J1108" s="105" t="s">
        <v>17</v>
      </c>
      <c r="K1108" s="105">
        <v>2.1</v>
      </c>
      <c r="L1108" s="305" t="s">
        <v>67</v>
      </c>
    </row>
    <row r="1109" customHeight="1" spans="1:12">
      <c r="A1109" s="306"/>
      <c r="B1109" s="89"/>
      <c r="C1109" s="89"/>
      <c r="D1109" s="307"/>
      <c r="E1109" s="89"/>
      <c r="F1109" s="89"/>
      <c r="G1109" s="112" t="s">
        <v>1048</v>
      </c>
      <c r="H1109" s="105">
        <v>2</v>
      </c>
      <c r="I1109" s="105">
        <v>0.28</v>
      </c>
      <c r="J1109" s="105" t="s">
        <v>22</v>
      </c>
      <c r="K1109" s="105">
        <v>2.5</v>
      </c>
      <c r="L1109" s="308"/>
    </row>
    <row r="1110" customHeight="1" spans="1:12">
      <c r="A1110" s="306"/>
      <c r="B1110" s="89"/>
      <c r="C1110" s="89"/>
      <c r="D1110" s="307"/>
      <c r="E1110" s="89"/>
      <c r="F1110" s="89"/>
      <c r="G1110" s="112" t="s">
        <v>1050</v>
      </c>
      <c r="H1110" s="105">
        <v>2</v>
      </c>
      <c r="I1110" s="105">
        <v>0.315</v>
      </c>
      <c r="J1110" s="105" t="s">
        <v>44</v>
      </c>
      <c r="K1110" s="105">
        <v>4</v>
      </c>
      <c r="L1110" s="308"/>
    </row>
    <row r="1111" customHeight="1" spans="1:12">
      <c r="A1111" s="309"/>
      <c r="B1111" s="90"/>
      <c r="C1111" s="90"/>
      <c r="D1111" s="310"/>
      <c r="E1111" s="90"/>
      <c r="F1111" s="90"/>
      <c r="G1111" s="112" t="s">
        <v>1051</v>
      </c>
      <c r="H1111" s="105">
        <v>2</v>
      </c>
      <c r="I1111" s="105">
        <v>0.525</v>
      </c>
      <c r="J1111" s="105" t="s">
        <v>24</v>
      </c>
      <c r="K1111" s="105" t="s">
        <v>24</v>
      </c>
      <c r="L1111" s="311"/>
    </row>
    <row r="1112" customHeight="1" spans="1:12">
      <c r="A1112" s="302" t="s">
        <v>1550</v>
      </c>
      <c r="B1112" s="88" t="s">
        <v>1554</v>
      </c>
      <c r="C1112" s="88" t="s">
        <v>1498</v>
      </c>
      <c r="D1112" s="304">
        <v>10</v>
      </c>
      <c r="E1112" s="88" t="s">
        <v>1549</v>
      </c>
      <c r="F1112" s="88" t="s">
        <v>1510</v>
      </c>
      <c r="G1112" s="112" t="s">
        <v>1047</v>
      </c>
      <c r="H1112" s="105">
        <v>1</v>
      </c>
      <c r="I1112" s="105">
        <v>9</v>
      </c>
      <c r="J1112" s="105" t="s">
        <v>17</v>
      </c>
      <c r="K1112" s="105">
        <v>1.78</v>
      </c>
      <c r="L1112" s="305" t="s">
        <v>35</v>
      </c>
    </row>
    <row r="1113" customHeight="1" spans="1:12">
      <c r="A1113" s="306"/>
      <c r="B1113" s="89"/>
      <c r="C1113" s="89"/>
      <c r="D1113" s="307"/>
      <c r="E1113" s="89"/>
      <c r="F1113" s="89"/>
      <c r="G1113" s="112" t="s">
        <v>1048</v>
      </c>
      <c r="H1113" s="105">
        <v>1.0822</v>
      </c>
      <c r="I1113" s="105">
        <v>0.3</v>
      </c>
      <c r="J1113" s="105" t="s">
        <v>22</v>
      </c>
      <c r="K1113" s="105">
        <v>2.05</v>
      </c>
      <c r="L1113" s="308"/>
    </row>
    <row r="1114" customHeight="1" spans="1:12">
      <c r="A1114" s="306"/>
      <c r="B1114" s="89"/>
      <c r="C1114" s="89"/>
      <c r="D1114" s="307"/>
      <c r="E1114" s="89"/>
      <c r="F1114" s="89"/>
      <c r="G1114" s="112" t="s">
        <v>1055</v>
      </c>
      <c r="H1114" s="105">
        <v>1.0822</v>
      </c>
      <c r="I1114" s="105">
        <v>0.2</v>
      </c>
      <c r="J1114" s="105" t="s">
        <v>64</v>
      </c>
      <c r="K1114" s="105">
        <v>3.3</v>
      </c>
      <c r="L1114" s="308"/>
    </row>
    <row r="1115" customHeight="1" spans="1:12">
      <c r="A1115" s="309"/>
      <c r="B1115" s="90"/>
      <c r="C1115" s="90"/>
      <c r="D1115" s="310"/>
      <c r="E1115" s="90"/>
      <c r="F1115" s="90"/>
      <c r="G1115" s="112" t="s">
        <v>1051</v>
      </c>
      <c r="H1115" s="105">
        <v>1.8301</v>
      </c>
      <c r="I1115" s="105">
        <v>0.5</v>
      </c>
      <c r="J1115" s="105" t="s">
        <v>24</v>
      </c>
      <c r="K1115" s="105" t="s">
        <v>24</v>
      </c>
      <c r="L1115" s="311"/>
    </row>
    <row r="1116" customHeight="1" spans="1:12">
      <c r="A1116" s="302" t="s">
        <v>1555</v>
      </c>
      <c r="B1116" s="88" t="s">
        <v>1556</v>
      </c>
      <c r="C1116" s="88" t="s">
        <v>1498</v>
      </c>
      <c r="D1116" s="304">
        <v>8</v>
      </c>
      <c r="E1116" s="88" t="s">
        <v>1525</v>
      </c>
      <c r="F1116" s="88" t="s">
        <v>1530</v>
      </c>
      <c r="G1116" s="112" t="s">
        <v>1137</v>
      </c>
      <c r="H1116" s="105">
        <v>1.011</v>
      </c>
      <c r="I1116" s="105">
        <v>7.88</v>
      </c>
      <c r="J1116" s="105" t="s">
        <v>17</v>
      </c>
      <c r="K1116" s="105">
        <v>2.45</v>
      </c>
      <c r="L1116" s="305" t="s">
        <v>1082</v>
      </c>
    </row>
    <row r="1117" customHeight="1" spans="1:12">
      <c r="A1117" s="309"/>
      <c r="B1117" s="90"/>
      <c r="C1117" s="90"/>
      <c r="D1117" s="310"/>
      <c r="E1117" s="90"/>
      <c r="F1117" s="90"/>
      <c r="G1117" s="112" t="s">
        <v>1051</v>
      </c>
      <c r="H1117" s="105">
        <v>3.0712</v>
      </c>
      <c r="I1117" s="105">
        <v>0.12</v>
      </c>
      <c r="J1117" s="105" t="s">
        <v>24</v>
      </c>
      <c r="K1117" s="105" t="s">
        <v>24</v>
      </c>
      <c r="L1117" s="311"/>
    </row>
    <row r="1118" customHeight="1" spans="1:12">
      <c r="A1118" s="302" t="s">
        <v>1555</v>
      </c>
      <c r="B1118" s="88" t="s">
        <v>1557</v>
      </c>
      <c r="C1118" s="88" t="s">
        <v>1498</v>
      </c>
      <c r="D1118" s="304">
        <v>3</v>
      </c>
      <c r="E1118" s="88" t="s">
        <v>1525</v>
      </c>
      <c r="F1118" s="88" t="s">
        <v>1500</v>
      </c>
      <c r="G1118" s="112" t="s">
        <v>1121</v>
      </c>
      <c r="H1118" s="105">
        <v>1.2521</v>
      </c>
      <c r="I1118" s="105">
        <v>2.55</v>
      </c>
      <c r="J1118" s="105" t="s">
        <v>17</v>
      </c>
      <c r="K1118" s="105">
        <v>2.5</v>
      </c>
      <c r="L1118" s="305" t="s">
        <v>435</v>
      </c>
    </row>
    <row r="1119" customHeight="1" spans="1:12">
      <c r="A1119" s="306"/>
      <c r="B1119" s="89"/>
      <c r="C1119" s="89"/>
      <c r="D1119" s="307"/>
      <c r="E1119" s="89"/>
      <c r="F1119" s="89"/>
      <c r="G1119" s="112" t="s">
        <v>1122</v>
      </c>
      <c r="H1119" s="105">
        <v>1.3315</v>
      </c>
      <c r="I1119" s="105">
        <v>0.3</v>
      </c>
      <c r="J1119" s="105" t="s">
        <v>17</v>
      </c>
      <c r="K1119" s="105">
        <v>2.7</v>
      </c>
      <c r="L1119" s="308"/>
    </row>
    <row r="1120" customHeight="1" spans="1:12">
      <c r="A1120" s="309"/>
      <c r="B1120" s="90"/>
      <c r="C1120" s="90"/>
      <c r="D1120" s="310"/>
      <c r="E1120" s="90"/>
      <c r="F1120" s="90"/>
      <c r="G1120" s="112" t="s">
        <v>1051</v>
      </c>
      <c r="H1120" s="105">
        <v>1.7507</v>
      </c>
      <c r="I1120" s="105">
        <v>0.15</v>
      </c>
      <c r="J1120" s="105" t="s">
        <v>24</v>
      </c>
      <c r="K1120" s="105" t="s">
        <v>24</v>
      </c>
      <c r="L1120" s="311"/>
    </row>
    <row r="1121" customHeight="1" spans="1:12">
      <c r="A1121" s="302" t="s">
        <v>1501</v>
      </c>
      <c r="B1121" s="88" t="s">
        <v>1558</v>
      </c>
      <c r="C1121" s="88" t="s">
        <v>1512</v>
      </c>
      <c r="D1121" s="304">
        <v>3.5</v>
      </c>
      <c r="E1121" s="88" t="s">
        <v>1559</v>
      </c>
      <c r="F1121" s="88" t="s">
        <v>1046</v>
      </c>
      <c r="G1121" s="112" t="s">
        <v>1137</v>
      </c>
      <c r="H1121" s="105">
        <v>1.7699</v>
      </c>
      <c r="I1121" s="105">
        <v>2.8</v>
      </c>
      <c r="J1121" s="105" t="s">
        <v>17</v>
      </c>
      <c r="K1121" s="105">
        <v>2.49</v>
      </c>
      <c r="L1121" s="305" t="s">
        <v>1075</v>
      </c>
    </row>
    <row r="1122" customHeight="1" spans="1:12">
      <c r="A1122" s="309"/>
      <c r="B1122" s="90"/>
      <c r="C1122" s="90"/>
      <c r="D1122" s="310"/>
      <c r="E1122" s="90"/>
      <c r="F1122" s="90"/>
      <c r="G1122" s="112" t="s">
        <v>1051</v>
      </c>
      <c r="H1122" s="105">
        <v>1.7699</v>
      </c>
      <c r="I1122" s="105">
        <v>0.7</v>
      </c>
      <c r="J1122" s="105" t="s">
        <v>24</v>
      </c>
      <c r="K1122" s="105" t="s">
        <v>24</v>
      </c>
      <c r="L1122" s="311"/>
    </row>
    <row r="1123" customHeight="1" spans="1:12">
      <c r="A1123" s="302" t="s">
        <v>1555</v>
      </c>
      <c r="B1123" s="88" t="s">
        <v>1560</v>
      </c>
      <c r="C1123" s="88" t="s">
        <v>1498</v>
      </c>
      <c r="D1123" s="304">
        <v>4</v>
      </c>
      <c r="E1123" s="88" t="s">
        <v>1525</v>
      </c>
      <c r="F1123" s="88" t="s">
        <v>1503</v>
      </c>
      <c r="G1123" s="112" t="s">
        <v>1047</v>
      </c>
      <c r="H1123" s="105">
        <v>1.5123</v>
      </c>
      <c r="I1123" s="105">
        <v>3.26</v>
      </c>
      <c r="J1123" s="105" t="s">
        <v>17</v>
      </c>
      <c r="K1123" s="105">
        <v>1.94</v>
      </c>
      <c r="L1123" s="305" t="s">
        <v>27</v>
      </c>
    </row>
    <row r="1124" customHeight="1" spans="1:12">
      <c r="A1124" s="306"/>
      <c r="B1124" s="89"/>
      <c r="C1124" s="89"/>
      <c r="D1124" s="307"/>
      <c r="E1124" s="89"/>
      <c r="F1124" s="89"/>
      <c r="G1124" s="112" t="s">
        <v>1048</v>
      </c>
      <c r="H1124" s="105">
        <v>1.9726</v>
      </c>
      <c r="I1124" s="105">
        <v>0.18</v>
      </c>
      <c r="J1124" s="105" t="s">
        <v>22</v>
      </c>
      <c r="K1124" s="105">
        <v>2</v>
      </c>
      <c r="L1124" s="308"/>
    </row>
    <row r="1125" customHeight="1" spans="1:12">
      <c r="A1125" s="306"/>
      <c r="B1125" s="89"/>
      <c r="C1125" s="89"/>
      <c r="D1125" s="307"/>
      <c r="E1125" s="89"/>
      <c r="F1125" s="89"/>
      <c r="G1125" s="112" t="s">
        <v>1113</v>
      </c>
      <c r="H1125" s="105">
        <v>3.0164</v>
      </c>
      <c r="I1125" s="105">
        <v>0.36</v>
      </c>
      <c r="J1125" s="105" t="s">
        <v>24</v>
      </c>
      <c r="K1125" s="105" t="s">
        <v>24</v>
      </c>
      <c r="L1125" s="308"/>
    </row>
    <row r="1126" customHeight="1" spans="1:12">
      <c r="A1126" s="309"/>
      <c r="B1126" s="90"/>
      <c r="C1126" s="90"/>
      <c r="D1126" s="310"/>
      <c r="E1126" s="90"/>
      <c r="F1126" s="90"/>
      <c r="G1126" s="112" t="s">
        <v>1114</v>
      </c>
      <c r="H1126" s="105">
        <v>3.0164</v>
      </c>
      <c r="I1126" s="105">
        <v>0.2</v>
      </c>
      <c r="J1126" s="105" t="s">
        <v>24</v>
      </c>
      <c r="K1126" s="105" t="s">
        <v>24</v>
      </c>
      <c r="L1126" s="311"/>
    </row>
    <row r="1127" customHeight="1" spans="1:12">
      <c r="A1127" s="302" t="s">
        <v>1555</v>
      </c>
      <c r="B1127" s="88" t="s">
        <v>1561</v>
      </c>
      <c r="C1127" s="88" t="s">
        <v>1498</v>
      </c>
      <c r="D1127" s="304">
        <v>20</v>
      </c>
      <c r="E1127" s="88" t="s">
        <v>1562</v>
      </c>
      <c r="F1127" s="88" t="s">
        <v>1563</v>
      </c>
      <c r="G1127" s="112" t="s">
        <v>1121</v>
      </c>
      <c r="H1127" s="105">
        <v>1.0795</v>
      </c>
      <c r="I1127" s="105">
        <v>6.4</v>
      </c>
      <c r="J1127" s="105" t="s">
        <v>17</v>
      </c>
      <c r="K1127" s="105">
        <v>1.78</v>
      </c>
      <c r="L1127" s="305" t="s">
        <v>86</v>
      </c>
    </row>
    <row r="1128" customHeight="1" spans="1:12">
      <c r="A1128" s="306"/>
      <c r="B1128" s="89"/>
      <c r="C1128" s="89"/>
      <c r="D1128" s="307"/>
      <c r="E1128" s="89"/>
      <c r="F1128" s="89"/>
      <c r="G1128" s="112" t="s">
        <v>1122</v>
      </c>
      <c r="H1128" s="105">
        <v>1.6603</v>
      </c>
      <c r="I1128" s="105">
        <v>11.6</v>
      </c>
      <c r="J1128" s="105" t="s">
        <v>17</v>
      </c>
      <c r="K1128" s="105">
        <v>1.83</v>
      </c>
      <c r="L1128" s="308"/>
    </row>
    <row r="1129" customHeight="1" spans="1:12">
      <c r="A1129" s="306"/>
      <c r="B1129" s="89"/>
      <c r="C1129" s="89"/>
      <c r="D1129" s="307"/>
      <c r="E1129" s="89"/>
      <c r="F1129" s="89"/>
      <c r="G1129" s="112" t="s">
        <v>1048</v>
      </c>
      <c r="H1129" s="105">
        <v>1.7425</v>
      </c>
      <c r="I1129" s="105">
        <v>1</v>
      </c>
      <c r="J1129" s="105" t="s">
        <v>22</v>
      </c>
      <c r="K1129" s="105">
        <v>2.05</v>
      </c>
      <c r="L1129" s="308"/>
    </row>
    <row r="1130" customHeight="1" spans="1:12">
      <c r="A1130" s="309"/>
      <c r="B1130" s="90"/>
      <c r="C1130" s="90"/>
      <c r="D1130" s="310"/>
      <c r="E1130" s="90"/>
      <c r="F1130" s="90"/>
      <c r="G1130" s="112" t="s">
        <v>1051</v>
      </c>
      <c r="H1130" s="105">
        <v>1.7425</v>
      </c>
      <c r="I1130" s="105">
        <v>1</v>
      </c>
      <c r="J1130" s="105" t="s">
        <v>24</v>
      </c>
      <c r="K1130" s="105" t="s">
        <v>24</v>
      </c>
      <c r="L1130" s="311"/>
    </row>
    <row r="1131" customHeight="1" spans="1:12">
      <c r="A1131" s="435">
        <v>45946</v>
      </c>
      <c r="B1131" s="148" t="s">
        <v>1564</v>
      </c>
      <c r="C1131" s="111" t="s">
        <v>1565</v>
      </c>
      <c r="D1131" s="304">
        <v>15</v>
      </c>
      <c r="E1131" s="111" t="s">
        <v>1566</v>
      </c>
      <c r="F1131" s="111" t="s">
        <v>1567</v>
      </c>
      <c r="G1131" s="112" t="s">
        <v>1047</v>
      </c>
      <c r="H1131" s="436">
        <v>0.9</v>
      </c>
      <c r="I1131" s="436">
        <v>13.5</v>
      </c>
      <c r="J1131" s="105" t="s">
        <v>17</v>
      </c>
      <c r="K1131" s="105">
        <v>1.85</v>
      </c>
      <c r="L1131" s="220" t="s">
        <v>74</v>
      </c>
    </row>
    <row r="1132" customHeight="1" spans="1:12">
      <c r="A1132" s="222"/>
      <c r="B1132" s="54"/>
      <c r="C1132" s="111"/>
      <c r="D1132" s="307"/>
      <c r="E1132" s="111"/>
      <c r="F1132" s="111"/>
      <c r="G1132" s="112" t="s">
        <v>1048</v>
      </c>
      <c r="H1132" s="436">
        <v>1.15</v>
      </c>
      <c r="I1132" s="436">
        <v>0.45</v>
      </c>
      <c r="J1132" s="105" t="s">
        <v>22</v>
      </c>
      <c r="K1132" s="105">
        <v>1.9</v>
      </c>
      <c r="L1132" s="220"/>
    </row>
    <row r="1133" customHeight="1" spans="1:12">
      <c r="A1133" s="222"/>
      <c r="B1133" s="54"/>
      <c r="C1133" s="111"/>
      <c r="D1133" s="307"/>
      <c r="E1133" s="111"/>
      <c r="F1133" s="111"/>
      <c r="G1133" s="112" t="s">
        <v>1051</v>
      </c>
      <c r="H1133" s="436">
        <v>1.65</v>
      </c>
      <c r="I1133" s="436">
        <v>1.05</v>
      </c>
      <c r="J1133" s="105" t="s">
        <v>24</v>
      </c>
      <c r="K1133" s="105" t="s">
        <v>24</v>
      </c>
      <c r="L1133" s="220"/>
    </row>
    <row r="1134" customHeight="1" spans="1:12">
      <c r="A1134" s="437">
        <v>45954</v>
      </c>
      <c r="B1134" s="438" t="s">
        <v>1568</v>
      </c>
      <c r="C1134" s="439" t="s">
        <v>1565</v>
      </c>
      <c r="D1134" s="440">
        <v>20</v>
      </c>
      <c r="E1134" s="439" t="s">
        <v>1566</v>
      </c>
      <c r="F1134" s="439" t="s">
        <v>1567</v>
      </c>
      <c r="G1134" s="441" t="s">
        <v>1047</v>
      </c>
      <c r="H1134" s="442">
        <v>0.88</v>
      </c>
      <c r="I1134" s="442">
        <v>18</v>
      </c>
      <c r="J1134" s="443" t="s">
        <v>17</v>
      </c>
      <c r="K1134" s="443">
        <v>1.85</v>
      </c>
      <c r="L1134" s="444" t="s">
        <v>74</v>
      </c>
    </row>
    <row r="1135" customHeight="1" spans="1:12">
      <c r="A1135" s="445"/>
      <c r="B1135" s="446"/>
      <c r="C1135" s="439"/>
      <c r="D1135" s="447"/>
      <c r="E1135" s="439"/>
      <c r="F1135" s="439"/>
      <c r="G1135" s="441" t="s">
        <v>1048</v>
      </c>
      <c r="H1135" s="442">
        <v>1.13</v>
      </c>
      <c r="I1135" s="442">
        <v>0.6</v>
      </c>
      <c r="J1135" s="443" t="s">
        <v>22</v>
      </c>
      <c r="K1135" s="443">
        <v>1.9</v>
      </c>
      <c r="L1135" s="444"/>
    </row>
    <row r="1136" customHeight="1" spans="1:12">
      <c r="A1136" s="445"/>
      <c r="B1136" s="446"/>
      <c r="C1136" s="439"/>
      <c r="D1136" s="447"/>
      <c r="E1136" s="439"/>
      <c r="F1136" s="439"/>
      <c r="G1136" s="441" t="s">
        <v>1051</v>
      </c>
      <c r="H1136" s="442">
        <v>1.63</v>
      </c>
      <c r="I1136" s="442">
        <v>1.4</v>
      </c>
      <c r="J1136" s="443" t="s">
        <v>24</v>
      </c>
      <c r="K1136" s="443" t="s">
        <v>24</v>
      </c>
      <c r="L1136" s="444"/>
    </row>
    <row r="1137" customHeight="1" spans="1:14">
      <c r="A1137" s="222" t="s">
        <v>1569</v>
      </c>
      <c r="B1137" s="148" t="s">
        <v>1570</v>
      </c>
      <c r="C1137" s="205" t="s">
        <v>462</v>
      </c>
      <c r="D1137" s="160">
        <v>20</v>
      </c>
      <c r="E1137" s="205" t="s">
        <v>481</v>
      </c>
      <c r="F1137" s="205" t="s">
        <v>482</v>
      </c>
      <c r="G1137" s="112" t="s">
        <v>1047</v>
      </c>
      <c r="H1137" s="105">
        <v>0.95</v>
      </c>
      <c r="I1137" s="105">
        <v>18</v>
      </c>
      <c r="J1137" s="105" t="s">
        <v>17</v>
      </c>
      <c r="K1137" s="105">
        <v>1.83</v>
      </c>
      <c r="L1137" s="220" t="s">
        <v>74</v>
      </c>
    </row>
    <row r="1138" customHeight="1" spans="1:14">
      <c r="A1138" s="222"/>
      <c r="B1138" s="54"/>
      <c r="C1138" s="111"/>
      <c r="D1138" s="160"/>
      <c r="E1138" s="111"/>
      <c r="F1138" s="111"/>
      <c r="G1138" s="112" t="s">
        <v>1048</v>
      </c>
      <c r="H1138" s="105">
        <v>1.19</v>
      </c>
      <c r="I1138" s="105">
        <v>0.6</v>
      </c>
      <c r="J1138" s="105" t="s">
        <v>22</v>
      </c>
      <c r="K1138" s="105">
        <v>1.9</v>
      </c>
      <c r="L1138" s="220"/>
    </row>
    <row r="1139" customHeight="1" spans="1:14">
      <c r="A1139" s="222"/>
      <c r="B1139" s="54"/>
      <c r="C1139" s="111"/>
      <c r="D1139" s="160"/>
      <c r="E1139" s="111"/>
      <c r="F1139" s="111"/>
      <c r="G1139" s="112" t="s">
        <v>1051</v>
      </c>
      <c r="H1139" s="105">
        <v>1.7</v>
      </c>
      <c r="I1139" s="105">
        <v>1.4</v>
      </c>
      <c r="J1139" s="149" t="s">
        <v>24</v>
      </c>
      <c r="K1139" s="105" t="s">
        <v>24</v>
      </c>
      <c r="L1139" s="220"/>
    </row>
    <row r="1140" customHeight="1" spans="1:14">
      <c r="A1140" s="222" t="s">
        <v>1569</v>
      </c>
      <c r="B1140" s="148" t="s">
        <v>1571</v>
      </c>
      <c r="C1140" s="205" t="s">
        <v>462</v>
      </c>
      <c r="D1140" s="160">
        <v>10</v>
      </c>
      <c r="E1140" s="205" t="s">
        <v>536</v>
      </c>
      <c r="F1140" s="205" t="s">
        <v>1421</v>
      </c>
      <c r="G1140" s="112" t="s">
        <v>1047</v>
      </c>
      <c r="H1140" s="105">
        <v>2</v>
      </c>
      <c r="I1140" s="105">
        <v>8.7</v>
      </c>
      <c r="J1140" s="105" t="s">
        <v>17</v>
      </c>
      <c r="K1140" s="105">
        <v>2.15</v>
      </c>
      <c r="L1140" s="220" t="s">
        <v>35</v>
      </c>
    </row>
    <row r="1141" customHeight="1" spans="1:14">
      <c r="A1141" s="222"/>
      <c r="B1141" s="54"/>
      <c r="C1141" s="111"/>
      <c r="D1141" s="160"/>
      <c r="E1141" s="111"/>
      <c r="F1141" s="111"/>
      <c r="G1141" s="112" t="s">
        <v>1048</v>
      </c>
      <c r="H1141" s="105">
        <v>2</v>
      </c>
      <c r="I1141" s="105">
        <v>0.4</v>
      </c>
      <c r="J1141" s="105" t="s">
        <v>22</v>
      </c>
      <c r="K1141" s="105">
        <v>2.3</v>
      </c>
      <c r="L1141" s="220"/>
    </row>
    <row r="1142" customHeight="1" spans="1:14">
      <c r="A1142" s="222"/>
      <c r="B1142" s="54"/>
      <c r="C1142" s="111"/>
      <c r="D1142" s="160"/>
      <c r="E1142" s="111"/>
      <c r="F1142" s="111"/>
      <c r="G1142" s="112" t="s">
        <v>1055</v>
      </c>
      <c r="H1142" s="105">
        <v>2</v>
      </c>
      <c r="I1142" s="105">
        <v>0.4</v>
      </c>
      <c r="J1142" s="105" t="s">
        <v>64</v>
      </c>
      <c r="K1142" s="105">
        <v>3.4</v>
      </c>
      <c r="L1142" s="220"/>
    </row>
    <row r="1143" customHeight="1" spans="1:14">
      <c r="A1143" s="222"/>
      <c r="B1143" s="54"/>
      <c r="C1143" s="111"/>
      <c r="D1143" s="160"/>
      <c r="E1143" s="111"/>
      <c r="F1143" s="111"/>
      <c r="G1143" s="112" t="s">
        <v>1051</v>
      </c>
      <c r="H1143" s="105">
        <v>2.92</v>
      </c>
      <c r="I1143" s="105">
        <v>0.5</v>
      </c>
      <c r="J1143" s="105" t="s">
        <v>24</v>
      </c>
      <c r="K1143" s="105" t="s">
        <v>24</v>
      </c>
      <c r="L1143" s="220"/>
    </row>
    <row r="1144" customHeight="1" spans="1:14">
      <c r="A1144" s="222" t="s">
        <v>1572</v>
      </c>
      <c r="B1144" s="148" t="s">
        <v>1573</v>
      </c>
      <c r="C1144" s="205" t="s">
        <v>462</v>
      </c>
      <c r="D1144" s="160">
        <v>6</v>
      </c>
      <c r="E1144" s="205" t="s">
        <v>492</v>
      </c>
      <c r="F1144" s="205" t="s">
        <v>460</v>
      </c>
      <c r="G1144" s="112" t="s">
        <v>1047</v>
      </c>
      <c r="H1144" s="105">
        <v>0.99</v>
      </c>
      <c r="I1144" s="105">
        <v>5.28</v>
      </c>
      <c r="J1144" s="105" t="s">
        <v>17</v>
      </c>
      <c r="K1144" s="105">
        <v>1.79</v>
      </c>
      <c r="L1144" s="205" t="s">
        <v>86</v>
      </c>
    </row>
    <row r="1145" customHeight="1" spans="1:14">
      <c r="A1145" s="222"/>
      <c r="B1145" s="54"/>
      <c r="C1145" s="111"/>
      <c r="D1145" s="160"/>
      <c r="E1145" s="111"/>
      <c r="F1145" s="111"/>
      <c r="G1145" s="112" t="s">
        <v>1048</v>
      </c>
      <c r="H1145" s="105">
        <v>0.99</v>
      </c>
      <c r="I1145" s="105">
        <v>0.24</v>
      </c>
      <c r="J1145" s="105" t="s">
        <v>22</v>
      </c>
      <c r="K1145" s="105">
        <v>1.9</v>
      </c>
      <c r="L1145" s="205"/>
      <c r="N1145" s="224"/>
    </row>
    <row r="1146" customHeight="1" spans="1:14">
      <c r="A1146" s="222"/>
      <c r="B1146" s="54"/>
      <c r="C1146" s="111"/>
      <c r="D1146" s="160"/>
      <c r="E1146" s="111"/>
      <c r="F1146" s="111"/>
      <c r="G1146" s="112" t="s">
        <v>1050</v>
      </c>
      <c r="H1146" s="105">
        <v>0.99</v>
      </c>
      <c r="I1146" s="105">
        <v>0.18</v>
      </c>
      <c r="J1146" s="105" t="s">
        <v>96</v>
      </c>
      <c r="K1146" s="105">
        <v>4</v>
      </c>
      <c r="L1146" s="205"/>
    </row>
    <row r="1147" customHeight="1" spans="1:14">
      <c r="A1147" s="222"/>
      <c r="B1147" s="54"/>
      <c r="C1147" s="111"/>
      <c r="D1147" s="160"/>
      <c r="E1147" s="111"/>
      <c r="F1147" s="111"/>
      <c r="G1147" s="112" t="s">
        <v>1051</v>
      </c>
      <c r="H1147" s="105">
        <v>4</v>
      </c>
      <c r="I1147" s="105">
        <v>0.3</v>
      </c>
      <c r="J1147" s="105" t="s">
        <v>24</v>
      </c>
      <c r="K1147" s="105" t="s">
        <v>24</v>
      </c>
      <c r="L1147" s="205"/>
    </row>
    <row r="1148" customHeight="1" spans="1:14">
      <c r="A1148" s="222" t="s">
        <v>1572</v>
      </c>
      <c r="B1148" s="148" t="s">
        <v>1574</v>
      </c>
      <c r="C1148" s="205" t="s">
        <v>462</v>
      </c>
      <c r="D1148" s="160">
        <v>3</v>
      </c>
      <c r="E1148" s="205" t="s">
        <v>536</v>
      </c>
      <c r="F1148" s="205" t="s">
        <v>460</v>
      </c>
      <c r="G1148" s="112" t="s">
        <v>1047</v>
      </c>
      <c r="H1148" s="105">
        <v>1</v>
      </c>
      <c r="I1148" s="105">
        <v>2.51</v>
      </c>
      <c r="J1148" s="105" t="s">
        <v>17</v>
      </c>
      <c r="K1148" s="105">
        <v>1.8</v>
      </c>
      <c r="L1148" s="220" t="s">
        <v>27</v>
      </c>
    </row>
    <row r="1149" customHeight="1" spans="1:14">
      <c r="A1149" s="222"/>
      <c r="B1149" s="54"/>
      <c r="C1149" s="111"/>
      <c r="D1149" s="160"/>
      <c r="E1149" s="111"/>
      <c r="F1149" s="111"/>
      <c r="G1149" s="112" t="s">
        <v>1048</v>
      </c>
      <c r="H1149" s="105">
        <v>1</v>
      </c>
      <c r="I1149" s="105">
        <v>0.17</v>
      </c>
      <c r="J1149" s="105" t="s">
        <v>22</v>
      </c>
      <c r="K1149" s="105">
        <v>1.9</v>
      </c>
      <c r="L1149" s="220"/>
    </row>
    <row r="1150" customHeight="1" spans="1:14">
      <c r="A1150" s="222"/>
      <c r="B1150" s="54"/>
      <c r="C1150" s="111"/>
      <c r="D1150" s="160"/>
      <c r="E1150" s="111"/>
      <c r="F1150" s="111"/>
      <c r="G1150" s="112" t="s">
        <v>1055</v>
      </c>
      <c r="H1150" s="105">
        <v>1.83</v>
      </c>
      <c r="I1150" s="105">
        <v>0.11</v>
      </c>
      <c r="J1150" s="105" t="s">
        <v>44</v>
      </c>
      <c r="K1150" s="105">
        <v>3.3</v>
      </c>
      <c r="L1150" s="220"/>
    </row>
    <row r="1151" customHeight="1" spans="1:14">
      <c r="A1151" s="222"/>
      <c r="B1151" s="54"/>
      <c r="C1151" s="111"/>
      <c r="D1151" s="160"/>
      <c r="E1151" s="111"/>
      <c r="F1151" s="111"/>
      <c r="G1151" s="112" t="s">
        <v>1051</v>
      </c>
      <c r="H1151" s="105">
        <v>1.83</v>
      </c>
      <c r="I1151" s="105">
        <v>0.21</v>
      </c>
      <c r="J1151" s="105" t="s">
        <v>24</v>
      </c>
      <c r="K1151" s="105" t="s">
        <v>24</v>
      </c>
      <c r="L1151" s="220"/>
    </row>
    <row r="1152" customHeight="1" spans="1:14">
      <c r="A1152" s="222" t="s">
        <v>1569</v>
      </c>
      <c r="B1152" s="148" t="s">
        <v>1575</v>
      </c>
      <c r="C1152" s="205" t="s">
        <v>462</v>
      </c>
      <c r="D1152" s="160">
        <v>4</v>
      </c>
      <c r="E1152" s="205" t="s">
        <v>486</v>
      </c>
      <c r="F1152" s="205" t="s">
        <v>1063</v>
      </c>
      <c r="G1152" s="112" t="s">
        <v>1047</v>
      </c>
      <c r="H1152" s="105">
        <v>1.48</v>
      </c>
      <c r="I1152" s="105">
        <v>3.35</v>
      </c>
      <c r="J1152" s="105" t="s">
        <v>17</v>
      </c>
      <c r="K1152" s="105">
        <v>1.98</v>
      </c>
      <c r="L1152" s="220" t="s">
        <v>27</v>
      </c>
    </row>
    <row r="1153" customHeight="1" spans="1:12">
      <c r="A1153" s="222"/>
      <c r="B1153" s="54"/>
      <c r="C1153" s="111"/>
      <c r="D1153" s="160"/>
      <c r="E1153" s="111"/>
      <c r="F1153" s="111"/>
      <c r="G1153" s="112" t="s">
        <v>1048</v>
      </c>
      <c r="H1153" s="105">
        <v>1.99</v>
      </c>
      <c r="I1153" s="105">
        <v>0.21</v>
      </c>
      <c r="J1153" s="105" t="s">
        <v>22</v>
      </c>
      <c r="K1153" s="105">
        <v>2.05</v>
      </c>
      <c r="L1153" s="220"/>
    </row>
    <row r="1154" customHeight="1" spans="1:12">
      <c r="A1154" s="222"/>
      <c r="B1154" s="54"/>
      <c r="C1154" s="111"/>
      <c r="D1154" s="160"/>
      <c r="E1154" s="111"/>
      <c r="F1154" s="111"/>
      <c r="G1154" s="112" t="s">
        <v>1113</v>
      </c>
      <c r="H1154" s="105">
        <v>2.99</v>
      </c>
      <c r="I1154" s="105">
        <v>0.24</v>
      </c>
      <c r="J1154" s="105" t="s">
        <v>24</v>
      </c>
      <c r="K1154" s="105" t="s">
        <v>24</v>
      </c>
      <c r="L1154" s="220"/>
    </row>
    <row r="1155" customHeight="1" spans="1:12">
      <c r="A1155" s="222"/>
      <c r="B1155" s="54"/>
      <c r="C1155" s="111"/>
      <c r="D1155" s="160"/>
      <c r="E1155" s="111"/>
      <c r="F1155" s="111"/>
      <c r="G1155" s="112" t="s">
        <v>1114</v>
      </c>
      <c r="H1155" s="105">
        <v>2.99</v>
      </c>
      <c r="I1155" s="105">
        <v>0.2</v>
      </c>
      <c r="J1155" s="105" t="s">
        <v>24</v>
      </c>
      <c r="K1155" s="105" t="s">
        <v>24</v>
      </c>
      <c r="L1155" s="220"/>
    </row>
    <row r="1156" customHeight="1" spans="1:12">
      <c r="A1156" s="448">
        <v>45919</v>
      </c>
      <c r="B1156" s="449" t="s">
        <v>1576</v>
      </c>
      <c r="C1156" s="450" t="s">
        <v>462</v>
      </c>
      <c r="D1156" s="451">
        <v>10</v>
      </c>
      <c r="E1156" s="450" t="s">
        <v>486</v>
      </c>
      <c r="F1156" s="450" t="s">
        <v>1063</v>
      </c>
      <c r="G1156" s="452" t="s">
        <v>1577</v>
      </c>
      <c r="H1156" s="348">
        <v>1.05</v>
      </c>
      <c r="I1156" s="348">
        <v>8.4</v>
      </c>
      <c r="J1156" s="348" t="s">
        <v>17</v>
      </c>
      <c r="K1156" s="348">
        <v>1.78</v>
      </c>
      <c r="L1156" s="450" t="s">
        <v>18</v>
      </c>
    </row>
    <row r="1157" customHeight="1" spans="1:12">
      <c r="A1157" s="453"/>
      <c r="B1157" s="454"/>
      <c r="C1157" s="455"/>
      <c r="D1157" s="451"/>
      <c r="E1157" s="455"/>
      <c r="F1157" s="455"/>
      <c r="G1157" s="452" t="s">
        <v>1578</v>
      </c>
      <c r="H1157" s="348">
        <v>1.22</v>
      </c>
      <c r="I1157" s="348">
        <v>0.6</v>
      </c>
      <c r="J1157" s="348" t="s">
        <v>17</v>
      </c>
      <c r="K1157" s="348">
        <v>1.78</v>
      </c>
      <c r="L1157" s="450"/>
    </row>
    <row r="1158" customHeight="1" spans="1:12">
      <c r="A1158" s="453"/>
      <c r="B1158" s="454"/>
      <c r="C1158" s="455"/>
      <c r="D1158" s="451"/>
      <c r="E1158" s="455"/>
      <c r="F1158" s="455"/>
      <c r="G1158" s="452" t="s">
        <v>1048</v>
      </c>
      <c r="H1158" s="348">
        <v>1.39</v>
      </c>
      <c r="I1158" s="348">
        <v>0.5</v>
      </c>
      <c r="J1158" s="348" t="s">
        <v>22</v>
      </c>
      <c r="K1158" s="348">
        <v>2</v>
      </c>
      <c r="L1158" s="450"/>
    </row>
    <row r="1159" customHeight="1" spans="1:12">
      <c r="A1159" s="453"/>
      <c r="B1159" s="454"/>
      <c r="C1159" s="455"/>
      <c r="D1159" s="451"/>
      <c r="E1159" s="455"/>
      <c r="F1159" s="455"/>
      <c r="G1159" s="452" t="s">
        <v>1051</v>
      </c>
      <c r="H1159" s="348">
        <v>2.61</v>
      </c>
      <c r="I1159" s="348">
        <v>0.5</v>
      </c>
      <c r="J1159" s="348" t="s">
        <v>24</v>
      </c>
      <c r="K1159" s="348" t="s">
        <v>24</v>
      </c>
      <c r="L1159" s="450"/>
    </row>
    <row r="1160" customHeight="1" spans="1:12">
      <c r="A1160" s="222" t="s">
        <v>1572</v>
      </c>
      <c r="B1160" s="148" t="s">
        <v>1579</v>
      </c>
      <c r="C1160" s="205" t="s">
        <v>462</v>
      </c>
      <c r="D1160" s="160">
        <v>10</v>
      </c>
      <c r="E1160" s="205" t="s">
        <v>486</v>
      </c>
      <c r="F1160" s="205" t="s">
        <v>1063</v>
      </c>
      <c r="G1160" s="112" t="s">
        <v>1577</v>
      </c>
      <c r="H1160" s="105">
        <v>1.05</v>
      </c>
      <c r="I1160" s="105">
        <v>8.4</v>
      </c>
      <c r="J1160" s="105" t="s">
        <v>17</v>
      </c>
      <c r="K1160" s="105">
        <v>1.78</v>
      </c>
      <c r="L1160" s="205" t="s">
        <v>18</v>
      </c>
    </row>
    <row r="1161" customHeight="1" spans="1:12">
      <c r="A1161" s="222"/>
      <c r="B1161" s="54"/>
      <c r="C1161" s="111"/>
      <c r="D1161" s="160"/>
      <c r="E1161" s="111"/>
      <c r="F1161" s="111"/>
      <c r="G1161" s="112" t="s">
        <v>1578</v>
      </c>
      <c r="H1161" s="105">
        <v>1.22</v>
      </c>
      <c r="I1161" s="105">
        <v>0.6</v>
      </c>
      <c r="J1161" s="105" t="s">
        <v>17</v>
      </c>
      <c r="K1161" s="105">
        <v>1.78</v>
      </c>
      <c r="L1161" s="205"/>
    </row>
    <row r="1162" customHeight="1" spans="1:12">
      <c r="A1162" s="222"/>
      <c r="B1162" s="54"/>
      <c r="C1162" s="111"/>
      <c r="D1162" s="160"/>
      <c r="E1162" s="111"/>
      <c r="F1162" s="111"/>
      <c r="G1162" s="112" t="s">
        <v>1048</v>
      </c>
      <c r="H1162" s="105">
        <v>1.39</v>
      </c>
      <c r="I1162" s="105">
        <v>0.5</v>
      </c>
      <c r="J1162" s="105" t="s">
        <v>22</v>
      </c>
      <c r="K1162" s="105">
        <v>2</v>
      </c>
      <c r="L1162" s="205"/>
    </row>
    <row r="1163" customHeight="1" spans="1:12">
      <c r="A1163" s="222"/>
      <c r="B1163" s="54"/>
      <c r="C1163" s="111"/>
      <c r="D1163" s="160"/>
      <c r="E1163" s="111"/>
      <c r="F1163" s="111"/>
      <c r="G1163" s="112" t="s">
        <v>1051</v>
      </c>
      <c r="H1163" s="105">
        <v>2.61</v>
      </c>
      <c r="I1163" s="105">
        <v>0.5</v>
      </c>
      <c r="J1163" s="105" t="s">
        <v>24</v>
      </c>
      <c r="K1163" s="105" t="s">
        <v>24</v>
      </c>
      <c r="L1163" s="205"/>
    </row>
    <row r="1164" customHeight="1" spans="1:12">
      <c r="A1164" s="222" t="s">
        <v>1572</v>
      </c>
      <c r="B1164" s="148" t="s">
        <v>1580</v>
      </c>
      <c r="C1164" s="205" t="s">
        <v>462</v>
      </c>
      <c r="D1164" s="160">
        <v>5</v>
      </c>
      <c r="E1164" s="205" t="s">
        <v>477</v>
      </c>
      <c r="F1164" s="205" t="s">
        <v>474</v>
      </c>
      <c r="G1164" s="112" t="s">
        <v>1121</v>
      </c>
      <c r="H1164" s="105">
        <v>1.03</v>
      </c>
      <c r="I1164" s="105">
        <v>3.5</v>
      </c>
      <c r="J1164" s="105" t="s">
        <v>17</v>
      </c>
      <c r="K1164" s="105">
        <v>1.88</v>
      </c>
      <c r="L1164" s="205" t="s">
        <v>41</v>
      </c>
    </row>
    <row r="1165" customHeight="1" spans="1:12">
      <c r="A1165" s="222"/>
      <c r="B1165" s="54"/>
      <c r="C1165" s="111"/>
      <c r="D1165" s="160"/>
      <c r="E1165" s="111"/>
      <c r="F1165" s="111"/>
      <c r="G1165" s="112" t="s">
        <v>1122</v>
      </c>
      <c r="H1165" s="105">
        <v>1.16</v>
      </c>
      <c r="I1165" s="105">
        <v>0.7</v>
      </c>
      <c r="J1165" s="105" t="s">
        <v>17</v>
      </c>
      <c r="K1165" s="105">
        <v>2</v>
      </c>
      <c r="L1165" s="205"/>
    </row>
    <row r="1166" customHeight="1" spans="1:12">
      <c r="A1166" s="222"/>
      <c r="B1166" s="54"/>
      <c r="C1166" s="111"/>
      <c r="D1166" s="160"/>
      <c r="E1166" s="111"/>
      <c r="F1166" s="111"/>
      <c r="G1166" s="112" t="s">
        <v>1048</v>
      </c>
      <c r="H1166" s="105">
        <v>1.24</v>
      </c>
      <c r="I1166" s="105">
        <v>0.27</v>
      </c>
      <c r="J1166" s="105" t="s">
        <v>22</v>
      </c>
      <c r="K1166" s="105">
        <v>2.1</v>
      </c>
      <c r="L1166" s="205"/>
    </row>
    <row r="1167" customHeight="1" spans="1:12">
      <c r="A1167" s="222"/>
      <c r="B1167" s="54"/>
      <c r="C1167" s="111"/>
      <c r="D1167" s="160"/>
      <c r="E1167" s="111"/>
      <c r="F1167" s="111"/>
      <c r="G1167" s="112" t="s">
        <v>1050</v>
      </c>
      <c r="H1167" s="105">
        <v>1.33</v>
      </c>
      <c r="I1167" s="105">
        <v>0.28</v>
      </c>
      <c r="J1167" s="105" t="s">
        <v>351</v>
      </c>
      <c r="K1167" s="105">
        <v>4.5</v>
      </c>
      <c r="L1167" s="205"/>
    </row>
    <row r="1168" customHeight="1" spans="1:12">
      <c r="A1168" s="222"/>
      <c r="B1168" s="54"/>
      <c r="C1168" s="111"/>
      <c r="D1168" s="160"/>
      <c r="E1168" s="111"/>
      <c r="F1168" s="111"/>
      <c r="G1168" s="112" t="s">
        <v>1051</v>
      </c>
      <c r="H1168" s="105">
        <v>1.74</v>
      </c>
      <c r="I1168" s="105">
        <v>0.25</v>
      </c>
      <c r="J1168" s="105" t="s">
        <v>24</v>
      </c>
      <c r="K1168" s="105" t="s">
        <v>24</v>
      </c>
      <c r="L1168" s="205"/>
    </row>
    <row r="1169" customHeight="1" spans="1:14">
      <c r="A1169" s="222" t="s">
        <v>1569</v>
      </c>
      <c r="B1169" s="148" t="s">
        <v>1581</v>
      </c>
      <c r="C1169" s="205" t="s">
        <v>462</v>
      </c>
      <c r="D1169" s="160">
        <v>5</v>
      </c>
      <c r="E1169" s="205" t="s">
        <v>477</v>
      </c>
      <c r="F1169" s="205" t="s">
        <v>1284</v>
      </c>
      <c r="G1169" s="112" t="s">
        <v>1047</v>
      </c>
      <c r="H1169" s="105">
        <v>0.99</v>
      </c>
      <c r="I1169" s="105">
        <v>4.3</v>
      </c>
      <c r="J1169" s="105" t="s">
        <v>17</v>
      </c>
      <c r="K1169" s="105">
        <v>2</v>
      </c>
      <c r="L1169" s="220" t="s">
        <v>35</v>
      </c>
    </row>
    <row r="1170" customHeight="1" spans="1:14">
      <c r="A1170" s="222"/>
      <c r="B1170" s="54"/>
      <c r="C1170" s="111"/>
      <c r="D1170" s="160"/>
      <c r="E1170" s="111"/>
      <c r="F1170" s="111"/>
      <c r="G1170" s="112" t="s">
        <v>1048</v>
      </c>
      <c r="H1170" s="105">
        <v>0.99</v>
      </c>
      <c r="I1170" s="105">
        <v>0.2</v>
      </c>
      <c r="J1170" s="105" t="s">
        <v>22</v>
      </c>
      <c r="K1170" s="105">
        <v>2.2</v>
      </c>
      <c r="L1170" s="220"/>
    </row>
    <row r="1171" customHeight="1" spans="1:14">
      <c r="A1171" s="222"/>
      <c r="B1171" s="54"/>
      <c r="C1171" s="111"/>
      <c r="D1171" s="160"/>
      <c r="E1171" s="111"/>
      <c r="F1171" s="111"/>
      <c r="G1171" s="112" t="s">
        <v>1050</v>
      </c>
      <c r="H1171" s="105">
        <v>0.99</v>
      </c>
      <c r="I1171" s="105">
        <v>0.25</v>
      </c>
      <c r="J1171" s="105" t="s">
        <v>64</v>
      </c>
      <c r="K1171" s="105">
        <v>3.3</v>
      </c>
      <c r="L1171" s="220"/>
    </row>
    <row r="1172" customHeight="1" spans="1:14">
      <c r="A1172" s="225"/>
      <c r="B1172" s="80"/>
      <c r="C1172" s="116"/>
      <c r="D1172" s="315"/>
      <c r="E1172" s="116"/>
      <c r="F1172" s="116"/>
      <c r="G1172" s="119" t="s">
        <v>1051</v>
      </c>
      <c r="H1172" s="117">
        <v>1.57</v>
      </c>
      <c r="I1172" s="117">
        <v>0.25</v>
      </c>
      <c r="J1172" s="117" t="s">
        <v>24</v>
      </c>
      <c r="K1172" s="117" t="s">
        <v>24</v>
      </c>
      <c r="L1172" s="232"/>
    </row>
    <row r="1173" spans="1:14">
      <c r="A1173" s="267">
        <v>45946</v>
      </c>
      <c r="B1173" s="122" t="s">
        <v>1582</v>
      </c>
      <c r="C1173" s="122" t="s">
        <v>462</v>
      </c>
      <c r="D1173" s="52">
        <v>10</v>
      </c>
      <c r="E1173" s="122" t="s">
        <v>486</v>
      </c>
      <c r="F1173" s="122" t="s">
        <v>1063</v>
      </c>
      <c r="G1173" s="112" t="s">
        <v>1583</v>
      </c>
      <c r="H1173" s="105">
        <v>1.08</v>
      </c>
      <c r="I1173" s="105">
        <v>8.4</v>
      </c>
      <c r="J1173" s="105" t="s">
        <v>17</v>
      </c>
      <c r="K1173" s="105">
        <v>1.77</v>
      </c>
      <c r="L1173" s="122" t="s">
        <v>18</v>
      </c>
    </row>
    <row r="1174" spans="1:14">
      <c r="A1174" s="267"/>
      <c r="B1174" s="122"/>
      <c r="C1174" s="122"/>
      <c r="D1174" s="52"/>
      <c r="E1174" s="122"/>
      <c r="F1174" s="122"/>
      <c r="G1174" s="112" t="s">
        <v>1584</v>
      </c>
      <c r="H1174" s="105">
        <v>1.25</v>
      </c>
      <c r="I1174" s="105">
        <v>0.6</v>
      </c>
      <c r="J1174" s="105" t="s">
        <v>17</v>
      </c>
      <c r="K1174" s="105">
        <v>1.78</v>
      </c>
      <c r="L1174" s="122"/>
    </row>
    <row r="1175" spans="1:14">
      <c r="A1175" s="267"/>
      <c r="B1175" s="122"/>
      <c r="C1175" s="122"/>
      <c r="D1175" s="52"/>
      <c r="E1175" s="122"/>
      <c r="F1175" s="122"/>
      <c r="G1175" s="112" t="s">
        <v>1585</v>
      </c>
      <c r="H1175" s="105">
        <v>1.41</v>
      </c>
      <c r="I1175" s="105">
        <v>0.5</v>
      </c>
      <c r="J1175" s="105" t="s">
        <v>22</v>
      </c>
      <c r="K1175" s="105">
        <v>2</v>
      </c>
      <c r="L1175" s="122"/>
    </row>
    <row r="1176" spans="1:14">
      <c r="A1176" s="267"/>
      <c r="B1176" s="122"/>
      <c r="C1176" s="122"/>
      <c r="D1176" s="52"/>
      <c r="E1176" s="122"/>
      <c r="F1176" s="122"/>
      <c r="G1176" s="119" t="s">
        <v>1051</v>
      </c>
      <c r="H1176" s="117">
        <v>2.62</v>
      </c>
      <c r="I1176" s="117">
        <v>0.5</v>
      </c>
      <c r="J1176" s="117" t="s">
        <v>24</v>
      </c>
      <c r="K1176" s="117" t="s">
        <v>24</v>
      </c>
      <c r="L1176" s="122"/>
    </row>
    <row r="1177" customHeight="1" spans="1:14">
      <c r="A1177" s="456">
        <v>45947</v>
      </c>
      <c r="B1177" s="457" t="s">
        <v>1586</v>
      </c>
      <c r="C1177" s="457" t="s">
        <v>459</v>
      </c>
      <c r="D1177" s="458">
        <v>6</v>
      </c>
      <c r="E1177" s="457" t="s">
        <v>486</v>
      </c>
      <c r="F1177" s="457" t="s">
        <v>487</v>
      </c>
      <c r="G1177" s="459" t="s">
        <v>1064</v>
      </c>
      <c r="H1177" s="458">
        <v>1.83287671232877</v>
      </c>
      <c r="I1177" s="458">
        <v>5.28</v>
      </c>
      <c r="J1177" s="458" t="s">
        <v>17</v>
      </c>
      <c r="K1177" s="460">
        <v>1.8</v>
      </c>
      <c r="L1177" s="457" t="s">
        <v>86</v>
      </c>
      <c r="M1177" s="124"/>
      <c r="N1177" s="224"/>
    </row>
    <row r="1178" customHeight="1" spans="1:14">
      <c r="A1178" s="456"/>
      <c r="B1178" s="459"/>
      <c r="C1178" s="459"/>
      <c r="D1178" s="458"/>
      <c r="E1178" s="459"/>
      <c r="F1178" s="459"/>
      <c r="G1178" s="459" t="s">
        <v>1060</v>
      </c>
      <c r="H1178" s="458">
        <v>1.91780821917808</v>
      </c>
      <c r="I1178" s="458">
        <v>0.24</v>
      </c>
      <c r="J1178" s="458" t="s">
        <v>22</v>
      </c>
      <c r="K1178" s="460">
        <v>2</v>
      </c>
      <c r="L1178" s="457"/>
      <c r="M1178" s="124"/>
      <c r="N1178" s="224"/>
    </row>
    <row r="1179" customHeight="1" spans="1:14">
      <c r="A1179" s="456"/>
      <c r="B1179" s="459"/>
      <c r="C1179" s="459"/>
      <c r="D1179" s="458"/>
      <c r="E1179" s="459"/>
      <c r="F1179" s="459"/>
      <c r="G1179" s="459" t="s">
        <v>1061</v>
      </c>
      <c r="H1179" s="458">
        <v>1.99452054794521</v>
      </c>
      <c r="I1179" s="458">
        <v>0.18</v>
      </c>
      <c r="J1179" s="458" t="s">
        <v>96</v>
      </c>
      <c r="K1179" s="460">
        <v>4</v>
      </c>
      <c r="L1179" s="457"/>
      <c r="M1179" s="124"/>
      <c r="N1179" s="224"/>
    </row>
    <row r="1180" customHeight="1" spans="1:14">
      <c r="A1180" s="456"/>
      <c r="B1180" s="459"/>
      <c r="C1180" s="459"/>
      <c r="D1180" s="458"/>
      <c r="E1180" s="459"/>
      <c r="F1180" s="459"/>
      <c r="G1180" s="461" t="s">
        <v>1051</v>
      </c>
      <c r="H1180" s="458">
        <v>1.99452054794521</v>
      </c>
      <c r="I1180" s="458">
        <v>0.3</v>
      </c>
      <c r="J1180" s="458" t="s">
        <v>24</v>
      </c>
      <c r="K1180" s="460" t="s">
        <v>24</v>
      </c>
      <c r="L1180" s="457"/>
      <c r="M1180" s="124"/>
      <c r="N1180" s="224"/>
    </row>
    <row r="1181" spans="1:14">
      <c r="A1181" s="267">
        <v>45947</v>
      </c>
      <c r="B1181" s="122" t="s">
        <v>1587</v>
      </c>
      <c r="C1181" s="122" t="s">
        <v>462</v>
      </c>
      <c r="D1181" s="52">
        <v>2.5</v>
      </c>
      <c r="E1181" s="122" t="s">
        <v>486</v>
      </c>
      <c r="F1181" s="122" t="s">
        <v>474</v>
      </c>
      <c r="G1181" s="112" t="s">
        <v>1588</v>
      </c>
      <c r="H1181" s="105">
        <v>1.93</v>
      </c>
      <c r="I1181" s="105">
        <v>2.1</v>
      </c>
      <c r="J1181" s="105" t="s">
        <v>17</v>
      </c>
      <c r="K1181" s="105">
        <v>2.36</v>
      </c>
      <c r="L1181" s="122" t="s">
        <v>70</v>
      </c>
    </row>
    <row r="1182" spans="1:14">
      <c r="A1182" s="267"/>
      <c r="B1182" s="122"/>
      <c r="C1182" s="122"/>
      <c r="D1182" s="52"/>
      <c r="E1182" s="122"/>
      <c r="F1182" s="122"/>
      <c r="G1182" s="112" t="s">
        <v>1585</v>
      </c>
      <c r="H1182" s="105">
        <v>2.01</v>
      </c>
      <c r="I1182" s="105">
        <v>0.1</v>
      </c>
      <c r="J1182" s="105" t="s">
        <v>22</v>
      </c>
      <c r="K1182" s="105">
        <v>2.9</v>
      </c>
      <c r="L1182" s="122"/>
    </row>
    <row r="1183" spans="1:14">
      <c r="A1183" s="267"/>
      <c r="B1183" s="122"/>
      <c r="C1183" s="122"/>
      <c r="D1183" s="52"/>
      <c r="E1183" s="122"/>
      <c r="F1183" s="122"/>
      <c r="G1183" s="112" t="s">
        <v>1051</v>
      </c>
      <c r="H1183" s="105">
        <v>2.77</v>
      </c>
      <c r="I1183" s="105">
        <v>0.3</v>
      </c>
      <c r="J1183" s="105" t="s">
        <v>24</v>
      </c>
      <c r="K1183" s="105" t="s">
        <v>24</v>
      </c>
      <c r="L1183" s="122"/>
    </row>
    <row r="1184" spans="1:14">
      <c r="A1184" s="414">
        <v>45947</v>
      </c>
      <c r="B1184" s="122" t="s">
        <v>1589</v>
      </c>
      <c r="C1184" s="122" t="s">
        <v>462</v>
      </c>
      <c r="D1184" s="52">
        <v>6</v>
      </c>
      <c r="E1184" s="122" t="s">
        <v>492</v>
      </c>
      <c r="F1184" s="122" t="s">
        <v>1063</v>
      </c>
      <c r="G1184" s="119" t="s">
        <v>1588</v>
      </c>
      <c r="H1184" s="117">
        <v>1.5</v>
      </c>
      <c r="I1184" s="117">
        <v>5.08</v>
      </c>
      <c r="J1184" s="105" t="s">
        <v>17</v>
      </c>
      <c r="K1184" s="117">
        <v>2.1</v>
      </c>
      <c r="L1184" s="122" t="s">
        <v>67</v>
      </c>
    </row>
    <row r="1185" spans="1:12">
      <c r="A1185" s="462"/>
      <c r="B1185" s="122"/>
      <c r="C1185" s="122"/>
      <c r="D1185" s="52"/>
      <c r="E1185" s="122"/>
      <c r="F1185" s="122"/>
      <c r="G1185" s="112" t="s">
        <v>1585</v>
      </c>
      <c r="H1185" s="117">
        <v>1.5</v>
      </c>
      <c r="I1185" s="105">
        <v>0.26</v>
      </c>
      <c r="J1185" s="105" t="s">
        <v>22</v>
      </c>
      <c r="K1185" s="105">
        <v>2.5</v>
      </c>
      <c r="L1185" s="122"/>
    </row>
    <row r="1186" spans="1:12">
      <c r="A1186" s="462"/>
      <c r="B1186" s="122"/>
      <c r="C1186" s="122"/>
      <c r="D1186" s="52"/>
      <c r="E1186" s="122"/>
      <c r="F1186" s="122"/>
      <c r="G1186" s="112" t="s">
        <v>1590</v>
      </c>
      <c r="H1186" s="117">
        <v>1.5</v>
      </c>
      <c r="I1186" s="105">
        <v>0.24</v>
      </c>
      <c r="J1186" s="105" t="s">
        <v>44</v>
      </c>
      <c r="K1186" s="105">
        <v>4</v>
      </c>
      <c r="L1186" s="122"/>
    </row>
    <row r="1187" spans="1:12">
      <c r="A1187" s="423"/>
      <c r="B1187" s="122"/>
      <c r="C1187" s="122"/>
      <c r="D1187" s="52"/>
      <c r="E1187" s="122"/>
      <c r="F1187" s="122"/>
      <c r="G1187" s="112" t="s">
        <v>1051</v>
      </c>
      <c r="H1187" s="117">
        <v>1.5</v>
      </c>
      <c r="I1187" s="105">
        <v>0.42</v>
      </c>
      <c r="J1187" s="149" t="s">
        <v>24</v>
      </c>
      <c r="K1187" s="105" t="s">
        <v>24</v>
      </c>
      <c r="L1187" s="122"/>
    </row>
    <row r="1188" spans="1:12">
      <c r="A1188" s="267">
        <v>45940</v>
      </c>
      <c r="B1188" s="122" t="s">
        <v>1591</v>
      </c>
      <c r="C1188" s="122" t="s">
        <v>459</v>
      </c>
      <c r="D1188" s="52">
        <v>3.5</v>
      </c>
      <c r="E1188" s="122" t="s">
        <v>1074</v>
      </c>
      <c r="F1188" s="122" t="s">
        <v>1377</v>
      </c>
      <c r="G1188" s="119" t="s">
        <v>1588</v>
      </c>
      <c r="H1188" s="117">
        <v>1.58</v>
      </c>
      <c r="I1188" s="117">
        <v>2.8</v>
      </c>
      <c r="J1188" s="117" t="s">
        <v>17</v>
      </c>
      <c r="K1188" s="117">
        <v>2.5</v>
      </c>
      <c r="L1188" s="122" t="s">
        <v>1075</v>
      </c>
    </row>
    <row r="1189" spans="1:12">
      <c r="A1189" s="267"/>
      <c r="B1189" s="122"/>
      <c r="C1189" s="122"/>
      <c r="D1189" s="52"/>
      <c r="E1189" s="122"/>
      <c r="F1189" s="122"/>
      <c r="G1189" s="112" t="s">
        <v>1585</v>
      </c>
      <c r="H1189" s="105">
        <v>1.58</v>
      </c>
      <c r="I1189" s="105">
        <v>0.35</v>
      </c>
      <c r="J1189" s="105" t="s">
        <v>64</v>
      </c>
      <c r="K1189" s="105">
        <v>4</v>
      </c>
      <c r="L1189" s="122"/>
    </row>
    <row r="1190" spans="1:12">
      <c r="A1190" s="267"/>
      <c r="B1190" s="122"/>
      <c r="C1190" s="122"/>
      <c r="D1190" s="52"/>
      <c r="E1190" s="122"/>
      <c r="F1190" s="122"/>
      <c r="G1190" s="112" t="s">
        <v>1051</v>
      </c>
      <c r="H1190" s="105">
        <v>1.58</v>
      </c>
      <c r="I1190" s="105">
        <v>0.35</v>
      </c>
      <c r="J1190" s="105" t="s">
        <v>24</v>
      </c>
      <c r="K1190" s="105" t="s">
        <v>24</v>
      </c>
      <c r="L1190" s="122"/>
    </row>
    <row r="1191" customHeight="1" spans="1:12">
      <c r="A1191" s="302">
        <v>45946</v>
      </c>
      <c r="B1191" s="303" t="s">
        <v>1592</v>
      </c>
      <c r="C1191" s="88" t="s">
        <v>1512</v>
      </c>
      <c r="D1191" s="52">
        <v>10</v>
      </c>
      <c r="E1191" s="88" t="s">
        <v>1519</v>
      </c>
      <c r="F1191" s="88" t="s">
        <v>1510</v>
      </c>
      <c r="G1191" s="112" t="s">
        <v>1047</v>
      </c>
      <c r="H1191" s="105">
        <v>0.92</v>
      </c>
      <c r="I1191" s="105">
        <v>8.8</v>
      </c>
      <c r="J1191" s="105" t="s">
        <v>17</v>
      </c>
      <c r="K1191" s="105">
        <v>1.78</v>
      </c>
      <c r="L1191" s="305" t="s">
        <v>1382</v>
      </c>
    </row>
    <row r="1192" customHeight="1" spans="1:12">
      <c r="A1192" s="306"/>
      <c r="B1192" s="89"/>
      <c r="C1192" s="89"/>
      <c r="D1192" s="52"/>
      <c r="E1192" s="89"/>
      <c r="F1192" s="89"/>
      <c r="G1192" s="112" t="s">
        <v>1048</v>
      </c>
      <c r="H1192" s="105">
        <v>1</v>
      </c>
      <c r="I1192" s="105">
        <v>0.7</v>
      </c>
      <c r="J1192" s="105" t="s">
        <v>22</v>
      </c>
      <c r="K1192" s="105">
        <v>1.84</v>
      </c>
      <c r="L1192" s="308"/>
    </row>
    <row r="1193" customHeight="1" spans="1:12">
      <c r="A1193" s="309"/>
      <c r="B1193" s="90"/>
      <c r="C1193" s="90"/>
      <c r="D1193" s="52"/>
      <c r="E1193" s="90"/>
      <c r="F1193" s="90"/>
      <c r="G1193" s="112" t="s">
        <v>1051</v>
      </c>
      <c r="H1193" s="105">
        <v>1.5</v>
      </c>
      <c r="I1193" s="105">
        <v>0.5</v>
      </c>
      <c r="J1193" s="105" t="s">
        <v>24</v>
      </c>
      <c r="K1193" s="341" t="s">
        <v>24</v>
      </c>
      <c r="L1193" s="311"/>
    </row>
    <row r="1194" customHeight="1" spans="1:12">
      <c r="A1194" s="267">
        <v>45946</v>
      </c>
      <c r="B1194" s="122" t="s">
        <v>1593</v>
      </c>
      <c r="C1194" s="122" t="s">
        <v>459</v>
      </c>
      <c r="D1194" s="150">
        <v>10</v>
      </c>
      <c r="E1194" s="122" t="s">
        <v>1487</v>
      </c>
      <c r="F1194" s="122" t="s">
        <v>482</v>
      </c>
      <c r="G1194" s="95" t="s">
        <v>1064</v>
      </c>
      <c r="H1194" s="304">
        <v>1</v>
      </c>
      <c r="I1194" s="52">
        <v>8.24</v>
      </c>
      <c r="J1194" s="51" t="s">
        <v>17</v>
      </c>
      <c r="K1194" s="52">
        <v>1.79</v>
      </c>
      <c r="L1194" s="122" t="s">
        <v>1382</v>
      </c>
    </row>
    <row r="1195" customHeight="1" spans="1:12">
      <c r="A1195" s="95"/>
      <c r="B1195" s="122"/>
      <c r="C1195" s="122"/>
      <c r="D1195" s="463"/>
      <c r="E1195" s="122"/>
      <c r="F1195" s="122"/>
      <c r="G1195" s="95" t="s">
        <v>1060</v>
      </c>
      <c r="H1195" s="304">
        <v>1</v>
      </c>
      <c r="I1195" s="52">
        <v>0.52</v>
      </c>
      <c r="J1195" s="51" t="s">
        <v>22</v>
      </c>
      <c r="K1195" s="52">
        <v>1.86</v>
      </c>
      <c r="L1195" s="122"/>
    </row>
    <row r="1196" customHeight="1" spans="1:12">
      <c r="A1196" s="95"/>
      <c r="B1196" s="122"/>
      <c r="C1196" s="122"/>
      <c r="D1196" s="463"/>
      <c r="E1196" s="122"/>
      <c r="F1196" s="122"/>
      <c r="G1196" s="95" t="s">
        <v>1061</v>
      </c>
      <c r="H1196" s="304">
        <v>1.08</v>
      </c>
      <c r="I1196" s="52">
        <v>0.46</v>
      </c>
      <c r="J1196" s="52" t="s">
        <v>44</v>
      </c>
      <c r="K1196" s="52">
        <v>2.8</v>
      </c>
      <c r="L1196" s="122"/>
    </row>
    <row r="1197" customHeight="1" spans="1:12">
      <c r="A1197" s="95"/>
      <c r="B1197" s="122"/>
      <c r="C1197" s="122"/>
      <c r="D1197" s="425"/>
      <c r="E1197" s="122"/>
      <c r="F1197" s="122"/>
      <c r="G1197" s="95" t="s">
        <v>1083</v>
      </c>
      <c r="H1197" s="304">
        <v>1.5</v>
      </c>
      <c r="I1197" s="52">
        <v>0.78</v>
      </c>
      <c r="J1197" s="52" t="s">
        <v>24</v>
      </c>
      <c r="K1197" s="52" t="s">
        <v>24</v>
      </c>
      <c r="L1197" s="122"/>
    </row>
    <row r="1198" spans="1:12">
      <c r="A1198" s="464">
        <v>45953</v>
      </c>
      <c r="B1198" s="230" t="s">
        <v>1594</v>
      </c>
      <c r="C1198" s="232" t="s">
        <v>459</v>
      </c>
      <c r="D1198" s="315">
        <v>10</v>
      </c>
      <c r="E1198" s="232" t="s">
        <v>911</v>
      </c>
      <c r="F1198" s="232" t="s">
        <v>1054</v>
      </c>
      <c r="G1198" s="95" t="s">
        <v>1064</v>
      </c>
      <c r="H1198" s="304">
        <v>2</v>
      </c>
      <c r="I1198" s="52">
        <v>8.7</v>
      </c>
      <c r="J1198" s="51" t="s">
        <v>17</v>
      </c>
      <c r="K1198" s="105">
        <v>1.8</v>
      </c>
      <c r="L1198" s="305" t="s">
        <v>35</v>
      </c>
    </row>
    <row r="1199" spans="1:12">
      <c r="A1199" s="465"/>
      <c r="B1199" s="234"/>
      <c r="C1199" s="237"/>
      <c r="D1199" s="319"/>
      <c r="E1199" s="237"/>
      <c r="F1199" s="237"/>
      <c r="G1199" s="95" t="s">
        <v>1060</v>
      </c>
      <c r="H1199" s="304">
        <v>2</v>
      </c>
      <c r="I1199" s="52">
        <v>0.4</v>
      </c>
      <c r="J1199" s="51" t="s">
        <v>22</v>
      </c>
      <c r="K1199" s="105">
        <v>2</v>
      </c>
      <c r="L1199" s="308"/>
    </row>
    <row r="1200" spans="1:12">
      <c r="A1200" s="465"/>
      <c r="B1200" s="234"/>
      <c r="C1200" s="237"/>
      <c r="D1200" s="319"/>
      <c r="E1200" s="237"/>
      <c r="F1200" s="237"/>
      <c r="G1200" s="95" t="s">
        <v>1166</v>
      </c>
      <c r="H1200" s="304">
        <v>2</v>
      </c>
      <c r="I1200" s="52">
        <v>0.4</v>
      </c>
      <c r="J1200" s="52" t="s">
        <v>44</v>
      </c>
      <c r="K1200" s="105">
        <v>3.4</v>
      </c>
      <c r="L1200" s="308"/>
    </row>
    <row r="1201" spans="1:12">
      <c r="A1201" s="466"/>
      <c r="B1201" s="239"/>
      <c r="C1201" s="242"/>
      <c r="D1201" s="317"/>
      <c r="E1201" s="242"/>
      <c r="F1201" s="242"/>
      <c r="G1201" s="95" t="s">
        <v>1083</v>
      </c>
      <c r="H1201" s="304">
        <v>2</v>
      </c>
      <c r="I1201" s="52">
        <v>0.5</v>
      </c>
      <c r="J1201" s="105" t="s">
        <v>24</v>
      </c>
      <c r="K1201" s="105" t="s">
        <v>24</v>
      </c>
      <c r="L1201" s="311"/>
    </row>
    <row r="1202" spans="1:12">
      <c r="A1202" s="464">
        <v>45953</v>
      </c>
      <c r="B1202" s="230" t="s">
        <v>1595</v>
      </c>
      <c r="C1202" s="232" t="s">
        <v>462</v>
      </c>
      <c r="D1202" s="315">
        <v>10</v>
      </c>
      <c r="E1202" s="232" t="s">
        <v>486</v>
      </c>
      <c r="F1202" s="232" t="s">
        <v>1063</v>
      </c>
      <c r="G1202" s="95" t="s">
        <v>1596</v>
      </c>
      <c r="H1202" s="105">
        <v>1.07</v>
      </c>
      <c r="I1202" s="105">
        <v>8.4</v>
      </c>
      <c r="J1202" s="51" t="s">
        <v>17</v>
      </c>
      <c r="K1202" s="105">
        <v>1.78</v>
      </c>
      <c r="L1202" s="305" t="s">
        <v>18</v>
      </c>
    </row>
    <row r="1203" spans="1:12">
      <c r="A1203" s="465"/>
      <c r="B1203" s="234"/>
      <c r="C1203" s="237"/>
      <c r="D1203" s="319"/>
      <c r="E1203" s="467"/>
      <c r="F1203" s="237"/>
      <c r="G1203" s="95" t="s">
        <v>1597</v>
      </c>
      <c r="H1203" s="105">
        <v>1.23</v>
      </c>
      <c r="I1203" s="105">
        <v>0.6</v>
      </c>
      <c r="J1203" s="51" t="s">
        <v>17</v>
      </c>
      <c r="K1203" s="105">
        <v>1.79</v>
      </c>
      <c r="L1203" s="308"/>
    </row>
    <row r="1204" spans="1:12">
      <c r="A1204" s="465"/>
      <c r="B1204" s="234"/>
      <c r="C1204" s="237"/>
      <c r="D1204" s="319"/>
      <c r="E1204" s="467"/>
      <c r="F1204" s="237"/>
      <c r="G1204" s="95" t="s">
        <v>1060</v>
      </c>
      <c r="H1204" s="105">
        <v>1.39</v>
      </c>
      <c r="I1204" s="105">
        <v>0.5</v>
      </c>
      <c r="J1204" s="105" t="s">
        <v>22</v>
      </c>
      <c r="K1204" s="105">
        <v>2</v>
      </c>
      <c r="L1204" s="308"/>
    </row>
    <row r="1205" spans="1:12">
      <c r="A1205" s="466"/>
      <c r="B1205" s="239"/>
      <c r="C1205" s="242"/>
      <c r="D1205" s="317"/>
      <c r="E1205" s="243"/>
      <c r="F1205" s="242"/>
      <c r="G1205" s="95" t="s">
        <v>1083</v>
      </c>
      <c r="H1205" s="105">
        <v>2.6</v>
      </c>
      <c r="I1205" s="105">
        <v>0.5</v>
      </c>
      <c r="J1205" s="105" t="s">
        <v>24</v>
      </c>
      <c r="K1205" s="105" t="s">
        <v>24</v>
      </c>
      <c r="L1205" s="311"/>
    </row>
    <row r="1206" spans="1:12">
      <c r="A1206" s="464">
        <v>45952</v>
      </c>
      <c r="B1206" s="230" t="s">
        <v>1598</v>
      </c>
      <c r="C1206" s="232" t="s">
        <v>462</v>
      </c>
      <c r="D1206" s="315">
        <v>10</v>
      </c>
      <c r="E1206" s="232" t="s">
        <v>477</v>
      </c>
      <c r="F1206" s="232" t="s">
        <v>1421</v>
      </c>
      <c r="G1206" s="95" t="s">
        <v>1064</v>
      </c>
      <c r="H1206" s="105">
        <v>1</v>
      </c>
      <c r="I1206" s="105">
        <v>9</v>
      </c>
      <c r="J1206" s="51" t="s">
        <v>17</v>
      </c>
      <c r="K1206" s="105">
        <v>1.79</v>
      </c>
      <c r="L1206" s="305" t="s">
        <v>35</v>
      </c>
    </row>
    <row r="1207" spans="1:12">
      <c r="A1207" s="465"/>
      <c r="B1207" s="234"/>
      <c r="C1207" s="237"/>
      <c r="D1207" s="319"/>
      <c r="E1207" s="237"/>
      <c r="F1207" s="237"/>
      <c r="G1207" s="95" t="s">
        <v>1060</v>
      </c>
      <c r="H1207" s="105">
        <v>1</v>
      </c>
      <c r="I1207" s="105">
        <v>0.3</v>
      </c>
      <c r="J1207" s="51" t="s">
        <v>22</v>
      </c>
      <c r="K1207" s="105">
        <v>2</v>
      </c>
      <c r="L1207" s="308"/>
    </row>
    <row r="1208" spans="1:12">
      <c r="A1208" s="465"/>
      <c r="B1208" s="234"/>
      <c r="C1208" s="237"/>
      <c r="D1208" s="319"/>
      <c r="E1208" s="237"/>
      <c r="F1208" s="237"/>
      <c r="G1208" s="95" t="s">
        <v>1166</v>
      </c>
      <c r="H1208" s="105">
        <v>1</v>
      </c>
      <c r="I1208" s="105">
        <v>0.2</v>
      </c>
      <c r="J1208" s="51" t="s">
        <v>64</v>
      </c>
      <c r="K1208" s="105">
        <v>3.3</v>
      </c>
      <c r="L1208" s="308"/>
    </row>
    <row r="1209" spans="1:12">
      <c r="A1209" s="466"/>
      <c r="B1209" s="239"/>
      <c r="C1209" s="242"/>
      <c r="D1209" s="317"/>
      <c r="E1209" s="242"/>
      <c r="F1209" s="242"/>
      <c r="G1209" s="95" t="s">
        <v>1083</v>
      </c>
      <c r="H1209" s="105">
        <v>2</v>
      </c>
      <c r="I1209" s="105">
        <v>0.5</v>
      </c>
      <c r="J1209" s="105" t="s">
        <v>24</v>
      </c>
      <c r="K1209" s="105" t="s">
        <v>24</v>
      </c>
      <c r="L1209" s="311"/>
    </row>
    <row r="1210" spans="1:12">
      <c r="A1210" s="468" t="s">
        <v>1599</v>
      </c>
      <c r="B1210" s="230" t="s">
        <v>1600</v>
      </c>
      <c r="C1210" s="232" t="s">
        <v>459</v>
      </c>
      <c r="D1210" s="315">
        <v>5</v>
      </c>
      <c r="E1210" s="232" t="s">
        <v>477</v>
      </c>
      <c r="F1210" s="232" t="s">
        <v>487</v>
      </c>
      <c r="G1210" s="95" t="s">
        <v>1064</v>
      </c>
      <c r="H1210" s="105">
        <v>1.07</v>
      </c>
      <c r="I1210" s="105">
        <v>4.5</v>
      </c>
      <c r="J1210" s="51" t="s">
        <v>17</v>
      </c>
      <c r="K1210" s="105">
        <v>1.79</v>
      </c>
      <c r="L1210" s="305" t="s">
        <v>112</v>
      </c>
    </row>
    <row r="1211" spans="1:12">
      <c r="A1211" s="237"/>
      <c r="B1211" s="234"/>
      <c r="C1211" s="237"/>
      <c r="D1211" s="319"/>
      <c r="E1211" s="237"/>
      <c r="F1211" s="237"/>
      <c r="G1211" s="95" t="s">
        <v>1060</v>
      </c>
      <c r="H1211" s="105">
        <v>1.07</v>
      </c>
      <c r="I1211" s="105">
        <v>0.25</v>
      </c>
      <c r="J1211" s="51" t="s">
        <v>22</v>
      </c>
      <c r="K1211" s="105">
        <v>1.94</v>
      </c>
      <c r="L1211" s="308"/>
    </row>
    <row r="1212" spans="1:12">
      <c r="A1212" s="237"/>
      <c r="B1212" s="234"/>
      <c r="C1212" s="237"/>
      <c r="D1212" s="319"/>
      <c r="E1212" s="237"/>
      <c r="F1212" s="237"/>
      <c r="G1212" s="95" t="s">
        <v>1601</v>
      </c>
      <c r="H1212" s="105">
        <v>3.04</v>
      </c>
      <c r="I1212" s="105">
        <v>0.1</v>
      </c>
      <c r="J1212" s="105" t="s">
        <v>24</v>
      </c>
      <c r="K1212" s="105" t="s">
        <v>24</v>
      </c>
      <c r="L1212" s="308"/>
    </row>
    <row r="1213" spans="1:12">
      <c r="A1213" s="242"/>
      <c r="B1213" s="239"/>
      <c r="C1213" s="242"/>
      <c r="D1213" s="317"/>
      <c r="E1213" s="242"/>
      <c r="F1213" s="242"/>
      <c r="G1213" s="95" t="s">
        <v>1602</v>
      </c>
      <c r="H1213" s="105">
        <v>3.04</v>
      </c>
      <c r="I1213" s="105">
        <v>0.15</v>
      </c>
      <c r="J1213" s="105" t="s">
        <v>24</v>
      </c>
      <c r="K1213" s="105" t="s">
        <v>24</v>
      </c>
      <c r="L1213" s="311"/>
    </row>
    <row r="1214" spans="1:12">
      <c r="A1214" s="468" t="s">
        <v>1603</v>
      </c>
      <c r="B1214" s="230" t="s">
        <v>1604</v>
      </c>
      <c r="C1214" s="232" t="s">
        <v>459</v>
      </c>
      <c r="D1214" s="315">
        <v>10</v>
      </c>
      <c r="E1214" s="232" t="s">
        <v>911</v>
      </c>
      <c r="F1214" s="232" t="s">
        <v>1140</v>
      </c>
      <c r="G1214" s="95" t="s">
        <v>1064</v>
      </c>
      <c r="H1214" s="105">
        <v>2</v>
      </c>
      <c r="I1214" s="105">
        <v>8.7</v>
      </c>
      <c r="J1214" s="51" t="s">
        <v>17</v>
      </c>
      <c r="K1214" s="105">
        <v>1.8</v>
      </c>
      <c r="L1214" s="305" t="s">
        <v>35</v>
      </c>
    </row>
    <row r="1215" spans="1:12">
      <c r="A1215" s="237"/>
      <c r="B1215" s="234"/>
      <c r="C1215" s="237"/>
      <c r="D1215" s="319"/>
      <c r="E1215" s="237"/>
      <c r="F1215" s="237"/>
      <c r="G1215" s="95" t="s">
        <v>1060</v>
      </c>
      <c r="H1215" s="105">
        <v>2</v>
      </c>
      <c r="I1215" s="105">
        <v>0.4</v>
      </c>
      <c r="J1215" s="51" t="s">
        <v>22</v>
      </c>
      <c r="K1215" s="105">
        <v>2</v>
      </c>
      <c r="L1215" s="308"/>
    </row>
    <row r="1216" spans="1:12">
      <c r="A1216" s="237"/>
      <c r="B1216" s="234"/>
      <c r="C1216" s="237"/>
      <c r="D1216" s="319"/>
      <c r="E1216" s="237"/>
      <c r="F1216" s="237"/>
      <c r="G1216" s="95" t="s">
        <v>1166</v>
      </c>
      <c r="H1216" s="105">
        <v>2</v>
      </c>
      <c r="I1216" s="105">
        <v>0.4</v>
      </c>
      <c r="J1216" s="52" t="s">
        <v>44</v>
      </c>
      <c r="K1216" s="105">
        <v>3.4</v>
      </c>
      <c r="L1216" s="308"/>
    </row>
    <row r="1217" spans="1:12">
      <c r="A1217" s="242"/>
      <c r="B1217" s="239"/>
      <c r="C1217" s="242"/>
      <c r="D1217" s="317"/>
      <c r="E1217" s="242"/>
      <c r="F1217" s="242"/>
      <c r="G1217" s="95" t="s">
        <v>1083</v>
      </c>
      <c r="H1217" s="105">
        <v>2</v>
      </c>
      <c r="I1217" s="105">
        <v>0.5</v>
      </c>
      <c r="J1217" s="105" t="s">
        <v>24</v>
      </c>
      <c r="K1217" s="105" t="s">
        <v>24</v>
      </c>
      <c r="L1217" s="311"/>
    </row>
    <row r="1218" spans="1:12">
      <c r="A1218" s="468" t="s">
        <v>1603</v>
      </c>
      <c r="B1218" s="230" t="s">
        <v>1605</v>
      </c>
      <c r="C1218" s="232" t="s">
        <v>462</v>
      </c>
      <c r="D1218" s="315">
        <v>4</v>
      </c>
      <c r="E1218" s="232" t="s">
        <v>477</v>
      </c>
      <c r="F1218" s="232" t="s">
        <v>487</v>
      </c>
      <c r="G1218" s="95" t="s">
        <v>1606</v>
      </c>
      <c r="H1218" s="105">
        <v>2.02</v>
      </c>
      <c r="I1218" s="105">
        <v>3.36</v>
      </c>
      <c r="J1218" s="51" t="s">
        <v>17</v>
      </c>
      <c r="K1218" s="105">
        <v>1.95</v>
      </c>
      <c r="L1218" s="305" t="s">
        <v>1176</v>
      </c>
    </row>
    <row r="1219" spans="1:12">
      <c r="A1219" s="237"/>
      <c r="B1219" s="234"/>
      <c r="C1219" s="237"/>
      <c r="D1219" s="319"/>
      <c r="E1219" s="237"/>
      <c r="F1219" s="237"/>
      <c r="G1219" s="95" t="s">
        <v>1607</v>
      </c>
      <c r="H1219" s="105">
        <v>2.02</v>
      </c>
      <c r="I1219" s="105">
        <v>0.28</v>
      </c>
      <c r="J1219" s="51" t="s">
        <v>22</v>
      </c>
      <c r="K1219" s="105">
        <v>2.3</v>
      </c>
      <c r="L1219" s="308"/>
    </row>
    <row r="1220" spans="1:12">
      <c r="A1220" s="242"/>
      <c r="B1220" s="239"/>
      <c r="C1220" s="242"/>
      <c r="D1220" s="317"/>
      <c r="E1220" s="242"/>
      <c r="F1220" s="242"/>
      <c r="G1220" s="95" t="s">
        <v>1083</v>
      </c>
      <c r="H1220" s="105">
        <v>2.02</v>
      </c>
      <c r="I1220" s="105">
        <v>0.36</v>
      </c>
      <c r="J1220" s="105" t="s">
        <v>24</v>
      </c>
      <c r="K1220" s="105" t="s">
        <v>24</v>
      </c>
      <c r="L1220" s="311"/>
    </row>
    <row r="1221" spans="1:12">
      <c r="A1221" s="468" t="s">
        <v>1603</v>
      </c>
      <c r="B1221" s="230" t="s">
        <v>1608</v>
      </c>
      <c r="C1221" s="232" t="s">
        <v>462</v>
      </c>
      <c r="D1221" s="315">
        <v>30</v>
      </c>
      <c r="E1221" s="232" t="s">
        <v>1265</v>
      </c>
      <c r="F1221" s="232" t="s">
        <v>1096</v>
      </c>
      <c r="G1221" s="95" t="s">
        <v>1606</v>
      </c>
      <c r="H1221" s="105">
        <v>1</v>
      </c>
      <c r="I1221" s="105">
        <v>24</v>
      </c>
      <c r="J1221" s="51" t="s">
        <v>17</v>
      </c>
      <c r="K1221" s="105">
        <v>1.75</v>
      </c>
      <c r="L1221" s="305" t="s">
        <v>435</v>
      </c>
    </row>
    <row r="1222" spans="1:12">
      <c r="A1222" s="237"/>
      <c r="B1222" s="234"/>
      <c r="C1222" s="237"/>
      <c r="D1222" s="319"/>
      <c r="E1222" s="237"/>
      <c r="F1222" s="237"/>
      <c r="G1222" s="95" t="s">
        <v>1607</v>
      </c>
      <c r="H1222" s="105">
        <v>1</v>
      </c>
      <c r="I1222" s="105">
        <v>4.5</v>
      </c>
      <c r="J1222" s="51" t="s">
        <v>22</v>
      </c>
      <c r="K1222" s="105">
        <v>12</v>
      </c>
      <c r="L1222" s="308"/>
    </row>
    <row r="1223" spans="1:12">
      <c r="A1223" s="242"/>
      <c r="B1223" s="239"/>
      <c r="C1223" s="242"/>
      <c r="D1223" s="317"/>
      <c r="E1223" s="242"/>
      <c r="F1223" s="242"/>
      <c r="G1223" s="95" t="s">
        <v>1609</v>
      </c>
      <c r="H1223" s="105">
        <v>1</v>
      </c>
      <c r="I1223" s="105">
        <v>1.5</v>
      </c>
      <c r="J1223" s="105" t="s">
        <v>24</v>
      </c>
      <c r="K1223" s="105" t="s">
        <v>24</v>
      </c>
      <c r="L1223" s="311"/>
    </row>
    <row r="1224" spans="1:12">
      <c r="A1224" s="468" t="s">
        <v>1603</v>
      </c>
      <c r="B1224" s="230" t="s">
        <v>1610</v>
      </c>
      <c r="C1224" s="232" t="s">
        <v>462</v>
      </c>
      <c r="D1224" s="315">
        <v>4</v>
      </c>
      <c r="E1224" s="232" t="s">
        <v>486</v>
      </c>
      <c r="F1224" s="232" t="s">
        <v>495</v>
      </c>
      <c r="G1224" s="95" t="s">
        <v>1064</v>
      </c>
      <c r="H1224" s="105">
        <v>1</v>
      </c>
      <c r="I1224" s="105">
        <v>3.48</v>
      </c>
      <c r="J1224" s="51" t="s">
        <v>17</v>
      </c>
      <c r="K1224" s="105">
        <v>1.79</v>
      </c>
      <c r="L1224" s="305" t="s">
        <v>27</v>
      </c>
    </row>
    <row r="1225" spans="1:12">
      <c r="A1225" s="237"/>
      <c r="B1225" s="234"/>
      <c r="C1225" s="237"/>
      <c r="D1225" s="319"/>
      <c r="E1225" s="237"/>
      <c r="F1225" s="237"/>
      <c r="G1225" s="95" t="s">
        <v>1060</v>
      </c>
      <c r="H1225" s="105">
        <v>1</v>
      </c>
      <c r="I1225" s="105">
        <v>0.12</v>
      </c>
      <c r="J1225" s="51" t="s">
        <v>22</v>
      </c>
      <c r="K1225" s="105">
        <v>1.9</v>
      </c>
      <c r="L1225" s="308"/>
    </row>
    <row r="1226" spans="1:12">
      <c r="A1226" s="237"/>
      <c r="B1226" s="234"/>
      <c r="C1226" s="237"/>
      <c r="D1226" s="319"/>
      <c r="E1226" s="237"/>
      <c r="F1226" s="237"/>
      <c r="G1226" s="95" t="s">
        <v>1086</v>
      </c>
      <c r="H1226" s="105">
        <v>1.76</v>
      </c>
      <c r="I1226" s="105">
        <v>0.2</v>
      </c>
      <c r="J1226" s="105" t="s">
        <v>24</v>
      </c>
      <c r="K1226" s="105" t="s">
        <v>24</v>
      </c>
      <c r="L1226" s="308"/>
    </row>
    <row r="1227" spans="1:12">
      <c r="A1227" s="242"/>
      <c r="B1227" s="239"/>
      <c r="C1227" s="242"/>
      <c r="D1227" s="317"/>
      <c r="E1227" s="242"/>
      <c r="F1227" s="242"/>
      <c r="G1227" s="95" t="s">
        <v>1087</v>
      </c>
      <c r="H1227" s="105">
        <v>1.76</v>
      </c>
      <c r="I1227" s="105">
        <v>0.2</v>
      </c>
      <c r="J1227" s="105" t="s">
        <v>24</v>
      </c>
      <c r="K1227" s="105" t="s">
        <v>24</v>
      </c>
      <c r="L1227" s="311"/>
    </row>
    <row r="1228" spans="1:12">
      <c r="A1228" s="468" t="s">
        <v>1611</v>
      </c>
      <c r="B1228" s="230" t="s">
        <v>1612</v>
      </c>
      <c r="C1228" s="232" t="s">
        <v>459</v>
      </c>
      <c r="D1228" s="315">
        <v>10</v>
      </c>
      <c r="E1228" s="232" t="s">
        <v>484</v>
      </c>
      <c r="F1228" s="232" t="s">
        <v>482</v>
      </c>
      <c r="G1228" s="112" t="s">
        <v>1137</v>
      </c>
      <c r="H1228" s="105">
        <v>1</v>
      </c>
      <c r="I1228" s="105">
        <v>8.9</v>
      </c>
      <c r="J1228" s="51" t="s">
        <v>17</v>
      </c>
      <c r="K1228" s="105">
        <v>1.86</v>
      </c>
      <c r="L1228" s="303" t="s">
        <v>129</v>
      </c>
    </row>
    <row r="1229" spans="1:12">
      <c r="A1229" s="237"/>
      <c r="B1229" s="234"/>
      <c r="C1229" s="237"/>
      <c r="D1229" s="319"/>
      <c r="E1229" s="467"/>
      <c r="F1229" s="237"/>
      <c r="G1229" s="112" t="s">
        <v>1399</v>
      </c>
      <c r="H1229" s="105">
        <v>1.16</v>
      </c>
      <c r="I1229" s="105">
        <v>0.5</v>
      </c>
      <c r="J1229" s="51" t="s">
        <v>22</v>
      </c>
      <c r="K1229" s="105">
        <v>1.98</v>
      </c>
      <c r="L1229" s="312"/>
    </row>
    <row r="1230" spans="1:12">
      <c r="A1230" s="242"/>
      <c r="B1230" s="239"/>
      <c r="C1230" s="242"/>
      <c r="D1230" s="317"/>
      <c r="E1230" s="243"/>
      <c r="F1230" s="242"/>
      <c r="G1230" s="112" t="s">
        <v>1051</v>
      </c>
      <c r="H1230" s="105">
        <v>1.75</v>
      </c>
      <c r="I1230" s="105">
        <v>0.6</v>
      </c>
      <c r="J1230" s="105" t="s">
        <v>24</v>
      </c>
      <c r="K1230" s="105" t="s">
        <v>24</v>
      </c>
      <c r="L1230" s="313"/>
    </row>
    <row r="1231" spans="1:12">
      <c r="A1231" s="468" t="s">
        <v>1603</v>
      </c>
      <c r="B1231" s="230" t="s">
        <v>1613</v>
      </c>
      <c r="C1231" s="232" t="s">
        <v>462</v>
      </c>
      <c r="D1231" s="315">
        <v>15</v>
      </c>
      <c r="E1231" s="232" t="s">
        <v>1109</v>
      </c>
      <c r="F1231" s="232" t="s">
        <v>482</v>
      </c>
      <c r="G1231" s="95" t="s">
        <v>1064</v>
      </c>
      <c r="H1231" s="105">
        <v>1.01</v>
      </c>
      <c r="I1231" s="105">
        <v>12.525</v>
      </c>
      <c r="J1231" s="51" t="s">
        <v>17</v>
      </c>
      <c r="K1231" s="105">
        <v>1.79</v>
      </c>
      <c r="L1231" s="305" t="s">
        <v>27</v>
      </c>
    </row>
    <row r="1232" spans="1:12">
      <c r="A1232" s="237"/>
      <c r="B1232" s="234"/>
      <c r="C1232" s="237"/>
      <c r="D1232" s="319"/>
      <c r="E1232" s="237"/>
      <c r="F1232" s="237"/>
      <c r="G1232" s="95" t="s">
        <v>1060</v>
      </c>
      <c r="H1232" s="105">
        <v>1.01</v>
      </c>
      <c r="I1232" s="105">
        <v>1.05</v>
      </c>
      <c r="J1232" s="51" t="s">
        <v>22</v>
      </c>
      <c r="K1232" s="105">
        <v>1.84</v>
      </c>
      <c r="L1232" s="308"/>
    </row>
    <row r="1233" spans="1:14">
      <c r="A1233" s="242"/>
      <c r="B1233" s="239"/>
      <c r="C1233" s="242"/>
      <c r="D1233" s="317"/>
      <c r="E1233" s="242"/>
      <c r="F1233" s="242"/>
      <c r="G1233" s="95" t="s">
        <v>1083</v>
      </c>
      <c r="H1233" s="105">
        <v>1.76</v>
      </c>
      <c r="I1233" s="105">
        <v>1.425</v>
      </c>
      <c r="J1233" s="105" t="s">
        <v>24</v>
      </c>
      <c r="K1233" s="105" t="s">
        <v>24</v>
      </c>
      <c r="L1233" s="311"/>
    </row>
    <row r="1234" spans="1:14">
      <c r="A1234" s="54" t="s">
        <v>1614</v>
      </c>
      <c r="B1234" s="148" t="s">
        <v>1615</v>
      </c>
      <c r="C1234" s="54" t="s">
        <v>1616</v>
      </c>
      <c r="D1234" s="469">
        <v>10</v>
      </c>
      <c r="E1234" s="54" t="s">
        <v>1617</v>
      </c>
      <c r="F1234" s="54" t="s">
        <v>1618</v>
      </c>
      <c r="G1234" s="112" t="s">
        <v>1583</v>
      </c>
      <c r="H1234" s="470">
        <v>1.08</v>
      </c>
      <c r="I1234" s="470">
        <v>7.2</v>
      </c>
      <c r="J1234" s="250" t="s">
        <v>17</v>
      </c>
      <c r="K1234" s="248">
        <v>1.85</v>
      </c>
      <c r="L1234" s="148" t="s">
        <v>41</v>
      </c>
    </row>
    <row r="1235" spans="1:14">
      <c r="A1235" s="54"/>
      <c r="B1235" s="54"/>
      <c r="C1235" s="54"/>
      <c r="D1235" s="469"/>
      <c r="E1235" s="54"/>
      <c r="F1235" s="54"/>
      <c r="G1235" s="112" t="s">
        <v>1584</v>
      </c>
      <c r="H1235" s="470">
        <v>1.21</v>
      </c>
      <c r="I1235" s="470">
        <v>1.6</v>
      </c>
      <c r="J1235" s="250" t="s">
        <v>17</v>
      </c>
      <c r="K1235" s="248">
        <v>1.9</v>
      </c>
      <c r="L1235" s="148"/>
    </row>
    <row r="1236" spans="1:14">
      <c r="A1236" s="54"/>
      <c r="B1236" s="54"/>
      <c r="C1236" s="54"/>
      <c r="D1236" s="469"/>
      <c r="E1236" s="54"/>
      <c r="F1236" s="54"/>
      <c r="G1236" s="112" t="s">
        <v>1585</v>
      </c>
      <c r="H1236" s="470">
        <v>1.33</v>
      </c>
      <c r="I1236" s="470">
        <v>0.35</v>
      </c>
      <c r="J1236" s="250" t="s">
        <v>22</v>
      </c>
      <c r="K1236" s="248">
        <v>2.5</v>
      </c>
      <c r="L1236" s="148"/>
    </row>
    <row r="1237" spans="1:14">
      <c r="A1237" s="54"/>
      <c r="B1237" s="54"/>
      <c r="C1237" s="54"/>
      <c r="D1237" s="469"/>
      <c r="E1237" s="54"/>
      <c r="F1237" s="54"/>
      <c r="G1237" s="112" t="s">
        <v>1050</v>
      </c>
      <c r="H1237" s="470">
        <v>1.41</v>
      </c>
      <c r="I1237" s="470">
        <v>0.35</v>
      </c>
      <c r="J1237" s="250" t="s">
        <v>136</v>
      </c>
      <c r="K1237" s="248">
        <v>4.5</v>
      </c>
      <c r="L1237" s="148"/>
    </row>
    <row r="1238" spans="1:14">
      <c r="A1238" s="54"/>
      <c r="B1238" s="54"/>
      <c r="C1238" s="54"/>
      <c r="D1238" s="469"/>
      <c r="E1238" s="54"/>
      <c r="F1238" s="54"/>
      <c r="G1238" s="112" t="s">
        <v>1051</v>
      </c>
      <c r="H1238" s="470">
        <v>1.75</v>
      </c>
      <c r="I1238" s="470">
        <v>0.5</v>
      </c>
      <c r="J1238" s="215" t="s">
        <v>24</v>
      </c>
      <c r="K1238" s="215" t="s">
        <v>24</v>
      </c>
      <c r="L1238" s="148"/>
    </row>
    <row r="1239" spans="1:14">
      <c r="A1239" s="54" t="s">
        <v>1614</v>
      </c>
      <c r="B1239" s="148" t="s">
        <v>1619</v>
      </c>
      <c r="C1239" s="54" t="s">
        <v>1565</v>
      </c>
      <c r="D1239" s="469">
        <v>10</v>
      </c>
      <c r="E1239" s="54" t="s">
        <v>1620</v>
      </c>
      <c r="F1239" s="54" t="s">
        <v>1063</v>
      </c>
      <c r="G1239" s="112" t="s">
        <v>1583</v>
      </c>
      <c r="H1239" s="470">
        <v>1.05</v>
      </c>
      <c r="I1239" s="470">
        <v>8.4</v>
      </c>
      <c r="J1239" s="250" t="s">
        <v>17</v>
      </c>
      <c r="K1239" s="248">
        <v>1.78</v>
      </c>
      <c r="L1239" s="245" t="s">
        <v>18</v>
      </c>
    </row>
    <row r="1240" spans="1:14">
      <c r="A1240" s="54"/>
      <c r="B1240" s="54"/>
      <c r="C1240" s="54"/>
      <c r="D1240" s="469"/>
      <c r="E1240" s="54"/>
      <c r="F1240" s="54"/>
      <c r="G1240" s="112" t="s">
        <v>1584</v>
      </c>
      <c r="H1240" s="470">
        <v>1.21</v>
      </c>
      <c r="I1240" s="470">
        <v>0.6</v>
      </c>
      <c r="J1240" s="250" t="s">
        <v>17</v>
      </c>
      <c r="K1240" s="248">
        <v>1.79</v>
      </c>
      <c r="L1240" s="245"/>
    </row>
    <row r="1241" spans="1:14">
      <c r="A1241" s="54"/>
      <c r="B1241" s="54"/>
      <c r="C1241" s="54"/>
      <c r="D1241" s="469"/>
      <c r="E1241" s="54"/>
      <c r="F1241" s="54"/>
      <c r="G1241" s="112" t="s">
        <v>1585</v>
      </c>
      <c r="H1241" s="470">
        <v>1.37</v>
      </c>
      <c r="I1241" s="470">
        <v>0.5</v>
      </c>
      <c r="J1241" s="250" t="s">
        <v>22</v>
      </c>
      <c r="K1241" s="248">
        <v>2</v>
      </c>
      <c r="L1241" s="245"/>
    </row>
    <row r="1242" spans="1:14">
      <c r="A1242" s="54"/>
      <c r="B1242" s="54"/>
      <c r="C1242" s="54"/>
      <c r="D1242" s="469"/>
      <c r="E1242" s="54"/>
      <c r="F1242" s="54"/>
      <c r="G1242" s="112" t="s">
        <v>1051</v>
      </c>
      <c r="H1242" s="470">
        <v>2.58</v>
      </c>
      <c r="I1242" s="470">
        <v>0.5</v>
      </c>
      <c r="J1242" s="215" t="s">
        <v>24</v>
      </c>
      <c r="K1242" s="215" t="s">
        <v>24</v>
      </c>
      <c r="L1242" s="245"/>
    </row>
    <row r="1243" spans="1:14">
      <c r="A1243" s="54" t="s">
        <v>1621</v>
      </c>
      <c r="B1243" s="148" t="s">
        <v>1622</v>
      </c>
      <c r="C1243" s="54" t="s">
        <v>1565</v>
      </c>
      <c r="D1243" s="469">
        <v>3</v>
      </c>
      <c r="E1243" s="54" t="s">
        <v>1623</v>
      </c>
      <c r="F1243" s="54" t="s">
        <v>1624</v>
      </c>
      <c r="G1243" s="95" t="s">
        <v>1064</v>
      </c>
      <c r="H1243" s="470">
        <v>1.88</v>
      </c>
      <c r="I1243" s="470">
        <v>2.67</v>
      </c>
      <c r="J1243" s="250" t="s">
        <v>17</v>
      </c>
      <c r="K1243" s="248">
        <v>2.15</v>
      </c>
      <c r="L1243" s="148" t="s">
        <v>1241</v>
      </c>
    </row>
    <row r="1244" spans="1:14">
      <c r="A1244" s="54"/>
      <c r="B1244" s="54"/>
      <c r="C1244" s="54"/>
      <c r="D1244" s="469"/>
      <c r="E1244" s="54"/>
      <c r="F1244" s="54"/>
      <c r="G1244" s="95" t="s">
        <v>1060</v>
      </c>
      <c r="H1244" s="470">
        <v>1.88</v>
      </c>
      <c r="I1244" s="470">
        <v>0.105</v>
      </c>
      <c r="J1244" s="250" t="s">
        <v>22</v>
      </c>
      <c r="K1244" s="248">
        <v>2.3</v>
      </c>
      <c r="L1244" s="148"/>
    </row>
    <row r="1245" spans="1:14">
      <c r="A1245" s="54"/>
      <c r="B1245" s="54"/>
      <c r="C1245" s="54"/>
      <c r="D1245" s="469"/>
      <c r="E1245" s="54"/>
      <c r="F1245" s="54"/>
      <c r="G1245" s="95" t="s">
        <v>1086</v>
      </c>
      <c r="H1245" s="470">
        <v>1.88</v>
      </c>
      <c r="I1245" s="470">
        <v>0.075</v>
      </c>
      <c r="J1245" s="215" t="s">
        <v>24</v>
      </c>
      <c r="K1245" s="248" t="s">
        <v>24</v>
      </c>
      <c r="L1245" s="148"/>
    </row>
    <row r="1246" spans="1:14">
      <c r="A1246" s="54"/>
      <c r="B1246" s="54"/>
      <c r="C1246" s="54"/>
      <c r="D1246" s="469"/>
      <c r="E1246" s="54"/>
      <c r="F1246" s="54"/>
      <c r="G1246" s="95" t="s">
        <v>1087</v>
      </c>
      <c r="H1246" s="470">
        <v>1.88</v>
      </c>
      <c r="I1246" s="470">
        <v>0.15</v>
      </c>
      <c r="J1246" s="215" t="s">
        <v>24</v>
      </c>
      <c r="K1246" s="215" t="s">
        <v>24</v>
      </c>
      <c r="L1246" s="148"/>
    </row>
    <row r="1247" spans="1:14">
      <c r="A1247" s="54" t="s">
        <v>1621</v>
      </c>
      <c r="B1247" s="148" t="s">
        <v>1625</v>
      </c>
      <c r="C1247" s="54" t="s">
        <v>1565</v>
      </c>
      <c r="D1247" s="469">
        <v>5.7</v>
      </c>
      <c r="E1247" s="54" t="s">
        <v>1623</v>
      </c>
      <c r="F1247" s="54" t="s">
        <v>1624</v>
      </c>
      <c r="G1247" s="95" t="s">
        <v>1064</v>
      </c>
      <c r="H1247" s="470">
        <v>0.59</v>
      </c>
      <c r="I1247" s="470">
        <v>5.37</v>
      </c>
      <c r="J1247" s="250" t="s">
        <v>17</v>
      </c>
      <c r="K1247" s="248">
        <v>1.77</v>
      </c>
      <c r="L1247" s="148" t="s">
        <v>112</v>
      </c>
      <c r="N1247" s="471"/>
    </row>
    <row r="1248" spans="1:14">
      <c r="A1248" s="54"/>
      <c r="B1248" s="54"/>
      <c r="C1248" s="54"/>
      <c r="D1248" s="469"/>
      <c r="E1248" s="54"/>
      <c r="F1248" s="54"/>
      <c r="G1248" s="95" t="s">
        <v>1060</v>
      </c>
      <c r="H1248" s="470">
        <v>0.59</v>
      </c>
      <c r="I1248" s="470">
        <v>0.33</v>
      </c>
      <c r="J1248" s="250" t="s">
        <v>22</v>
      </c>
      <c r="K1248" s="248">
        <v>1.97</v>
      </c>
      <c r="L1248" s="148"/>
    </row>
    <row r="1249" spans="1:12">
      <c r="A1249" s="54" t="s">
        <v>1626</v>
      </c>
      <c r="B1249" s="54" t="s">
        <v>1627</v>
      </c>
      <c r="C1249" s="54" t="s">
        <v>1616</v>
      </c>
      <c r="D1249" s="469">
        <v>10</v>
      </c>
      <c r="E1249" s="54" t="s">
        <v>1628</v>
      </c>
      <c r="F1249" s="54" t="s">
        <v>1567</v>
      </c>
      <c r="G1249" s="112" t="s">
        <v>1137</v>
      </c>
      <c r="H1249" s="470">
        <v>1</v>
      </c>
      <c r="I1249" s="470">
        <v>8.9</v>
      </c>
      <c r="J1249" s="250" t="s">
        <v>17</v>
      </c>
      <c r="K1249" s="250">
        <v>1.86</v>
      </c>
      <c r="L1249" s="245" t="s">
        <v>129</v>
      </c>
    </row>
    <row r="1250" spans="1:12">
      <c r="A1250" s="54"/>
      <c r="B1250" s="54"/>
      <c r="C1250" s="54"/>
      <c r="D1250" s="469"/>
      <c r="E1250" s="54"/>
      <c r="F1250" s="54"/>
      <c r="G1250" s="112" t="s">
        <v>1399</v>
      </c>
      <c r="H1250" s="470">
        <v>1.17</v>
      </c>
      <c r="I1250" s="470">
        <v>0.5</v>
      </c>
      <c r="J1250" s="250" t="s">
        <v>22</v>
      </c>
      <c r="K1250" s="250">
        <v>1.98</v>
      </c>
      <c r="L1250" s="245"/>
    </row>
    <row r="1251" spans="1:12">
      <c r="A1251" s="54"/>
      <c r="B1251" s="54"/>
      <c r="C1251" s="54"/>
      <c r="D1251" s="469"/>
      <c r="E1251" s="54"/>
      <c r="F1251" s="54"/>
      <c r="G1251" s="112" t="s">
        <v>1051</v>
      </c>
      <c r="H1251" s="470">
        <v>1.75</v>
      </c>
      <c r="I1251" s="470">
        <v>0.6</v>
      </c>
      <c r="J1251" s="215" t="s">
        <v>24</v>
      </c>
      <c r="K1251" s="215" t="s">
        <v>24</v>
      </c>
      <c r="L1251" s="245"/>
    </row>
    <row r="1252" spans="1:12">
      <c r="A1252" s="267">
        <v>45960</v>
      </c>
      <c r="B1252" s="148" t="s">
        <v>1629</v>
      </c>
      <c r="C1252" s="54" t="s">
        <v>1565</v>
      </c>
      <c r="D1252" s="469">
        <v>20</v>
      </c>
      <c r="E1252" s="54" t="s">
        <v>1630</v>
      </c>
      <c r="F1252" s="54" t="s">
        <v>1631</v>
      </c>
      <c r="G1252" s="112" t="s">
        <v>1588</v>
      </c>
      <c r="H1252" s="248">
        <v>0.97</v>
      </c>
      <c r="I1252" s="248">
        <v>18</v>
      </c>
      <c r="J1252" s="250" t="s">
        <v>17</v>
      </c>
      <c r="K1252" s="248">
        <v>1.83</v>
      </c>
      <c r="L1252" s="148" t="s">
        <v>74</v>
      </c>
    </row>
    <row r="1253" spans="1:12">
      <c r="A1253" s="95"/>
      <c r="B1253" s="54"/>
      <c r="C1253" s="54"/>
      <c r="D1253" s="469"/>
      <c r="E1253" s="54"/>
      <c r="F1253" s="54"/>
      <c r="G1253" s="112" t="s">
        <v>1585</v>
      </c>
      <c r="H1253" s="248">
        <v>1.21</v>
      </c>
      <c r="I1253" s="248">
        <v>0.6</v>
      </c>
      <c r="J1253" s="250" t="s">
        <v>22</v>
      </c>
      <c r="K1253" s="248">
        <v>1.9</v>
      </c>
      <c r="L1253" s="148"/>
    </row>
    <row r="1254" spans="1:12">
      <c r="A1254" s="95"/>
      <c r="B1254" s="54"/>
      <c r="C1254" s="54"/>
      <c r="D1254" s="469"/>
      <c r="E1254" s="54"/>
      <c r="F1254" s="54"/>
      <c r="G1254" s="112" t="s">
        <v>1051</v>
      </c>
      <c r="H1254" s="248">
        <v>1.7</v>
      </c>
      <c r="I1254" s="248">
        <v>1.4</v>
      </c>
      <c r="J1254" s="248" t="s">
        <v>24</v>
      </c>
      <c r="K1254" s="248" t="s">
        <v>24</v>
      </c>
      <c r="L1254" s="148"/>
    </row>
    <row r="1255" spans="1:12">
      <c r="A1255" s="54" t="s">
        <v>1626</v>
      </c>
      <c r="B1255" s="148" t="s">
        <v>1632</v>
      </c>
      <c r="C1255" s="54" t="s">
        <v>1565</v>
      </c>
      <c r="D1255" s="469">
        <v>10</v>
      </c>
      <c r="E1255" s="54" t="s">
        <v>1617</v>
      </c>
      <c r="F1255" s="54" t="s">
        <v>1618</v>
      </c>
      <c r="G1255" s="112" t="s">
        <v>1583</v>
      </c>
      <c r="H1255" s="470">
        <v>1.08</v>
      </c>
      <c r="I1255" s="470">
        <v>7.2</v>
      </c>
      <c r="J1255" s="250" t="s">
        <v>17</v>
      </c>
      <c r="K1255" s="250">
        <v>1.82</v>
      </c>
      <c r="L1255" s="148" t="s">
        <v>41</v>
      </c>
    </row>
    <row r="1256" spans="1:12">
      <c r="A1256" s="54"/>
      <c r="B1256" s="54"/>
      <c r="C1256" s="54"/>
      <c r="D1256" s="469"/>
      <c r="E1256" s="54"/>
      <c r="F1256" s="54"/>
      <c r="G1256" s="112" t="s">
        <v>1584</v>
      </c>
      <c r="H1256" s="470">
        <v>1.25</v>
      </c>
      <c r="I1256" s="470">
        <v>1.5</v>
      </c>
      <c r="J1256" s="250" t="s">
        <v>17</v>
      </c>
      <c r="K1256" s="250">
        <v>1.92</v>
      </c>
      <c r="L1256" s="148"/>
    </row>
    <row r="1257" spans="1:12">
      <c r="A1257" s="54"/>
      <c r="B1257" s="54"/>
      <c r="C1257" s="54"/>
      <c r="D1257" s="469"/>
      <c r="E1257" s="54"/>
      <c r="F1257" s="54"/>
      <c r="G1257" s="112" t="s">
        <v>1585</v>
      </c>
      <c r="H1257" s="470">
        <v>1.33</v>
      </c>
      <c r="I1257" s="470">
        <v>0.4</v>
      </c>
      <c r="J1257" s="250" t="s">
        <v>22</v>
      </c>
      <c r="K1257" s="250">
        <v>2.1</v>
      </c>
      <c r="L1257" s="148"/>
    </row>
    <row r="1258" spans="1:12">
      <c r="A1258" s="54"/>
      <c r="B1258" s="54"/>
      <c r="C1258" s="54"/>
      <c r="D1258" s="469"/>
      <c r="E1258" s="54"/>
      <c r="F1258" s="54"/>
      <c r="G1258" s="112" t="s">
        <v>1050</v>
      </c>
      <c r="H1258" s="470">
        <v>1.41</v>
      </c>
      <c r="I1258" s="470">
        <v>0.4</v>
      </c>
      <c r="J1258" s="250" t="s">
        <v>44</v>
      </c>
      <c r="K1258" s="250">
        <v>4.5</v>
      </c>
      <c r="L1258" s="148"/>
    </row>
    <row r="1259" spans="1:12">
      <c r="A1259" s="54"/>
      <c r="B1259" s="54"/>
      <c r="C1259" s="54"/>
      <c r="D1259" s="469"/>
      <c r="E1259" s="54"/>
      <c r="F1259" s="54"/>
      <c r="G1259" s="112" t="s">
        <v>1051</v>
      </c>
      <c r="H1259" s="470">
        <v>1.75</v>
      </c>
      <c r="I1259" s="470">
        <v>0.5</v>
      </c>
      <c r="J1259" s="215" t="s">
        <v>24</v>
      </c>
      <c r="K1259" s="215" t="s">
        <v>24</v>
      </c>
      <c r="L1259" s="148"/>
    </row>
    <row r="1260" spans="1:12">
      <c r="A1260" s="54" t="s">
        <v>1633</v>
      </c>
      <c r="B1260" s="54" t="s">
        <v>1634</v>
      </c>
      <c r="C1260" s="54" t="s">
        <v>1565</v>
      </c>
      <c r="D1260" s="469">
        <v>4</v>
      </c>
      <c r="E1260" s="54" t="s">
        <v>1630</v>
      </c>
      <c r="F1260" s="54" t="s">
        <v>1635</v>
      </c>
      <c r="G1260" s="95" t="s">
        <v>1064</v>
      </c>
      <c r="H1260" s="470">
        <v>1.16</v>
      </c>
      <c r="I1260" s="470">
        <v>3.28</v>
      </c>
      <c r="J1260" s="250" t="s">
        <v>17</v>
      </c>
      <c r="K1260" s="250">
        <v>2.35</v>
      </c>
      <c r="L1260" s="148" t="s">
        <v>233</v>
      </c>
    </row>
    <row r="1261" spans="1:12">
      <c r="A1261" s="54"/>
      <c r="B1261" s="54"/>
      <c r="C1261" s="54"/>
      <c r="D1261" s="469"/>
      <c r="E1261" s="54"/>
      <c r="F1261" s="54"/>
      <c r="G1261" s="95" t="s">
        <v>1060</v>
      </c>
      <c r="H1261" s="470">
        <v>1.33</v>
      </c>
      <c r="I1261" s="470">
        <v>0.32</v>
      </c>
      <c r="J1261" s="250" t="s">
        <v>22</v>
      </c>
      <c r="K1261" s="250">
        <v>2.8</v>
      </c>
      <c r="L1261" s="148"/>
    </row>
    <row r="1262" spans="1:12">
      <c r="A1262" s="54"/>
      <c r="B1262" s="54"/>
      <c r="C1262" s="54"/>
      <c r="D1262" s="469"/>
      <c r="E1262" s="54"/>
      <c r="F1262" s="54"/>
      <c r="G1262" s="112" t="s">
        <v>1051</v>
      </c>
      <c r="H1262" s="470">
        <v>2.58</v>
      </c>
      <c r="I1262" s="470">
        <v>0.4</v>
      </c>
      <c r="J1262" s="215" t="s">
        <v>24</v>
      </c>
      <c r="K1262" s="250" t="s">
        <v>24</v>
      </c>
      <c r="L1262" s="148"/>
    </row>
    <row r="1263" spans="1:12">
      <c r="A1263" s="54" t="s">
        <v>1636</v>
      </c>
      <c r="B1263" s="54" t="s">
        <v>1637</v>
      </c>
      <c r="C1263" s="54" t="s">
        <v>1565</v>
      </c>
      <c r="D1263" s="469">
        <v>6</v>
      </c>
      <c r="E1263" s="54" t="s">
        <v>1620</v>
      </c>
      <c r="F1263" s="54" t="s">
        <v>1638</v>
      </c>
      <c r="G1263" s="112" t="s">
        <v>1583</v>
      </c>
      <c r="H1263" s="470">
        <v>0.96</v>
      </c>
      <c r="I1263" s="250">
        <v>1.8</v>
      </c>
      <c r="J1263" s="250" t="s">
        <v>17</v>
      </c>
      <c r="K1263" s="250">
        <v>2.3</v>
      </c>
      <c r="L1263" s="148" t="s">
        <v>1082</v>
      </c>
    </row>
    <row r="1264" spans="1:12">
      <c r="A1264" s="54"/>
      <c r="B1264" s="54"/>
      <c r="C1264" s="54"/>
      <c r="D1264" s="469"/>
      <c r="E1264" s="54"/>
      <c r="F1264" s="54"/>
      <c r="G1264" s="112" t="s">
        <v>1584</v>
      </c>
      <c r="H1264" s="470">
        <v>1.96</v>
      </c>
      <c r="I1264" s="250">
        <v>2.4</v>
      </c>
      <c r="J1264" s="250" t="s">
        <v>17</v>
      </c>
      <c r="K1264" s="250">
        <v>2.7</v>
      </c>
      <c r="L1264" s="148"/>
    </row>
    <row r="1265" spans="1:14">
      <c r="A1265" s="54"/>
      <c r="B1265" s="54"/>
      <c r="C1265" s="54"/>
      <c r="D1265" s="469"/>
      <c r="E1265" s="54"/>
      <c r="F1265" s="54"/>
      <c r="G1265" s="95" t="s">
        <v>1099</v>
      </c>
      <c r="H1265" s="470">
        <v>2.96</v>
      </c>
      <c r="I1265" s="250">
        <v>1.71</v>
      </c>
      <c r="J1265" s="250" t="s">
        <v>17</v>
      </c>
      <c r="K1265" s="250">
        <v>3.7</v>
      </c>
      <c r="L1265" s="148"/>
    </row>
    <row r="1266" spans="1:14">
      <c r="A1266" s="54"/>
      <c r="B1266" s="54"/>
      <c r="C1266" s="54"/>
      <c r="D1266" s="469"/>
      <c r="E1266" s="54"/>
      <c r="F1266" s="54"/>
      <c r="G1266" s="112" t="s">
        <v>1051</v>
      </c>
      <c r="H1266" s="470">
        <v>2.96</v>
      </c>
      <c r="I1266" s="250">
        <v>0.09</v>
      </c>
      <c r="J1266" s="250" t="s">
        <v>24</v>
      </c>
      <c r="K1266" s="250" t="s">
        <v>24</v>
      </c>
      <c r="L1266" s="148"/>
    </row>
    <row r="1267" spans="1:14">
      <c r="A1267" s="54" t="s">
        <v>1636</v>
      </c>
      <c r="B1267" s="54" t="s">
        <v>1639</v>
      </c>
      <c r="C1267" s="54" t="s">
        <v>1616</v>
      </c>
      <c r="D1267" s="469">
        <v>8</v>
      </c>
      <c r="E1267" s="54" t="s">
        <v>1640</v>
      </c>
      <c r="F1267" s="54" t="s">
        <v>1618</v>
      </c>
      <c r="G1267" s="112" t="s">
        <v>1588</v>
      </c>
      <c r="H1267" s="470">
        <v>1.5</v>
      </c>
      <c r="I1267" s="250">
        <v>6.77</v>
      </c>
      <c r="J1267" s="250" t="s">
        <v>17</v>
      </c>
      <c r="K1267" s="250">
        <v>2.1</v>
      </c>
      <c r="L1267" s="148" t="s">
        <v>67</v>
      </c>
    </row>
    <row r="1268" spans="1:14">
      <c r="A1268" s="54"/>
      <c r="B1268" s="54"/>
      <c r="C1268" s="54"/>
      <c r="D1268" s="469"/>
      <c r="E1268" s="54"/>
      <c r="F1268" s="54"/>
      <c r="G1268" s="112" t="s">
        <v>1585</v>
      </c>
      <c r="H1268" s="470">
        <v>1.5</v>
      </c>
      <c r="I1268" s="250">
        <v>0.35</v>
      </c>
      <c r="J1268" s="250" t="s">
        <v>22</v>
      </c>
      <c r="K1268" s="250">
        <v>2.4</v>
      </c>
      <c r="L1268" s="148"/>
    </row>
    <row r="1269" spans="1:14">
      <c r="A1269" s="54"/>
      <c r="B1269" s="54"/>
      <c r="C1269" s="54"/>
      <c r="D1269" s="469"/>
      <c r="E1269" s="54"/>
      <c r="F1269" s="54"/>
      <c r="G1269" s="112" t="s">
        <v>1050</v>
      </c>
      <c r="H1269" s="470">
        <v>1.5</v>
      </c>
      <c r="I1269" s="250">
        <v>0.32</v>
      </c>
      <c r="J1269" s="250" t="s">
        <v>44</v>
      </c>
      <c r="K1269" s="250">
        <v>4</v>
      </c>
      <c r="L1269" s="148"/>
    </row>
    <row r="1270" spans="1:14">
      <c r="A1270" s="54"/>
      <c r="B1270" s="54"/>
      <c r="C1270" s="54"/>
      <c r="D1270" s="469"/>
      <c r="E1270" s="54"/>
      <c r="F1270" s="54"/>
      <c r="G1270" s="112" t="s">
        <v>1051</v>
      </c>
      <c r="H1270" s="470">
        <v>1.5</v>
      </c>
      <c r="I1270" s="250">
        <v>0.56</v>
      </c>
      <c r="J1270" s="215" t="s">
        <v>24</v>
      </c>
      <c r="K1270" s="250" t="s">
        <v>24</v>
      </c>
      <c r="L1270" s="148"/>
    </row>
    <row r="1271" spans="1:14">
      <c r="A1271" s="54" t="s">
        <v>1633</v>
      </c>
      <c r="B1271" s="54" t="s">
        <v>1641</v>
      </c>
      <c r="C1271" s="54" t="s">
        <v>1616</v>
      </c>
      <c r="D1271" s="469">
        <v>3</v>
      </c>
      <c r="E1271" s="54" t="s">
        <v>1642</v>
      </c>
      <c r="F1271" s="54" t="s">
        <v>1618</v>
      </c>
      <c r="G1271" s="112" t="s">
        <v>1588</v>
      </c>
      <c r="H1271" s="250">
        <v>1.63</v>
      </c>
      <c r="I1271" s="250">
        <v>2.61</v>
      </c>
      <c r="J1271" s="250" t="s">
        <v>17</v>
      </c>
      <c r="K1271" s="250">
        <v>2.6</v>
      </c>
      <c r="L1271" s="148" t="s">
        <v>1643</v>
      </c>
    </row>
    <row r="1272" spans="1:14">
      <c r="A1272" s="54"/>
      <c r="B1272" s="54"/>
      <c r="C1272" s="54"/>
      <c r="D1272" s="469"/>
      <c r="E1272" s="54"/>
      <c r="F1272" s="54"/>
      <c r="G1272" s="112" t="s">
        <v>1585</v>
      </c>
      <c r="H1272" s="250">
        <v>1.71</v>
      </c>
      <c r="I1272" s="250">
        <v>0.12</v>
      </c>
      <c r="J1272" s="250" t="s">
        <v>22</v>
      </c>
      <c r="K1272" s="250">
        <v>3.5</v>
      </c>
      <c r="L1272" s="148"/>
    </row>
    <row r="1273" spans="1:14">
      <c r="A1273" s="54"/>
      <c r="B1273" s="54"/>
      <c r="C1273" s="54"/>
      <c r="D1273" s="469"/>
      <c r="E1273" s="54"/>
      <c r="F1273" s="54"/>
      <c r="G1273" s="112" t="s">
        <v>1050</v>
      </c>
      <c r="H1273" s="250">
        <v>1.71</v>
      </c>
      <c r="I1273" s="250">
        <v>0.12</v>
      </c>
      <c r="J1273" s="250" t="s">
        <v>96</v>
      </c>
      <c r="K1273" s="250">
        <v>5</v>
      </c>
      <c r="L1273" s="148"/>
    </row>
    <row r="1274" spans="1:14">
      <c r="A1274" s="54"/>
      <c r="B1274" s="54"/>
      <c r="C1274" s="54"/>
      <c r="D1274" s="469"/>
      <c r="E1274" s="54"/>
      <c r="F1274" s="54"/>
      <c r="G1274" s="112" t="s">
        <v>1051</v>
      </c>
      <c r="H1274" s="250">
        <v>1.98</v>
      </c>
      <c r="I1274" s="250">
        <v>0.15</v>
      </c>
      <c r="J1274" s="215" t="s">
        <v>24</v>
      </c>
      <c r="K1274" s="250" t="s">
        <v>24</v>
      </c>
      <c r="L1274" s="148"/>
    </row>
    <row r="1275" ht="14" customHeight="1" spans="1:14">
      <c r="A1275" s="472">
        <v>45968</v>
      </c>
      <c r="B1275" s="214" t="s">
        <v>1644</v>
      </c>
      <c r="C1275" s="217" t="s">
        <v>462</v>
      </c>
      <c r="D1275" s="250">
        <v>10</v>
      </c>
      <c r="E1275" s="217" t="s">
        <v>477</v>
      </c>
      <c r="F1275" s="217" t="s">
        <v>1054</v>
      </c>
      <c r="G1275" s="112" t="s">
        <v>1047</v>
      </c>
      <c r="H1275" s="257">
        <v>1</v>
      </c>
      <c r="I1275" s="257">
        <v>9</v>
      </c>
      <c r="J1275" s="250" t="s">
        <v>17</v>
      </c>
      <c r="K1275" s="250">
        <v>1.77</v>
      </c>
      <c r="L1275" s="214" t="s">
        <v>35</v>
      </c>
      <c r="N1275" s="249"/>
    </row>
    <row r="1276" ht="13.05" customHeight="1" spans="1:14">
      <c r="A1276" s="48"/>
      <c r="C1276" s="112"/>
      <c r="D1276" s="250"/>
      <c r="E1276" s="112"/>
      <c r="F1276" s="112"/>
      <c r="G1276" s="112" t="s">
        <v>1048</v>
      </c>
      <c r="H1276" s="257">
        <v>1</v>
      </c>
      <c r="I1276" s="257">
        <v>0.3</v>
      </c>
      <c r="J1276" s="250" t="s">
        <v>22</v>
      </c>
      <c r="K1276" s="250">
        <v>1.82</v>
      </c>
      <c r="L1276" s="214"/>
      <c r="N1276" s="249"/>
    </row>
    <row r="1277" ht="13.05" customHeight="1" spans="1:14">
      <c r="A1277" s="48"/>
      <c r="C1277" s="112"/>
      <c r="D1277" s="250"/>
      <c r="E1277" s="112"/>
      <c r="F1277" s="112"/>
      <c r="G1277" s="112" t="s">
        <v>1055</v>
      </c>
      <c r="H1277" s="257">
        <v>1</v>
      </c>
      <c r="I1277" s="257">
        <v>0.2</v>
      </c>
      <c r="J1277" s="250" t="s">
        <v>64</v>
      </c>
      <c r="K1277" s="250">
        <v>3.3</v>
      </c>
      <c r="L1277" s="214"/>
      <c r="N1277" s="249"/>
    </row>
    <row r="1278" ht="13" spans="1:14">
      <c r="A1278" s="48"/>
      <c r="C1278" s="112"/>
      <c r="D1278" s="250"/>
      <c r="E1278" s="112"/>
      <c r="F1278" s="112"/>
      <c r="G1278" s="48" t="s">
        <v>1051</v>
      </c>
      <c r="H1278" s="257">
        <v>1.99</v>
      </c>
      <c r="I1278" s="257">
        <v>0.5</v>
      </c>
      <c r="J1278" s="215" t="s">
        <v>24</v>
      </c>
      <c r="K1278" s="250" t="s">
        <v>24</v>
      </c>
      <c r="L1278" s="214"/>
      <c r="N1278" s="249"/>
    </row>
    <row r="1279" ht="13" spans="1:14">
      <c r="A1279" s="112" t="s">
        <v>1645</v>
      </c>
      <c r="B1279" s="214" t="s">
        <v>1646</v>
      </c>
      <c r="C1279" s="217" t="s">
        <v>462</v>
      </c>
      <c r="D1279" s="215">
        <v>3</v>
      </c>
      <c r="E1279" s="217" t="s">
        <v>477</v>
      </c>
      <c r="F1279" s="217" t="s">
        <v>1117</v>
      </c>
      <c r="G1279" s="112" t="s">
        <v>1047</v>
      </c>
      <c r="H1279" s="257">
        <v>1.05</v>
      </c>
      <c r="I1279" s="257">
        <v>2.505</v>
      </c>
      <c r="J1279" s="250" t="s">
        <v>17</v>
      </c>
      <c r="K1279" s="250">
        <v>1.78</v>
      </c>
      <c r="L1279" s="217" t="s">
        <v>27</v>
      </c>
      <c r="N1279" s="249"/>
    </row>
    <row r="1280" ht="13" spans="1:14">
      <c r="A1280" s="112"/>
      <c r="C1280" s="112"/>
      <c r="D1280" s="215"/>
      <c r="E1280" s="112"/>
      <c r="F1280" s="112"/>
      <c r="G1280" s="112" t="s">
        <v>1048</v>
      </c>
      <c r="H1280" s="257">
        <v>1.05</v>
      </c>
      <c r="I1280" s="257">
        <v>0.21</v>
      </c>
      <c r="J1280" s="250" t="s">
        <v>22</v>
      </c>
      <c r="K1280" s="250">
        <v>1.85</v>
      </c>
      <c r="N1280" s="249"/>
    </row>
    <row r="1281" ht="13" spans="1:14">
      <c r="A1281" s="112"/>
      <c r="C1281" s="112"/>
      <c r="D1281" s="215"/>
      <c r="E1281" s="112"/>
      <c r="F1281" s="112"/>
      <c r="G1281" s="112" t="s">
        <v>1647</v>
      </c>
      <c r="H1281" s="257">
        <v>1.8</v>
      </c>
      <c r="I1281" s="257">
        <v>0.135</v>
      </c>
      <c r="J1281" s="250" t="s">
        <v>24</v>
      </c>
      <c r="K1281" s="250" t="s">
        <v>24</v>
      </c>
      <c r="N1281" s="249"/>
    </row>
    <row r="1282" ht="13" spans="1:14">
      <c r="A1282" s="112"/>
      <c r="C1282" s="112"/>
      <c r="D1282" s="215"/>
      <c r="E1282" s="112"/>
      <c r="F1282" s="112"/>
      <c r="G1282" s="48" t="s">
        <v>1648</v>
      </c>
      <c r="H1282" s="257">
        <v>1.8</v>
      </c>
      <c r="I1282" s="257">
        <v>0.15</v>
      </c>
      <c r="J1282" s="250" t="s">
        <v>24</v>
      </c>
      <c r="K1282" s="250" t="s">
        <v>24</v>
      </c>
      <c r="N1282" s="249"/>
    </row>
    <row r="1283" ht="13" spans="1:14">
      <c r="A1283" s="112" t="s">
        <v>1649</v>
      </c>
      <c r="B1283" s="214" t="s">
        <v>1650</v>
      </c>
      <c r="C1283" s="217" t="s">
        <v>462</v>
      </c>
      <c r="D1283" s="215">
        <v>5</v>
      </c>
      <c r="E1283" s="217" t="s">
        <v>477</v>
      </c>
      <c r="F1283" s="217" t="s">
        <v>523</v>
      </c>
      <c r="G1283" s="48" t="s">
        <v>1047</v>
      </c>
      <c r="H1283" s="257">
        <v>1.05</v>
      </c>
      <c r="I1283" s="257">
        <v>4.45</v>
      </c>
      <c r="J1283" s="250" t="s">
        <v>17</v>
      </c>
      <c r="K1283" s="250">
        <v>1.78</v>
      </c>
      <c r="L1283" s="214" t="s">
        <v>112</v>
      </c>
      <c r="N1283" s="249"/>
    </row>
    <row r="1284" ht="13" spans="1:14">
      <c r="A1284" s="112"/>
      <c r="C1284" s="112"/>
      <c r="D1284" s="215"/>
      <c r="E1284" s="112"/>
      <c r="F1284" s="112"/>
      <c r="G1284" s="48" t="s">
        <v>1048</v>
      </c>
      <c r="H1284" s="257">
        <v>1.05</v>
      </c>
      <c r="I1284" s="257">
        <v>0.3</v>
      </c>
      <c r="J1284" s="250" t="s">
        <v>22</v>
      </c>
      <c r="K1284" s="250">
        <v>1.95</v>
      </c>
      <c r="L1284" s="214"/>
      <c r="N1284" s="249"/>
    </row>
    <row r="1285" spans="1:14">
      <c r="A1285" s="112"/>
      <c r="C1285" s="112"/>
      <c r="D1285" s="215"/>
      <c r="E1285" s="112"/>
      <c r="F1285" s="112"/>
      <c r="G1285" s="48" t="s">
        <v>1647</v>
      </c>
      <c r="H1285" s="257">
        <v>2.93</v>
      </c>
      <c r="I1285" s="257">
        <v>0.1</v>
      </c>
      <c r="J1285" s="250" t="s">
        <v>24</v>
      </c>
      <c r="K1285" s="250" t="s">
        <v>24</v>
      </c>
      <c r="L1285" s="214"/>
    </row>
    <row r="1286" spans="1:14">
      <c r="A1286" s="112"/>
      <c r="C1286" s="112"/>
      <c r="D1286" s="215"/>
      <c r="E1286" s="112"/>
      <c r="F1286" s="112"/>
      <c r="G1286" s="48" t="s">
        <v>1648</v>
      </c>
      <c r="H1286" s="257">
        <v>2.93</v>
      </c>
      <c r="I1286" s="257">
        <v>0.15</v>
      </c>
      <c r="J1286" s="250" t="s">
        <v>24</v>
      </c>
      <c r="K1286" s="250" t="s">
        <v>24</v>
      </c>
      <c r="L1286" s="214"/>
    </row>
    <row r="1287" ht="14" customHeight="1" spans="1:14">
      <c r="A1287" s="112" t="s">
        <v>1651</v>
      </c>
      <c r="B1287" s="214" t="s">
        <v>1652</v>
      </c>
      <c r="C1287" s="217" t="s">
        <v>462</v>
      </c>
      <c r="D1287" s="215">
        <v>10</v>
      </c>
      <c r="E1287" s="217" t="s">
        <v>1057</v>
      </c>
      <c r="F1287" s="217" t="s">
        <v>474</v>
      </c>
      <c r="G1287" s="48" t="s">
        <v>1121</v>
      </c>
      <c r="H1287" s="257">
        <v>1.08</v>
      </c>
      <c r="I1287" s="257">
        <v>7</v>
      </c>
      <c r="J1287" s="250" t="s">
        <v>17</v>
      </c>
      <c r="K1287" s="250">
        <v>1.85</v>
      </c>
      <c r="L1287" s="217" t="s">
        <v>41</v>
      </c>
    </row>
    <row r="1288" spans="1:14">
      <c r="A1288" s="112"/>
      <c r="C1288" s="112"/>
      <c r="D1288" s="215"/>
      <c r="E1288" s="112"/>
      <c r="F1288" s="112"/>
      <c r="G1288" s="48" t="s">
        <v>1122</v>
      </c>
      <c r="H1288" s="257">
        <v>1.21</v>
      </c>
      <c r="I1288" s="257">
        <v>1.4</v>
      </c>
      <c r="J1288" s="250" t="s">
        <v>17</v>
      </c>
      <c r="K1288" s="250">
        <v>1.89</v>
      </c>
    </row>
    <row r="1289" spans="1:14">
      <c r="A1289" s="112"/>
      <c r="C1289" s="112"/>
      <c r="D1289" s="215"/>
      <c r="E1289" s="112"/>
      <c r="F1289" s="112"/>
      <c r="G1289" s="48" t="s">
        <v>1048</v>
      </c>
      <c r="H1289" s="257">
        <v>1.25</v>
      </c>
      <c r="I1289" s="257">
        <v>0.55</v>
      </c>
      <c r="J1289" s="250" t="s">
        <v>22</v>
      </c>
      <c r="K1289" s="250">
        <v>2.28</v>
      </c>
    </row>
    <row r="1290" spans="1:14">
      <c r="A1290" s="112"/>
      <c r="C1290" s="112"/>
      <c r="D1290" s="215"/>
      <c r="E1290" s="112"/>
      <c r="F1290" s="112"/>
      <c r="G1290" s="48" t="s">
        <v>1050</v>
      </c>
      <c r="H1290" s="257">
        <v>1.33</v>
      </c>
      <c r="I1290" s="257">
        <v>0.55</v>
      </c>
      <c r="J1290" s="250" t="s">
        <v>351</v>
      </c>
      <c r="K1290" s="250">
        <v>4.5</v>
      </c>
    </row>
    <row r="1291" spans="1:14">
      <c r="A1291" s="112"/>
      <c r="C1291" s="112"/>
      <c r="D1291" s="215"/>
      <c r="E1291" s="112"/>
      <c r="F1291" s="112"/>
      <c r="G1291" s="112" t="s">
        <v>1051</v>
      </c>
      <c r="H1291" s="473">
        <v>1.75</v>
      </c>
      <c r="I1291" s="473">
        <v>0.5</v>
      </c>
      <c r="J1291" s="215" t="s">
        <v>24</v>
      </c>
      <c r="K1291" s="215" t="s">
        <v>24</v>
      </c>
    </row>
    <row r="1292" ht="14" customHeight="1" spans="1:14">
      <c r="A1292" s="112" t="s">
        <v>1651</v>
      </c>
      <c r="B1292" s="214" t="s">
        <v>1653</v>
      </c>
      <c r="C1292" s="217" t="s">
        <v>462</v>
      </c>
      <c r="D1292" s="215">
        <v>5</v>
      </c>
      <c r="E1292" s="217" t="s">
        <v>477</v>
      </c>
      <c r="F1292" s="217" t="s">
        <v>1225</v>
      </c>
      <c r="G1292" s="112" t="s">
        <v>1121</v>
      </c>
      <c r="H1292" s="257">
        <v>1.08</v>
      </c>
      <c r="I1292" s="473">
        <v>3.6</v>
      </c>
      <c r="J1292" s="215" t="s">
        <v>17</v>
      </c>
      <c r="K1292" s="215">
        <v>1.85</v>
      </c>
      <c r="L1292" s="217" t="s">
        <v>41</v>
      </c>
    </row>
    <row r="1293" spans="1:14">
      <c r="A1293" s="112"/>
      <c r="C1293" s="112"/>
      <c r="D1293" s="215"/>
      <c r="E1293" s="112"/>
      <c r="F1293" s="112"/>
      <c r="G1293" s="112" t="s">
        <v>1122</v>
      </c>
      <c r="H1293" s="257">
        <v>1.21</v>
      </c>
      <c r="I1293" s="473">
        <v>0.75</v>
      </c>
      <c r="J1293" s="215" t="s">
        <v>17</v>
      </c>
      <c r="K1293" s="215">
        <v>1.93</v>
      </c>
    </row>
    <row r="1294" spans="1:14">
      <c r="A1294" s="112"/>
      <c r="C1294" s="112"/>
      <c r="D1294" s="215"/>
      <c r="E1294" s="112"/>
      <c r="F1294" s="112"/>
      <c r="G1294" s="112" t="s">
        <v>1048</v>
      </c>
      <c r="H1294" s="257">
        <v>1.25</v>
      </c>
      <c r="I1294" s="473">
        <v>0.2</v>
      </c>
      <c r="J1294" s="215" t="s">
        <v>22</v>
      </c>
      <c r="K1294" s="215">
        <v>2.3</v>
      </c>
    </row>
    <row r="1295" spans="1:14">
      <c r="A1295" s="112"/>
      <c r="C1295" s="112"/>
      <c r="D1295" s="215"/>
      <c r="E1295" s="112"/>
      <c r="F1295" s="112"/>
      <c r="G1295" s="112" t="s">
        <v>1050</v>
      </c>
      <c r="H1295" s="257">
        <v>1.33</v>
      </c>
      <c r="I1295" s="473">
        <v>0.2</v>
      </c>
      <c r="J1295" s="215" t="s">
        <v>96</v>
      </c>
      <c r="K1295" s="215">
        <v>4.5</v>
      </c>
    </row>
    <row r="1296" spans="1:14">
      <c r="A1296" s="112"/>
      <c r="C1296" s="112"/>
      <c r="D1296" s="215"/>
      <c r="E1296" s="112"/>
      <c r="F1296" s="112"/>
      <c r="G1296" s="112" t="s">
        <v>1051</v>
      </c>
      <c r="H1296" s="473">
        <v>1.75</v>
      </c>
      <c r="I1296" s="473">
        <v>0.25</v>
      </c>
      <c r="J1296" s="215" t="s">
        <v>24</v>
      </c>
      <c r="K1296" s="215" t="s">
        <v>24</v>
      </c>
    </row>
    <row r="1297" ht="14" customHeight="1" spans="1:12">
      <c r="A1297" s="112" t="s">
        <v>1645</v>
      </c>
      <c r="B1297" s="214" t="s">
        <v>1654</v>
      </c>
      <c r="C1297" s="217" t="s">
        <v>459</v>
      </c>
      <c r="D1297" s="215">
        <v>5</v>
      </c>
      <c r="E1297" s="217" t="s">
        <v>1205</v>
      </c>
      <c r="F1297" s="217" t="s">
        <v>474</v>
      </c>
      <c r="G1297" s="112" t="s">
        <v>1121</v>
      </c>
      <c r="H1297" s="257">
        <v>1.08</v>
      </c>
      <c r="I1297" s="473">
        <v>3.6</v>
      </c>
      <c r="J1297" s="215" t="s">
        <v>17</v>
      </c>
      <c r="K1297" s="215">
        <v>1.87</v>
      </c>
      <c r="L1297" s="305" t="s">
        <v>41</v>
      </c>
    </row>
    <row r="1298" spans="1:12">
      <c r="A1298" s="112"/>
      <c r="C1298" s="112"/>
      <c r="D1298" s="215"/>
      <c r="E1298" s="112"/>
      <c r="F1298" s="112"/>
      <c r="G1298" s="112" t="s">
        <v>1122</v>
      </c>
      <c r="H1298" s="257">
        <v>1.21</v>
      </c>
      <c r="I1298" s="473">
        <v>0.75</v>
      </c>
      <c r="J1298" s="215" t="s">
        <v>17</v>
      </c>
      <c r="K1298" s="215">
        <v>2</v>
      </c>
      <c r="L1298" s="308"/>
    </row>
    <row r="1299" spans="1:12">
      <c r="A1299" s="112"/>
      <c r="C1299" s="112"/>
      <c r="D1299" s="215"/>
      <c r="E1299" s="112"/>
      <c r="F1299" s="112"/>
      <c r="G1299" s="112" t="s">
        <v>1048</v>
      </c>
      <c r="H1299" s="257">
        <v>1.25</v>
      </c>
      <c r="I1299" s="473">
        <v>0.2</v>
      </c>
      <c r="J1299" s="215" t="s">
        <v>22</v>
      </c>
      <c r="K1299" s="215">
        <v>2.25</v>
      </c>
      <c r="L1299" s="308"/>
    </row>
    <row r="1300" spans="1:12">
      <c r="A1300" s="112"/>
      <c r="C1300" s="112"/>
      <c r="D1300" s="215"/>
      <c r="E1300" s="112"/>
      <c r="F1300" s="112"/>
      <c r="G1300" s="112" t="s">
        <v>1050</v>
      </c>
      <c r="H1300" s="257">
        <v>1.33</v>
      </c>
      <c r="I1300" s="473">
        <v>0.2</v>
      </c>
      <c r="J1300" s="215" t="s">
        <v>44</v>
      </c>
      <c r="K1300" s="215">
        <v>4.5</v>
      </c>
      <c r="L1300" s="308"/>
    </row>
    <row r="1301" spans="1:12">
      <c r="A1301" s="112"/>
      <c r="C1301" s="112"/>
      <c r="D1301" s="215"/>
      <c r="E1301" s="112"/>
      <c r="F1301" s="112"/>
      <c r="G1301" s="112" t="s">
        <v>1051</v>
      </c>
      <c r="H1301" s="473">
        <v>1.75</v>
      </c>
      <c r="I1301" s="473">
        <v>0.25</v>
      </c>
      <c r="J1301" s="215" t="s">
        <v>24</v>
      </c>
      <c r="K1301" s="215" t="s">
        <v>24</v>
      </c>
      <c r="L1301" s="311"/>
    </row>
    <row r="1302" ht="14" customHeight="1" spans="1:12">
      <c r="A1302" s="112" t="s">
        <v>1614</v>
      </c>
      <c r="B1302" s="214" t="s">
        <v>1655</v>
      </c>
      <c r="C1302" s="217" t="s">
        <v>459</v>
      </c>
      <c r="D1302" s="215">
        <v>10</v>
      </c>
      <c r="E1302" s="217" t="s">
        <v>1381</v>
      </c>
      <c r="F1302" s="217" t="s">
        <v>482</v>
      </c>
      <c r="G1302" s="112" t="s">
        <v>1047</v>
      </c>
      <c r="H1302" s="473">
        <v>0.91</v>
      </c>
      <c r="I1302" s="473">
        <v>8.8</v>
      </c>
      <c r="J1302" s="215" t="s">
        <v>17</v>
      </c>
      <c r="K1302" s="215">
        <v>1.76</v>
      </c>
      <c r="L1302" s="305" t="s">
        <v>1382</v>
      </c>
    </row>
    <row r="1303" spans="1:12">
      <c r="A1303" s="112"/>
      <c r="C1303" s="112"/>
      <c r="D1303" s="215"/>
      <c r="E1303" s="112"/>
      <c r="F1303" s="112"/>
      <c r="G1303" s="112" t="s">
        <v>1048</v>
      </c>
      <c r="H1303" s="473">
        <v>0.99</v>
      </c>
      <c r="I1303" s="473">
        <v>0.7</v>
      </c>
      <c r="J1303" s="215" t="s">
        <v>22</v>
      </c>
      <c r="K1303" s="215">
        <v>1.84</v>
      </c>
      <c r="L1303" s="308"/>
    </row>
    <row r="1304" spans="1:12">
      <c r="A1304" s="112"/>
      <c r="C1304" s="112"/>
      <c r="D1304" s="215"/>
      <c r="E1304" s="112"/>
      <c r="F1304" s="112"/>
      <c r="G1304" s="112" t="s">
        <v>1051</v>
      </c>
      <c r="H1304" s="257">
        <v>1.49</v>
      </c>
      <c r="I1304" s="473">
        <v>0.5</v>
      </c>
      <c r="J1304" s="215" t="s">
        <v>24</v>
      </c>
      <c r="K1304" s="215" t="s">
        <v>24</v>
      </c>
      <c r="L1304" s="311"/>
    </row>
    <row r="1305" ht="14" customHeight="1" spans="1:12">
      <c r="A1305" s="112" t="s">
        <v>1614</v>
      </c>
      <c r="B1305" s="214" t="s">
        <v>1656</v>
      </c>
      <c r="C1305" s="217" t="s">
        <v>462</v>
      </c>
      <c r="D1305" s="215">
        <v>38</v>
      </c>
      <c r="E1305" s="217" t="s">
        <v>1265</v>
      </c>
      <c r="F1305" s="217" t="s">
        <v>1359</v>
      </c>
      <c r="G1305" s="112" t="s">
        <v>1047</v>
      </c>
      <c r="H1305" s="473">
        <v>0.99</v>
      </c>
      <c r="I1305" s="257">
        <v>30.4</v>
      </c>
      <c r="J1305" s="215" t="s">
        <v>17</v>
      </c>
      <c r="K1305" s="215">
        <v>1.75</v>
      </c>
      <c r="L1305" s="474" t="s">
        <v>435</v>
      </c>
    </row>
    <row r="1306" spans="1:12">
      <c r="A1306" s="112"/>
      <c r="C1306" s="112"/>
      <c r="D1306" s="215"/>
      <c r="E1306" s="112"/>
      <c r="F1306" s="112"/>
      <c r="G1306" s="112" t="s">
        <v>1048</v>
      </c>
      <c r="H1306" s="473">
        <v>0.99</v>
      </c>
      <c r="I1306" s="257">
        <v>5.7</v>
      </c>
      <c r="J1306" s="215" t="s">
        <v>22</v>
      </c>
      <c r="K1306" s="215" t="s">
        <v>24</v>
      </c>
      <c r="L1306" s="474"/>
    </row>
    <row r="1307" spans="1:12">
      <c r="A1307" s="112"/>
      <c r="C1307" s="112"/>
      <c r="D1307" s="215"/>
      <c r="E1307" s="112"/>
      <c r="F1307" s="112"/>
      <c r="G1307" s="112" t="s">
        <v>1051</v>
      </c>
      <c r="H1307" s="473">
        <v>0.99</v>
      </c>
      <c r="I1307" s="473">
        <v>1.9</v>
      </c>
      <c r="J1307" s="215" t="s">
        <v>24</v>
      </c>
      <c r="K1307" s="215" t="s">
        <v>24</v>
      </c>
      <c r="L1307" s="474"/>
    </row>
    <row r="1308" ht="14" customHeight="1" spans="1:12">
      <c r="A1308" s="475">
        <v>45960</v>
      </c>
      <c r="B1308" s="214" t="s">
        <v>1657</v>
      </c>
      <c r="C1308" s="217" t="s">
        <v>459</v>
      </c>
      <c r="D1308" s="215">
        <v>10</v>
      </c>
      <c r="E1308" s="217" t="s">
        <v>1381</v>
      </c>
      <c r="F1308" s="217" t="s">
        <v>482</v>
      </c>
      <c r="G1308" s="112" t="s">
        <v>1047</v>
      </c>
      <c r="H1308" s="473">
        <v>0.99</v>
      </c>
      <c r="I1308" s="473">
        <v>8.24</v>
      </c>
      <c r="J1308" s="215" t="s">
        <v>17</v>
      </c>
      <c r="K1308" s="215">
        <v>1.77</v>
      </c>
      <c r="L1308" s="217" t="s">
        <v>1382</v>
      </c>
    </row>
    <row r="1309" spans="1:12">
      <c r="A1309" s="112"/>
      <c r="C1309" s="112"/>
      <c r="D1309" s="215"/>
      <c r="E1309" s="112"/>
      <c r="F1309" s="112"/>
      <c r="G1309" s="112" t="s">
        <v>1048</v>
      </c>
      <c r="H1309" s="473">
        <v>0.99</v>
      </c>
      <c r="I1309" s="473">
        <v>0.52</v>
      </c>
      <c r="J1309" s="215" t="s">
        <v>22</v>
      </c>
      <c r="K1309" s="215">
        <v>1.84</v>
      </c>
    </row>
    <row r="1310" spans="1:12">
      <c r="A1310" s="112"/>
      <c r="C1310" s="112"/>
      <c r="D1310" s="215"/>
      <c r="E1310" s="112"/>
      <c r="F1310" s="112"/>
      <c r="G1310" s="112" t="s">
        <v>1050</v>
      </c>
      <c r="H1310" s="473">
        <v>1.08</v>
      </c>
      <c r="I1310" s="473">
        <v>0.46</v>
      </c>
      <c r="J1310" s="215" t="s">
        <v>44</v>
      </c>
      <c r="K1310" s="215">
        <v>2.8</v>
      </c>
    </row>
    <row r="1311" spans="1:12">
      <c r="A1311" s="112"/>
      <c r="C1311" s="112"/>
      <c r="D1311" s="215"/>
      <c r="E1311" s="112"/>
      <c r="F1311" s="112"/>
      <c r="G1311" s="112" t="s">
        <v>1051</v>
      </c>
      <c r="H1311" s="473">
        <v>1.49</v>
      </c>
      <c r="I1311" s="257">
        <v>0.78</v>
      </c>
      <c r="J1311" s="215" t="s">
        <v>24</v>
      </c>
      <c r="K1311" s="215" t="s">
        <v>24</v>
      </c>
    </row>
    <row r="1312" spans="1:12">
      <c r="A1312" s="112" t="s">
        <v>1621</v>
      </c>
      <c r="B1312" s="214" t="s">
        <v>1658</v>
      </c>
      <c r="C1312" s="217" t="s">
        <v>462</v>
      </c>
      <c r="D1312" s="215">
        <v>10</v>
      </c>
      <c r="E1312" s="217" t="s">
        <v>486</v>
      </c>
      <c r="F1312" s="217" t="s">
        <v>530</v>
      </c>
      <c r="G1312" s="112" t="s">
        <v>1047</v>
      </c>
      <c r="H1312" s="473">
        <v>1.04</v>
      </c>
      <c r="I1312" s="473">
        <v>9.85</v>
      </c>
      <c r="J1312" s="215" t="s">
        <v>17</v>
      </c>
      <c r="K1312" s="215">
        <v>2.45</v>
      </c>
      <c r="L1312" s="474" t="s">
        <v>1082</v>
      </c>
    </row>
    <row r="1313" ht="17" customHeight="1" spans="1:12">
      <c r="A1313" s="112"/>
      <c r="C1313" s="112"/>
      <c r="D1313" s="215"/>
      <c r="E1313" s="112"/>
      <c r="F1313" s="112"/>
      <c r="G1313" s="112" t="s">
        <v>1051</v>
      </c>
      <c r="H1313" s="473">
        <v>3.04</v>
      </c>
      <c r="I1313" s="473">
        <v>0.15</v>
      </c>
      <c r="J1313" s="215" t="s">
        <v>24</v>
      </c>
      <c r="K1313" s="215" t="s">
        <v>24</v>
      </c>
      <c r="L1313" s="474"/>
    </row>
    <row r="1314" ht="24" spans="1:12">
      <c r="A1314" s="465">
        <v>45973</v>
      </c>
      <c r="B1314" s="234" t="s">
        <v>1659</v>
      </c>
      <c r="C1314" s="467" t="s">
        <v>462</v>
      </c>
      <c r="D1314" s="146">
        <v>2.62</v>
      </c>
      <c r="E1314" s="467" t="s">
        <v>1136</v>
      </c>
      <c r="F1314" s="467" t="s">
        <v>530</v>
      </c>
      <c r="G1314" s="217" t="s">
        <v>531</v>
      </c>
      <c r="H1314" s="215">
        <v>1.02</v>
      </c>
      <c r="I1314" s="215">
        <v>2.62</v>
      </c>
      <c r="J1314" s="250" t="s">
        <v>17</v>
      </c>
      <c r="K1314" s="215">
        <v>2.45</v>
      </c>
      <c r="L1314" s="467" t="s">
        <v>1082</v>
      </c>
    </row>
    <row r="1315" spans="1:12">
      <c r="A1315" s="464">
        <v>45975</v>
      </c>
      <c r="B1315" s="230" t="s">
        <v>1660</v>
      </c>
      <c r="C1315" s="232" t="s">
        <v>462</v>
      </c>
      <c r="D1315" s="145">
        <v>5</v>
      </c>
      <c r="E1315" s="232" t="s">
        <v>1109</v>
      </c>
      <c r="F1315" s="232" t="s">
        <v>482</v>
      </c>
      <c r="G1315" s="217" t="s">
        <v>1047</v>
      </c>
      <c r="H1315" s="215">
        <v>1.03</v>
      </c>
      <c r="I1315" s="473">
        <v>4.175</v>
      </c>
      <c r="J1315" s="250" t="s">
        <v>17</v>
      </c>
      <c r="K1315" s="215">
        <v>1.77</v>
      </c>
      <c r="L1315" s="165" t="s">
        <v>27</v>
      </c>
    </row>
    <row r="1316" spans="1:12">
      <c r="A1316" s="237"/>
      <c r="B1316" s="234"/>
      <c r="C1316" s="237"/>
      <c r="D1316" s="146"/>
      <c r="E1316" s="237"/>
      <c r="F1316" s="237"/>
      <c r="G1316" s="217" t="s">
        <v>1048</v>
      </c>
      <c r="H1316" s="215">
        <v>1.03</v>
      </c>
      <c r="I1316" s="473">
        <v>0.35</v>
      </c>
      <c r="J1316" s="250" t="s">
        <v>22</v>
      </c>
      <c r="K1316" s="215">
        <v>1.83</v>
      </c>
      <c r="L1316" s="259"/>
    </row>
    <row r="1317" spans="1:12">
      <c r="A1317" s="242"/>
      <c r="B1317" s="239"/>
      <c r="C1317" s="242"/>
      <c r="D1317" s="147"/>
      <c r="E1317" s="242"/>
      <c r="F1317" s="242"/>
      <c r="G1317" s="217" t="s">
        <v>503</v>
      </c>
      <c r="H1317" s="215">
        <v>1.78</v>
      </c>
      <c r="I1317" s="473">
        <v>0.475</v>
      </c>
      <c r="J1317" s="215" t="s">
        <v>24</v>
      </c>
      <c r="K1317" s="215" t="s">
        <v>24</v>
      </c>
      <c r="L1317" s="261"/>
    </row>
    <row r="1318" spans="1:12">
      <c r="A1318" s="464">
        <v>45975</v>
      </c>
      <c r="B1318" s="230" t="s">
        <v>1661</v>
      </c>
      <c r="C1318" s="232" t="s">
        <v>462</v>
      </c>
      <c r="D1318" s="145">
        <v>10</v>
      </c>
      <c r="E1318" s="232" t="s">
        <v>536</v>
      </c>
      <c r="F1318" s="232" t="s">
        <v>460</v>
      </c>
      <c r="G1318" s="217" t="s">
        <v>1047</v>
      </c>
      <c r="H1318" s="473">
        <v>0.92</v>
      </c>
      <c r="I1318" s="473">
        <v>8.24</v>
      </c>
      <c r="J1318" s="250" t="s">
        <v>17</v>
      </c>
      <c r="K1318" s="215">
        <v>1.78</v>
      </c>
      <c r="L1318" s="165" t="s">
        <v>1382</v>
      </c>
    </row>
    <row r="1319" spans="1:12">
      <c r="A1319" s="237"/>
      <c r="B1319" s="234"/>
      <c r="C1319" s="237"/>
      <c r="D1319" s="146"/>
      <c r="E1319" s="237"/>
      <c r="F1319" s="237"/>
      <c r="G1319" s="218" t="s">
        <v>1048</v>
      </c>
      <c r="H1319" s="473">
        <v>1.01</v>
      </c>
      <c r="I1319" s="473">
        <v>0.52</v>
      </c>
      <c r="J1319" s="250" t="s">
        <v>22</v>
      </c>
      <c r="K1319" s="215">
        <v>1.88</v>
      </c>
      <c r="L1319" s="259"/>
    </row>
    <row r="1320" spans="1:12">
      <c r="A1320" s="237"/>
      <c r="B1320" s="234"/>
      <c r="C1320" s="237"/>
      <c r="D1320" s="146"/>
      <c r="E1320" s="237"/>
      <c r="F1320" s="237"/>
      <c r="G1320" s="218" t="s">
        <v>1050</v>
      </c>
      <c r="H1320" s="473">
        <v>1.08</v>
      </c>
      <c r="I1320" s="473">
        <v>0.46</v>
      </c>
      <c r="J1320" s="215" t="s">
        <v>44</v>
      </c>
      <c r="K1320" s="215">
        <v>2.8</v>
      </c>
      <c r="L1320" s="259"/>
    </row>
    <row r="1321" spans="1:12">
      <c r="A1321" s="242"/>
      <c r="B1321" s="239"/>
      <c r="C1321" s="242"/>
      <c r="D1321" s="147"/>
      <c r="E1321" s="242"/>
      <c r="F1321" s="242"/>
      <c r="G1321" s="218" t="s">
        <v>503</v>
      </c>
      <c r="H1321" s="473">
        <v>1.5</v>
      </c>
      <c r="I1321" s="473">
        <v>0.78</v>
      </c>
      <c r="J1321" s="215" t="s">
        <v>24</v>
      </c>
      <c r="K1321" s="215" t="s">
        <v>24</v>
      </c>
      <c r="L1321" s="259"/>
    </row>
    <row r="1322" spans="1:12">
      <c r="A1322" s="464">
        <v>45975</v>
      </c>
      <c r="B1322" s="230" t="s">
        <v>1662</v>
      </c>
      <c r="C1322" s="232" t="s">
        <v>462</v>
      </c>
      <c r="D1322" s="145">
        <v>10</v>
      </c>
      <c r="E1322" s="232" t="s">
        <v>536</v>
      </c>
      <c r="F1322" s="232" t="s">
        <v>460</v>
      </c>
      <c r="G1322" s="217" t="s">
        <v>1047</v>
      </c>
      <c r="H1322" s="473">
        <v>0.92</v>
      </c>
      <c r="I1322" s="473">
        <v>8.24</v>
      </c>
      <c r="J1322" s="250" t="s">
        <v>17</v>
      </c>
      <c r="K1322" s="215">
        <v>1.78</v>
      </c>
      <c r="L1322" s="232" t="s">
        <v>1382</v>
      </c>
    </row>
    <row r="1323" spans="1:12">
      <c r="A1323" s="237"/>
      <c r="B1323" s="234"/>
      <c r="C1323" s="237"/>
      <c r="D1323" s="146"/>
      <c r="E1323" s="237"/>
      <c r="F1323" s="237"/>
      <c r="G1323" s="218" t="s">
        <v>1048</v>
      </c>
      <c r="H1323" s="473">
        <v>1.01</v>
      </c>
      <c r="I1323" s="473">
        <v>0.52</v>
      </c>
      <c r="J1323" s="250" t="s">
        <v>22</v>
      </c>
      <c r="K1323" s="215">
        <v>1.88</v>
      </c>
      <c r="L1323" s="467"/>
    </row>
    <row r="1324" spans="1:12">
      <c r="A1324" s="237"/>
      <c r="B1324" s="234"/>
      <c r="C1324" s="237"/>
      <c r="D1324" s="146"/>
      <c r="E1324" s="237"/>
      <c r="F1324" s="237"/>
      <c r="G1324" s="218" t="s">
        <v>1050</v>
      </c>
      <c r="H1324" s="473">
        <v>1.08</v>
      </c>
      <c r="I1324" s="473">
        <v>0.46</v>
      </c>
      <c r="J1324" s="215" t="s">
        <v>44</v>
      </c>
      <c r="K1324" s="215">
        <v>2.8</v>
      </c>
      <c r="L1324" s="467"/>
    </row>
    <row r="1325" spans="1:12">
      <c r="A1325" s="242"/>
      <c r="B1325" s="234"/>
      <c r="C1325" s="237"/>
      <c r="D1325" s="147"/>
      <c r="E1325" s="237"/>
      <c r="F1325" s="237"/>
      <c r="G1325" s="218" t="s">
        <v>503</v>
      </c>
      <c r="H1325" s="473">
        <v>1.5</v>
      </c>
      <c r="I1325" s="473">
        <v>0.78</v>
      </c>
      <c r="J1325" s="215" t="s">
        <v>24</v>
      </c>
      <c r="K1325" s="215" t="s">
        <v>24</v>
      </c>
      <c r="L1325" s="467"/>
    </row>
    <row r="1326" spans="1:12">
      <c r="A1326" s="464">
        <v>45973</v>
      </c>
      <c r="B1326" s="230" t="s">
        <v>1663</v>
      </c>
      <c r="C1326" s="232" t="s">
        <v>462</v>
      </c>
      <c r="D1326" s="145">
        <v>10</v>
      </c>
      <c r="E1326" s="232" t="s">
        <v>1109</v>
      </c>
      <c r="F1326" s="232" t="s">
        <v>460</v>
      </c>
      <c r="G1326" s="218" t="s">
        <v>1047</v>
      </c>
      <c r="H1326" s="473">
        <v>1.04</v>
      </c>
      <c r="I1326" s="473">
        <v>8.35</v>
      </c>
      <c r="J1326" s="250" t="s">
        <v>17</v>
      </c>
      <c r="K1326" s="215">
        <v>1.78</v>
      </c>
      <c r="L1326" s="232" t="s">
        <v>27</v>
      </c>
    </row>
    <row r="1327" spans="1:12">
      <c r="A1327" s="237"/>
      <c r="B1327" s="234"/>
      <c r="C1327" s="237"/>
      <c r="D1327" s="146"/>
      <c r="E1327" s="237"/>
      <c r="F1327" s="237"/>
      <c r="G1327" s="218" t="s">
        <v>1048</v>
      </c>
      <c r="H1327" s="473">
        <v>1.04</v>
      </c>
      <c r="I1327" s="473">
        <v>0.7</v>
      </c>
      <c r="J1327" s="250" t="s">
        <v>22</v>
      </c>
      <c r="K1327" s="215">
        <v>1.85</v>
      </c>
      <c r="L1327" s="467"/>
    </row>
    <row r="1328" spans="1:12">
      <c r="A1328" s="242"/>
      <c r="B1328" s="239"/>
      <c r="C1328" s="242"/>
      <c r="D1328" s="147"/>
      <c r="E1328" s="242"/>
      <c r="F1328" s="242"/>
      <c r="G1328" s="218" t="s">
        <v>503</v>
      </c>
      <c r="H1328" s="473">
        <v>1.79</v>
      </c>
      <c r="I1328" s="473">
        <v>0.95</v>
      </c>
      <c r="J1328" s="215" t="s">
        <v>24</v>
      </c>
      <c r="K1328" s="215" t="s">
        <v>24</v>
      </c>
      <c r="L1328" s="243"/>
    </row>
    <row r="1329" spans="1:12">
      <c r="A1329" s="468" t="s">
        <v>1664</v>
      </c>
      <c r="B1329" s="230" t="s">
        <v>1665</v>
      </c>
      <c r="C1329" s="232" t="s">
        <v>462</v>
      </c>
      <c r="D1329" s="145">
        <v>5</v>
      </c>
      <c r="E1329" s="232" t="s">
        <v>1074</v>
      </c>
      <c r="F1329" s="232" t="s">
        <v>1063</v>
      </c>
      <c r="G1329" s="218" t="s">
        <v>1121</v>
      </c>
      <c r="H1329" s="473">
        <v>1.08</v>
      </c>
      <c r="I1329" s="215">
        <v>4.5</v>
      </c>
      <c r="J1329" s="250" t="s">
        <v>17</v>
      </c>
      <c r="K1329" s="215">
        <v>2.35</v>
      </c>
      <c r="L1329" s="232" t="s">
        <v>1075</v>
      </c>
    </row>
    <row r="1330" spans="1:12">
      <c r="A1330" s="237"/>
      <c r="B1330" s="236"/>
      <c r="C1330" s="237"/>
      <c r="D1330" s="146"/>
      <c r="E1330" s="237"/>
      <c r="F1330" s="237"/>
      <c r="G1330" s="218" t="s">
        <v>1122</v>
      </c>
      <c r="H1330" s="473">
        <v>1.08</v>
      </c>
      <c r="I1330" s="215">
        <v>0.25</v>
      </c>
      <c r="J1330" s="250" t="s">
        <v>17</v>
      </c>
      <c r="K1330" s="215">
        <v>2.45</v>
      </c>
      <c r="L1330" s="467"/>
    </row>
    <row r="1331" spans="1:12">
      <c r="A1331" s="242"/>
      <c r="B1331" s="241"/>
      <c r="C1331" s="242"/>
      <c r="D1331" s="147"/>
      <c r="E1331" s="242"/>
      <c r="F1331" s="242"/>
      <c r="G1331" s="218" t="s">
        <v>503</v>
      </c>
      <c r="H1331" s="473">
        <v>1.58</v>
      </c>
      <c r="I1331" s="215">
        <v>0.25</v>
      </c>
      <c r="J1331" s="215" t="s">
        <v>24</v>
      </c>
      <c r="K1331" s="215" t="s">
        <v>24</v>
      </c>
      <c r="L1331" s="243"/>
    </row>
    <row r="1332" spans="1:12">
      <c r="A1332" s="468" t="s">
        <v>1666</v>
      </c>
      <c r="B1332" s="230" t="s">
        <v>1667</v>
      </c>
      <c r="C1332" s="232" t="s">
        <v>459</v>
      </c>
      <c r="D1332" s="145">
        <v>5</v>
      </c>
      <c r="E1332" s="232" t="s">
        <v>492</v>
      </c>
      <c r="F1332" s="232" t="s">
        <v>474</v>
      </c>
      <c r="G1332" s="218" t="s">
        <v>1047</v>
      </c>
      <c r="H1332" s="473">
        <v>1.5</v>
      </c>
      <c r="I1332" s="215">
        <v>4.17</v>
      </c>
      <c r="J1332" s="250" t="s">
        <v>17</v>
      </c>
      <c r="K1332" s="215">
        <v>2.2</v>
      </c>
      <c r="L1332" s="232" t="s">
        <v>123</v>
      </c>
    </row>
    <row r="1333" spans="1:12">
      <c r="A1333" s="237"/>
      <c r="B1333" s="234"/>
      <c r="C1333" s="237"/>
      <c r="D1333" s="146"/>
      <c r="E1333" s="237"/>
      <c r="F1333" s="237"/>
      <c r="G1333" s="217" t="s">
        <v>1048</v>
      </c>
      <c r="H1333" s="473">
        <v>1.5</v>
      </c>
      <c r="I1333" s="215">
        <v>0.33</v>
      </c>
      <c r="J1333" s="250" t="s">
        <v>22</v>
      </c>
      <c r="K1333" s="215">
        <v>2.7</v>
      </c>
      <c r="L1333" s="467"/>
    </row>
    <row r="1334" spans="1:12">
      <c r="A1334" s="237"/>
      <c r="B1334" s="234"/>
      <c r="C1334" s="237"/>
      <c r="D1334" s="146"/>
      <c r="E1334" s="237"/>
      <c r="F1334" s="237"/>
      <c r="G1334" s="217" t="s">
        <v>1050</v>
      </c>
      <c r="H1334" s="473">
        <v>1.5</v>
      </c>
      <c r="I1334" s="215">
        <v>0.25</v>
      </c>
      <c r="J1334" s="250" t="s">
        <v>44</v>
      </c>
      <c r="K1334" s="215">
        <v>2.9</v>
      </c>
      <c r="L1334" s="467"/>
    </row>
    <row r="1335" spans="1:12">
      <c r="A1335" s="242"/>
      <c r="B1335" s="239"/>
      <c r="C1335" s="242"/>
      <c r="D1335" s="147"/>
      <c r="E1335" s="242"/>
      <c r="F1335" s="242"/>
      <c r="G1335" s="217" t="s">
        <v>503</v>
      </c>
      <c r="H1335" s="473">
        <v>1.5</v>
      </c>
      <c r="I1335" s="215">
        <v>0.25</v>
      </c>
      <c r="J1335" s="215" t="s">
        <v>24</v>
      </c>
      <c r="K1335" s="215" t="s">
        <v>24</v>
      </c>
      <c r="L1335" s="243"/>
    </row>
    <row r="1336" spans="1:12">
      <c r="A1336" s="468" t="s">
        <v>1666</v>
      </c>
      <c r="B1336" s="230" t="s">
        <v>1668</v>
      </c>
      <c r="C1336" s="232" t="s">
        <v>462</v>
      </c>
      <c r="D1336" s="145">
        <v>20</v>
      </c>
      <c r="E1336" s="232" t="s">
        <v>536</v>
      </c>
      <c r="F1336" s="232" t="s">
        <v>1140</v>
      </c>
      <c r="G1336" s="217" t="s">
        <v>1047</v>
      </c>
      <c r="H1336" s="215">
        <v>0.94</v>
      </c>
      <c r="I1336" s="215">
        <v>18</v>
      </c>
      <c r="J1336" s="250" t="s">
        <v>17</v>
      </c>
      <c r="K1336" s="215">
        <v>1.83</v>
      </c>
      <c r="L1336" s="230" t="s">
        <v>74</v>
      </c>
    </row>
    <row r="1337" spans="1:12">
      <c r="A1337" s="237"/>
      <c r="B1337" s="234"/>
      <c r="C1337" s="237"/>
      <c r="D1337" s="146"/>
      <c r="E1337" s="237"/>
      <c r="F1337" s="237"/>
      <c r="G1337" s="217" t="s">
        <v>1048</v>
      </c>
      <c r="H1337" s="215">
        <v>1.17</v>
      </c>
      <c r="I1337" s="215">
        <v>0.6</v>
      </c>
      <c r="J1337" s="250" t="s">
        <v>22</v>
      </c>
      <c r="K1337" s="215">
        <v>1.9</v>
      </c>
      <c r="L1337" s="234"/>
    </row>
    <row r="1338" spans="1:12">
      <c r="A1338" s="237"/>
      <c r="B1338" s="234"/>
      <c r="C1338" s="237"/>
      <c r="D1338" s="146"/>
      <c r="E1338" s="237"/>
      <c r="F1338" s="237"/>
      <c r="G1338" s="305" t="s">
        <v>503</v>
      </c>
      <c r="H1338" s="272">
        <v>1.67</v>
      </c>
      <c r="I1338" s="272">
        <v>1.4</v>
      </c>
      <c r="J1338" s="272" t="s">
        <v>24</v>
      </c>
      <c r="K1338" s="272" t="s">
        <v>24</v>
      </c>
      <c r="L1338" s="234"/>
    </row>
    <row r="1339" spans="1:12">
      <c r="A1339" s="267">
        <v>45982</v>
      </c>
      <c r="B1339" s="122" t="s">
        <v>1669</v>
      </c>
      <c r="C1339" s="95" t="s">
        <v>1565</v>
      </c>
      <c r="D1339" s="248">
        <v>20</v>
      </c>
      <c r="E1339" s="95" t="s">
        <v>1630</v>
      </c>
      <c r="F1339" s="95" t="s">
        <v>1631</v>
      </c>
      <c r="G1339" s="95" t="s">
        <v>1064</v>
      </c>
      <c r="H1339" s="268">
        <v>0.97</v>
      </c>
      <c r="I1339" s="268">
        <v>18</v>
      </c>
      <c r="J1339" s="248" t="s">
        <v>724</v>
      </c>
      <c r="K1339" s="248">
        <v>1.78</v>
      </c>
      <c r="L1339" s="95" t="s">
        <v>1670</v>
      </c>
    </row>
    <row r="1340" spans="1:12">
      <c r="A1340" s="95"/>
      <c r="B1340" s="95"/>
      <c r="C1340" s="95"/>
      <c r="D1340" s="248"/>
      <c r="E1340" s="95"/>
      <c r="F1340" s="95"/>
      <c r="G1340" s="95" t="s">
        <v>1060</v>
      </c>
      <c r="H1340" s="268">
        <v>1.24</v>
      </c>
      <c r="I1340" s="268">
        <v>0.6</v>
      </c>
      <c r="J1340" s="248" t="s">
        <v>22</v>
      </c>
      <c r="K1340" s="248">
        <v>1.9</v>
      </c>
      <c r="L1340" s="95"/>
    </row>
    <row r="1341" spans="1:12">
      <c r="A1341" s="95"/>
      <c r="B1341" s="95"/>
      <c r="C1341" s="95"/>
      <c r="D1341" s="248"/>
      <c r="E1341" s="95"/>
      <c r="F1341" s="95"/>
      <c r="G1341" s="95" t="s">
        <v>1083</v>
      </c>
      <c r="H1341" s="268">
        <v>1.72</v>
      </c>
      <c r="I1341" s="268">
        <v>1.4</v>
      </c>
      <c r="J1341" s="248" t="s">
        <v>24</v>
      </c>
      <c r="K1341" s="248" t="s">
        <v>24</v>
      </c>
      <c r="L1341" s="95"/>
    </row>
    <row r="1342" spans="1:12">
      <c r="A1342" s="267">
        <v>45979</v>
      </c>
      <c r="B1342" s="122" t="s">
        <v>1671</v>
      </c>
      <c r="C1342" s="122" t="s">
        <v>462</v>
      </c>
      <c r="D1342" s="248">
        <v>5</v>
      </c>
      <c r="E1342" s="122" t="s">
        <v>486</v>
      </c>
      <c r="F1342" s="122" t="s">
        <v>1063</v>
      </c>
      <c r="G1342" s="95" t="s">
        <v>1058</v>
      </c>
      <c r="H1342" s="268">
        <v>1.07</v>
      </c>
      <c r="I1342" s="268">
        <v>4.2</v>
      </c>
      <c r="J1342" s="248" t="s">
        <v>724</v>
      </c>
      <c r="K1342" s="248">
        <v>1.75</v>
      </c>
      <c r="L1342" s="122" t="s">
        <v>18</v>
      </c>
    </row>
    <row r="1343" spans="1:12">
      <c r="A1343" s="267"/>
      <c r="B1343" s="122"/>
      <c r="C1343" s="122"/>
      <c r="D1343" s="248"/>
      <c r="E1343" s="122"/>
      <c r="F1343" s="122"/>
      <c r="G1343" s="95" t="s">
        <v>1059</v>
      </c>
      <c r="H1343" s="268">
        <v>1.24</v>
      </c>
      <c r="I1343" s="268">
        <v>0.3</v>
      </c>
      <c r="J1343" s="248" t="s">
        <v>724</v>
      </c>
      <c r="K1343" s="248">
        <v>1.78</v>
      </c>
      <c r="L1343" s="122"/>
    </row>
    <row r="1344" spans="1:12">
      <c r="A1344" s="267"/>
      <c r="B1344" s="122"/>
      <c r="C1344" s="122"/>
      <c r="D1344" s="248"/>
      <c r="E1344" s="122"/>
      <c r="F1344" s="122"/>
      <c r="G1344" s="95" t="s">
        <v>1060</v>
      </c>
      <c r="H1344" s="268">
        <v>1.41</v>
      </c>
      <c r="I1344" s="268">
        <v>0.25</v>
      </c>
      <c r="J1344" s="248" t="s">
        <v>22</v>
      </c>
      <c r="K1344" s="248">
        <v>2</v>
      </c>
      <c r="L1344" s="122"/>
    </row>
    <row r="1345" spans="1:12">
      <c r="A1345" s="267"/>
      <c r="B1345" s="122"/>
      <c r="C1345" s="122"/>
      <c r="D1345" s="248"/>
      <c r="E1345" s="122"/>
      <c r="F1345" s="122"/>
      <c r="G1345" s="95" t="s">
        <v>1083</v>
      </c>
      <c r="H1345" s="268">
        <v>2.61</v>
      </c>
      <c r="I1345" s="268">
        <v>0.25</v>
      </c>
      <c r="J1345" s="248" t="s">
        <v>24</v>
      </c>
      <c r="K1345" s="248" t="s">
        <v>24</v>
      </c>
      <c r="L1345" s="122"/>
    </row>
    <row r="1346" spans="1:12">
      <c r="A1346" s="267">
        <v>45980</v>
      </c>
      <c r="B1346" s="122" t="s">
        <v>1672</v>
      </c>
      <c r="C1346" s="122" t="s">
        <v>462</v>
      </c>
      <c r="D1346" s="248">
        <v>4</v>
      </c>
      <c r="E1346" s="122" t="s">
        <v>477</v>
      </c>
      <c r="F1346" s="122" t="s">
        <v>523</v>
      </c>
      <c r="G1346" s="95" t="s">
        <v>1064</v>
      </c>
      <c r="H1346" s="268">
        <v>0.71</v>
      </c>
      <c r="I1346" s="268">
        <v>3.58</v>
      </c>
      <c r="J1346" s="248" t="s">
        <v>724</v>
      </c>
      <c r="K1346" s="248">
        <v>1.75</v>
      </c>
      <c r="L1346" s="122" t="s">
        <v>112</v>
      </c>
    </row>
    <row r="1347" spans="1:12">
      <c r="A1347" s="267"/>
      <c r="B1347" s="122"/>
      <c r="C1347" s="122"/>
      <c r="D1347" s="248"/>
      <c r="E1347" s="122"/>
      <c r="F1347" s="122"/>
      <c r="G1347" s="95" t="s">
        <v>1060</v>
      </c>
      <c r="H1347" s="268">
        <v>0.71</v>
      </c>
      <c r="I1347" s="268">
        <v>0.22</v>
      </c>
      <c r="J1347" s="248" t="s">
        <v>859</v>
      </c>
      <c r="K1347" s="248">
        <v>1.95</v>
      </c>
      <c r="L1347" s="122"/>
    </row>
    <row r="1348" spans="1:12">
      <c r="A1348" s="267"/>
      <c r="B1348" s="122"/>
      <c r="C1348" s="122"/>
      <c r="D1348" s="248"/>
      <c r="E1348" s="122"/>
      <c r="F1348" s="122"/>
      <c r="G1348" s="95" t="s">
        <v>1221</v>
      </c>
      <c r="H1348" s="268">
        <v>3.03</v>
      </c>
      <c r="I1348" s="268">
        <v>0.08</v>
      </c>
      <c r="J1348" s="248" t="s">
        <v>24</v>
      </c>
      <c r="K1348" s="248" t="s">
        <v>24</v>
      </c>
      <c r="L1348" s="122"/>
    </row>
    <row r="1349" spans="1:12">
      <c r="A1349" s="267"/>
      <c r="B1349" s="122"/>
      <c r="C1349" s="122"/>
      <c r="D1349" s="248"/>
      <c r="E1349" s="122"/>
      <c r="F1349" s="122"/>
      <c r="G1349" s="95" t="s">
        <v>1222</v>
      </c>
      <c r="H1349" s="268">
        <v>3.03</v>
      </c>
      <c r="I1349" s="268">
        <v>0.12</v>
      </c>
      <c r="J1349" s="248" t="s">
        <v>24</v>
      </c>
      <c r="K1349" s="248" t="s">
        <v>24</v>
      </c>
      <c r="L1349" s="122"/>
    </row>
    <row r="1350" spans="1:12">
      <c r="A1350" s="267">
        <v>45979</v>
      </c>
      <c r="B1350" s="122" t="s">
        <v>1673</v>
      </c>
      <c r="C1350" s="122" t="s">
        <v>462</v>
      </c>
      <c r="D1350" s="248">
        <v>5</v>
      </c>
      <c r="E1350" s="122" t="s">
        <v>536</v>
      </c>
      <c r="F1350" s="122" t="s">
        <v>1638</v>
      </c>
      <c r="G1350" s="95" t="s">
        <v>1058</v>
      </c>
      <c r="H1350" s="268">
        <v>0.99</v>
      </c>
      <c r="I1350" s="268">
        <v>1.5</v>
      </c>
      <c r="J1350" s="248" t="s">
        <v>724</v>
      </c>
      <c r="K1350" s="248">
        <v>2.35</v>
      </c>
      <c r="L1350" s="122" t="s">
        <v>1082</v>
      </c>
    </row>
    <row r="1351" spans="1:12">
      <c r="A1351" s="267"/>
      <c r="B1351" s="122"/>
      <c r="C1351" s="122"/>
      <c r="D1351" s="248"/>
      <c r="E1351" s="122"/>
      <c r="F1351" s="122"/>
      <c r="G1351" s="95" t="s">
        <v>1059</v>
      </c>
      <c r="H1351" s="268">
        <v>1.99</v>
      </c>
      <c r="I1351" s="268">
        <v>2</v>
      </c>
      <c r="J1351" s="248" t="s">
        <v>724</v>
      </c>
      <c r="K1351" s="248">
        <v>2.7</v>
      </c>
      <c r="L1351" s="122"/>
    </row>
    <row r="1352" spans="1:12">
      <c r="A1352" s="267"/>
      <c r="B1352" s="122"/>
      <c r="C1352" s="122"/>
      <c r="D1352" s="248"/>
      <c r="E1352" s="122"/>
      <c r="F1352" s="122"/>
      <c r="G1352" s="95" t="s">
        <v>1099</v>
      </c>
      <c r="H1352" s="268">
        <v>2.99</v>
      </c>
      <c r="I1352" s="268">
        <v>1.425</v>
      </c>
      <c r="J1352" s="248" t="s">
        <v>724</v>
      </c>
      <c r="K1352" s="248">
        <v>3.6</v>
      </c>
      <c r="L1352" s="122"/>
    </row>
    <row r="1353" spans="1:12">
      <c r="A1353" s="267"/>
      <c r="B1353" s="122"/>
      <c r="C1353" s="122"/>
      <c r="D1353" s="248"/>
      <c r="E1353" s="122"/>
      <c r="F1353" s="122"/>
      <c r="G1353" s="95" t="s">
        <v>1083</v>
      </c>
      <c r="H1353" s="268">
        <v>2.99</v>
      </c>
      <c r="I1353" s="476">
        <v>0.075</v>
      </c>
      <c r="J1353" s="248" t="s">
        <v>24</v>
      </c>
      <c r="K1353" s="248" t="s">
        <v>24</v>
      </c>
      <c r="L1353" s="122"/>
    </row>
    <row r="1354" spans="1:12">
      <c r="A1354" s="267">
        <v>45980</v>
      </c>
      <c r="B1354" s="122" t="s">
        <v>1674</v>
      </c>
      <c r="C1354" s="122" t="s">
        <v>462</v>
      </c>
      <c r="D1354" s="248">
        <v>20</v>
      </c>
      <c r="E1354" s="122" t="s">
        <v>477</v>
      </c>
      <c r="F1354" s="122" t="s">
        <v>490</v>
      </c>
      <c r="G1354" s="95" t="s">
        <v>1064</v>
      </c>
      <c r="H1354" s="268">
        <v>0.98</v>
      </c>
      <c r="I1354" s="268">
        <v>18</v>
      </c>
      <c r="J1354" s="248" t="s">
        <v>17</v>
      </c>
      <c r="K1354" s="248">
        <v>1.78</v>
      </c>
      <c r="L1354" s="122" t="s">
        <v>74</v>
      </c>
    </row>
    <row r="1355" spans="1:12">
      <c r="A1355" s="267"/>
      <c r="B1355" s="122"/>
      <c r="C1355" s="122"/>
      <c r="D1355" s="248"/>
      <c r="E1355" s="122"/>
      <c r="F1355" s="122"/>
      <c r="G1355" s="95" t="s">
        <v>1060</v>
      </c>
      <c r="H1355" s="268">
        <v>1.25</v>
      </c>
      <c r="I1355" s="268">
        <v>0.6</v>
      </c>
      <c r="J1355" s="248" t="s">
        <v>22</v>
      </c>
      <c r="K1355" s="248">
        <v>1.9</v>
      </c>
      <c r="L1355" s="122"/>
    </row>
    <row r="1356" spans="1:12">
      <c r="A1356" s="267"/>
      <c r="B1356" s="122"/>
      <c r="C1356" s="122"/>
      <c r="D1356" s="248"/>
      <c r="E1356" s="122"/>
      <c r="F1356" s="122"/>
      <c r="G1356" s="95" t="s">
        <v>1083</v>
      </c>
      <c r="H1356" s="268">
        <v>1.73</v>
      </c>
      <c r="I1356" s="268">
        <v>1.4</v>
      </c>
      <c r="J1356" s="248" t="s">
        <v>24</v>
      </c>
      <c r="K1356" s="248" t="s">
        <v>24</v>
      </c>
      <c r="L1356" s="122"/>
    </row>
    <row r="1357" spans="1:12">
      <c r="A1357" s="267">
        <v>45980</v>
      </c>
      <c r="B1357" s="122" t="s">
        <v>1675</v>
      </c>
      <c r="C1357" s="122" t="s">
        <v>462</v>
      </c>
      <c r="D1357" s="248">
        <v>10</v>
      </c>
      <c r="E1357" s="122" t="s">
        <v>477</v>
      </c>
      <c r="F1357" s="122" t="s">
        <v>1063</v>
      </c>
      <c r="G1357" s="95" t="s">
        <v>1064</v>
      </c>
      <c r="H1357" s="268">
        <v>1.07</v>
      </c>
      <c r="I1357" s="268">
        <v>8.4</v>
      </c>
      <c r="J1357" s="248" t="s">
        <v>724</v>
      </c>
      <c r="K1357" s="248">
        <v>1.75</v>
      </c>
      <c r="L1357" s="122" t="s">
        <v>18</v>
      </c>
    </row>
    <row r="1358" spans="1:12">
      <c r="A1358" s="267"/>
      <c r="B1358" s="122"/>
      <c r="C1358" s="122"/>
      <c r="D1358" s="248"/>
      <c r="E1358" s="122"/>
      <c r="F1358" s="122"/>
      <c r="G1358" s="95" t="s">
        <v>1060</v>
      </c>
      <c r="H1358" s="268">
        <v>1.24</v>
      </c>
      <c r="I1358" s="268">
        <v>0.6</v>
      </c>
      <c r="J1358" s="248" t="s">
        <v>1267</v>
      </c>
      <c r="K1358" s="248">
        <v>1.78</v>
      </c>
      <c r="L1358" s="122"/>
    </row>
    <row r="1359" spans="1:12">
      <c r="A1359" s="267"/>
      <c r="B1359" s="122"/>
      <c r="C1359" s="122"/>
      <c r="D1359" s="248"/>
      <c r="E1359" s="122"/>
      <c r="F1359" s="122"/>
      <c r="G1359" s="95" t="s">
        <v>1061</v>
      </c>
      <c r="H1359" s="268">
        <v>1.4</v>
      </c>
      <c r="I1359" s="268">
        <v>0.5</v>
      </c>
      <c r="J1359" s="248" t="s">
        <v>859</v>
      </c>
      <c r="K1359" s="248">
        <v>2</v>
      </c>
      <c r="L1359" s="122"/>
    </row>
    <row r="1360" spans="1:12">
      <c r="A1360" s="267"/>
      <c r="B1360" s="122"/>
      <c r="C1360" s="122"/>
      <c r="D1360" s="248"/>
      <c r="E1360" s="122"/>
      <c r="F1360" s="122"/>
      <c r="G1360" s="95" t="s">
        <v>1083</v>
      </c>
      <c r="H1360" s="268">
        <v>2.61</v>
      </c>
      <c r="I1360" s="268">
        <v>0.5</v>
      </c>
      <c r="J1360" s="248" t="s">
        <v>24</v>
      </c>
      <c r="K1360" s="248" t="s">
        <v>24</v>
      </c>
      <c r="L1360" s="122"/>
    </row>
    <row r="1361" spans="1:12">
      <c r="A1361" s="267">
        <v>45975</v>
      </c>
      <c r="B1361" s="122" t="s">
        <v>1676</v>
      </c>
      <c r="C1361" s="122" t="s">
        <v>462</v>
      </c>
      <c r="D1361" s="248">
        <v>10</v>
      </c>
      <c r="E1361" s="122" t="s">
        <v>1079</v>
      </c>
      <c r="F1361" s="122" t="s">
        <v>460</v>
      </c>
      <c r="G1361" s="95" t="s">
        <v>1064</v>
      </c>
      <c r="H1361" s="268">
        <v>1.49</v>
      </c>
      <c r="I1361" s="268">
        <v>8.3</v>
      </c>
      <c r="J1361" s="248" t="s">
        <v>724</v>
      </c>
      <c r="K1361" s="248">
        <v>1.87</v>
      </c>
      <c r="L1361" s="122" t="s">
        <v>35</v>
      </c>
    </row>
    <row r="1362" spans="1:12">
      <c r="A1362" s="267"/>
      <c r="B1362" s="122"/>
      <c r="C1362" s="122"/>
      <c r="D1362" s="248"/>
      <c r="E1362" s="122"/>
      <c r="F1362" s="122"/>
      <c r="G1362" s="95" t="s">
        <v>1060</v>
      </c>
      <c r="H1362" s="268">
        <v>1.49</v>
      </c>
      <c r="I1362" s="268">
        <v>0.5</v>
      </c>
      <c r="J1362" s="248" t="s">
        <v>859</v>
      </c>
      <c r="K1362" s="248">
        <v>2.08</v>
      </c>
      <c r="L1362" s="122"/>
    </row>
    <row r="1363" spans="1:12">
      <c r="A1363" s="267"/>
      <c r="B1363" s="122"/>
      <c r="C1363" s="122"/>
      <c r="D1363" s="248"/>
      <c r="E1363" s="122"/>
      <c r="F1363" s="122"/>
      <c r="G1363" s="95" t="s">
        <v>1061</v>
      </c>
      <c r="H1363" s="268">
        <v>1.99</v>
      </c>
      <c r="I1363" s="268">
        <v>0.7</v>
      </c>
      <c r="J1363" s="248" t="s">
        <v>100</v>
      </c>
      <c r="K1363" s="248">
        <v>3.4</v>
      </c>
      <c r="L1363" s="122"/>
    </row>
    <row r="1364" spans="1:12">
      <c r="A1364" s="267"/>
      <c r="B1364" s="122"/>
      <c r="C1364" s="122"/>
      <c r="D1364" s="248"/>
      <c r="E1364" s="122"/>
      <c r="F1364" s="122"/>
      <c r="G1364" s="95" t="s">
        <v>1083</v>
      </c>
      <c r="H1364" s="268">
        <v>1.99</v>
      </c>
      <c r="I1364" s="268">
        <v>0.5</v>
      </c>
      <c r="J1364" s="248" t="s">
        <v>24</v>
      </c>
      <c r="K1364" s="248" t="s">
        <v>24</v>
      </c>
      <c r="L1364" s="122"/>
    </row>
    <row r="1365" spans="1:12">
      <c r="A1365" s="267">
        <v>45979</v>
      </c>
      <c r="B1365" s="122" t="s">
        <v>1677</v>
      </c>
      <c r="C1365" s="122" t="s">
        <v>462</v>
      </c>
      <c r="D1365" s="248">
        <v>8</v>
      </c>
      <c r="E1365" s="122" t="s">
        <v>1265</v>
      </c>
      <c r="F1365" s="122" t="s">
        <v>1678</v>
      </c>
      <c r="G1365" s="95" t="s">
        <v>1064</v>
      </c>
      <c r="H1365" s="268">
        <v>1</v>
      </c>
      <c r="I1365" s="268">
        <v>6.4</v>
      </c>
      <c r="J1365" s="248" t="s">
        <v>724</v>
      </c>
      <c r="K1365" s="248">
        <v>1.75</v>
      </c>
      <c r="L1365" s="122" t="s">
        <v>435</v>
      </c>
    </row>
    <row r="1366" spans="1:12">
      <c r="A1366" s="267"/>
      <c r="B1366" s="122"/>
      <c r="C1366" s="122"/>
      <c r="D1366" s="248"/>
      <c r="E1366" s="122"/>
      <c r="F1366" s="122"/>
      <c r="G1366" s="95" t="s">
        <v>1060</v>
      </c>
      <c r="H1366" s="268">
        <v>1</v>
      </c>
      <c r="I1366" s="268">
        <v>1.2</v>
      </c>
      <c r="J1366" s="248" t="s">
        <v>859</v>
      </c>
      <c r="K1366" s="248">
        <v>12</v>
      </c>
      <c r="L1366" s="122"/>
    </row>
    <row r="1367" spans="1:12">
      <c r="A1367" s="267"/>
      <c r="B1367" s="122"/>
      <c r="C1367" s="122"/>
      <c r="D1367" s="248"/>
      <c r="E1367" s="122"/>
      <c r="F1367" s="122"/>
      <c r="G1367" s="95" t="s">
        <v>1083</v>
      </c>
      <c r="H1367" s="268">
        <v>1</v>
      </c>
      <c r="I1367" s="268">
        <v>0.4</v>
      </c>
      <c r="J1367" s="248" t="s">
        <v>24</v>
      </c>
      <c r="K1367" s="248" t="s">
        <v>24</v>
      </c>
      <c r="L1367" s="122"/>
    </row>
    <row r="1368" spans="1:12">
      <c r="A1368" s="267">
        <v>45975</v>
      </c>
      <c r="B1368" s="122" t="s">
        <v>1679</v>
      </c>
      <c r="C1368" s="122" t="s">
        <v>462</v>
      </c>
      <c r="D1368" s="248">
        <v>10</v>
      </c>
      <c r="E1368" s="122" t="s">
        <v>477</v>
      </c>
      <c r="F1368" s="122" t="s">
        <v>1054</v>
      </c>
      <c r="G1368" s="95" t="s">
        <v>1064</v>
      </c>
      <c r="H1368" s="268">
        <v>0.4</v>
      </c>
      <c r="I1368" s="268">
        <v>9</v>
      </c>
      <c r="J1368" s="248" t="s">
        <v>724</v>
      </c>
      <c r="K1368" s="248">
        <v>1.72</v>
      </c>
      <c r="L1368" s="122" t="s">
        <v>35</v>
      </c>
    </row>
    <row r="1369" spans="1:12">
      <c r="A1369" s="267"/>
      <c r="B1369" s="122"/>
      <c r="C1369" s="122"/>
      <c r="D1369" s="248"/>
      <c r="E1369" s="122"/>
      <c r="F1369" s="122"/>
      <c r="G1369" s="95" t="s">
        <v>1060</v>
      </c>
      <c r="H1369" s="268">
        <v>0.4</v>
      </c>
      <c r="I1369" s="268">
        <v>0.5</v>
      </c>
      <c r="J1369" s="248" t="s">
        <v>859</v>
      </c>
      <c r="K1369" s="248">
        <v>1.87</v>
      </c>
      <c r="L1369" s="122"/>
    </row>
    <row r="1370" spans="1:12">
      <c r="A1370" s="267"/>
      <c r="B1370" s="122"/>
      <c r="C1370" s="122"/>
      <c r="D1370" s="248"/>
      <c r="E1370" s="122"/>
      <c r="F1370" s="122"/>
      <c r="G1370" s="95" t="s">
        <v>1083</v>
      </c>
      <c r="H1370" s="268">
        <v>1.32</v>
      </c>
      <c r="I1370" s="268">
        <v>0.5</v>
      </c>
      <c r="J1370" s="248" t="s">
        <v>24</v>
      </c>
      <c r="K1370" s="248" t="s">
        <v>24</v>
      </c>
      <c r="L1370" s="122"/>
    </row>
    <row r="1371" customHeight="1" spans="1:12">
      <c r="A1371" s="435">
        <v>45989</v>
      </c>
      <c r="B1371" s="148" t="s">
        <v>1680</v>
      </c>
      <c r="C1371" s="205" t="s">
        <v>459</v>
      </c>
      <c r="D1371" s="477">
        <v>6</v>
      </c>
      <c r="E1371" s="219" t="s">
        <v>481</v>
      </c>
      <c r="F1371" s="219" t="s">
        <v>1063</v>
      </c>
      <c r="G1371" s="122" t="s">
        <v>1064</v>
      </c>
      <c r="H1371" s="215">
        <v>1.83</v>
      </c>
      <c r="I1371" s="215">
        <v>5.28</v>
      </c>
      <c r="J1371" s="248" t="s">
        <v>724</v>
      </c>
      <c r="K1371" s="215">
        <v>1.8</v>
      </c>
      <c r="L1371" s="205" t="s">
        <v>86</v>
      </c>
    </row>
    <row r="1372" spans="1:12">
      <c r="A1372" s="435"/>
      <c r="B1372" s="54"/>
      <c r="C1372" s="111"/>
      <c r="D1372" s="477"/>
      <c r="E1372" s="222"/>
      <c r="F1372" s="222"/>
      <c r="G1372" s="122" t="s">
        <v>1060</v>
      </c>
      <c r="H1372" s="215">
        <v>1.92</v>
      </c>
      <c r="I1372" s="215">
        <v>0.24</v>
      </c>
      <c r="J1372" s="248" t="s">
        <v>859</v>
      </c>
      <c r="K1372" s="215">
        <v>1.92</v>
      </c>
      <c r="L1372" s="111"/>
    </row>
    <row r="1373" spans="1:12">
      <c r="A1373" s="435"/>
      <c r="B1373" s="54"/>
      <c r="C1373" s="111"/>
      <c r="D1373" s="477"/>
      <c r="E1373" s="222"/>
      <c r="F1373" s="222"/>
      <c r="G1373" s="122" t="s">
        <v>1061</v>
      </c>
      <c r="H1373" s="215">
        <v>2</v>
      </c>
      <c r="I1373" s="215">
        <v>0.18</v>
      </c>
      <c r="J1373" s="248" t="s">
        <v>1681</v>
      </c>
      <c r="K1373" s="215">
        <v>4</v>
      </c>
      <c r="L1373" s="111"/>
    </row>
    <row r="1374" spans="1:12">
      <c r="A1374" s="435"/>
      <c r="B1374" s="54"/>
      <c r="C1374" s="111"/>
      <c r="D1374" s="477"/>
      <c r="E1374" s="222"/>
      <c r="F1374" s="222"/>
      <c r="G1374" s="122" t="s">
        <v>503</v>
      </c>
      <c r="H1374" s="215">
        <v>2</v>
      </c>
      <c r="I1374" s="215">
        <v>0.3</v>
      </c>
      <c r="J1374" s="215" t="s">
        <v>24</v>
      </c>
      <c r="K1374" s="215" t="s">
        <v>24</v>
      </c>
      <c r="L1374" s="111"/>
    </row>
    <row r="1375" customHeight="1" spans="1:12">
      <c r="A1375" s="222" t="s">
        <v>1682</v>
      </c>
      <c r="B1375" s="148" t="s">
        <v>1683</v>
      </c>
      <c r="C1375" s="205" t="s">
        <v>462</v>
      </c>
      <c r="D1375" s="477">
        <v>10</v>
      </c>
      <c r="E1375" s="219" t="s">
        <v>477</v>
      </c>
      <c r="F1375" s="219" t="s">
        <v>1063</v>
      </c>
      <c r="G1375" s="122" t="s">
        <v>1058</v>
      </c>
      <c r="H1375" s="215">
        <v>1.05</v>
      </c>
      <c r="I1375" s="215">
        <v>8.4</v>
      </c>
      <c r="J1375" s="248" t="s">
        <v>724</v>
      </c>
      <c r="K1375" s="215">
        <v>1.76</v>
      </c>
      <c r="L1375" s="205" t="s">
        <v>18</v>
      </c>
    </row>
    <row r="1376" ht="13.05" customHeight="1" spans="1:12">
      <c r="A1376" s="222"/>
      <c r="B1376" s="54"/>
      <c r="C1376" s="111"/>
      <c r="D1376" s="477"/>
      <c r="E1376" s="222"/>
      <c r="F1376" s="222"/>
      <c r="G1376" s="122" t="s">
        <v>1059</v>
      </c>
      <c r="H1376" s="215">
        <v>1.222</v>
      </c>
      <c r="I1376" s="215">
        <v>0.6</v>
      </c>
      <c r="J1376" s="248" t="s">
        <v>724</v>
      </c>
      <c r="K1376" s="215">
        <v>1.78</v>
      </c>
      <c r="L1376" s="111"/>
    </row>
    <row r="1377" ht="13.05" customHeight="1" spans="1:12">
      <c r="A1377" s="222"/>
      <c r="B1377" s="54"/>
      <c r="C1377" s="111"/>
      <c r="D1377" s="477"/>
      <c r="E1377" s="222"/>
      <c r="F1377" s="222"/>
      <c r="G1377" s="122" t="s">
        <v>1060</v>
      </c>
      <c r="H1377" s="215">
        <v>1.38</v>
      </c>
      <c r="I1377" s="215">
        <v>0.5</v>
      </c>
      <c r="J1377" s="248" t="s">
        <v>859</v>
      </c>
      <c r="K1377" s="215">
        <v>2</v>
      </c>
      <c r="L1377" s="111"/>
    </row>
    <row r="1378" ht="13.05" customHeight="1" spans="1:12">
      <c r="A1378" s="222"/>
      <c r="B1378" s="54"/>
      <c r="C1378" s="111"/>
      <c r="D1378" s="477"/>
      <c r="E1378" s="222"/>
      <c r="F1378" s="222"/>
      <c r="G1378" s="122" t="s">
        <v>503</v>
      </c>
      <c r="H1378" s="215">
        <v>2.59</v>
      </c>
      <c r="I1378" s="215">
        <v>0.5</v>
      </c>
      <c r="J1378" s="248" t="s">
        <v>24</v>
      </c>
      <c r="K1378" s="215" t="s">
        <v>24</v>
      </c>
      <c r="L1378" s="111"/>
    </row>
    <row r="1379" customHeight="1" spans="1:12">
      <c r="A1379" s="222" t="s">
        <v>1684</v>
      </c>
      <c r="B1379" s="148" t="s">
        <v>1685</v>
      </c>
      <c r="C1379" s="205" t="s">
        <v>459</v>
      </c>
      <c r="D1379" s="477">
        <v>10</v>
      </c>
      <c r="E1379" s="219" t="s">
        <v>484</v>
      </c>
      <c r="F1379" s="219" t="s">
        <v>482</v>
      </c>
      <c r="G1379" s="217" t="s">
        <v>531</v>
      </c>
      <c r="H1379" s="215">
        <v>1</v>
      </c>
      <c r="I1379" s="215">
        <v>8.9</v>
      </c>
      <c r="J1379" s="248" t="s">
        <v>724</v>
      </c>
      <c r="K1379" s="215">
        <v>1.82</v>
      </c>
      <c r="L1379" s="245" t="s">
        <v>129</v>
      </c>
    </row>
    <row r="1380" ht="13.05" customHeight="1" spans="1:12">
      <c r="A1380" s="222"/>
      <c r="B1380" s="54"/>
      <c r="C1380" s="111"/>
      <c r="D1380" s="477"/>
      <c r="E1380" s="222"/>
      <c r="F1380" s="222"/>
      <c r="G1380" s="217" t="s">
        <v>539</v>
      </c>
      <c r="H1380" s="215">
        <v>1.17</v>
      </c>
      <c r="I1380" s="215">
        <v>0.5</v>
      </c>
      <c r="J1380" s="248" t="s">
        <v>859</v>
      </c>
      <c r="K1380" s="215">
        <v>1.92</v>
      </c>
      <c r="L1380" s="247"/>
    </row>
    <row r="1381" ht="13.05" customHeight="1" spans="1:12">
      <c r="A1381" s="222"/>
      <c r="B1381" s="54"/>
      <c r="C1381" s="111"/>
      <c r="D1381" s="477"/>
      <c r="E1381" s="222"/>
      <c r="F1381" s="222"/>
      <c r="G1381" s="217" t="s">
        <v>503</v>
      </c>
      <c r="H1381" s="215">
        <v>1.75</v>
      </c>
      <c r="I1381" s="215">
        <v>0.6</v>
      </c>
      <c r="J1381" s="248" t="s">
        <v>24</v>
      </c>
      <c r="K1381" s="215" t="s">
        <v>24</v>
      </c>
      <c r="L1381" s="247"/>
    </row>
    <row r="1382" customHeight="1" spans="1:12">
      <c r="A1382" s="222" t="s">
        <v>1684</v>
      </c>
      <c r="B1382" s="148" t="s">
        <v>1686</v>
      </c>
      <c r="C1382" s="205" t="s">
        <v>462</v>
      </c>
      <c r="D1382" s="477">
        <v>5</v>
      </c>
      <c r="E1382" s="219" t="s">
        <v>477</v>
      </c>
      <c r="F1382" s="219" t="s">
        <v>495</v>
      </c>
      <c r="G1382" s="122" t="s">
        <v>1058</v>
      </c>
      <c r="H1382" s="215">
        <v>1.08</v>
      </c>
      <c r="I1382" s="215">
        <v>3.5</v>
      </c>
      <c r="J1382" s="248" t="s">
        <v>724</v>
      </c>
      <c r="K1382" s="215">
        <v>1.8</v>
      </c>
      <c r="L1382" s="205" t="s">
        <v>41</v>
      </c>
    </row>
    <row r="1383" ht="13.05" customHeight="1" spans="1:12">
      <c r="A1383" s="222"/>
      <c r="B1383" s="54"/>
      <c r="C1383" s="111"/>
      <c r="D1383" s="477"/>
      <c r="E1383" s="222"/>
      <c r="F1383" s="222"/>
      <c r="G1383" s="122" t="s">
        <v>1059</v>
      </c>
      <c r="H1383" s="215">
        <v>1.16</v>
      </c>
      <c r="I1383" s="215">
        <v>0.7</v>
      </c>
      <c r="J1383" s="248" t="s">
        <v>724</v>
      </c>
      <c r="K1383" s="215">
        <v>1.89</v>
      </c>
      <c r="L1383" s="111"/>
    </row>
    <row r="1384" ht="13.05" customHeight="1" spans="1:12">
      <c r="A1384" s="222"/>
      <c r="B1384" s="54"/>
      <c r="C1384" s="111"/>
      <c r="D1384" s="477"/>
      <c r="E1384" s="222"/>
      <c r="F1384" s="222"/>
      <c r="G1384" s="122" t="s">
        <v>1060</v>
      </c>
      <c r="H1384" s="215">
        <v>1.25</v>
      </c>
      <c r="I1384" s="215">
        <v>0.27</v>
      </c>
      <c r="J1384" s="248" t="s">
        <v>22</v>
      </c>
      <c r="K1384" s="215">
        <v>2.07</v>
      </c>
      <c r="L1384" s="111"/>
    </row>
    <row r="1385" ht="13.05" customHeight="1" spans="1:12">
      <c r="A1385" s="222"/>
      <c r="B1385" s="54"/>
      <c r="C1385" s="111"/>
      <c r="D1385" s="477"/>
      <c r="E1385" s="222"/>
      <c r="F1385" s="222"/>
      <c r="G1385" s="122" t="s">
        <v>1061</v>
      </c>
      <c r="H1385" s="215">
        <v>1.33</v>
      </c>
      <c r="I1385" s="215">
        <v>0.28</v>
      </c>
      <c r="J1385" s="215" t="s">
        <v>351</v>
      </c>
      <c r="K1385" s="215">
        <v>4.5</v>
      </c>
      <c r="L1385" s="111"/>
    </row>
    <row r="1386" ht="13.05" customHeight="1" spans="1:12">
      <c r="A1386" s="222"/>
      <c r="B1386" s="54"/>
      <c r="C1386" s="111"/>
      <c r="D1386" s="477"/>
      <c r="E1386" s="222"/>
      <c r="F1386" s="222"/>
      <c r="G1386" s="122" t="s">
        <v>503</v>
      </c>
      <c r="H1386" s="215">
        <v>1.75</v>
      </c>
      <c r="I1386" s="215">
        <v>0.25</v>
      </c>
      <c r="J1386" s="215" t="s">
        <v>24</v>
      </c>
      <c r="K1386" s="215" t="s">
        <v>24</v>
      </c>
      <c r="L1386" s="111"/>
    </row>
    <row r="1387" ht="13.05" customHeight="1" spans="1:12">
      <c r="A1387" s="222" t="s">
        <v>1687</v>
      </c>
      <c r="B1387" s="148" t="s">
        <v>1688</v>
      </c>
      <c r="C1387" s="205" t="s">
        <v>459</v>
      </c>
      <c r="D1387" s="477">
        <v>5</v>
      </c>
      <c r="E1387" s="219" t="s">
        <v>492</v>
      </c>
      <c r="F1387" s="219" t="s">
        <v>474</v>
      </c>
      <c r="G1387" s="122" t="s">
        <v>1064</v>
      </c>
      <c r="H1387" s="215">
        <v>2</v>
      </c>
      <c r="I1387" s="215">
        <v>4.2</v>
      </c>
      <c r="J1387" s="248" t="s">
        <v>724</v>
      </c>
      <c r="K1387" s="215">
        <v>2.05</v>
      </c>
      <c r="L1387" s="205" t="s">
        <v>67</v>
      </c>
    </row>
    <row r="1388" ht="13.05" customHeight="1" spans="1:12">
      <c r="A1388" s="222"/>
      <c r="B1388" s="54"/>
      <c r="C1388" s="111"/>
      <c r="D1388" s="477"/>
      <c r="E1388" s="222"/>
      <c r="F1388" s="222"/>
      <c r="G1388" s="122" t="s">
        <v>1060</v>
      </c>
      <c r="H1388" s="215">
        <v>2</v>
      </c>
      <c r="I1388" s="215">
        <v>0.2</v>
      </c>
      <c r="J1388" s="248" t="s">
        <v>859</v>
      </c>
      <c r="K1388" s="215">
        <v>2.4</v>
      </c>
      <c r="L1388" s="111"/>
    </row>
    <row r="1389" ht="13.05" customHeight="1" spans="1:12">
      <c r="A1389" s="222"/>
      <c r="B1389" s="54"/>
      <c r="C1389" s="111"/>
      <c r="D1389" s="477"/>
      <c r="E1389" s="222"/>
      <c r="F1389" s="222"/>
      <c r="G1389" s="122" t="s">
        <v>1061</v>
      </c>
      <c r="H1389" s="215">
        <v>2</v>
      </c>
      <c r="I1389" s="478">
        <v>0.225</v>
      </c>
      <c r="J1389" s="248" t="s">
        <v>1689</v>
      </c>
      <c r="K1389" s="215">
        <v>4</v>
      </c>
      <c r="L1389" s="111"/>
    </row>
    <row r="1390" ht="13.05" customHeight="1" spans="1:12">
      <c r="A1390" s="222"/>
      <c r="B1390" s="54"/>
      <c r="C1390" s="111"/>
      <c r="D1390" s="477"/>
      <c r="E1390" s="222"/>
      <c r="F1390" s="222"/>
      <c r="G1390" s="122" t="s">
        <v>503</v>
      </c>
      <c r="H1390" s="215">
        <v>2</v>
      </c>
      <c r="I1390" s="478">
        <v>0.375</v>
      </c>
      <c r="J1390" s="215" t="s">
        <v>24</v>
      </c>
      <c r="K1390" s="215" t="s">
        <v>24</v>
      </c>
      <c r="L1390" s="111"/>
    </row>
    <row r="1391" customHeight="1" spans="1:12">
      <c r="A1391" s="222" t="s">
        <v>1690</v>
      </c>
      <c r="B1391" s="148" t="s">
        <v>1669</v>
      </c>
      <c r="C1391" s="205" t="s">
        <v>462</v>
      </c>
      <c r="D1391" s="477">
        <v>20</v>
      </c>
      <c r="E1391" s="219" t="s">
        <v>536</v>
      </c>
      <c r="F1391" s="219" t="s">
        <v>1140</v>
      </c>
      <c r="G1391" s="122" t="s">
        <v>1064</v>
      </c>
      <c r="H1391" s="215">
        <v>0.97</v>
      </c>
      <c r="I1391" s="215">
        <v>18</v>
      </c>
      <c r="J1391" s="248" t="s">
        <v>724</v>
      </c>
      <c r="K1391" s="215">
        <v>1.78</v>
      </c>
      <c r="L1391" s="205" t="s">
        <v>74</v>
      </c>
    </row>
    <row r="1392" ht="13.05" customHeight="1" spans="1:12">
      <c r="A1392" s="222"/>
      <c r="B1392" s="54"/>
      <c r="C1392" s="111"/>
      <c r="D1392" s="477"/>
      <c r="E1392" s="222"/>
      <c r="F1392" s="222"/>
      <c r="G1392" s="122" t="s">
        <v>1060</v>
      </c>
      <c r="H1392" s="215">
        <v>1.24</v>
      </c>
      <c r="I1392" s="215">
        <v>0.6</v>
      </c>
      <c r="J1392" s="248" t="s">
        <v>859</v>
      </c>
      <c r="K1392" s="215">
        <v>1.9</v>
      </c>
      <c r="L1392" s="111"/>
    </row>
    <row r="1393" ht="13.05" customHeight="1" spans="1:14">
      <c r="A1393" s="222"/>
      <c r="B1393" s="54"/>
      <c r="C1393" s="111"/>
      <c r="D1393" s="477"/>
      <c r="E1393" s="222"/>
      <c r="F1393" s="222"/>
      <c r="G1393" s="122" t="s">
        <v>503</v>
      </c>
      <c r="H1393" s="215">
        <v>1.72</v>
      </c>
      <c r="I1393" s="215">
        <v>1.4</v>
      </c>
      <c r="J1393" s="248" t="s">
        <v>24</v>
      </c>
      <c r="K1393" s="215" t="s">
        <v>24</v>
      </c>
      <c r="L1393" s="111"/>
    </row>
    <row r="1394" customHeight="1" spans="1:14">
      <c r="A1394" s="222" t="s">
        <v>1687</v>
      </c>
      <c r="B1394" s="148" t="s">
        <v>1691</v>
      </c>
      <c r="C1394" s="205" t="s">
        <v>462</v>
      </c>
      <c r="D1394" s="477">
        <v>5</v>
      </c>
      <c r="E1394" s="219" t="s">
        <v>481</v>
      </c>
      <c r="F1394" s="219" t="s">
        <v>474</v>
      </c>
      <c r="G1394" s="122" t="s">
        <v>1058</v>
      </c>
      <c r="H1394" s="215">
        <v>1.08</v>
      </c>
      <c r="I1394" s="215">
        <v>3.6</v>
      </c>
      <c r="J1394" s="248" t="s">
        <v>724</v>
      </c>
      <c r="K1394" s="215">
        <v>1.8</v>
      </c>
      <c r="L1394" s="205" t="s">
        <v>41</v>
      </c>
    </row>
    <row r="1395" ht="13.05" customHeight="1" spans="1:14">
      <c r="A1395" s="222"/>
      <c r="B1395" s="54"/>
      <c r="C1395" s="111"/>
      <c r="D1395" s="477"/>
      <c r="E1395" s="222"/>
      <c r="F1395" s="222"/>
      <c r="G1395" s="122" t="s">
        <v>1059</v>
      </c>
      <c r="H1395" s="215">
        <v>1.19</v>
      </c>
      <c r="I1395" s="215">
        <v>0.75</v>
      </c>
      <c r="J1395" s="248" t="s">
        <v>859</v>
      </c>
      <c r="K1395" s="215">
        <v>1.85</v>
      </c>
      <c r="L1395" s="111"/>
    </row>
    <row r="1396" ht="13.05" customHeight="1" spans="1:14">
      <c r="A1396" s="222"/>
      <c r="B1396" s="54"/>
      <c r="C1396" s="111"/>
      <c r="D1396" s="477"/>
      <c r="E1396" s="222"/>
      <c r="F1396" s="222"/>
      <c r="G1396" s="122" t="s">
        <v>1060</v>
      </c>
      <c r="H1396" s="215">
        <v>1.25</v>
      </c>
      <c r="I1396" s="215">
        <v>0.2</v>
      </c>
      <c r="J1396" s="248" t="s">
        <v>859</v>
      </c>
      <c r="K1396" s="215">
        <v>2.05</v>
      </c>
      <c r="L1396" s="111"/>
      <c r="N1396" s="479"/>
    </row>
    <row r="1397" ht="13.05" customHeight="1" spans="1:14">
      <c r="A1397" s="222"/>
      <c r="B1397" s="54"/>
      <c r="C1397" s="111"/>
      <c r="D1397" s="477"/>
      <c r="E1397" s="222"/>
      <c r="F1397" s="222"/>
      <c r="G1397" s="122" t="s">
        <v>1061</v>
      </c>
      <c r="H1397" s="215">
        <v>1.33</v>
      </c>
      <c r="I1397" s="215">
        <v>0.2</v>
      </c>
      <c r="J1397" s="248" t="s">
        <v>1689</v>
      </c>
      <c r="K1397" s="215">
        <v>4.5</v>
      </c>
      <c r="L1397" s="111"/>
    </row>
    <row r="1398" ht="13.05" customHeight="1" spans="1:14">
      <c r="A1398" s="222"/>
      <c r="B1398" s="54"/>
      <c r="C1398" s="111"/>
      <c r="D1398" s="477"/>
      <c r="E1398" s="222"/>
      <c r="F1398" s="222"/>
      <c r="G1398" s="122" t="s">
        <v>503</v>
      </c>
      <c r="H1398" s="215">
        <v>1.75</v>
      </c>
      <c r="I1398" s="215">
        <v>0.25</v>
      </c>
      <c r="J1398" s="215" t="s">
        <v>24</v>
      </c>
      <c r="K1398" s="215" t="s">
        <v>24</v>
      </c>
      <c r="L1398" s="111"/>
    </row>
    <row r="1399" customHeight="1" spans="1:14">
      <c r="A1399" s="222" t="s">
        <v>1692</v>
      </c>
      <c r="B1399" s="148" t="s">
        <v>1693</v>
      </c>
      <c r="C1399" s="205" t="s">
        <v>462</v>
      </c>
      <c r="D1399" s="477">
        <v>20</v>
      </c>
      <c r="E1399" s="219" t="s">
        <v>477</v>
      </c>
      <c r="F1399" s="219" t="s">
        <v>490</v>
      </c>
      <c r="G1399" s="122" t="s">
        <v>1064</v>
      </c>
      <c r="H1399" s="215">
        <v>0.92</v>
      </c>
      <c r="I1399" s="215">
        <v>18</v>
      </c>
      <c r="J1399" s="248" t="s">
        <v>724</v>
      </c>
      <c r="K1399" s="215">
        <v>1.78</v>
      </c>
      <c r="L1399" s="205" t="s">
        <v>74</v>
      </c>
    </row>
    <row r="1400" ht="13.05" customHeight="1" spans="1:14">
      <c r="A1400" s="222"/>
      <c r="B1400" s="54"/>
      <c r="C1400" s="111"/>
      <c r="D1400" s="477"/>
      <c r="E1400" s="222"/>
      <c r="F1400" s="222"/>
      <c r="G1400" s="122" t="s">
        <v>1060</v>
      </c>
      <c r="H1400" s="215">
        <v>1.19</v>
      </c>
      <c r="I1400" s="215">
        <v>0.6</v>
      </c>
      <c r="J1400" s="248" t="s">
        <v>859</v>
      </c>
      <c r="K1400" s="215">
        <v>1.9</v>
      </c>
      <c r="L1400" s="111"/>
    </row>
    <row r="1401" ht="14" customHeight="1" spans="1:14">
      <c r="A1401" s="222"/>
      <c r="B1401" s="54"/>
      <c r="C1401" s="111"/>
      <c r="D1401" s="477"/>
      <c r="E1401" s="222"/>
      <c r="F1401" s="222"/>
      <c r="G1401" s="122" t="s">
        <v>503</v>
      </c>
      <c r="H1401" s="215">
        <v>1.67</v>
      </c>
      <c r="I1401" s="215">
        <v>1.4</v>
      </c>
      <c r="J1401" s="480" t="s">
        <v>24</v>
      </c>
      <c r="K1401" s="215" t="s">
        <v>24</v>
      </c>
      <c r="L1401" s="111"/>
    </row>
    <row r="1402" ht="13.05" customHeight="1" spans="1:14">
      <c r="A1402" s="481">
        <v>45993</v>
      </c>
      <c r="B1402" s="253" t="s">
        <v>1694</v>
      </c>
      <c r="C1402" s="482" t="s">
        <v>462</v>
      </c>
      <c r="D1402" s="264">
        <v>10</v>
      </c>
      <c r="E1402" s="165" t="s">
        <v>1057</v>
      </c>
      <c r="F1402" s="482" t="s">
        <v>474</v>
      </c>
      <c r="G1402" s="95" t="s">
        <v>1058</v>
      </c>
      <c r="H1402" s="215">
        <v>1.08</v>
      </c>
      <c r="I1402" s="215">
        <v>7.2</v>
      </c>
      <c r="J1402" s="215" t="s">
        <v>17</v>
      </c>
      <c r="K1402" s="215">
        <v>1.78</v>
      </c>
      <c r="L1402" s="165" t="s">
        <v>41</v>
      </c>
    </row>
    <row r="1403" ht="13.05" customHeight="1" spans="1:14">
      <c r="A1403" s="140"/>
      <c r="B1403" s="258"/>
      <c r="C1403" s="483"/>
      <c r="D1403" s="484"/>
      <c r="E1403" s="259"/>
      <c r="F1403" s="483"/>
      <c r="G1403" s="95" t="s">
        <v>1059</v>
      </c>
      <c r="H1403" s="215">
        <v>1.24</v>
      </c>
      <c r="I1403" s="215">
        <v>1.5</v>
      </c>
      <c r="J1403" s="215" t="s">
        <v>17</v>
      </c>
      <c r="K1403" s="215">
        <v>1.82</v>
      </c>
      <c r="L1403" s="259"/>
    </row>
    <row r="1404" ht="13.05" customHeight="1" spans="1:14">
      <c r="A1404" s="140"/>
      <c r="B1404" s="258"/>
      <c r="C1404" s="483"/>
      <c r="D1404" s="484"/>
      <c r="E1404" s="259"/>
      <c r="F1404" s="483"/>
      <c r="G1404" s="95" t="s">
        <v>1060</v>
      </c>
      <c r="H1404" s="215">
        <v>1.33</v>
      </c>
      <c r="I1404" s="215">
        <v>0.4</v>
      </c>
      <c r="J1404" s="215" t="s">
        <v>22</v>
      </c>
      <c r="K1404" s="215">
        <v>2.15</v>
      </c>
      <c r="L1404" s="259"/>
    </row>
    <row r="1405" ht="13.05" customHeight="1" spans="1:14">
      <c r="A1405" s="140"/>
      <c r="B1405" s="258"/>
      <c r="C1405" s="483"/>
      <c r="D1405" s="484"/>
      <c r="E1405" s="259"/>
      <c r="F1405" s="483"/>
      <c r="G1405" s="95" t="s">
        <v>1061</v>
      </c>
      <c r="H1405" s="215">
        <v>1.41</v>
      </c>
      <c r="I1405" s="215">
        <v>0.4</v>
      </c>
      <c r="J1405" s="215" t="s">
        <v>96</v>
      </c>
      <c r="K1405" s="215">
        <v>4.5</v>
      </c>
      <c r="L1405" s="259"/>
    </row>
    <row r="1406" ht="13.05" customHeight="1" spans="1:14">
      <c r="A1406" s="143"/>
      <c r="B1406" s="260"/>
      <c r="C1406" s="485"/>
      <c r="D1406" s="486"/>
      <c r="E1406" s="261"/>
      <c r="F1406" s="485"/>
      <c r="G1406" s="95" t="s">
        <v>1083</v>
      </c>
      <c r="H1406" s="215">
        <v>1.75</v>
      </c>
      <c r="I1406" s="215">
        <v>0.5</v>
      </c>
      <c r="J1406" s="215" t="s">
        <v>24</v>
      </c>
      <c r="K1406" s="215">
        <v>0</v>
      </c>
      <c r="L1406" s="261"/>
    </row>
    <row r="1407" ht="13.05" customHeight="1" spans="1:14">
      <c r="A1407" s="481">
        <v>45993</v>
      </c>
      <c r="B1407" s="487" t="s">
        <v>1695</v>
      </c>
      <c r="C1407" s="482" t="s">
        <v>459</v>
      </c>
      <c r="D1407" s="264">
        <v>10</v>
      </c>
      <c r="E1407" s="165" t="s">
        <v>1057</v>
      </c>
      <c r="F1407" s="482" t="s">
        <v>1696</v>
      </c>
      <c r="G1407" s="95" t="s">
        <v>1058</v>
      </c>
      <c r="H1407" s="215">
        <v>1.08</v>
      </c>
      <c r="I1407" s="215">
        <v>7.2</v>
      </c>
      <c r="J1407" s="215" t="s">
        <v>17</v>
      </c>
      <c r="K1407" s="215">
        <v>1.79</v>
      </c>
      <c r="L1407" s="165" t="s">
        <v>41</v>
      </c>
    </row>
    <row r="1408" ht="13.05" customHeight="1" spans="1:14">
      <c r="A1408" s="140"/>
      <c r="B1408" s="488"/>
      <c r="C1408" s="483"/>
      <c r="D1408" s="484"/>
      <c r="E1408" s="259"/>
      <c r="F1408" s="483"/>
      <c r="G1408" s="95" t="s">
        <v>1059</v>
      </c>
      <c r="H1408" s="215">
        <v>1.24</v>
      </c>
      <c r="I1408" s="215">
        <v>1.5</v>
      </c>
      <c r="J1408" s="215" t="s">
        <v>17</v>
      </c>
      <c r="K1408" s="215">
        <v>1.82</v>
      </c>
      <c r="L1408" s="259"/>
    </row>
    <row r="1409" ht="13.05" customHeight="1" spans="1:12">
      <c r="A1409" s="140"/>
      <c r="B1409" s="488"/>
      <c r="C1409" s="483"/>
      <c r="D1409" s="484"/>
      <c r="E1409" s="259"/>
      <c r="F1409" s="483"/>
      <c r="G1409" s="95" t="s">
        <v>1060</v>
      </c>
      <c r="H1409" s="215">
        <v>1.33</v>
      </c>
      <c r="I1409" s="215">
        <v>0.4</v>
      </c>
      <c r="J1409" s="215" t="s">
        <v>22</v>
      </c>
      <c r="K1409" s="215">
        <v>2.15</v>
      </c>
      <c r="L1409" s="259"/>
    </row>
    <row r="1410" ht="14" customHeight="1" spans="1:12">
      <c r="A1410" s="140"/>
      <c r="B1410" s="488"/>
      <c r="C1410" s="483"/>
      <c r="D1410" s="484"/>
      <c r="E1410" s="259"/>
      <c r="F1410" s="483"/>
      <c r="G1410" s="95" t="s">
        <v>1061</v>
      </c>
      <c r="H1410" s="215">
        <v>1.41</v>
      </c>
      <c r="I1410" s="215">
        <v>0.4</v>
      </c>
      <c r="J1410" s="215" t="s">
        <v>96</v>
      </c>
      <c r="K1410" s="215">
        <v>4.5</v>
      </c>
      <c r="L1410" s="259"/>
    </row>
    <row r="1411" ht="14" customHeight="1" spans="1:12">
      <c r="A1411" s="143"/>
      <c r="B1411" s="489"/>
      <c r="C1411" s="485"/>
      <c r="D1411" s="486"/>
      <c r="E1411" s="261"/>
      <c r="F1411" s="485"/>
      <c r="G1411" s="95" t="s">
        <v>1083</v>
      </c>
      <c r="H1411" s="215">
        <v>1.75</v>
      </c>
      <c r="I1411" s="250">
        <v>0.5</v>
      </c>
      <c r="J1411" s="215" t="s">
        <v>24</v>
      </c>
      <c r="K1411" s="215">
        <v>0</v>
      </c>
      <c r="L1411" s="261"/>
    </row>
    <row r="1412" ht="14" customHeight="1" spans="1:12">
      <c r="A1412" s="302">
        <v>45989</v>
      </c>
      <c r="B1412" s="487" t="s">
        <v>1697</v>
      </c>
      <c r="C1412" s="482" t="s">
        <v>459</v>
      </c>
      <c r="D1412" s="264">
        <v>10</v>
      </c>
      <c r="E1412" s="165" t="s">
        <v>1057</v>
      </c>
      <c r="F1412" s="482" t="s">
        <v>474</v>
      </c>
      <c r="G1412" s="112" t="s">
        <v>1121</v>
      </c>
      <c r="H1412" s="215">
        <v>1.07</v>
      </c>
      <c r="I1412" s="215">
        <v>7.2</v>
      </c>
      <c r="J1412" s="215" t="s">
        <v>17</v>
      </c>
      <c r="K1412" s="215">
        <v>1.79</v>
      </c>
      <c r="L1412" s="305" t="s">
        <v>41</v>
      </c>
    </row>
    <row r="1413" ht="14" customHeight="1" spans="1:12">
      <c r="A1413" s="306"/>
      <c r="B1413" s="488"/>
      <c r="C1413" s="483"/>
      <c r="D1413" s="484"/>
      <c r="E1413" s="259"/>
      <c r="F1413" s="483"/>
      <c r="G1413" s="112" t="s">
        <v>1122</v>
      </c>
      <c r="H1413" s="215">
        <v>1.27</v>
      </c>
      <c r="I1413" s="215">
        <v>1.6</v>
      </c>
      <c r="J1413" s="215" t="s">
        <v>17</v>
      </c>
      <c r="K1413" s="215">
        <v>1.83</v>
      </c>
      <c r="L1413" s="308"/>
    </row>
    <row r="1414" ht="13.05" customHeight="1" spans="1:12">
      <c r="A1414" s="306"/>
      <c r="B1414" s="488"/>
      <c r="C1414" s="483"/>
      <c r="D1414" s="484"/>
      <c r="E1414" s="259"/>
      <c r="F1414" s="483"/>
      <c r="G1414" s="112" t="s">
        <v>1048</v>
      </c>
      <c r="H1414" s="215">
        <v>1.32</v>
      </c>
      <c r="I1414" s="215">
        <v>0.35</v>
      </c>
      <c r="J1414" s="215" t="s">
        <v>22</v>
      </c>
      <c r="K1414" s="215">
        <v>2.08</v>
      </c>
      <c r="L1414" s="308"/>
    </row>
    <row r="1415" ht="13.05" customHeight="1" spans="1:12">
      <c r="A1415" s="306"/>
      <c r="B1415" s="488"/>
      <c r="C1415" s="483"/>
      <c r="D1415" s="484"/>
      <c r="E1415" s="259"/>
      <c r="F1415" s="483"/>
      <c r="G1415" s="112" t="s">
        <v>1050</v>
      </c>
      <c r="H1415" s="215">
        <v>1.4</v>
      </c>
      <c r="I1415" s="215">
        <v>0.35</v>
      </c>
      <c r="J1415" s="215" t="s">
        <v>96</v>
      </c>
      <c r="K1415" s="215">
        <v>4.5</v>
      </c>
      <c r="L1415" s="308"/>
    </row>
    <row r="1416" ht="13.05" customHeight="1" spans="1:12">
      <c r="A1416" s="309"/>
      <c r="B1416" s="489"/>
      <c r="C1416" s="485"/>
      <c r="D1416" s="486"/>
      <c r="E1416" s="261"/>
      <c r="F1416" s="485"/>
      <c r="G1416" s="112" t="s">
        <v>1051</v>
      </c>
      <c r="H1416" s="215">
        <v>1.74</v>
      </c>
      <c r="I1416" s="215">
        <v>0.5</v>
      </c>
      <c r="J1416" s="215" t="s">
        <v>24</v>
      </c>
      <c r="K1416" s="215" t="s">
        <v>24</v>
      </c>
      <c r="L1416" s="311"/>
    </row>
    <row r="1417" ht="14" customHeight="1" spans="1:12">
      <c r="A1417" s="302">
        <v>45989</v>
      </c>
      <c r="B1417" s="487" t="s">
        <v>1698</v>
      </c>
      <c r="C1417" s="482" t="s">
        <v>462</v>
      </c>
      <c r="D1417" s="264">
        <v>6</v>
      </c>
      <c r="E1417" s="165" t="s">
        <v>486</v>
      </c>
      <c r="F1417" s="482" t="s">
        <v>530</v>
      </c>
      <c r="G1417" s="112" t="s">
        <v>1137</v>
      </c>
      <c r="H1417" s="215">
        <v>1.03</v>
      </c>
      <c r="I1417" s="215">
        <v>5.91</v>
      </c>
      <c r="J1417" s="215" t="s">
        <v>17</v>
      </c>
      <c r="K1417" s="215">
        <v>2.45</v>
      </c>
      <c r="L1417" s="305" t="s">
        <v>1082</v>
      </c>
    </row>
    <row r="1418" spans="1:12">
      <c r="A1418" s="306"/>
      <c r="B1418" s="488"/>
      <c r="C1418" s="483"/>
      <c r="D1418" s="484"/>
      <c r="E1418" s="259"/>
      <c r="F1418" s="483"/>
      <c r="G1418" s="119" t="s">
        <v>1051</v>
      </c>
      <c r="H1418" s="272">
        <v>3.05</v>
      </c>
      <c r="I1418" s="272">
        <v>0.09</v>
      </c>
      <c r="J1418" s="797" t="s">
        <v>24</v>
      </c>
      <c r="K1418" s="272" t="s">
        <v>24</v>
      </c>
      <c r="L1418" s="308"/>
    </row>
    <row r="1419" spans="1:12">
      <c r="A1419" s="267">
        <v>46001</v>
      </c>
      <c r="B1419" s="122" t="s">
        <v>1699</v>
      </c>
      <c r="C1419" s="122" t="s">
        <v>462</v>
      </c>
      <c r="D1419" s="248">
        <v>10</v>
      </c>
      <c r="E1419" s="122" t="s">
        <v>1109</v>
      </c>
      <c r="F1419" s="122" t="s">
        <v>460</v>
      </c>
      <c r="G1419" s="112" t="s">
        <v>1588</v>
      </c>
      <c r="H1419" s="193">
        <v>1.05</v>
      </c>
      <c r="I1419" s="193">
        <v>8</v>
      </c>
      <c r="J1419" s="193" t="s">
        <v>17</v>
      </c>
      <c r="K1419" s="193">
        <v>1.78</v>
      </c>
      <c r="L1419" s="122" t="s">
        <v>27</v>
      </c>
    </row>
    <row r="1420" spans="1:12">
      <c r="A1420" s="267"/>
      <c r="B1420" s="122"/>
      <c r="C1420" s="122"/>
      <c r="D1420" s="248"/>
      <c r="E1420" s="122"/>
      <c r="F1420" s="122"/>
      <c r="G1420" s="112" t="s">
        <v>1585</v>
      </c>
      <c r="H1420" s="193">
        <v>1.05</v>
      </c>
      <c r="I1420" s="193">
        <v>0.61</v>
      </c>
      <c r="J1420" s="193" t="s">
        <v>22</v>
      </c>
      <c r="K1420" s="193">
        <v>1.85</v>
      </c>
      <c r="L1420" s="122"/>
    </row>
    <row r="1421" spans="1:12">
      <c r="A1421" s="267"/>
      <c r="B1421" s="122"/>
      <c r="C1421" s="122"/>
      <c r="D1421" s="248"/>
      <c r="E1421" s="122"/>
      <c r="F1421" s="122"/>
      <c r="G1421" s="112" t="s">
        <v>1051</v>
      </c>
      <c r="H1421" s="193">
        <v>3.04</v>
      </c>
      <c r="I1421" s="193">
        <v>1.39</v>
      </c>
      <c r="J1421" s="193" t="s">
        <v>24</v>
      </c>
      <c r="K1421" s="193" t="s">
        <v>24</v>
      </c>
      <c r="L1421" s="122"/>
    </row>
    <row r="1422" spans="1:12">
      <c r="A1422" s="267">
        <v>46003</v>
      </c>
      <c r="B1422" s="122" t="s">
        <v>1700</v>
      </c>
      <c r="C1422" s="122" t="s">
        <v>462</v>
      </c>
      <c r="D1422" s="248">
        <v>10</v>
      </c>
      <c r="E1422" s="122" t="s">
        <v>477</v>
      </c>
      <c r="F1422" s="122" t="s">
        <v>460</v>
      </c>
      <c r="G1422" s="112" t="s">
        <v>1588</v>
      </c>
      <c r="H1422" s="193">
        <v>0.92</v>
      </c>
      <c r="I1422" s="193">
        <v>9</v>
      </c>
      <c r="J1422" s="193" t="s">
        <v>17</v>
      </c>
      <c r="K1422" s="193">
        <v>1.78</v>
      </c>
      <c r="L1422" s="122" t="s">
        <v>74</v>
      </c>
    </row>
    <row r="1423" spans="1:12">
      <c r="A1423" s="95"/>
      <c r="B1423" s="122"/>
      <c r="C1423" s="122"/>
      <c r="D1423" s="248"/>
      <c r="E1423" s="122"/>
      <c r="F1423" s="122"/>
      <c r="G1423" s="112" t="s">
        <v>1585</v>
      </c>
      <c r="H1423" s="193">
        <v>1.18</v>
      </c>
      <c r="I1423" s="193">
        <v>0.3</v>
      </c>
      <c r="J1423" s="193" t="s">
        <v>22</v>
      </c>
      <c r="K1423" s="193">
        <v>1.9</v>
      </c>
      <c r="L1423" s="122"/>
    </row>
    <row r="1424" spans="1:12">
      <c r="A1424" s="95"/>
      <c r="B1424" s="122"/>
      <c r="C1424" s="122"/>
      <c r="D1424" s="248"/>
      <c r="E1424" s="122"/>
      <c r="F1424" s="122"/>
      <c r="G1424" s="112" t="s">
        <v>1051</v>
      </c>
      <c r="H1424" s="193">
        <v>1.66</v>
      </c>
      <c r="I1424" s="193">
        <v>0.7</v>
      </c>
      <c r="J1424" s="193" t="s">
        <v>24</v>
      </c>
      <c r="K1424" s="193" t="s">
        <v>24</v>
      </c>
      <c r="L1424" s="122"/>
    </row>
    <row r="1425" spans="1:12">
      <c r="A1425" s="267">
        <v>46002</v>
      </c>
      <c r="B1425" s="122" t="s">
        <v>1701</v>
      </c>
      <c r="C1425" s="122" t="s">
        <v>462</v>
      </c>
      <c r="D1425" s="248">
        <v>3</v>
      </c>
      <c r="E1425" s="122" t="s">
        <v>477</v>
      </c>
      <c r="F1425" s="122" t="s">
        <v>1063</v>
      </c>
      <c r="G1425" s="112" t="s">
        <v>1588</v>
      </c>
      <c r="H1425" s="193">
        <v>1.05</v>
      </c>
      <c r="I1425" s="193">
        <v>2.505</v>
      </c>
      <c r="J1425" s="193" t="s">
        <v>17</v>
      </c>
      <c r="K1425" s="193">
        <v>1.78</v>
      </c>
      <c r="L1425" s="122" t="s">
        <v>27</v>
      </c>
    </row>
    <row r="1426" spans="1:12">
      <c r="A1426" s="267"/>
      <c r="B1426" s="122"/>
      <c r="C1426" s="122"/>
      <c r="D1426" s="248"/>
      <c r="E1426" s="122"/>
      <c r="F1426" s="122"/>
      <c r="G1426" s="112" t="s">
        <v>1585</v>
      </c>
      <c r="H1426" s="193">
        <v>1.05</v>
      </c>
      <c r="I1426" s="193">
        <v>0.21</v>
      </c>
      <c r="J1426" s="193" t="s">
        <v>22</v>
      </c>
      <c r="K1426" s="193">
        <v>1.83</v>
      </c>
      <c r="L1426" s="122"/>
    </row>
    <row r="1427" spans="1:12">
      <c r="A1427" s="267"/>
      <c r="B1427" s="122"/>
      <c r="C1427" s="122"/>
      <c r="D1427" s="248"/>
      <c r="E1427" s="122"/>
      <c r="F1427" s="122"/>
      <c r="G1427" s="112" t="s">
        <v>1702</v>
      </c>
      <c r="H1427" s="193">
        <v>1.79</v>
      </c>
      <c r="I1427" s="193">
        <v>0.135</v>
      </c>
      <c r="J1427" s="193" t="s">
        <v>24</v>
      </c>
      <c r="K1427" s="193" t="s">
        <v>24</v>
      </c>
      <c r="L1427" s="122"/>
    </row>
    <row r="1428" spans="1:12">
      <c r="A1428" s="267"/>
      <c r="B1428" s="122"/>
      <c r="C1428" s="122"/>
      <c r="D1428" s="248"/>
      <c r="E1428" s="122"/>
      <c r="F1428" s="122"/>
      <c r="G1428" s="112" t="s">
        <v>1703</v>
      </c>
      <c r="H1428" s="193">
        <v>1.79</v>
      </c>
      <c r="I1428" s="193">
        <v>0.15</v>
      </c>
      <c r="J1428" s="193" t="s">
        <v>24</v>
      </c>
      <c r="K1428" s="193" t="s">
        <v>24</v>
      </c>
      <c r="L1428" s="122"/>
    </row>
    <row r="1429" ht="16.5" customHeight="1" spans="1:12">
      <c r="A1429" s="267">
        <v>46006</v>
      </c>
      <c r="B1429" s="122" t="s">
        <v>1704</v>
      </c>
      <c r="C1429" s="122" t="s">
        <v>459</v>
      </c>
      <c r="D1429" s="248">
        <v>9.3</v>
      </c>
      <c r="E1429" s="122" t="s">
        <v>1066</v>
      </c>
      <c r="F1429" s="122" t="s">
        <v>1054</v>
      </c>
      <c r="G1429" s="112" t="s">
        <v>1588</v>
      </c>
      <c r="H1429" s="193">
        <v>0.91</v>
      </c>
      <c r="I1429" s="193">
        <v>9</v>
      </c>
      <c r="J1429" s="193" t="s">
        <v>17</v>
      </c>
      <c r="K1429" s="193">
        <v>1.78</v>
      </c>
      <c r="L1429" s="122" t="s">
        <v>35</v>
      </c>
    </row>
    <row r="1430" spans="1:12">
      <c r="A1430" s="267"/>
      <c r="B1430" s="122"/>
      <c r="C1430" s="122"/>
      <c r="D1430" s="248"/>
      <c r="E1430" s="122"/>
      <c r="F1430" s="122"/>
      <c r="G1430" s="112" t="s">
        <v>1585</v>
      </c>
      <c r="H1430" s="193">
        <v>0.91</v>
      </c>
      <c r="I1430" s="193">
        <v>0.3</v>
      </c>
      <c r="J1430" s="193" t="s">
        <v>22</v>
      </c>
      <c r="K1430" s="193">
        <v>1.82</v>
      </c>
      <c r="L1430" s="122"/>
    </row>
    <row r="1431" spans="1:12">
      <c r="A1431" s="267">
        <v>46000</v>
      </c>
      <c r="B1431" s="122" t="s">
        <v>1705</v>
      </c>
      <c r="C1431" s="122" t="s">
        <v>462</v>
      </c>
      <c r="D1431" s="248">
        <v>10</v>
      </c>
      <c r="E1431" s="122" t="s">
        <v>477</v>
      </c>
      <c r="F1431" s="122" t="s">
        <v>1063</v>
      </c>
      <c r="G1431" s="112" t="s">
        <v>1588</v>
      </c>
      <c r="H1431" s="193">
        <v>1.06</v>
      </c>
      <c r="I1431" s="193">
        <v>8.4</v>
      </c>
      <c r="J1431" s="193" t="s">
        <v>17</v>
      </c>
      <c r="K1431" s="193">
        <v>1.78</v>
      </c>
      <c r="L1431" s="122" t="s">
        <v>18</v>
      </c>
    </row>
    <row r="1432" spans="1:12">
      <c r="A1432" s="267"/>
      <c r="B1432" s="122"/>
      <c r="C1432" s="122"/>
      <c r="D1432" s="248"/>
      <c r="E1432" s="122"/>
      <c r="F1432" s="122"/>
      <c r="G1432" s="112" t="s">
        <v>1585</v>
      </c>
      <c r="H1432" s="193">
        <v>1.22</v>
      </c>
      <c r="I1432" s="193">
        <v>0.6</v>
      </c>
      <c r="J1432" s="193" t="s">
        <v>17</v>
      </c>
      <c r="K1432" s="193">
        <v>1.8</v>
      </c>
      <c r="L1432" s="122"/>
    </row>
    <row r="1433" spans="1:12">
      <c r="A1433" s="267"/>
      <c r="B1433" s="122"/>
      <c r="C1433" s="122"/>
      <c r="D1433" s="248"/>
      <c r="E1433" s="122"/>
      <c r="F1433" s="122"/>
      <c r="G1433" s="112" t="s">
        <v>1590</v>
      </c>
      <c r="H1433" s="193">
        <v>1.39</v>
      </c>
      <c r="I1433" s="193">
        <v>0.5</v>
      </c>
      <c r="J1433" s="193" t="s">
        <v>22</v>
      </c>
      <c r="K1433" s="193">
        <v>2</v>
      </c>
      <c r="L1433" s="122"/>
    </row>
    <row r="1434" spans="1:12">
      <c r="A1434" s="267"/>
      <c r="B1434" s="122"/>
      <c r="C1434" s="122"/>
      <c r="D1434" s="248"/>
      <c r="E1434" s="122"/>
      <c r="F1434" s="122"/>
      <c r="G1434" s="112" t="s">
        <v>1051</v>
      </c>
      <c r="H1434" s="193">
        <v>2.6</v>
      </c>
      <c r="I1434" s="193">
        <v>0.5</v>
      </c>
      <c r="J1434" s="193" t="s">
        <v>24</v>
      </c>
      <c r="K1434" s="193" t="s">
        <v>24</v>
      </c>
      <c r="L1434" s="122"/>
    </row>
    <row r="1435" spans="1:12">
      <c r="A1435" s="267">
        <v>46014</v>
      </c>
      <c r="B1435" s="122" t="s">
        <v>1706</v>
      </c>
      <c r="C1435" s="122" t="s">
        <v>462</v>
      </c>
      <c r="D1435" s="248">
        <v>10</v>
      </c>
      <c r="E1435" s="122" t="s">
        <v>477</v>
      </c>
      <c r="F1435" s="122" t="s">
        <v>490</v>
      </c>
      <c r="G1435" s="112" t="s">
        <v>1588</v>
      </c>
      <c r="H1435" s="193">
        <v>0.96</v>
      </c>
      <c r="I1435" s="193">
        <v>9</v>
      </c>
      <c r="J1435" s="193" t="s">
        <v>17</v>
      </c>
      <c r="K1435" s="193">
        <v>1.77</v>
      </c>
      <c r="L1435" s="122" t="s">
        <v>74</v>
      </c>
    </row>
    <row r="1436" spans="1:12">
      <c r="A1436" s="267"/>
      <c r="B1436" s="122"/>
      <c r="C1436" s="122"/>
      <c r="D1436" s="248"/>
      <c r="E1436" s="122"/>
      <c r="F1436" s="122"/>
      <c r="G1436" s="112" t="s">
        <v>1585</v>
      </c>
      <c r="H1436" s="193">
        <v>1.21</v>
      </c>
      <c r="I1436" s="193">
        <v>0.3</v>
      </c>
      <c r="J1436" s="193" t="s">
        <v>22</v>
      </c>
      <c r="K1436" s="193">
        <v>1.9</v>
      </c>
      <c r="L1436" s="122"/>
    </row>
    <row r="1437" spans="1:12">
      <c r="A1437" s="267"/>
      <c r="B1437" s="122"/>
      <c r="C1437" s="122"/>
      <c r="D1437" s="248"/>
      <c r="E1437" s="122"/>
      <c r="F1437" s="122"/>
      <c r="G1437" s="112" t="s">
        <v>1051</v>
      </c>
      <c r="H1437" s="193">
        <v>1.72</v>
      </c>
      <c r="I1437" s="193">
        <v>0.7</v>
      </c>
      <c r="J1437" s="193" t="s">
        <v>24</v>
      </c>
      <c r="K1437" s="193" t="s">
        <v>24</v>
      </c>
      <c r="L1437" s="122"/>
    </row>
    <row r="1438" customHeight="1" spans="1:12">
      <c r="A1438" s="416">
        <v>46003</v>
      </c>
      <c r="B1438" s="80" t="s">
        <v>1707</v>
      </c>
      <c r="C1438" s="253" t="s">
        <v>462</v>
      </c>
      <c r="D1438" s="417">
        <v>30</v>
      </c>
      <c r="E1438" s="253" t="s">
        <v>1095</v>
      </c>
      <c r="F1438" s="253" t="s">
        <v>1096</v>
      </c>
      <c r="G1438" s="112" t="s">
        <v>1588</v>
      </c>
      <c r="H1438" s="193">
        <v>1</v>
      </c>
      <c r="I1438" s="193">
        <v>24</v>
      </c>
      <c r="J1438" s="193" t="s">
        <v>17</v>
      </c>
      <c r="K1438" s="193">
        <v>1.74</v>
      </c>
      <c r="L1438" s="253" t="s">
        <v>1097</v>
      </c>
    </row>
    <row r="1439" customHeight="1" spans="1:12">
      <c r="A1439" s="420"/>
      <c r="B1439" s="87"/>
      <c r="C1439" s="87"/>
      <c r="D1439" s="421"/>
      <c r="E1439" s="87"/>
      <c r="F1439" s="87"/>
      <c r="G1439" s="112" t="s">
        <v>1585</v>
      </c>
      <c r="H1439" s="193">
        <v>1</v>
      </c>
      <c r="I1439" s="193">
        <v>4.5</v>
      </c>
      <c r="J1439" s="193" t="s">
        <v>136</v>
      </c>
      <c r="K1439" s="193">
        <v>7.5</v>
      </c>
      <c r="L1439" s="258"/>
    </row>
    <row r="1440" customHeight="1" spans="1:12">
      <c r="A1440" s="418"/>
      <c r="B1440" s="83"/>
      <c r="C1440" s="83"/>
      <c r="D1440" s="419"/>
      <c r="E1440" s="83"/>
      <c r="F1440" s="83"/>
      <c r="G1440" s="112" t="s">
        <v>1200</v>
      </c>
      <c r="H1440" s="193">
        <v>1</v>
      </c>
      <c r="I1440" s="193">
        <v>1.5</v>
      </c>
      <c r="J1440" s="193" t="s">
        <v>44</v>
      </c>
      <c r="K1440" s="193" t="s">
        <v>24</v>
      </c>
      <c r="L1440" s="260"/>
    </row>
    <row r="1441" spans="1:14">
      <c r="A1441" s="464">
        <v>46010</v>
      </c>
      <c r="B1441" s="230" t="s">
        <v>1708</v>
      </c>
      <c r="C1441" s="232" t="s">
        <v>462</v>
      </c>
      <c r="D1441" s="231">
        <v>3</v>
      </c>
      <c r="E1441" s="232" t="s">
        <v>477</v>
      </c>
      <c r="F1441" s="232" t="s">
        <v>1709</v>
      </c>
      <c r="G1441" s="217" t="s">
        <v>1588</v>
      </c>
      <c r="H1441" s="193">
        <v>1.02</v>
      </c>
      <c r="I1441" s="193">
        <v>2.505</v>
      </c>
      <c r="J1441" s="193" t="s">
        <v>17</v>
      </c>
      <c r="K1441" s="193">
        <v>1.78</v>
      </c>
      <c r="L1441" s="232" t="s">
        <v>27</v>
      </c>
      <c r="N1441" s="124"/>
    </row>
    <row r="1442" spans="1:14">
      <c r="A1442" s="237"/>
      <c r="B1442" s="236"/>
      <c r="C1442" s="467"/>
      <c r="D1442" s="235"/>
      <c r="E1442" s="467"/>
      <c r="F1442" s="467"/>
      <c r="G1442" s="217" t="s">
        <v>1585</v>
      </c>
      <c r="H1442" s="193">
        <v>1.02</v>
      </c>
      <c r="I1442" s="193">
        <v>0.21</v>
      </c>
      <c r="J1442" s="193" t="s">
        <v>22</v>
      </c>
      <c r="K1442" s="193">
        <v>1.83</v>
      </c>
      <c r="L1442" s="467"/>
    </row>
    <row r="1443" spans="1:14">
      <c r="A1443" s="237"/>
      <c r="B1443" s="236"/>
      <c r="C1443" s="467"/>
      <c r="D1443" s="235"/>
      <c r="E1443" s="467"/>
      <c r="F1443" s="467"/>
      <c r="G1443" s="217" t="s">
        <v>1113</v>
      </c>
      <c r="H1443" s="193">
        <v>1.75</v>
      </c>
      <c r="I1443" s="193">
        <v>0.135</v>
      </c>
      <c r="J1443" s="274" t="s">
        <v>24</v>
      </c>
      <c r="K1443" s="193" t="s">
        <v>24</v>
      </c>
      <c r="L1443" s="467"/>
    </row>
    <row r="1444" spans="1:14">
      <c r="A1444" s="242"/>
      <c r="B1444" s="241"/>
      <c r="C1444" s="243"/>
      <c r="D1444" s="240"/>
      <c r="E1444" s="243"/>
      <c r="F1444" s="243"/>
      <c r="G1444" s="217" t="s">
        <v>1114</v>
      </c>
      <c r="H1444" s="193">
        <v>1.75</v>
      </c>
      <c r="I1444" s="193">
        <v>0.15</v>
      </c>
      <c r="J1444" s="274" t="s">
        <v>24</v>
      </c>
      <c r="K1444" s="193" t="s">
        <v>24</v>
      </c>
      <c r="L1444" s="243"/>
    </row>
    <row r="1445" spans="1:14">
      <c r="A1445" s="468" t="s">
        <v>1710</v>
      </c>
      <c r="B1445" s="230" t="s">
        <v>1711</v>
      </c>
      <c r="C1445" s="232" t="s">
        <v>459</v>
      </c>
      <c r="D1445" s="231">
        <v>4</v>
      </c>
      <c r="E1445" s="232" t="s">
        <v>486</v>
      </c>
      <c r="F1445" s="232" t="s">
        <v>474</v>
      </c>
      <c r="G1445" s="217" t="s">
        <v>1577</v>
      </c>
      <c r="H1445" s="215">
        <v>0.99</v>
      </c>
      <c r="I1445" s="215">
        <v>1.2</v>
      </c>
      <c r="J1445" s="193" t="s">
        <v>17</v>
      </c>
      <c r="K1445" s="215">
        <v>2.4</v>
      </c>
      <c r="L1445" s="232" t="s">
        <v>1082</v>
      </c>
    </row>
    <row r="1446" spans="1:14">
      <c r="A1446" s="237"/>
      <c r="B1446" s="236"/>
      <c r="C1446" s="467"/>
      <c r="D1446" s="235"/>
      <c r="E1446" s="467"/>
      <c r="F1446" s="467"/>
      <c r="G1446" s="217" t="s">
        <v>1578</v>
      </c>
      <c r="H1446" s="215">
        <v>1.99</v>
      </c>
      <c r="I1446" s="215">
        <v>1.6</v>
      </c>
      <c r="J1446" s="193" t="s">
        <v>17</v>
      </c>
      <c r="K1446" s="215">
        <v>2.7</v>
      </c>
      <c r="L1446" s="467"/>
    </row>
    <row r="1447" spans="1:14">
      <c r="A1447" s="237"/>
      <c r="B1447" s="236"/>
      <c r="C1447" s="467"/>
      <c r="D1447" s="235"/>
      <c r="E1447" s="467"/>
      <c r="F1447" s="467"/>
      <c r="G1447" s="217" t="s">
        <v>1712</v>
      </c>
      <c r="H1447" s="215">
        <v>2.99</v>
      </c>
      <c r="I1447" s="215">
        <v>1.14</v>
      </c>
      <c r="J1447" s="193" t="s">
        <v>17</v>
      </c>
      <c r="K1447" s="215">
        <v>3.6</v>
      </c>
      <c r="L1447" s="467"/>
    </row>
    <row r="1448" spans="1:14">
      <c r="A1448" s="242"/>
      <c r="B1448" s="241"/>
      <c r="C1448" s="243"/>
      <c r="D1448" s="240"/>
      <c r="E1448" s="243"/>
      <c r="F1448" s="243"/>
      <c r="G1448" s="217" t="s">
        <v>503</v>
      </c>
      <c r="H1448" s="215">
        <v>2.99</v>
      </c>
      <c r="I1448" s="215">
        <v>0.06</v>
      </c>
      <c r="J1448" s="215" t="s">
        <v>24</v>
      </c>
      <c r="K1448" s="215" t="s">
        <v>24</v>
      </c>
      <c r="L1448" s="243"/>
    </row>
    <row r="1449" spans="1:14">
      <c r="A1449" s="468" t="s">
        <v>1710</v>
      </c>
      <c r="B1449" s="230" t="s">
        <v>1713</v>
      </c>
      <c r="C1449" s="232" t="s">
        <v>459</v>
      </c>
      <c r="D1449" s="231">
        <v>10</v>
      </c>
      <c r="E1449" s="232" t="s">
        <v>492</v>
      </c>
      <c r="F1449" s="232" t="s">
        <v>487</v>
      </c>
      <c r="G1449" s="217" t="s">
        <v>1047</v>
      </c>
      <c r="H1449" s="215">
        <v>0.9</v>
      </c>
      <c r="I1449" s="215">
        <v>9</v>
      </c>
      <c r="J1449" s="193" t="s">
        <v>17</v>
      </c>
      <c r="K1449" s="215">
        <v>1.77</v>
      </c>
      <c r="L1449" s="232" t="s">
        <v>74</v>
      </c>
    </row>
    <row r="1450" spans="1:14">
      <c r="A1450" s="237"/>
      <c r="B1450" s="236"/>
      <c r="C1450" s="467"/>
      <c r="D1450" s="235"/>
      <c r="E1450" s="467"/>
      <c r="F1450" s="467"/>
      <c r="G1450" s="217" t="s">
        <v>1048</v>
      </c>
      <c r="H1450" s="215">
        <v>1.17</v>
      </c>
      <c r="I1450" s="215">
        <v>0.3</v>
      </c>
      <c r="J1450" s="193" t="s">
        <v>22</v>
      </c>
      <c r="K1450" s="215">
        <v>1.9</v>
      </c>
      <c r="L1450" s="467"/>
    </row>
    <row r="1451" spans="1:14">
      <c r="A1451" s="242"/>
      <c r="B1451" s="241"/>
      <c r="C1451" s="243"/>
      <c r="D1451" s="240"/>
      <c r="E1451" s="243"/>
      <c r="F1451" s="243"/>
      <c r="G1451" s="217" t="s">
        <v>503</v>
      </c>
      <c r="H1451" s="215">
        <v>1.65</v>
      </c>
      <c r="I1451" s="215">
        <v>0.7</v>
      </c>
      <c r="J1451" s="193" t="s">
        <v>24</v>
      </c>
      <c r="K1451" s="215" t="s">
        <v>24</v>
      </c>
      <c r="L1451" s="243"/>
    </row>
    <row r="1452" ht="24" spans="1:14">
      <c r="A1452" s="468" t="s">
        <v>1714</v>
      </c>
      <c r="B1452" s="255" t="s">
        <v>1715</v>
      </c>
      <c r="C1452" s="232" t="s">
        <v>462</v>
      </c>
      <c r="D1452" s="231">
        <v>2.3</v>
      </c>
      <c r="E1452" s="232" t="s">
        <v>1136</v>
      </c>
      <c r="F1452" s="232" t="s">
        <v>530</v>
      </c>
      <c r="G1452" s="217" t="s">
        <v>531</v>
      </c>
      <c r="H1452" s="215">
        <v>1.01</v>
      </c>
      <c r="I1452" s="215">
        <v>2.3</v>
      </c>
      <c r="J1452" s="193" t="s">
        <v>17</v>
      </c>
      <c r="K1452" s="215">
        <v>2.45</v>
      </c>
      <c r="L1452" s="232" t="s">
        <v>1082</v>
      </c>
    </row>
    <row r="1453" spans="1:14">
      <c r="A1453" s="468" t="s">
        <v>1716</v>
      </c>
      <c r="B1453" s="255" t="s">
        <v>1717</v>
      </c>
      <c r="C1453" s="232" t="s">
        <v>462</v>
      </c>
      <c r="D1453" s="231">
        <v>8</v>
      </c>
      <c r="E1453" s="232" t="s">
        <v>481</v>
      </c>
      <c r="F1453" s="232" t="s">
        <v>474</v>
      </c>
      <c r="G1453" s="217" t="s">
        <v>1121</v>
      </c>
      <c r="H1453" s="215">
        <v>1.08</v>
      </c>
      <c r="I1453" s="215">
        <v>5.76</v>
      </c>
      <c r="J1453" s="193" t="s">
        <v>17</v>
      </c>
      <c r="K1453" s="215">
        <v>1.8</v>
      </c>
      <c r="L1453" s="232" t="s">
        <v>41</v>
      </c>
    </row>
    <row r="1454" spans="1:14">
      <c r="A1454" s="237"/>
      <c r="B1454" s="236"/>
      <c r="C1454" s="467"/>
      <c r="D1454" s="235"/>
      <c r="E1454" s="467"/>
      <c r="F1454" s="467"/>
      <c r="G1454" s="217" t="s">
        <v>1122</v>
      </c>
      <c r="H1454" s="215">
        <v>1.24</v>
      </c>
      <c r="I1454" s="215">
        <v>1.2</v>
      </c>
      <c r="J1454" s="193" t="s">
        <v>17</v>
      </c>
      <c r="K1454" s="215">
        <v>1.98</v>
      </c>
      <c r="L1454" s="467"/>
    </row>
    <row r="1455" spans="1:14">
      <c r="A1455" s="237"/>
      <c r="B1455" s="236"/>
      <c r="C1455" s="467"/>
      <c r="D1455" s="235"/>
      <c r="E1455" s="467"/>
      <c r="F1455" s="467"/>
      <c r="G1455" s="217" t="s">
        <v>1048</v>
      </c>
      <c r="H1455" s="215">
        <v>1.28</v>
      </c>
      <c r="I1455" s="215">
        <v>0.32</v>
      </c>
      <c r="J1455" s="193" t="s">
        <v>22</v>
      </c>
      <c r="K1455" s="215">
        <v>2.2</v>
      </c>
      <c r="L1455" s="467"/>
    </row>
    <row r="1456" spans="1:14">
      <c r="A1456" s="237"/>
      <c r="B1456" s="236"/>
      <c r="C1456" s="467"/>
      <c r="D1456" s="235"/>
      <c r="E1456" s="467"/>
      <c r="F1456" s="467"/>
      <c r="G1456" s="217" t="s">
        <v>1050</v>
      </c>
      <c r="H1456" s="215">
        <v>1.32</v>
      </c>
      <c r="I1456" s="215">
        <v>0.32</v>
      </c>
      <c r="J1456" s="193" t="s">
        <v>44</v>
      </c>
      <c r="K1456" s="215">
        <v>4.5</v>
      </c>
      <c r="L1456" s="467"/>
    </row>
    <row r="1457" spans="1:12">
      <c r="A1457" s="242"/>
      <c r="B1457" s="241"/>
      <c r="C1457" s="243"/>
      <c r="D1457" s="240"/>
      <c r="E1457" s="243"/>
      <c r="F1457" s="243"/>
      <c r="G1457" s="217" t="s">
        <v>503</v>
      </c>
      <c r="H1457" s="215">
        <v>1.74</v>
      </c>
      <c r="I1457" s="215">
        <v>0.4</v>
      </c>
      <c r="J1457" s="215" t="s">
        <v>24</v>
      </c>
      <c r="K1457" s="215" t="s">
        <v>24</v>
      </c>
      <c r="L1457" s="243"/>
    </row>
    <row r="1458" spans="1:12">
      <c r="A1458" s="468" t="s">
        <v>1718</v>
      </c>
      <c r="B1458" s="255" t="s">
        <v>1719</v>
      </c>
      <c r="C1458" s="232" t="s">
        <v>462</v>
      </c>
      <c r="D1458" s="231">
        <v>7</v>
      </c>
      <c r="E1458" s="232" t="s">
        <v>477</v>
      </c>
      <c r="F1458" s="232" t="s">
        <v>474</v>
      </c>
      <c r="G1458" s="217" t="s">
        <v>1121</v>
      </c>
      <c r="H1458" s="215">
        <v>1.08</v>
      </c>
      <c r="I1458" s="215">
        <v>5.04</v>
      </c>
      <c r="J1458" s="193" t="s">
        <v>17</v>
      </c>
      <c r="K1458" s="215">
        <v>1.85</v>
      </c>
      <c r="L1458" s="232" t="s">
        <v>41</v>
      </c>
    </row>
    <row r="1459" spans="1:12">
      <c r="A1459" s="237"/>
      <c r="B1459" s="236"/>
      <c r="C1459" s="467"/>
      <c r="D1459" s="235"/>
      <c r="E1459" s="467"/>
      <c r="F1459" s="467"/>
      <c r="G1459" s="217" t="s">
        <v>1122</v>
      </c>
      <c r="H1459" s="215">
        <v>1.28</v>
      </c>
      <c r="I1459" s="215">
        <v>1.05</v>
      </c>
      <c r="J1459" s="193" t="s">
        <v>17</v>
      </c>
      <c r="K1459" s="215">
        <v>1.9</v>
      </c>
      <c r="L1459" s="467"/>
    </row>
    <row r="1460" spans="1:12">
      <c r="A1460" s="237"/>
      <c r="B1460" s="236"/>
      <c r="C1460" s="467"/>
      <c r="D1460" s="235"/>
      <c r="E1460" s="467"/>
      <c r="F1460" s="467"/>
      <c r="G1460" s="217" t="s">
        <v>1048</v>
      </c>
      <c r="H1460" s="215">
        <v>1.33</v>
      </c>
      <c r="I1460" s="215">
        <v>0.28</v>
      </c>
      <c r="J1460" s="193" t="s">
        <v>22</v>
      </c>
      <c r="K1460" s="215">
        <v>2.2</v>
      </c>
      <c r="L1460" s="467"/>
    </row>
    <row r="1461" spans="1:12">
      <c r="A1461" s="237"/>
      <c r="B1461" s="236"/>
      <c r="C1461" s="467"/>
      <c r="D1461" s="235"/>
      <c r="E1461" s="467"/>
      <c r="F1461" s="467"/>
      <c r="G1461" s="217" t="s">
        <v>1050</v>
      </c>
      <c r="H1461" s="215">
        <v>1.37</v>
      </c>
      <c r="I1461" s="215">
        <v>0.28</v>
      </c>
      <c r="J1461" s="193" t="s">
        <v>44</v>
      </c>
      <c r="K1461" s="215">
        <v>4.5</v>
      </c>
      <c r="L1461" s="467"/>
    </row>
    <row r="1462" spans="1:12">
      <c r="A1462" s="242"/>
      <c r="B1462" s="241"/>
      <c r="C1462" s="243"/>
      <c r="D1462" s="240"/>
      <c r="E1462" s="243"/>
      <c r="F1462" s="243"/>
      <c r="G1462" s="217" t="s">
        <v>503</v>
      </c>
      <c r="H1462" s="215">
        <v>1.75</v>
      </c>
      <c r="I1462" s="215">
        <v>0.35</v>
      </c>
      <c r="J1462" s="215" t="s">
        <v>24</v>
      </c>
      <c r="K1462" s="215" t="s">
        <v>24</v>
      </c>
      <c r="L1462" s="243"/>
    </row>
    <row r="1463" spans="1:12">
      <c r="A1463" s="468" t="s">
        <v>1710</v>
      </c>
      <c r="B1463" s="230" t="s">
        <v>1720</v>
      </c>
      <c r="C1463" s="232" t="s">
        <v>462</v>
      </c>
      <c r="D1463" s="231">
        <v>10</v>
      </c>
      <c r="E1463" s="232" t="s">
        <v>477</v>
      </c>
      <c r="F1463" s="232" t="s">
        <v>1709</v>
      </c>
      <c r="G1463" s="217" t="s">
        <v>1121</v>
      </c>
      <c r="H1463" s="215">
        <v>1.08</v>
      </c>
      <c r="I1463" s="215">
        <v>8.4</v>
      </c>
      <c r="J1463" s="193" t="s">
        <v>17</v>
      </c>
      <c r="K1463" s="215">
        <v>1.78</v>
      </c>
      <c r="L1463" s="232" t="s">
        <v>18</v>
      </c>
    </row>
    <row r="1464" spans="1:12">
      <c r="A1464" s="237"/>
      <c r="B1464" s="236"/>
      <c r="C1464" s="467"/>
      <c r="D1464" s="235"/>
      <c r="E1464" s="467"/>
      <c r="F1464" s="467"/>
      <c r="G1464" s="217" t="s">
        <v>1122</v>
      </c>
      <c r="H1464" s="215">
        <v>1.24</v>
      </c>
      <c r="I1464" s="215">
        <v>0.6</v>
      </c>
      <c r="J1464" s="193" t="s">
        <v>17</v>
      </c>
      <c r="K1464" s="215">
        <v>1.8</v>
      </c>
      <c r="L1464" s="467"/>
    </row>
    <row r="1465" spans="1:12">
      <c r="A1465" s="237"/>
      <c r="B1465" s="236"/>
      <c r="C1465" s="467"/>
      <c r="D1465" s="235"/>
      <c r="E1465" s="467"/>
      <c r="F1465" s="467"/>
      <c r="G1465" s="217" t="s">
        <v>1048</v>
      </c>
      <c r="H1465" s="215">
        <v>1.41</v>
      </c>
      <c r="I1465" s="215">
        <v>0.5</v>
      </c>
      <c r="J1465" s="193" t="s">
        <v>22</v>
      </c>
      <c r="K1465" s="215">
        <v>1.9</v>
      </c>
      <c r="L1465" s="467"/>
    </row>
    <row r="1466" spans="1:12">
      <c r="A1466" s="242"/>
      <c r="B1466" s="241"/>
      <c r="C1466" s="243"/>
      <c r="D1466" s="240"/>
      <c r="E1466" s="243"/>
      <c r="F1466" s="243"/>
      <c r="G1466" s="217" t="s">
        <v>503</v>
      </c>
      <c r="H1466" s="215">
        <v>2.62</v>
      </c>
      <c r="I1466" s="215">
        <v>0.5</v>
      </c>
      <c r="J1466" s="215" t="s">
        <v>24</v>
      </c>
      <c r="K1466" s="215" t="s">
        <v>24</v>
      </c>
      <c r="L1466" s="243"/>
    </row>
    <row r="1467" spans="1:12">
      <c r="A1467" s="468" t="s">
        <v>1716</v>
      </c>
      <c r="B1467" s="255" t="s">
        <v>1721</v>
      </c>
      <c r="C1467" s="232" t="s">
        <v>459</v>
      </c>
      <c r="D1467" s="231">
        <v>3</v>
      </c>
      <c r="E1467" s="232" t="s">
        <v>492</v>
      </c>
      <c r="F1467" s="232" t="s">
        <v>474</v>
      </c>
      <c r="G1467" s="217" t="s">
        <v>1047</v>
      </c>
      <c r="H1467" s="215">
        <v>1.49</v>
      </c>
      <c r="I1467" s="215">
        <v>2.5</v>
      </c>
      <c r="J1467" s="193" t="s">
        <v>17</v>
      </c>
      <c r="K1467" s="215">
        <v>2.2</v>
      </c>
      <c r="L1467" s="232" t="s">
        <v>123</v>
      </c>
    </row>
    <row r="1468" spans="1:12">
      <c r="A1468" s="237"/>
      <c r="B1468" s="236"/>
      <c r="C1468" s="467"/>
      <c r="D1468" s="235"/>
      <c r="E1468" s="467"/>
      <c r="F1468" s="467"/>
      <c r="G1468" s="217" t="s">
        <v>1048</v>
      </c>
      <c r="H1468" s="215">
        <v>1.49</v>
      </c>
      <c r="I1468" s="215">
        <v>0.2</v>
      </c>
      <c r="J1468" s="193" t="s">
        <v>22</v>
      </c>
      <c r="K1468" s="215">
        <v>2.7</v>
      </c>
      <c r="L1468" s="467"/>
    </row>
    <row r="1469" spans="1:12">
      <c r="A1469" s="237"/>
      <c r="B1469" s="236"/>
      <c r="C1469" s="467"/>
      <c r="D1469" s="235"/>
      <c r="E1469" s="467"/>
      <c r="F1469" s="467"/>
      <c r="G1469" s="217" t="s">
        <v>1050</v>
      </c>
      <c r="H1469" s="215">
        <v>1.49</v>
      </c>
      <c r="I1469" s="215">
        <v>0.15</v>
      </c>
      <c r="J1469" s="193" t="s">
        <v>44</v>
      </c>
      <c r="K1469" s="215">
        <v>3</v>
      </c>
      <c r="L1469" s="467"/>
    </row>
    <row r="1470" spans="1:12">
      <c r="A1470" s="242"/>
      <c r="B1470" s="241"/>
      <c r="C1470" s="243"/>
      <c r="D1470" s="240"/>
      <c r="E1470" s="243"/>
      <c r="F1470" s="243"/>
      <c r="G1470" s="217" t="s">
        <v>503</v>
      </c>
      <c r="H1470" s="215">
        <v>1.49</v>
      </c>
      <c r="I1470" s="215">
        <v>0.15</v>
      </c>
      <c r="J1470" s="215" t="s">
        <v>24</v>
      </c>
      <c r="K1470" s="215" t="s">
        <v>24</v>
      </c>
      <c r="L1470" s="243"/>
    </row>
    <row r="1471" spans="1:12">
      <c r="A1471" s="54" t="s">
        <v>1722</v>
      </c>
      <c r="B1471" s="148" t="s">
        <v>1723</v>
      </c>
      <c r="C1471" s="148" t="s">
        <v>462</v>
      </c>
      <c r="D1471" s="55">
        <v>10</v>
      </c>
      <c r="E1471" s="148" t="s">
        <v>536</v>
      </c>
      <c r="F1471" s="148" t="s">
        <v>495</v>
      </c>
      <c r="G1471" s="214" t="s">
        <v>1047</v>
      </c>
      <c r="H1471" s="250">
        <v>0.9</v>
      </c>
      <c r="I1471" s="250">
        <v>9</v>
      </c>
      <c r="J1471" s="250" t="s">
        <v>17</v>
      </c>
      <c r="K1471" s="250">
        <v>1.77</v>
      </c>
      <c r="L1471" s="148" t="s">
        <v>74</v>
      </c>
    </row>
    <row r="1472" ht="13.05" customHeight="1" spans="1:12">
      <c r="A1472" s="54"/>
      <c r="B1472" s="54"/>
      <c r="C1472" s="54"/>
      <c r="D1472" s="55"/>
      <c r="E1472" s="54"/>
      <c r="F1472" s="54"/>
      <c r="G1472" s="214" t="s">
        <v>1048</v>
      </c>
      <c r="H1472" s="250">
        <v>1.16</v>
      </c>
      <c r="I1472" s="250">
        <v>0.3</v>
      </c>
      <c r="J1472" s="250" t="s">
        <v>22</v>
      </c>
      <c r="K1472" s="250">
        <v>1.9</v>
      </c>
      <c r="L1472" s="54"/>
    </row>
    <row r="1473" ht="13.05" customHeight="1" spans="1:12">
      <c r="A1473" s="54"/>
      <c r="B1473" s="54"/>
      <c r="C1473" s="54"/>
      <c r="D1473" s="55"/>
      <c r="E1473" s="54"/>
      <c r="F1473" s="54"/>
      <c r="G1473" s="214" t="s">
        <v>503</v>
      </c>
      <c r="H1473" s="250">
        <v>1.64</v>
      </c>
      <c r="I1473" s="250">
        <v>0.7</v>
      </c>
      <c r="J1473" s="250" t="s">
        <v>24</v>
      </c>
      <c r="K1473" s="250" t="s">
        <v>24</v>
      </c>
      <c r="L1473" s="54"/>
    </row>
    <row r="1474" spans="1:12">
      <c r="A1474" s="54" t="s">
        <v>1724</v>
      </c>
      <c r="B1474" s="148" t="s">
        <v>1725</v>
      </c>
      <c r="C1474" s="148" t="s">
        <v>459</v>
      </c>
      <c r="D1474" s="55">
        <v>4</v>
      </c>
      <c r="E1474" s="148" t="s">
        <v>486</v>
      </c>
      <c r="F1474" s="148" t="s">
        <v>474</v>
      </c>
      <c r="G1474" s="214" t="s">
        <v>1577</v>
      </c>
      <c r="H1474" s="250">
        <v>0.98</v>
      </c>
      <c r="I1474" s="250">
        <v>1.2</v>
      </c>
      <c r="J1474" s="49" t="s">
        <v>17</v>
      </c>
      <c r="K1474" s="250">
        <v>2.4</v>
      </c>
      <c r="L1474" s="245" t="s">
        <v>1082</v>
      </c>
    </row>
    <row r="1475" ht="13.05" customHeight="1" spans="1:12">
      <c r="A1475" s="54"/>
      <c r="B1475" s="54"/>
      <c r="C1475" s="54"/>
      <c r="D1475" s="55"/>
      <c r="E1475" s="54"/>
      <c r="F1475" s="54"/>
      <c r="G1475" s="214" t="s">
        <v>1578</v>
      </c>
      <c r="H1475" s="250">
        <v>1.98</v>
      </c>
      <c r="I1475" s="250">
        <v>1.6</v>
      </c>
      <c r="J1475" s="49" t="s">
        <v>17</v>
      </c>
      <c r="K1475" s="250">
        <v>2.7</v>
      </c>
      <c r="L1475" s="247"/>
    </row>
    <row r="1476" ht="13.05" customHeight="1" spans="1:12">
      <c r="A1476" s="54"/>
      <c r="B1476" s="54"/>
      <c r="C1476" s="54"/>
      <c r="D1476" s="55"/>
      <c r="E1476" s="54"/>
      <c r="F1476" s="54"/>
      <c r="G1476" s="214" t="s">
        <v>1712</v>
      </c>
      <c r="H1476" s="250">
        <v>2.98</v>
      </c>
      <c r="I1476" s="250">
        <v>1.14</v>
      </c>
      <c r="J1476" s="49" t="s">
        <v>17</v>
      </c>
      <c r="K1476" s="250">
        <v>3.6</v>
      </c>
      <c r="L1476" s="247"/>
    </row>
    <row r="1477" ht="13.05" customHeight="1" spans="1:12">
      <c r="A1477" s="54"/>
      <c r="B1477" s="54"/>
      <c r="C1477" s="54"/>
      <c r="D1477" s="55"/>
      <c r="E1477" s="54"/>
      <c r="F1477" s="54"/>
      <c r="G1477" s="214" t="s">
        <v>503</v>
      </c>
      <c r="H1477" s="250">
        <v>2.98</v>
      </c>
      <c r="I1477" s="250">
        <v>0.06</v>
      </c>
      <c r="J1477" s="250" t="s">
        <v>24</v>
      </c>
      <c r="K1477" s="250" t="s">
        <v>24</v>
      </c>
      <c r="L1477" s="247"/>
    </row>
    <row r="1478" spans="1:12">
      <c r="A1478" s="54" t="s">
        <v>1724</v>
      </c>
      <c r="B1478" s="148" t="s">
        <v>1726</v>
      </c>
      <c r="C1478" s="148" t="s">
        <v>462</v>
      </c>
      <c r="D1478" s="55">
        <v>4</v>
      </c>
      <c r="E1478" s="148" t="s">
        <v>1277</v>
      </c>
      <c r="F1478" s="148" t="s">
        <v>460</v>
      </c>
      <c r="G1478" s="214" t="s">
        <v>1047</v>
      </c>
      <c r="H1478" s="250">
        <v>1.92</v>
      </c>
      <c r="I1478" s="250">
        <v>3.28</v>
      </c>
      <c r="J1478" s="49" t="s">
        <v>17</v>
      </c>
      <c r="K1478" s="250">
        <v>2.1</v>
      </c>
      <c r="L1478" s="148" t="s">
        <v>355</v>
      </c>
    </row>
    <row r="1479" ht="13.05" customHeight="1" spans="1:12">
      <c r="A1479" s="54"/>
      <c r="B1479" s="54"/>
      <c r="C1479" s="54"/>
      <c r="D1479" s="55"/>
      <c r="E1479" s="54"/>
      <c r="F1479" s="54"/>
      <c r="G1479" s="214" t="s">
        <v>1048</v>
      </c>
      <c r="H1479" s="250">
        <v>1.92</v>
      </c>
      <c r="I1479" s="250">
        <v>0.18</v>
      </c>
      <c r="J1479" s="49" t="s">
        <v>22</v>
      </c>
      <c r="K1479" s="250">
        <v>2.3</v>
      </c>
      <c r="L1479" s="54"/>
    </row>
    <row r="1480" ht="13.05" customHeight="1" spans="1:12">
      <c r="A1480" s="54"/>
      <c r="B1480" s="54"/>
      <c r="C1480" s="54"/>
      <c r="D1480" s="55"/>
      <c r="E1480" s="54"/>
      <c r="F1480" s="54"/>
      <c r="G1480" s="214" t="s">
        <v>1050</v>
      </c>
      <c r="H1480" s="250">
        <v>2</v>
      </c>
      <c r="I1480" s="250">
        <v>0.16</v>
      </c>
      <c r="J1480" s="49" t="s">
        <v>351</v>
      </c>
      <c r="K1480" s="250">
        <v>2.7</v>
      </c>
      <c r="L1480" s="54"/>
    </row>
    <row r="1481" ht="13.05" customHeight="1" spans="1:12">
      <c r="A1481" s="54"/>
      <c r="B1481" s="54"/>
      <c r="C1481" s="54"/>
      <c r="D1481" s="55"/>
      <c r="E1481" s="54"/>
      <c r="F1481" s="54"/>
      <c r="G1481" s="214" t="s">
        <v>503</v>
      </c>
      <c r="H1481" s="250">
        <v>2</v>
      </c>
      <c r="I1481" s="250">
        <v>0.38</v>
      </c>
      <c r="J1481" s="250" t="s">
        <v>24</v>
      </c>
      <c r="K1481" s="250" t="s">
        <v>24</v>
      </c>
      <c r="L1481" s="54"/>
    </row>
    <row r="1482" ht="13.05" customHeight="1" spans="1:12">
      <c r="A1482" s="276">
        <v>46016</v>
      </c>
      <c r="B1482" s="148" t="s">
        <v>1727</v>
      </c>
      <c r="C1482" s="148" t="s">
        <v>459</v>
      </c>
      <c r="D1482" s="55">
        <v>9.3</v>
      </c>
      <c r="E1482" s="148" t="s">
        <v>1066</v>
      </c>
      <c r="F1482" s="148" t="s">
        <v>1054</v>
      </c>
      <c r="G1482" s="214" t="s">
        <v>1047</v>
      </c>
      <c r="H1482" s="250">
        <v>1</v>
      </c>
      <c r="I1482" s="250">
        <v>9</v>
      </c>
      <c r="J1482" s="49" t="s">
        <v>17</v>
      </c>
      <c r="K1482" s="250">
        <v>1.8</v>
      </c>
      <c r="L1482" s="148" t="s">
        <v>35</v>
      </c>
    </row>
    <row r="1483" ht="13.05" customHeight="1" spans="1:12">
      <c r="A1483" s="54"/>
      <c r="B1483" s="54"/>
      <c r="C1483" s="54"/>
      <c r="D1483" s="55"/>
      <c r="E1483" s="54"/>
      <c r="F1483" s="54"/>
      <c r="G1483" s="214" t="s">
        <v>1048</v>
      </c>
      <c r="H1483" s="250">
        <v>1</v>
      </c>
      <c r="I1483" s="250">
        <v>0.3</v>
      </c>
      <c r="J1483" s="49" t="s">
        <v>22</v>
      </c>
      <c r="K1483" s="250">
        <v>1.81</v>
      </c>
      <c r="L1483" s="54"/>
    </row>
    <row r="1484" ht="13.05" customHeight="1" spans="1:12">
      <c r="A1484" s="54" t="s">
        <v>1728</v>
      </c>
      <c r="B1484" s="148" t="s">
        <v>1729</v>
      </c>
      <c r="C1484" s="148" t="s">
        <v>459</v>
      </c>
      <c r="D1484" s="55">
        <v>9.3</v>
      </c>
      <c r="E1484" s="148" t="s">
        <v>1066</v>
      </c>
      <c r="F1484" s="148" t="s">
        <v>1054</v>
      </c>
      <c r="G1484" s="214" t="s">
        <v>1047</v>
      </c>
      <c r="H1484" s="250">
        <v>1</v>
      </c>
      <c r="I1484" s="250">
        <v>9</v>
      </c>
      <c r="J1484" s="49" t="s">
        <v>17</v>
      </c>
      <c r="K1484" s="250">
        <v>1.8</v>
      </c>
      <c r="L1484" s="148" t="s">
        <v>35</v>
      </c>
    </row>
    <row r="1485" ht="13.05" customHeight="1" spans="1:12">
      <c r="A1485" s="54"/>
      <c r="B1485" s="54"/>
      <c r="C1485" s="54"/>
      <c r="D1485" s="55"/>
      <c r="E1485" s="54"/>
      <c r="F1485" s="54"/>
      <c r="G1485" s="214" t="s">
        <v>1048</v>
      </c>
      <c r="H1485" s="250">
        <v>1</v>
      </c>
      <c r="I1485" s="250">
        <v>0.3</v>
      </c>
      <c r="J1485" s="49" t="s">
        <v>22</v>
      </c>
      <c r="K1485" s="250">
        <v>1.82</v>
      </c>
      <c r="L1485" s="54"/>
    </row>
    <row r="1486" ht="13.05" customHeight="1" spans="1:12">
      <c r="A1486" s="302" t="s">
        <v>1730</v>
      </c>
      <c r="B1486" s="253" t="s">
        <v>1731</v>
      </c>
      <c r="C1486" s="253" t="s">
        <v>462</v>
      </c>
      <c r="D1486" s="81">
        <v>6</v>
      </c>
      <c r="E1486" s="253" t="s">
        <v>477</v>
      </c>
      <c r="F1486" s="253" t="s">
        <v>1709</v>
      </c>
      <c r="G1486" s="214" t="s">
        <v>1047</v>
      </c>
      <c r="H1486" s="250">
        <v>0.99</v>
      </c>
      <c r="I1486" s="250">
        <v>5.16</v>
      </c>
      <c r="J1486" s="49" t="s">
        <v>17</v>
      </c>
      <c r="K1486" s="250">
        <v>2</v>
      </c>
      <c r="L1486" s="253" t="s">
        <v>35</v>
      </c>
    </row>
    <row r="1487" ht="13.05" customHeight="1" spans="1:12">
      <c r="A1487" s="306"/>
      <c r="B1487" s="258"/>
      <c r="C1487" s="258"/>
      <c r="D1487" s="107"/>
      <c r="E1487" s="258"/>
      <c r="F1487" s="258"/>
      <c r="G1487" s="214" t="s">
        <v>1048</v>
      </c>
      <c r="H1487" s="250">
        <v>0.99</v>
      </c>
      <c r="I1487" s="250">
        <v>0.24</v>
      </c>
      <c r="J1487" s="49" t="s">
        <v>22</v>
      </c>
      <c r="K1487" s="250">
        <v>2.2</v>
      </c>
      <c r="L1487" s="258"/>
    </row>
    <row r="1488" spans="1:12">
      <c r="A1488" s="306"/>
      <c r="B1488" s="258"/>
      <c r="C1488" s="258"/>
      <c r="D1488" s="107"/>
      <c r="E1488" s="258"/>
      <c r="F1488" s="258"/>
      <c r="G1488" s="214" t="s">
        <v>1050</v>
      </c>
      <c r="H1488" s="250">
        <v>0.99</v>
      </c>
      <c r="I1488" s="250">
        <v>0.3</v>
      </c>
      <c r="J1488" s="49" t="s">
        <v>64</v>
      </c>
      <c r="K1488" s="250">
        <v>3.3</v>
      </c>
      <c r="L1488" s="258"/>
    </row>
    <row r="1489" spans="1:12">
      <c r="A1489" s="309"/>
      <c r="B1489" s="260"/>
      <c r="C1489" s="260"/>
      <c r="D1489" s="84"/>
      <c r="E1489" s="260"/>
      <c r="F1489" s="260"/>
      <c r="G1489" s="214" t="s">
        <v>503</v>
      </c>
      <c r="H1489" s="250">
        <v>1.57</v>
      </c>
      <c r="I1489" s="250">
        <v>0.3</v>
      </c>
      <c r="J1489" s="250" t="s">
        <v>24</v>
      </c>
      <c r="K1489" s="250" t="s">
        <v>24</v>
      </c>
      <c r="L1489" s="260"/>
    </row>
    <row r="1490" spans="1:12">
      <c r="A1490" s="302" t="s">
        <v>1730</v>
      </c>
      <c r="B1490" s="253" t="s">
        <v>1732</v>
      </c>
      <c r="C1490" s="253" t="s">
        <v>462</v>
      </c>
      <c r="D1490" s="81">
        <v>10</v>
      </c>
      <c r="E1490" s="253" t="s">
        <v>477</v>
      </c>
      <c r="F1490" s="253" t="s">
        <v>1140</v>
      </c>
      <c r="G1490" s="214" t="s">
        <v>1047</v>
      </c>
      <c r="H1490" s="250">
        <v>1.49</v>
      </c>
      <c r="I1490" s="250">
        <v>8.3</v>
      </c>
      <c r="J1490" s="49" t="s">
        <v>17</v>
      </c>
      <c r="K1490" s="250">
        <v>2</v>
      </c>
      <c r="L1490" s="253" t="s">
        <v>35</v>
      </c>
    </row>
    <row r="1491" spans="1:12">
      <c r="A1491" s="306"/>
      <c r="B1491" s="258"/>
      <c r="C1491" s="258"/>
      <c r="D1491" s="107"/>
      <c r="E1491" s="258"/>
      <c r="F1491" s="258"/>
      <c r="G1491" s="214" t="s">
        <v>1048</v>
      </c>
      <c r="H1491" s="250">
        <v>1.49</v>
      </c>
      <c r="I1491" s="250">
        <v>0.5</v>
      </c>
      <c r="J1491" s="49" t="s">
        <v>22</v>
      </c>
      <c r="K1491" s="250">
        <v>2.2</v>
      </c>
      <c r="L1491" s="258"/>
    </row>
    <row r="1492" spans="1:12">
      <c r="A1492" s="306"/>
      <c r="B1492" s="258"/>
      <c r="C1492" s="258"/>
      <c r="D1492" s="107"/>
      <c r="E1492" s="258"/>
      <c r="F1492" s="258"/>
      <c r="G1492" s="214" t="s">
        <v>509</v>
      </c>
      <c r="H1492" s="250">
        <v>1.99</v>
      </c>
      <c r="I1492" s="250">
        <v>0.7</v>
      </c>
      <c r="J1492" s="49" t="s">
        <v>100</v>
      </c>
      <c r="K1492" s="250">
        <v>3.2</v>
      </c>
      <c r="L1492" s="258"/>
    </row>
    <row r="1493" spans="1:12">
      <c r="A1493" s="306"/>
      <c r="B1493" s="260"/>
      <c r="C1493" s="260"/>
      <c r="D1493" s="84"/>
      <c r="E1493" s="260"/>
      <c r="F1493" s="260"/>
      <c r="G1493" s="214" t="s">
        <v>503</v>
      </c>
      <c r="H1493" s="250">
        <v>1.99</v>
      </c>
      <c r="I1493" s="250">
        <v>0.5</v>
      </c>
      <c r="J1493" s="250" t="s">
        <v>24</v>
      </c>
      <c r="K1493" s="250" t="s">
        <v>24</v>
      </c>
      <c r="L1493" s="260"/>
    </row>
    <row r="1494" spans="1:12">
      <c r="A1494" s="302" t="s">
        <v>1733</v>
      </c>
      <c r="B1494" s="253" t="s">
        <v>1734</v>
      </c>
      <c r="C1494" s="253" t="s">
        <v>462</v>
      </c>
      <c r="D1494" s="81">
        <v>6</v>
      </c>
      <c r="E1494" s="253" t="s">
        <v>486</v>
      </c>
      <c r="F1494" s="253" t="s">
        <v>460</v>
      </c>
      <c r="G1494" s="214" t="s">
        <v>1047</v>
      </c>
      <c r="H1494" s="250">
        <v>1.83</v>
      </c>
      <c r="I1494" s="250">
        <v>5.28</v>
      </c>
      <c r="J1494" s="250" t="s">
        <v>17</v>
      </c>
      <c r="K1494" s="250">
        <v>1.78</v>
      </c>
      <c r="L1494" s="253" t="s">
        <v>86</v>
      </c>
    </row>
    <row r="1495" spans="1:12">
      <c r="A1495" s="306"/>
      <c r="B1495" s="258"/>
      <c r="C1495" s="258"/>
      <c r="D1495" s="107"/>
      <c r="E1495" s="258"/>
      <c r="F1495" s="258"/>
      <c r="G1495" s="214" t="s">
        <v>1048</v>
      </c>
      <c r="H1495" s="250">
        <v>1.92</v>
      </c>
      <c r="I1495" s="250">
        <v>0.24</v>
      </c>
      <c r="J1495" s="49" t="s">
        <v>22</v>
      </c>
      <c r="K1495" s="250">
        <v>1.95</v>
      </c>
      <c r="L1495" s="258"/>
    </row>
    <row r="1496" spans="1:12">
      <c r="A1496" s="306"/>
      <c r="B1496" s="258"/>
      <c r="C1496" s="258"/>
      <c r="D1496" s="107"/>
      <c r="E1496" s="258"/>
      <c r="F1496" s="258"/>
      <c r="G1496" s="214" t="s">
        <v>1050</v>
      </c>
      <c r="H1496" s="250">
        <v>1.99</v>
      </c>
      <c r="I1496" s="250">
        <v>0.18</v>
      </c>
      <c r="J1496" s="49" t="s">
        <v>96</v>
      </c>
      <c r="K1496" s="250">
        <v>4</v>
      </c>
      <c r="L1496" s="258"/>
    </row>
    <row r="1497" spans="1:12">
      <c r="A1497" s="306"/>
      <c r="B1497" s="260"/>
      <c r="C1497" s="260"/>
      <c r="D1497" s="84"/>
      <c r="E1497" s="260"/>
      <c r="F1497" s="260"/>
      <c r="G1497" s="214" t="s">
        <v>503</v>
      </c>
      <c r="H1497" s="250">
        <v>1.99</v>
      </c>
      <c r="I1497" s="250">
        <v>0.3</v>
      </c>
      <c r="J1497" s="250" t="s">
        <v>24</v>
      </c>
      <c r="K1497" s="250" t="s">
        <v>24</v>
      </c>
      <c r="L1497" s="260"/>
    </row>
    <row r="1498" spans="1:12">
      <c r="A1498" s="302" t="s">
        <v>1733</v>
      </c>
      <c r="B1498" s="148" t="s">
        <v>1735</v>
      </c>
      <c r="C1498" s="148" t="s">
        <v>459</v>
      </c>
      <c r="D1498" s="55">
        <v>5</v>
      </c>
      <c r="E1498" s="148" t="s">
        <v>477</v>
      </c>
      <c r="F1498" s="148" t="s">
        <v>474</v>
      </c>
      <c r="G1498" s="214" t="s">
        <v>1047</v>
      </c>
      <c r="H1498" s="250">
        <v>0.99</v>
      </c>
      <c r="I1498" s="250">
        <v>4.4</v>
      </c>
      <c r="J1498" s="250" t="s">
        <v>17</v>
      </c>
      <c r="K1498" s="250">
        <v>1.85</v>
      </c>
      <c r="L1498" s="253" t="s">
        <v>41</v>
      </c>
    </row>
    <row r="1499" spans="1:12">
      <c r="A1499" s="306"/>
      <c r="B1499" s="54"/>
      <c r="C1499" s="54"/>
      <c r="D1499" s="55"/>
      <c r="E1499" s="54"/>
      <c r="F1499" s="54"/>
      <c r="G1499" s="214" t="s">
        <v>1048</v>
      </c>
      <c r="H1499" s="250">
        <v>0.99</v>
      </c>
      <c r="I1499" s="250">
        <v>0.17</v>
      </c>
      <c r="J1499" s="49" t="s">
        <v>22</v>
      </c>
      <c r="K1499" s="250">
        <v>2.3</v>
      </c>
      <c r="L1499" s="258"/>
    </row>
    <row r="1500" spans="1:12">
      <c r="A1500" s="306"/>
      <c r="B1500" s="54"/>
      <c r="C1500" s="54"/>
      <c r="D1500" s="55"/>
      <c r="E1500" s="54"/>
      <c r="F1500" s="54"/>
      <c r="G1500" s="214" t="s">
        <v>1050</v>
      </c>
      <c r="H1500" s="250">
        <v>0.99</v>
      </c>
      <c r="I1500" s="250">
        <v>0.18</v>
      </c>
      <c r="J1500" s="250" t="s">
        <v>136</v>
      </c>
      <c r="K1500" s="250">
        <v>4.5</v>
      </c>
      <c r="L1500" s="258"/>
    </row>
    <row r="1501" spans="1:12">
      <c r="A1501" s="309"/>
      <c r="B1501" s="54"/>
      <c r="C1501" s="54"/>
      <c r="D1501" s="55"/>
      <c r="E1501" s="54"/>
      <c r="F1501" s="54"/>
      <c r="G1501" s="214" t="s">
        <v>503</v>
      </c>
      <c r="H1501" s="250">
        <v>2.75</v>
      </c>
      <c r="I1501" s="250">
        <v>0.25</v>
      </c>
      <c r="J1501" s="250" t="s">
        <v>24</v>
      </c>
      <c r="K1501" s="250" t="s">
        <v>24</v>
      </c>
      <c r="L1501" s="260"/>
    </row>
    <row r="1502" spans="1:12">
      <c r="A1502" s="302" t="s">
        <v>1736</v>
      </c>
      <c r="B1502" s="148" t="s">
        <v>1737</v>
      </c>
      <c r="C1502" s="148" t="s">
        <v>459</v>
      </c>
      <c r="D1502" s="55">
        <v>10</v>
      </c>
      <c r="E1502" s="148" t="s">
        <v>1057</v>
      </c>
      <c r="F1502" s="148" t="s">
        <v>474</v>
      </c>
      <c r="G1502" s="214" t="s">
        <v>1121</v>
      </c>
      <c r="H1502" s="250">
        <v>1.08</v>
      </c>
      <c r="I1502" s="250">
        <v>7.2</v>
      </c>
      <c r="J1502" s="250" t="s">
        <v>17</v>
      </c>
      <c r="K1502" s="250">
        <v>1.89</v>
      </c>
      <c r="L1502" s="253" t="s">
        <v>41</v>
      </c>
    </row>
    <row r="1503" spans="1:12">
      <c r="A1503" s="306"/>
      <c r="B1503" s="54"/>
      <c r="C1503" s="54"/>
      <c r="D1503" s="55"/>
      <c r="E1503" s="54"/>
      <c r="F1503" s="54"/>
      <c r="G1503" s="214" t="s">
        <v>1122</v>
      </c>
      <c r="H1503" s="250">
        <v>1.33</v>
      </c>
      <c r="I1503" s="250">
        <v>1.6</v>
      </c>
      <c r="J1503" s="49" t="s">
        <v>17</v>
      </c>
      <c r="K1503" s="250">
        <v>1.93</v>
      </c>
      <c r="L1503" s="258"/>
    </row>
    <row r="1504" spans="1:12">
      <c r="A1504" s="306"/>
      <c r="B1504" s="54"/>
      <c r="C1504" s="54"/>
      <c r="D1504" s="55"/>
      <c r="E1504" s="54"/>
      <c r="F1504" s="54"/>
      <c r="G1504" s="214" t="s">
        <v>1048</v>
      </c>
      <c r="H1504" s="250">
        <v>1.37</v>
      </c>
      <c r="I1504" s="250">
        <v>0.35</v>
      </c>
      <c r="J1504" s="250" t="s">
        <v>22</v>
      </c>
      <c r="K1504" s="250">
        <v>2.3</v>
      </c>
      <c r="L1504" s="258"/>
    </row>
    <row r="1505" spans="1:12">
      <c r="A1505" s="306"/>
      <c r="B1505" s="54"/>
      <c r="C1505" s="54"/>
      <c r="D1505" s="55"/>
      <c r="E1505" s="54"/>
      <c r="F1505" s="54"/>
      <c r="G1505" s="214" t="s">
        <v>1050</v>
      </c>
      <c r="H1505" s="250">
        <v>1.46</v>
      </c>
      <c r="I1505" s="250">
        <v>0.35</v>
      </c>
      <c r="J1505" s="250" t="s">
        <v>136</v>
      </c>
      <c r="K1505" s="250">
        <v>4.5</v>
      </c>
      <c r="L1505" s="258"/>
    </row>
    <row r="1506" spans="1:12">
      <c r="A1506" s="309"/>
      <c r="B1506" s="54"/>
      <c r="C1506" s="54"/>
      <c r="D1506" s="55"/>
      <c r="E1506" s="54"/>
      <c r="F1506" s="54"/>
      <c r="G1506" s="214" t="s">
        <v>503</v>
      </c>
      <c r="H1506" s="250">
        <v>1.75</v>
      </c>
      <c r="I1506" s="250">
        <v>0.5</v>
      </c>
      <c r="J1506" s="49" t="s">
        <v>24</v>
      </c>
      <c r="K1506" s="250" t="s">
        <v>24</v>
      </c>
      <c r="L1506" s="258"/>
    </row>
    <row r="1507" spans="1:12">
      <c r="A1507" s="302" t="s">
        <v>1736</v>
      </c>
      <c r="B1507" s="148" t="s">
        <v>1738</v>
      </c>
      <c r="C1507" s="148" t="s">
        <v>462</v>
      </c>
      <c r="D1507" s="55">
        <v>3</v>
      </c>
      <c r="E1507" s="148" t="s">
        <v>477</v>
      </c>
      <c r="F1507" s="148" t="s">
        <v>1709</v>
      </c>
      <c r="G1507" s="214" t="s">
        <v>1064</v>
      </c>
      <c r="H1507" s="250">
        <v>0.99</v>
      </c>
      <c r="I1507" s="250">
        <v>2.505</v>
      </c>
      <c r="J1507" s="250" t="s">
        <v>17</v>
      </c>
      <c r="K1507" s="250">
        <v>1.78</v>
      </c>
      <c r="L1507" s="253" t="s">
        <v>27</v>
      </c>
    </row>
    <row r="1508" spans="1:12">
      <c r="A1508" s="306"/>
      <c r="B1508" s="54"/>
      <c r="C1508" s="54"/>
      <c r="D1508" s="55"/>
      <c r="E1508" s="54"/>
      <c r="F1508" s="54"/>
      <c r="G1508" s="214" t="s">
        <v>1060</v>
      </c>
      <c r="H1508" s="250">
        <v>0.99</v>
      </c>
      <c r="I1508" s="250">
        <v>0.21</v>
      </c>
      <c r="J1508" s="250" t="s">
        <v>22</v>
      </c>
      <c r="K1508" s="250">
        <v>1.83</v>
      </c>
      <c r="L1508" s="258"/>
    </row>
    <row r="1509" spans="1:12">
      <c r="A1509" s="306"/>
      <c r="B1509" s="54"/>
      <c r="C1509" s="54"/>
      <c r="D1509" s="55"/>
      <c r="E1509" s="54"/>
      <c r="F1509" s="54"/>
      <c r="G1509" s="148" t="s">
        <v>1086</v>
      </c>
      <c r="H1509" s="250">
        <v>1.74</v>
      </c>
      <c r="I1509" s="250">
        <v>0.135</v>
      </c>
      <c r="J1509" s="49" t="s">
        <v>24</v>
      </c>
      <c r="K1509" s="250" t="s">
        <v>24</v>
      </c>
      <c r="L1509" s="258"/>
    </row>
    <row r="1510" spans="1:12">
      <c r="A1510" s="309"/>
      <c r="B1510" s="54"/>
      <c r="C1510" s="54"/>
      <c r="D1510" s="55"/>
      <c r="E1510" s="54"/>
      <c r="F1510" s="54"/>
      <c r="G1510" s="148" t="s">
        <v>1087</v>
      </c>
      <c r="H1510" s="250">
        <v>1.74</v>
      </c>
      <c r="I1510" s="250">
        <v>0.15</v>
      </c>
      <c r="J1510" s="250" t="s">
        <v>24</v>
      </c>
      <c r="K1510" s="250" t="s">
        <v>24</v>
      </c>
      <c r="L1510" s="258"/>
    </row>
    <row r="1511" customFormat="1" ht="14"/>
    <row r="1512" customFormat="1" ht="14"/>
    <row r="1513" customFormat="1" ht="14"/>
    <row r="1514" customFormat="1" ht="14"/>
    <row r="1515" customFormat="1" ht="14"/>
    <row r="1516" customFormat="1" ht="14"/>
    <row r="1517" customFormat="1" ht="14"/>
    <row r="1518" customFormat="1" ht="14"/>
    <row r="1519" customFormat="1" ht="14"/>
    <row r="1520" customFormat="1" ht="14"/>
    <row r="1521" customFormat="1" ht="14"/>
    <row r="1522" customFormat="1" ht="14"/>
    <row r="1523" customFormat="1" ht="14"/>
    <row r="1524" customFormat="1" ht="14"/>
    <row r="1525" customFormat="1" ht="14"/>
    <row r="1526" customFormat="1" ht="14"/>
    <row r="1527" customFormat="1" ht="14"/>
    <row r="1528" customFormat="1" ht="14"/>
    <row r="1529" customFormat="1" ht="14"/>
    <row r="1530" customFormat="1" ht="14"/>
    <row r="1531" customFormat="1" ht="14"/>
    <row r="1532" customFormat="1" ht="14"/>
    <row r="1533" customFormat="1" ht="14"/>
    <row r="1534" customFormat="1" ht="14"/>
    <row r="1535" customFormat="1" ht="14"/>
    <row r="1536" customFormat="1" ht="14"/>
    <row r="1537" customFormat="1" ht="14"/>
    <row r="1538" customFormat="1" ht="14"/>
    <row r="1539" customFormat="1" ht="14"/>
    <row r="1540" customFormat="1" ht="14"/>
    <row r="1541" customFormat="1" ht="14"/>
    <row r="1542" customFormat="1" ht="14"/>
    <row r="1543" customFormat="1" ht="14"/>
    <row r="1544" customFormat="1" ht="14"/>
    <row r="1545" customFormat="1" ht="14"/>
    <row r="1546" customFormat="1" ht="14"/>
    <row r="1547" customFormat="1" ht="14"/>
    <row r="1548" customFormat="1" ht="14"/>
    <row r="1549" customFormat="1" ht="14"/>
    <row r="1550" customFormat="1" ht="14"/>
    <row r="1551" customFormat="1" ht="14"/>
  </sheetData>
  <autoFilter xmlns:etc="http://www.wps.cn/officeDocument/2017/etCustomData" ref="A1:AI1510" etc:filterBottomFollowUsedRange="0">
    <extLst/>
  </autoFilter>
  <sortState ref="A388:P417">
    <sortCondition ref="A388:A417"/>
  </sortState>
  <mergeCells count="2940">
    <mergeCell ref="A2:A5"/>
    <mergeCell ref="A6:A8"/>
    <mergeCell ref="A9:A12"/>
    <mergeCell ref="A13:A17"/>
    <mergeCell ref="A18:A21"/>
    <mergeCell ref="A22:A23"/>
    <mergeCell ref="A24:A27"/>
    <mergeCell ref="A28:A29"/>
    <mergeCell ref="A30:A32"/>
    <mergeCell ref="A33:A34"/>
    <mergeCell ref="A35:A38"/>
    <mergeCell ref="A39:A42"/>
    <mergeCell ref="A43:A44"/>
    <mergeCell ref="A45:A46"/>
    <mergeCell ref="A47:A50"/>
    <mergeCell ref="A51:A54"/>
    <mergeCell ref="A55:A57"/>
    <mergeCell ref="A58:A61"/>
    <mergeCell ref="A62:A65"/>
    <mergeCell ref="A66:A69"/>
    <mergeCell ref="A70:A72"/>
    <mergeCell ref="A73:A76"/>
    <mergeCell ref="A77:A80"/>
    <mergeCell ref="A81:A84"/>
    <mergeCell ref="A85:A88"/>
    <mergeCell ref="A89:A92"/>
    <mergeCell ref="A93:A95"/>
    <mergeCell ref="A96:A97"/>
    <mergeCell ref="A98:A100"/>
    <mergeCell ref="A101:A103"/>
    <mergeCell ref="A104:A107"/>
    <mergeCell ref="A108:A111"/>
    <mergeCell ref="A112:A114"/>
    <mergeCell ref="A115:A118"/>
    <mergeCell ref="A119:A122"/>
    <mergeCell ref="A123:A126"/>
    <mergeCell ref="A127:A131"/>
    <mergeCell ref="A132:A135"/>
    <mergeCell ref="A136:A139"/>
    <mergeCell ref="A140:A143"/>
    <mergeCell ref="A144:A147"/>
    <mergeCell ref="A148:A150"/>
    <mergeCell ref="A151:A155"/>
    <mergeCell ref="A156:A158"/>
    <mergeCell ref="A159:A161"/>
    <mergeCell ref="A162:A163"/>
    <mergeCell ref="A164:A167"/>
    <mergeCell ref="A168:A171"/>
    <mergeCell ref="A172:A175"/>
    <mergeCell ref="A176:A179"/>
    <mergeCell ref="A180:A183"/>
    <mergeCell ref="A184:A188"/>
    <mergeCell ref="A189:A190"/>
    <mergeCell ref="A191:A194"/>
    <mergeCell ref="A195:A198"/>
    <mergeCell ref="A199:A202"/>
    <mergeCell ref="A203:A205"/>
    <mergeCell ref="A206:A209"/>
    <mergeCell ref="A210:A213"/>
    <mergeCell ref="A214:A217"/>
    <mergeCell ref="A218:A222"/>
    <mergeCell ref="A223:A226"/>
    <mergeCell ref="A227:A230"/>
    <mergeCell ref="A231:A232"/>
    <mergeCell ref="A233:A234"/>
    <mergeCell ref="A235:A238"/>
    <mergeCell ref="A239:A240"/>
    <mergeCell ref="A241:A244"/>
    <mergeCell ref="A245:A247"/>
    <mergeCell ref="A248:A251"/>
    <mergeCell ref="A252:A255"/>
    <mergeCell ref="A256:A258"/>
    <mergeCell ref="A259:A262"/>
    <mergeCell ref="A263:A264"/>
    <mergeCell ref="A265:A268"/>
    <mergeCell ref="A269:A272"/>
    <mergeCell ref="A273:A275"/>
    <mergeCell ref="A276:A279"/>
    <mergeCell ref="A280:A283"/>
    <mergeCell ref="A284:A287"/>
    <mergeCell ref="A288:A289"/>
    <mergeCell ref="A290:A293"/>
    <mergeCell ref="A294:A296"/>
    <mergeCell ref="A297:A300"/>
    <mergeCell ref="A301:A302"/>
    <mergeCell ref="A303:A304"/>
    <mergeCell ref="A305:A306"/>
    <mergeCell ref="A307:A309"/>
    <mergeCell ref="A310:A312"/>
    <mergeCell ref="A313:A316"/>
    <mergeCell ref="A317:A319"/>
    <mergeCell ref="A320:A323"/>
    <mergeCell ref="A324:A328"/>
    <mergeCell ref="A329:A332"/>
    <mergeCell ref="A333:A336"/>
    <mergeCell ref="A337:A340"/>
    <mergeCell ref="A341:A344"/>
    <mergeCell ref="A345:A348"/>
    <mergeCell ref="A349:A352"/>
    <mergeCell ref="A353:A356"/>
    <mergeCell ref="A357:A360"/>
    <mergeCell ref="A361:A364"/>
    <mergeCell ref="A365:A367"/>
    <mergeCell ref="A368:A369"/>
    <mergeCell ref="A370:A371"/>
    <mergeCell ref="A372:A375"/>
    <mergeCell ref="A376:A377"/>
    <mergeCell ref="A378:A381"/>
    <mergeCell ref="A382:A384"/>
    <mergeCell ref="A385:A388"/>
    <mergeCell ref="A389:A392"/>
    <mergeCell ref="A393:A396"/>
    <mergeCell ref="A397:A400"/>
    <mergeCell ref="A401:A403"/>
    <mergeCell ref="A404:A407"/>
    <mergeCell ref="A408:A411"/>
    <mergeCell ref="A412:A415"/>
    <mergeCell ref="A416:A419"/>
    <mergeCell ref="A420:A422"/>
    <mergeCell ref="A423:A426"/>
    <mergeCell ref="A427:A431"/>
    <mergeCell ref="A432:A435"/>
    <mergeCell ref="A436:A439"/>
    <mergeCell ref="A440:A442"/>
    <mergeCell ref="A443:A446"/>
    <mergeCell ref="A447:A450"/>
    <mergeCell ref="A451:A455"/>
    <mergeCell ref="A456:A458"/>
    <mergeCell ref="A459:A460"/>
    <mergeCell ref="A461:A464"/>
    <mergeCell ref="A465:A467"/>
    <mergeCell ref="A468:A470"/>
    <mergeCell ref="A471:A474"/>
    <mergeCell ref="A475:A478"/>
    <mergeCell ref="A479:A482"/>
    <mergeCell ref="A483:A486"/>
    <mergeCell ref="A487:A490"/>
    <mergeCell ref="A491:A494"/>
    <mergeCell ref="A495:A498"/>
    <mergeCell ref="A499:A500"/>
    <mergeCell ref="A501:A503"/>
    <mergeCell ref="A504:A506"/>
    <mergeCell ref="A507:A510"/>
    <mergeCell ref="A511:A514"/>
    <mergeCell ref="A515:A519"/>
    <mergeCell ref="A520:A523"/>
    <mergeCell ref="A524:A526"/>
    <mergeCell ref="A527:A530"/>
    <mergeCell ref="A531:A534"/>
    <mergeCell ref="A535:A538"/>
    <mergeCell ref="A539:A542"/>
    <mergeCell ref="A543:A546"/>
    <mergeCell ref="A547:A549"/>
    <mergeCell ref="A550:A551"/>
    <mergeCell ref="A552:A555"/>
    <mergeCell ref="A556:A558"/>
    <mergeCell ref="A559:A560"/>
    <mergeCell ref="A561:A564"/>
    <mergeCell ref="A565:A568"/>
    <mergeCell ref="A569:A572"/>
    <mergeCell ref="A573:A575"/>
    <mergeCell ref="A576:A579"/>
    <mergeCell ref="A580:A581"/>
    <mergeCell ref="A582:A584"/>
    <mergeCell ref="A585:A587"/>
    <mergeCell ref="A588:A591"/>
    <mergeCell ref="A592:A595"/>
    <mergeCell ref="A596:A599"/>
    <mergeCell ref="A600:A603"/>
    <mergeCell ref="A604:A608"/>
    <mergeCell ref="A609:A612"/>
    <mergeCell ref="A613:A614"/>
    <mergeCell ref="A615:A619"/>
    <mergeCell ref="A620:A624"/>
    <mergeCell ref="A625:A629"/>
    <mergeCell ref="A630:A631"/>
    <mergeCell ref="A632:A635"/>
    <mergeCell ref="A636:A640"/>
    <mergeCell ref="A641:A644"/>
    <mergeCell ref="A645:A648"/>
    <mergeCell ref="A649:A652"/>
    <mergeCell ref="A653:A655"/>
    <mergeCell ref="A656:A657"/>
    <mergeCell ref="A658:A660"/>
    <mergeCell ref="A661:A664"/>
    <mergeCell ref="A665:A668"/>
    <mergeCell ref="A669:A672"/>
    <mergeCell ref="A673:A675"/>
    <mergeCell ref="A676:A679"/>
    <mergeCell ref="A680:A681"/>
    <mergeCell ref="A682:A685"/>
    <mergeCell ref="A686:A689"/>
    <mergeCell ref="A690:A692"/>
    <mergeCell ref="A693:A695"/>
    <mergeCell ref="A696:A697"/>
    <mergeCell ref="A698:A701"/>
    <mergeCell ref="A702:A703"/>
    <mergeCell ref="A704:A706"/>
    <mergeCell ref="A707:A708"/>
    <mergeCell ref="A709:A710"/>
    <mergeCell ref="A711:A714"/>
    <mergeCell ref="A715:A718"/>
    <mergeCell ref="A719:A722"/>
    <mergeCell ref="A723:A726"/>
    <mergeCell ref="A727:A730"/>
    <mergeCell ref="A731:A734"/>
    <mergeCell ref="A735:A739"/>
    <mergeCell ref="A740:A743"/>
    <mergeCell ref="A744:A747"/>
    <mergeCell ref="A748:A750"/>
    <mergeCell ref="A751:A754"/>
    <mergeCell ref="A755:A758"/>
    <mergeCell ref="A759:A763"/>
    <mergeCell ref="A764:A766"/>
    <mergeCell ref="A767:A770"/>
    <mergeCell ref="A771:A773"/>
    <mergeCell ref="A774:A777"/>
    <mergeCell ref="A778:A780"/>
    <mergeCell ref="A781:A784"/>
    <mergeCell ref="A785:A786"/>
    <mergeCell ref="A787:A790"/>
    <mergeCell ref="A791:A794"/>
    <mergeCell ref="A795:A797"/>
    <mergeCell ref="A798:A801"/>
    <mergeCell ref="A802:A803"/>
    <mergeCell ref="A804:A807"/>
    <mergeCell ref="A808:A811"/>
    <mergeCell ref="A812:A813"/>
    <mergeCell ref="A814:A817"/>
    <mergeCell ref="A818:A821"/>
    <mergeCell ref="A823:A824"/>
    <mergeCell ref="A825:A828"/>
    <mergeCell ref="A829:A832"/>
    <mergeCell ref="A833:A836"/>
    <mergeCell ref="A837:A839"/>
    <mergeCell ref="A840:A843"/>
    <mergeCell ref="A844:A845"/>
    <mergeCell ref="A846:A849"/>
    <mergeCell ref="A850:A851"/>
    <mergeCell ref="A852:A855"/>
    <mergeCell ref="A856:A857"/>
    <mergeCell ref="A858:A861"/>
    <mergeCell ref="A862:A865"/>
    <mergeCell ref="A866:A868"/>
    <mergeCell ref="A869:A872"/>
    <mergeCell ref="A873:A875"/>
    <mergeCell ref="A876:A878"/>
    <mergeCell ref="A879:A882"/>
    <mergeCell ref="A883:A884"/>
    <mergeCell ref="A885:A887"/>
    <mergeCell ref="A888:A890"/>
    <mergeCell ref="A891:A893"/>
    <mergeCell ref="A894:A897"/>
    <mergeCell ref="A898:A901"/>
    <mergeCell ref="A902:A905"/>
    <mergeCell ref="A906:A908"/>
    <mergeCell ref="A909:A911"/>
    <mergeCell ref="A912:A914"/>
    <mergeCell ref="A915:A918"/>
    <mergeCell ref="A919:A920"/>
    <mergeCell ref="A921:A923"/>
    <mergeCell ref="A924:A928"/>
    <mergeCell ref="A929:A930"/>
    <mergeCell ref="A931:A932"/>
    <mergeCell ref="A933:A936"/>
    <mergeCell ref="A937:A940"/>
    <mergeCell ref="A942:A944"/>
    <mergeCell ref="A945:A949"/>
    <mergeCell ref="A950:A953"/>
    <mergeCell ref="A954:A956"/>
    <mergeCell ref="A957:A961"/>
    <mergeCell ref="A962:A963"/>
    <mergeCell ref="A964:A967"/>
    <mergeCell ref="A968:A970"/>
    <mergeCell ref="A971:A973"/>
    <mergeCell ref="A974:A977"/>
    <mergeCell ref="A978:A981"/>
    <mergeCell ref="A982:A986"/>
    <mergeCell ref="A987:A990"/>
    <mergeCell ref="A991:A992"/>
    <mergeCell ref="A993:A996"/>
    <mergeCell ref="A997:A1000"/>
    <mergeCell ref="A1001:A1004"/>
    <mergeCell ref="A1005:A1006"/>
    <mergeCell ref="A1007:A1011"/>
    <mergeCell ref="A1012:A1016"/>
    <mergeCell ref="A1017:A1019"/>
    <mergeCell ref="A1020:A1022"/>
    <mergeCell ref="A1023:A1026"/>
    <mergeCell ref="A1027:A1030"/>
    <mergeCell ref="A1031:A1034"/>
    <mergeCell ref="A1035:A1038"/>
    <mergeCell ref="A1039:A1042"/>
    <mergeCell ref="A1043:A1047"/>
    <mergeCell ref="A1048:A1050"/>
    <mergeCell ref="A1051:A1053"/>
    <mergeCell ref="A1054:A1055"/>
    <mergeCell ref="A1056:A1058"/>
    <mergeCell ref="A1059:A1063"/>
    <mergeCell ref="A1064:A1065"/>
    <mergeCell ref="A1066:A1069"/>
    <mergeCell ref="A1071:A1074"/>
    <mergeCell ref="A1075:A1078"/>
    <mergeCell ref="A1079:A1081"/>
    <mergeCell ref="A1082:A1084"/>
    <mergeCell ref="A1085:A1088"/>
    <mergeCell ref="A1089:A1093"/>
    <mergeCell ref="A1094:A1096"/>
    <mergeCell ref="A1097:A1100"/>
    <mergeCell ref="A1101:A1104"/>
    <mergeCell ref="A1105:A1107"/>
    <mergeCell ref="A1108:A1111"/>
    <mergeCell ref="A1112:A1115"/>
    <mergeCell ref="A1116:A1117"/>
    <mergeCell ref="A1118:A1120"/>
    <mergeCell ref="A1121:A1122"/>
    <mergeCell ref="A1123:A1126"/>
    <mergeCell ref="A1127:A1130"/>
    <mergeCell ref="A1131:A1133"/>
    <mergeCell ref="A1134:A1136"/>
    <mergeCell ref="A1137:A1139"/>
    <mergeCell ref="A1140:A1143"/>
    <mergeCell ref="A1144:A1147"/>
    <mergeCell ref="A1148:A1151"/>
    <mergeCell ref="A1152:A1155"/>
    <mergeCell ref="A1156:A1159"/>
    <mergeCell ref="A1160:A1163"/>
    <mergeCell ref="A1164:A1168"/>
    <mergeCell ref="A1169:A1172"/>
    <mergeCell ref="A1173:A1176"/>
    <mergeCell ref="A1177:A1180"/>
    <mergeCell ref="A1181:A1183"/>
    <mergeCell ref="A1184:A1187"/>
    <mergeCell ref="A1188:A1190"/>
    <mergeCell ref="A1191:A1193"/>
    <mergeCell ref="A1194:A1197"/>
    <mergeCell ref="A1198:A1201"/>
    <mergeCell ref="A1202:A1205"/>
    <mergeCell ref="A1206:A1209"/>
    <mergeCell ref="A1210:A1213"/>
    <mergeCell ref="A1214:A1217"/>
    <mergeCell ref="A1218:A1220"/>
    <mergeCell ref="A1221:A1223"/>
    <mergeCell ref="A1224:A1227"/>
    <mergeCell ref="A1228:A1230"/>
    <mergeCell ref="A1231:A1233"/>
    <mergeCell ref="A1234:A1238"/>
    <mergeCell ref="A1239:A1242"/>
    <mergeCell ref="A1243:A1246"/>
    <mergeCell ref="A1247:A1248"/>
    <mergeCell ref="A1249:A1251"/>
    <mergeCell ref="A1252:A1254"/>
    <mergeCell ref="A1255:A1259"/>
    <mergeCell ref="A1260:A1262"/>
    <mergeCell ref="A1263:A1266"/>
    <mergeCell ref="A1267:A1270"/>
    <mergeCell ref="A1271:A1274"/>
    <mergeCell ref="A1275:A1278"/>
    <mergeCell ref="A1279:A1282"/>
    <mergeCell ref="A1283:A1286"/>
    <mergeCell ref="A1287:A1291"/>
    <mergeCell ref="A1292:A1296"/>
    <mergeCell ref="A1297:A1301"/>
    <mergeCell ref="A1302:A1304"/>
    <mergeCell ref="A1305:A1307"/>
    <mergeCell ref="A1308:A1311"/>
    <mergeCell ref="A1312:A1313"/>
    <mergeCell ref="A1315:A1317"/>
    <mergeCell ref="A1318:A1321"/>
    <mergeCell ref="A1322:A1325"/>
    <mergeCell ref="A1326:A1328"/>
    <mergeCell ref="A1329:A1331"/>
    <mergeCell ref="A1332:A1335"/>
    <mergeCell ref="A1336:A1338"/>
    <mergeCell ref="A1339:A1341"/>
    <mergeCell ref="A1342:A1345"/>
    <mergeCell ref="A1346:A1349"/>
    <mergeCell ref="A1350:A1353"/>
    <mergeCell ref="A1354:A1356"/>
    <mergeCell ref="A1357:A1360"/>
    <mergeCell ref="A1361:A1364"/>
    <mergeCell ref="A1365:A1367"/>
    <mergeCell ref="A1368:A1370"/>
    <mergeCell ref="A1371:A1374"/>
    <mergeCell ref="A1375:A1378"/>
    <mergeCell ref="A1379:A1381"/>
    <mergeCell ref="A1382:A1386"/>
    <mergeCell ref="A1387:A1390"/>
    <mergeCell ref="A1391:A1393"/>
    <mergeCell ref="A1394:A1398"/>
    <mergeCell ref="A1399:A1401"/>
    <mergeCell ref="A1402:A1406"/>
    <mergeCell ref="A1407:A1411"/>
    <mergeCell ref="A1412:A1416"/>
    <mergeCell ref="A1417:A1418"/>
    <mergeCell ref="A1419:A1421"/>
    <mergeCell ref="A1422:A1424"/>
    <mergeCell ref="A1425:A1428"/>
    <mergeCell ref="A1429:A1430"/>
    <mergeCell ref="A1431:A1434"/>
    <mergeCell ref="A1435:A1437"/>
    <mergeCell ref="A1438:A1440"/>
    <mergeCell ref="A1441:A1444"/>
    <mergeCell ref="A1445:A1448"/>
    <mergeCell ref="A1449:A1451"/>
    <mergeCell ref="A1453:A1457"/>
    <mergeCell ref="A1458:A1462"/>
    <mergeCell ref="A1463:A1466"/>
    <mergeCell ref="A1467:A1470"/>
    <mergeCell ref="A1471:A1473"/>
    <mergeCell ref="A1474:A1477"/>
    <mergeCell ref="A1478:A1481"/>
    <mergeCell ref="A1482:A1483"/>
    <mergeCell ref="A1484:A1485"/>
    <mergeCell ref="A1486:A1489"/>
    <mergeCell ref="A1490:A1493"/>
    <mergeCell ref="A1494:A1497"/>
    <mergeCell ref="A1498:A1501"/>
    <mergeCell ref="A1502:A1506"/>
    <mergeCell ref="A1507:A1510"/>
    <mergeCell ref="B2:B5"/>
    <mergeCell ref="B6:B8"/>
    <mergeCell ref="B9:B12"/>
    <mergeCell ref="B13:B17"/>
    <mergeCell ref="B18:B21"/>
    <mergeCell ref="B22:B23"/>
    <mergeCell ref="B24:B27"/>
    <mergeCell ref="B28:B29"/>
    <mergeCell ref="B30:B32"/>
    <mergeCell ref="B33:B34"/>
    <mergeCell ref="B35:B38"/>
    <mergeCell ref="B39:B42"/>
    <mergeCell ref="B43:B44"/>
    <mergeCell ref="B45:B46"/>
    <mergeCell ref="B47:B50"/>
    <mergeCell ref="B51:B54"/>
    <mergeCell ref="B55:B57"/>
    <mergeCell ref="B58:B61"/>
    <mergeCell ref="B62:B65"/>
    <mergeCell ref="B66:B69"/>
    <mergeCell ref="B70:B72"/>
    <mergeCell ref="B73:B76"/>
    <mergeCell ref="B77:B80"/>
    <mergeCell ref="B81:B84"/>
    <mergeCell ref="B85:B88"/>
    <mergeCell ref="B89:B92"/>
    <mergeCell ref="B93:B95"/>
    <mergeCell ref="B96:B97"/>
    <mergeCell ref="B98:B100"/>
    <mergeCell ref="B101:B103"/>
    <mergeCell ref="B104:B107"/>
    <mergeCell ref="B108:B111"/>
    <mergeCell ref="B112:B114"/>
    <mergeCell ref="B115:B118"/>
    <mergeCell ref="B119:B122"/>
    <mergeCell ref="B123:B126"/>
    <mergeCell ref="B127:B131"/>
    <mergeCell ref="B132:B135"/>
    <mergeCell ref="B136:B139"/>
    <mergeCell ref="B140:B143"/>
    <mergeCell ref="B144:B147"/>
    <mergeCell ref="B148:B150"/>
    <mergeCell ref="B151:B155"/>
    <mergeCell ref="B156:B158"/>
    <mergeCell ref="B159:B161"/>
    <mergeCell ref="B162:B163"/>
    <mergeCell ref="B164:B167"/>
    <mergeCell ref="B168:B171"/>
    <mergeCell ref="B172:B175"/>
    <mergeCell ref="B176:B179"/>
    <mergeCell ref="B180:B183"/>
    <mergeCell ref="B184:B188"/>
    <mergeCell ref="B189:B190"/>
    <mergeCell ref="B191:B194"/>
    <mergeCell ref="B195:B198"/>
    <mergeCell ref="B199:B202"/>
    <mergeCell ref="B203:B205"/>
    <mergeCell ref="B206:B209"/>
    <mergeCell ref="B210:B213"/>
    <mergeCell ref="B214:B217"/>
    <mergeCell ref="B218:B222"/>
    <mergeCell ref="B223:B226"/>
    <mergeCell ref="B227:B230"/>
    <mergeCell ref="B231:B232"/>
    <mergeCell ref="B233:B234"/>
    <mergeCell ref="B235:B238"/>
    <mergeCell ref="B239:B240"/>
    <mergeCell ref="B241:B244"/>
    <mergeCell ref="B245:B247"/>
    <mergeCell ref="B248:B251"/>
    <mergeCell ref="B252:B255"/>
    <mergeCell ref="B256:B258"/>
    <mergeCell ref="B259:B262"/>
    <mergeCell ref="B263:B264"/>
    <mergeCell ref="B265:B268"/>
    <mergeCell ref="B269:B272"/>
    <mergeCell ref="B273:B275"/>
    <mergeCell ref="B276:B279"/>
    <mergeCell ref="B280:B283"/>
    <mergeCell ref="B284:B287"/>
    <mergeCell ref="B288:B289"/>
    <mergeCell ref="B290:B293"/>
    <mergeCell ref="B294:B296"/>
    <mergeCell ref="B297:B300"/>
    <mergeCell ref="B301:B302"/>
    <mergeCell ref="B303:B304"/>
    <mergeCell ref="B305:B306"/>
    <mergeCell ref="B307:B309"/>
    <mergeCell ref="B310:B312"/>
    <mergeCell ref="B313:B316"/>
    <mergeCell ref="B317:B319"/>
    <mergeCell ref="B320:B323"/>
    <mergeCell ref="B324:B328"/>
    <mergeCell ref="B329:B332"/>
    <mergeCell ref="B333:B336"/>
    <mergeCell ref="B337:B340"/>
    <mergeCell ref="B341:B344"/>
    <mergeCell ref="B345:B348"/>
    <mergeCell ref="B349:B352"/>
    <mergeCell ref="B353:B356"/>
    <mergeCell ref="B357:B360"/>
    <mergeCell ref="B361:B364"/>
    <mergeCell ref="B365:B367"/>
    <mergeCell ref="B368:B369"/>
    <mergeCell ref="B370:B371"/>
    <mergeCell ref="B372:B375"/>
    <mergeCell ref="B376:B377"/>
    <mergeCell ref="B378:B381"/>
    <mergeCell ref="B382:B384"/>
    <mergeCell ref="B385:B388"/>
    <mergeCell ref="B389:B392"/>
    <mergeCell ref="B393:B396"/>
    <mergeCell ref="B397:B400"/>
    <mergeCell ref="B401:B403"/>
    <mergeCell ref="B404:B407"/>
    <mergeCell ref="B408:B411"/>
    <mergeCell ref="B412:B415"/>
    <mergeCell ref="B416:B419"/>
    <mergeCell ref="B420:B422"/>
    <mergeCell ref="B423:B426"/>
    <mergeCell ref="B427:B431"/>
    <mergeCell ref="B432:B435"/>
    <mergeCell ref="B436:B439"/>
    <mergeCell ref="B440:B442"/>
    <mergeCell ref="B443:B446"/>
    <mergeCell ref="B447:B450"/>
    <mergeCell ref="B451:B455"/>
    <mergeCell ref="B456:B458"/>
    <mergeCell ref="B459:B460"/>
    <mergeCell ref="B461:B464"/>
    <mergeCell ref="B465:B467"/>
    <mergeCell ref="B468:B470"/>
    <mergeCell ref="B471:B474"/>
    <mergeCell ref="B475:B478"/>
    <mergeCell ref="B479:B482"/>
    <mergeCell ref="B483:B486"/>
    <mergeCell ref="B487:B490"/>
    <mergeCell ref="B491:B494"/>
    <mergeCell ref="B495:B498"/>
    <mergeCell ref="B499:B500"/>
    <mergeCell ref="B501:B503"/>
    <mergeCell ref="B504:B506"/>
    <mergeCell ref="B507:B510"/>
    <mergeCell ref="B511:B514"/>
    <mergeCell ref="B515:B519"/>
    <mergeCell ref="B520:B523"/>
    <mergeCell ref="B524:B526"/>
    <mergeCell ref="B527:B530"/>
    <mergeCell ref="B531:B534"/>
    <mergeCell ref="B535:B538"/>
    <mergeCell ref="B539:B542"/>
    <mergeCell ref="B543:B546"/>
    <mergeCell ref="B547:B549"/>
    <mergeCell ref="B550:B551"/>
    <mergeCell ref="B552:B555"/>
    <mergeCell ref="B556:B558"/>
    <mergeCell ref="B559:B560"/>
    <mergeCell ref="B561:B564"/>
    <mergeCell ref="B565:B568"/>
    <mergeCell ref="B569:B572"/>
    <mergeCell ref="B573:B575"/>
    <mergeCell ref="B576:B579"/>
    <mergeCell ref="B580:B581"/>
    <mergeCell ref="B582:B584"/>
    <mergeCell ref="B585:B587"/>
    <mergeCell ref="B588:B591"/>
    <mergeCell ref="B592:B595"/>
    <mergeCell ref="B596:B599"/>
    <mergeCell ref="B600:B603"/>
    <mergeCell ref="B604:B608"/>
    <mergeCell ref="B609:B612"/>
    <mergeCell ref="B613:B614"/>
    <mergeCell ref="B615:B619"/>
    <mergeCell ref="B620:B624"/>
    <mergeCell ref="B625:B629"/>
    <mergeCell ref="B630:B631"/>
    <mergeCell ref="B632:B635"/>
    <mergeCell ref="B636:B640"/>
    <mergeCell ref="B641:B644"/>
    <mergeCell ref="B645:B648"/>
    <mergeCell ref="B649:B652"/>
    <mergeCell ref="B653:B655"/>
    <mergeCell ref="B656:B657"/>
    <mergeCell ref="B658:B660"/>
    <mergeCell ref="B661:B664"/>
    <mergeCell ref="B665:B668"/>
    <mergeCell ref="B669:B672"/>
    <mergeCell ref="B673:B675"/>
    <mergeCell ref="B676:B679"/>
    <mergeCell ref="B680:B681"/>
    <mergeCell ref="B682:B685"/>
    <mergeCell ref="B686:B689"/>
    <mergeCell ref="B690:B692"/>
    <mergeCell ref="B693:B695"/>
    <mergeCell ref="B696:B697"/>
    <mergeCell ref="B698:B701"/>
    <mergeCell ref="B702:B703"/>
    <mergeCell ref="B704:B706"/>
    <mergeCell ref="B707:B708"/>
    <mergeCell ref="B709:B710"/>
    <mergeCell ref="B711:B714"/>
    <mergeCell ref="B715:B718"/>
    <mergeCell ref="B719:B722"/>
    <mergeCell ref="B723:B726"/>
    <mergeCell ref="B727:B730"/>
    <mergeCell ref="B731:B734"/>
    <mergeCell ref="B735:B739"/>
    <mergeCell ref="B740:B743"/>
    <mergeCell ref="B744:B747"/>
    <mergeCell ref="B748:B750"/>
    <mergeCell ref="B751:B754"/>
    <mergeCell ref="B755:B758"/>
    <mergeCell ref="B759:B763"/>
    <mergeCell ref="B764:B766"/>
    <mergeCell ref="B767:B770"/>
    <mergeCell ref="B771:B773"/>
    <mergeCell ref="B774:B777"/>
    <mergeCell ref="B778:B780"/>
    <mergeCell ref="B781:B784"/>
    <mergeCell ref="B785:B786"/>
    <mergeCell ref="B787:B790"/>
    <mergeCell ref="B791:B794"/>
    <mergeCell ref="B795:B797"/>
    <mergeCell ref="B798:B801"/>
    <mergeCell ref="B802:B803"/>
    <mergeCell ref="B804:B807"/>
    <mergeCell ref="B808:B811"/>
    <mergeCell ref="B812:B813"/>
    <mergeCell ref="B814:B817"/>
    <mergeCell ref="B818:B821"/>
    <mergeCell ref="B823:B824"/>
    <mergeCell ref="B825:B828"/>
    <mergeCell ref="B829:B832"/>
    <mergeCell ref="B833:B836"/>
    <mergeCell ref="B837:B839"/>
    <mergeCell ref="B840:B843"/>
    <mergeCell ref="B844:B845"/>
    <mergeCell ref="B846:B849"/>
    <mergeCell ref="B850:B851"/>
    <mergeCell ref="B852:B855"/>
    <mergeCell ref="B856:B857"/>
    <mergeCell ref="B858:B861"/>
    <mergeCell ref="B862:B865"/>
    <mergeCell ref="B866:B868"/>
    <mergeCell ref="B869:B872"/>
    <mergeCell ref="B873:B875"/>
    <mergeCell ref="B876:B878"/>
    <mergeCell ref="B879:B882"/>
    <mergeCell ref="B883:B884"/>
    <mergeCell ref="B885:B887"/>
    <mergeCell ref="B888:B890"/>
    <mergeCell ref="B891:B893"/>
    <mergeCell ref="B894:B897"/>
    <mergeCell ref="B898:B901"/>
    <mergeCell ref="B902:B905"/>
    <mergeCell ref="B906:B908"/>
    <mergeCell ref="B909:B911"/>
    <mergeCell ref="B912:B914"/>
    <mergeCell ref="B915:B918"/>
    <mergeCell ref="B919:B920"/>
    <mergeCell ref="B921:B923"/>
    <mergeCell ref="B924:B928"/>
    <mergeCell ref="B929:B930"/>
    <mergeCell ref="B931:B932"/>
    <mergeCell ref="B933:B936"/>
    <mergeCell ref="B937:B940"/>
    <mergeCell ref="B942:B944"/>
    <mergeCell ref="B945:B949"/>
    <mergeCell ref="B950:B953"/>
    <mergeCell ref="B954:B956"/>
    <mergeCell ref="B957:B961"/>
    <mergeCell ref="B962:B963"/>
    <mergeCell ref="B964:B967"/>
    <mergeCell ref="B968:B970"/>
    <mergeCell ref="B971:B973"/>
    <mergeCell ref="B974:B977"/>
    <mergeCell ref="B978:B981"/>
    <mergeCell ref="B982:B986"/>
    <mergeCell ref="B987:B990"/>
    <mergeCell ref="B991:B992"/>
    <mergeCell ref="B993:B996"/>
    <mergeCell ref="B997:B1000"/>
    <mergeCell ref="B1001:B1004"/>
    <mergeCell ref="B1005:B1006"/>
    <mergeCell ref="B1007:B1011"/>
    <mergeCell ref="B1012:B1016"/>
    <mergeCell ref="B1017:B1019"/>
    <mergeCell ref="B1020:B1022"/>
    <mergeCell ref="B1023:B1026"/>
    <mergeCell ref="B1027:B1030"/>
    <mergeCell ref="B1031:B1034"/>
    <mergeCell ref="B1035:B1038"/>
    <mergeCell ref="B1039:B1042"/>
    <mergeCell ref="B1043:B1047"/>
    <mergeCell ref="B1048:B1050"/>
    <mergeCell ref="B1051:B1053"/>
    <mergeCell ref="B1054:B1055"/>
    <mergeCell ref="B1056:B1058"/>
    <mergeCell ref="B1059:B1063"/>
    <mergeCell ref="B1064:B1065"/>
    <mergeCell ref="B1066:B1069"/>
    <mergeCell ref="B1071:B1074"/>
    <mergeCell ref="B1075:B1078"/>
    <mergeCell ref="B1079:B1081"/>
    <mergeCell ref="B1082:B1084"/>
    <mergeCell ref="B1085:B1088"/>
    <mergeCell ref="B1089:B1093"/>
    <mergeCell ref="B1094:B1096"/>
    <mergeCell ref="B1097:B1100"/>
    <mergeCell ref="B1101:B1104"/>
    <mergeCell ref="B1105:B1107"/>
    <mergeCell ref="B1108:B1111"/>
    <mergeCell ref="B1112:B1115"/>
    <mergeCell ref="B1116:B1117"/>
    <mergeCell ref="B1118:B1120"/>
    <mergeCell ref="B1121:B1122"/>
    <mergeCell ref="B1123:B1126"/>
    <mergeCell ref="B1127:B1130"/>
    <mergeCell ref="B1131:B1133"/>
    <mergeCell ref="B1134:B1136"/>
    <mergeCell ref="B1137:B1139"/>
    <mergeCell ref="B1140:B1143"/>
    <mergeCell ref="B1144:B1147"/>
    <mergeCell ref="B1148:B1151"/>
    <mergeCell ref="B1152:B1155"/>
    <mergeCell ref="B1156:B1159"/>
    <mergeCell ref="B1160:B1163"/>
    <mergeCell ref="B1164:B1168"/>
    <mergeCell ref="B1169:B1172"/>
    <mergeCell ref="B1173:B1176"/>
    <mergeCell ref="B1177:B1180"/>
    <mergeCell ref="B1181:B1183"/>
    <mergeCell ref="B1184:B1187"/>
    <mergeCell ref="B1188:B1190"/>
    <mergeCell ref="B1191:B1193"/>
    <mergeCell ref="B1194:B1197"/>
    <mergeCell ref="B1198:B1201"/>
    <mergeCell ref="B1202:B1205"/>
    <mergeCell ref="B1206:B1209"/>
    <mergeCell ref="B1210:B1213"/>
    <mergeCell ref="B1214:B1217"/>
    <mergeCell ref="B1218:B1220"/>
    <mergeCell ref="B1221:B1223"/>
    <mergeCell ref="B1224:B1227"/>
    <mergeCell ref="B1228:B1230"/>
    <mergeCell ref="B1231:B1233"/>
    <mergeCell ref="B1234:B1238"/>
    <mergeCell ref="B1239:B1242"/>
    <mergeCell ref="B1243:B1246"/>
    <mergeCell ref="B1247:B1248"/>
    <mergeCell ref="B1249:B1251"/>
    <mergeCell ref="B1252:B1254"/>
    <mergeCell ref="B1255:B1259"/>
    <mergeCell ref="B1260:B1262"/>
    <mergeCell ref="B1263:B1266"/>
    <mergeCell ref="B1267:B1270"/>
    <mergeCell ref="B1271:B1274"/>
    <mergeCell ref="B1275:B1278"/>
    <mergeCell ref="B1279:B1282"/>
    <mergeCell ref="B1283:B1286"/>
    <mergeCell ref="B1287:B1291"/>
    <mergeCell ref="B1292:B1296"/>
    <mergeCell ref="B1297:B1301"/>
    <mergeCell ref="B1302:B1304"/>
    <mergeCell ref="B1305:B1307"/>
    <mergeCell ref="B1308:B1311"/>
    <mergeCell ref="B1312:B1313"/>
    <mergeCell ref="B1315:B1317"/>
    <mergeCell ref="B1318:B1321"/>
    <mergeCell ref="B1322:B1325"/>
    <mergeCell ref="B1326:B1328"/>
    <mergeCell ref="B1329:B1331"/>
    <mergeCell ref="B1332:B1335"/>
    <mergeCell ref="B1336:B1338"/>
    <mergeCell ref="B1339:B1341"/>
    <mergeCell ref="B1342:B1345"/>
    <mergeCell ref="B1346:B1349"/>
    <mergeCell ref="B1350:B1353"/>
    <mergeCell ref="B1354:B1356"/>
    <mergeCell ref="B1357:B1360"/>
    <mergeCell ref="B1361:B1364"/>
    <mergeCell ref="B1365:B1367"/>
    <mergeCell ref="B1368:B1370"/>
    <mergeCell ref="B1371:B1374"/>
    <mergeCell ref="B1375:B1378"/>
    <mergeCell ref="B1379:B1381"/>
    <mergeCell ref="B1382:B1386"/>
    <mergeCell ref="B1387:B1390"/>
    <mergeCell ref="B1391:B1393"/>
    <mergeCell ref="B1394:B1398"/>
    <mergeCell ref="B1399:B1401"/>
    <mergeCell ref="B1402:B1406"/>
    <mergeCell ref="B1407:B1411"/>
    <mergeCell ref="B1412:B1416"/>
    <mergeCell ref="B1417:B1418"/>
    <mergeCell ref="B1419:B1421"/>
    <mergeCell ref="B1422:B1424"/>
    <mergeCell ref="B1425:B1428"/>
    <mergeCell ref="B1429:B1430"/>
    <mergeCell ref="B1431:B1434"/>
    <mergeCell ref="B1435:B1437"/>
    <mergeCell ref="B1438:B1440"/>
    <mergeCell ref="B1441:B1444"/>
    <mergeCell ref="B1445:B1448"/>
    <mergeCell ref="B1449:B1451"/>
    <mergeCell ref="B1453:B1457"/>
    <mergeCell ref="B1458:B1462"/>
    <mergeCell ref="B1463:B1466"/>
    <mergeCell ref="B1467:B1470"/>
    <mergeCell ref="B1471:B1473"/>
    <mergeCell ref="B1474:B1477"/>
    <mergeCell ref="B1478:B1481"/>
    <mergeCell ref="B1482:B1483"/>
    <mergeCell ref="B1484:B1485"/>
    <mergeCell ref="B1486:B1489"/>
    <mergeCell ref="B1490:B1493"/>
    <mergeCell ref="B1494:B1497"/>
    <mergeCell ref="B1498:B1501"/>
    <mergeCell ref="B1502:B1506"/>
    <mergeCell ref="B1507:B1510"/>
    <mergeCell ref="C2:C5"/>
    <mergeCell ref="C6:C8"/>
    <mergeCell ref="C9:C12"/>
    <mergeCell ref="C13:C17"/>
    <mergeCell ref="C18:C21"/>
    <mergeCell ref="C22:C23"/>
    <mergeCell ref="C24:C27"/>
    <mergeCell ref="C28:C29"/>
    <mergeCell ref="C30:C32"/>
    <mergeCell ref="C33:C34"/>
    <mergeCell ref="C35:C38"/>
    <mergeCell ref="C39:C42"/>
    <mergeCell ref="C43:C44"/>
    <mergeCell ref="C45:C46"/>
    <mergeCell ref="C47:C50"/>
    <mergeCell ref="C51:C54"/>
    <mergeCell ref="C55:C57"/>
    <mergeCell ref="C58:C61"/>
    <mergeCell ref="C62:C65"/>
    <mergeCell ref="C66:C69"/>
    <mergeCell ref="C70:C72"/>
    <mergeCell ref="C73:C76"/>
    <mergeCell ref="C77:C80"/>
    <mergeCell ref="C81:C84"/>
    <mergeCell ref="C85:C88"/>
    <mergeCell ref="C89:C92"/>
    <mergeCell ref="C93:C95"/>
    <mergeCell ref="C96:C97"/>
    <mergeCell ref="C98:C100"/>
    <mergeCell ref="C101:C103"/>
    <mergeCell ref="C104:C107"/>
    <mergeCell ref="C108:C111"/>
    <mergeCell ref="C112:C114"/>
    <mergeCell ref="C115:C118"/>
    <mergeCell ref="C119:C122"/>
    <mergeCell ref="C123:C126"/>
    <mergeCell ref="C127:C131"/>
    <mergeCell ref="C132:C135"/>
    <mergeCell ref="C136:C139"/>
    <mergeCell ref="C140:C143"/>
    <mergeCell ref="C144:C147"/>
    <mergeCell ref="C148:C150"/>
    <mergeCell ref="C151:C155"/>
    <mergeCell ref="C156:C158"/>
    <mergeCell ref="C159:C161"/>
    <mergeCell ref="C162:C163"/>
    <mergeCell ref="C164:C167"/>
    <mergeCell ref="C168:C171"/>
    <mergeCell ref="C172:C175"/>
    <mergeCell ref="C176:C179"/>
    <mergeCell ref="C180:C183"/>
    <mergeCell ref="C184:C188"/>
    <mergeCell ref="C189:C190"/>
    <mergeCell ref="C191:C194"/>
    <mergeCell ref="C195:C198"/>
    <mergeCell ref="C199:C202"/>
    <mergeCell ref="C203:C205"/>
    <mergeCell ref="C206:C209"/>
    <mergeCell ref="C210:C213"/>
    <mergeCell ref="C214:C217"/>
    <mergeCell ref="C218:C222"/>
    <mergeCell ref="C223:C226"/>
    <mergeCell ref="C227:C230"/>
    <mergeCell ref="C231:C232"/>
    <mergeCell ref="C233:C234"/>
    <mergeCell ref="C235:C238"/>
    <mergeCell ref="C239:C240"/>
    <mergeCell ref="C241:C244"/>
    <mergeCell ref="C245:C247"/>
    <mergeCell ref="C248:C251"/>
    <mergeCell ref="C252:C255"/>
    <mergeCell ref="C256:C258"/>
    <mergeCell ref="C259:C262"/>
    <mergeCell ref="C263:C264"/>
    <mergeCell ref="C265:C268"/>
    <mergeCell ref="C269:C272"/>
    <mergeCell ref="C273:C275"/>
    <mergeCell ref="C276:C279"/>
    <mergeCell ref="C280:C283"/>
    <mergeCell ref="C284:C287"/>
    <mergeCell ref="C288:C289"/>
    <mergeCell ref="C290:C293"/>
    <mergeCell ref="C294:C296"/>
    <mergeCell ref="C297:C300"/>
    <mergeCell ref="C301:C302"/>
    <mergeCell ref="C303:C304"/>
    <mergeCell ref="C305:C306"/>
    <mergeCell ref="C307:C309"/>
    <mergeCell ref="C310:C312"/>
    <mergeCell ref="C313:C316"/>
    <mergeCell ref="C317:C319"/>
    <mergeCell ref="C320:C323"/>
    <mergeCell ref="C324:C328"/>
    <mergeCell ref="C329:C332"/>
    <mergeCell ref="C333:C336"/>
    <mergeCell ref="C337:C340"/>
    <mergeCell ref="C341:C344"/>
    <mergeCell ref="C345:C348"/>
    <mergeCell ref="C349:C352"/>
    <mergeCell ref="C353:C356"/>
    <mergeCell ref="C357:C360"/>
    <mergeCell ref="C361:C364"/>
    <mergeCell ref="C365:C367"/>
    <mergeCell ref="C368:C369"/>
    <mergeCell ref="C370:C371"/>
    <mergeCell ref="C372:C375"/>
    <mergeCell ref="C376:C377"/>
    <mergeCell ref="C378:C381"/>
    <mergeCell ref="C382:C384"/>
    <mergeCell ref="C385:C388"/>
    <mergeCell ref="C389:C392"/>
    <mergeCell ref="C393:C396"/>
    <mergeCell ref="C397:C400"/>
    <mergeCell ref="C401:C403"/>
    <mergeCell ref="C404:C407"/>
    <mergeCell ref="C408:C411"/>
    <mergeCell ref="C412:C415"/>
    <mergeCell ref="C416:C419"/>
    <mergeCell ref="C420:C422"/>
    <mergeCell ref="C423:C426"/>
    <mergeCell ref="C427:C431"/>
    <mergeCell ref="C432:C435"/>
    <mergeCell ref="C436:C439"/>
    <mergeCell ref="C440:C442"/>
    <mergeCell ref="C443:C446"/>
    <mergeCell ref="C447:C450"/>
    <mergeCell ref="C451:C455"/>
    <mergeCell ref="C456:C458"/>
    <mergeCell ref="C459:C460"/>
    <mergeCell ref="C461:C464"/>
    <mergeCell ref="C465:C467"/>
    <mergeCell ref="C468:C470"/>
    <mergeCell ref="C471:C474"/>
    <mergeCell ref="C475:C478"/>
    <mergeCell ref="C479:C482"/>
    <mergeCell ref="C483:C486"/>
    <mergeCell ref="C487:C490"/>
    <mergeCell ref="C491:C494"/>
    <mergeCell ref="C495:C498"/>
    <mergeCell ref="C499:C500"/>
    <mergeCell ref="C501:C503"/>
    <mergeCell ref="C504:C506"/>
    <mergeCell ref="C507:C510"/>
    <mergeCell ref="C511:C514"/>
    <mergeCell ref="C515:C519"/>
    <mergeCell ref="C520:C523"/>
    <mergeCell ref="C524:C526"/>
    <mergeCell ref="C527:C530"/>
    <mergeCell ref="C531:C534"/>
    <mergeCell ref="C535:C538"/>
    <mergeCell ref="C539:C542"/>
    <mergeCell ref="C543:C546"/>
    <mergeCell ref="C547:C549"/>
    <mergeCell ref="C550:C551"/>
    <mergeCell ref="C552:C555"/>
    <mergeCell ref="C556:C558"/>
    <mergeCell ref="C559:C560"/>
    <mergeCell ref="C561:C564"/>
    <mergeCell ref="C565:C568"/>
    <mergeCell ref="C569:C572"/>
    <mergeCell ref="C573:C575"/>
    <mergeCell ref="C576:C579"/>
    <mergeCell ref="C580:C581"/>
    <mergeCell ref="C582:C584"/>
    <mergeCell ref="C585:C587"/>
    <mergeCell ref="C588:C591"/>
    <mergeCell ref="C592:C595"/>
    <mergeCell ref="C596:C599"/>
    <mergeCell ref="C600:C603"/>
    <mergeCell ref="C604:C608"/>
    <mergeCell ref="C609:C612"/>
    <mergeCell ref="C613:C614"/>
    <mergeCell ref="C615:C619"/>
    <mergeCell ref="C620:C624"/>
    <mergeCell ref="C625:C629"/>
    <mergeCell ref="C630:C631"/>
    <mergeCell ref="C632:C635"/>
    <mergeCell ref="C636:C640"/>
    <mergeCell ref="C641:C644"/>
    <mergeCell ref="C645:C648"/>
    <mergeCell ref="C649:C652"/>
    <mergeCell ref="C653:C655"/>
    <mergeCell ref="C656:C657"/>
    <mergeCell ref="C658:C660"/>
    <mergeCell ref="C661:C664"/>
    <mergeCell ref="C665:C668"/>
    <mergeCell ref="C669:C672"/>
    <mergeCell ref="C673:C675"/>
    <mergeCell ref="C676:C679"/>
    <mergeCell ref="C680:C681"/>
    <mergeCell ref="C682:C685"/>
    <mergeCell ref="C686:C689"/>
    <mergeCell ref="C690:C692"/>
    <mergeCell ref="C693:C695"/>
    <mergeCell ref="C696:C697"/>
    <mergeCell ref="C698:C701"/>
    <mergeCell ref="C702:C703"/>
    <mergeCell ref="C704:C706"/>
    <mergeCell ref="C707:C708"/>
    <mergeCell ref="C709:C710"/>
    <mergeCell ref="C711:C714"/>
    <mergeCell ref="C715:C718"/>
    <mergeCell ref="C719:C722"/>
    <mergeCell ref="C723:C726"/>
    <mergeCell ref="C727:C730"/>
    <mergeCell ref="C731:C734"/>
    <mergeCell ref="C735:C739"/>
    <mergeCell ref="C740:C743"/>
    <mergeCell ref="C744:C747"/>
    <mergeCell ref="C748:C750"/>
    <mergeCell ref="C751:C754"/>
    <mergeCell ref="C755:C758"/>
    <mergeCell ref="C759:C763"/>
    <mergeCell ref="C764:C766"/>
    <mergeCell ref="C767:C770"/>
    <mergeCell ref="C771:C773"/>
    <mergeCell ref="C774:C777"/>
    <mergeCell ref="C778:C780"/>
    <mergeCell ref="C781:C784"/>
    <mergeCell ref="C785:C786"/>
    <mergeCell ref="C787:C790"/>
    <mergeCell ref="C791:C794"/>
    <mergeCell ref="C795:C797"/>
    <mergeCell ref="C798:C801"/>
    <mergeCell ref="C802:C803"/>
    <mergeCell ref="C804:C807"/>
    <mergeCell ref="C808:C811"/>
    <mergeCell ref="C812:C813"/>
    <mergeCell ref="C814:C817"/>
    <mergeCell ref="C818:C821"/>
    <mergeCell ref="C823:C824"/>
    <mergeCell ref="C825:C828"/>
    <mergeCell ref="C829:C832"/>
    <mergeCell ref="C833:C836"/>
    <mergeCell ref="C837:C839"/>
    <mergeCell ref="C840:C843"/>
    <mergeCell ref="C844:C845"/>
    <mergeCell ref="C846:C849"/>
    <mergeCell ref="C850:C851"/>
    <mergeCell ref="C852:C855"/>
    <mergeCell ref="C856:C857"/>
    <mergeCell ref="C858:C861"/>
    <mergeCell ref="C862:C865"/>
    <mergeCell ref="C866:C868"/>
    <mergeCell ref="C869:C872"/>
    <mergeCell ref="C873:C875"/>
    <mergeCell ref="C876:C878"/>
    <mergeCell ref="C879:C882"/>
    <mergeCell ref="C883:C884"/>
    <mergeCell ref="C885:C887"/>
    <mergeCell ref="C888:C890"/>
    <mergeCell ref="C891:C893"/>
    <mergeCell ref="C894:C897"/>
    <mergeCell ref="C898:C901"/>
    <mergeCell ref="C902:C905"/>
    <mergeCell ref="C906:C908"/>
    <mergeCell ref="C909:C911"/>
    <mergeCell ref="C912:C914"/>
    <mergeCell ref="C915:C918"/>
    <mergeCell ref="C919:C920"/>
    <mergeCell ref="C921:C923"/>
    <mergeCell ref="C924:C928"/>
    <mergeCell ref="C929:C930"/>
    <mergeCell ref="C931:C932"/>
    <mergeCell ref="C933:C936"/>
    <mergeCell ref="C937:C940"/>
    <mergeCell ref="C942:C944"/>
    <mergeCell ref="C945:C949"/>
    <mergeCell ref="C950:C953"/>
    <mergeCell ref="C954:C956"/>
    <mergeCell ref="C957:C961"/>
    <mergeCell ref="C962:C963"/>
    <mergeCell ref="C964:C967"/>
    <mergeCell ref="C968:C970"/>
    <mergeCell ref="C971:C973"/>
    <mergeCell ref="C974:C977"/>
    <mergeCell ref="C978:C981"/>
    <mergeCell ref="C982:C986"/>
    <mergeCell ref="C987:C990"/>
    <mergeCell ref="C991:C992"/>
    <mergeCell ref="C993:C996"/>
    <mergeCell ref="C997:C1000"/>
    <mergeCell ref="C1001:C1004"/>
    <mergeCell ref="C1005:C1006"/>
    <mergeCell ref="C1007:C1011"/>
    <mergeCell ref="C1012:C1016"/>
    <mergeCell ref="C1017:C1019"/>
    <mergeCell ref="C1020:C1022"/>
    <mergeCell ref="C1023:C1026"/>
    <mergeCell ref="C1027:C1030"/>
    <mergeCell ref="C1031:C1034"/>
    <mergeCell ref="C1035:C1038"/>
    <mergeCell ref="C1039:C1042"/>
    <mergeCell ref="C1043:C1047"/>
    <mergeCell ref="C1048:C1050"/>
    <mergeCell ref="C1051:C1053"/>
    <mergeCell ref="C1054:C1055"/>
    <mergeCell ref="C1056:C1058"/>
    <mergeCell ref="C1059:C1063"/>
    <mergeCell ref="C1064:C1065"/>
    <mergeCell ref="C1066:C1069"/>
    <mergeCell ref="C1071:C1074"/>
    <mergeCell ref="C1075:C1078"/>
    <mergeCell ref="C1079:C1081"/>
    <mergeCell ref="C1082:C1084"/>
    <mergeCell ref="C1085:C1088"/>
    <mergeCell ref="C1089:C1093"/>
    <mergeCell ref="C1094:C1096"/>
    <mergeCell ref="C1097:C1100"/>
    <mergeCell ref="C1101:C1104"/>
    <mergeCell ref="C1105:C1107"/>
    <mergeCell ref="C1108:C1111"/>
    <mergeCell ref="C1112:C1115"/>
    <mergeCell ref="C1116:C1117"/>
    <mergeCell ref="C1118:C1120"/>
    <mergeCell ref="C1121:C1122"/>
    <mergeCell ref="C1123:C1126"/>
    <mergeCell ref="C1127:C1130"/>
    <mergeCell ref="C1131:C1133"/>
    <mergeCell ref="C1134:C1136"/>
    <mergeCell ref="C1137:C1139"/>
    <mergeCell ref="C1140:C1143"/>
    <mergeCell ref="C1144:C1147"/>
    <mergeCell ref="C1148:C1151"/>
    <mergeCell ref="C1152:C1155"/>
    <mergeCell ref="C1156:C1159"/>
    <mergeCell ref="C1160:C1163"/>
    <mergeCell ref="C1164:C1168"/>
    <mergeCell ref="C1169:C1172"/>
    <mergeCell ref="C1173:C1176"/>
    <mergeCell ref="C1177:C1180"/>
    <mergeCell ref="C1181:C1183"/>
    <mergeCell ref="C1184:C1187"/>
    <mergeCell ref="C1188:C1190"/>
    <mergeCell ref="C1191:C1193"/>
    <mergeCell ref="C1194:C1197"/>
    <mergeCell ref="C1198:C1201"/>
    <mergeCell ref="C1202:C1205"/>
    <mergeCell ref="C1206:C1209"/>
    <mergeCell ref="C1210:C1213"/>
    <mergeCell ref="C1214:C1217"/>
    <mergeCell ref="C1218:C1220"/>
    <mergeCell ref="C1221:C1223"/>
    <mergeCell ref="C1224:C1227"/>
    <mergeCell ref="C1228:C1230"/>
    <mergeCell ref="C1231:C1233"/>
    <mergeCell ref="C1234:C1238"/>
    <mergeCell ref="C1239:C1242"/>
    <mergeCell ref="C1243:C1246"/>
    <mergeCell ref="C1247:C1248"/>
    <mergeCell ref="C1249:C1251"/>
    <mergeCell ref="C1252:C1254"/>
    <mergeCell ref="C1255:C1259"/>
    <mergeCell ref="C1260:C1262"/>
    <mergeCell ref="C1263:C1266"/>
    <mergeCell ref="C1267:C1270"/>
    <mergeCell ref="C1271:C1274"/>
    <mergeCell ref="C1275:C1278"/>
    <mergeCell ref="C1279:C1282"/>
    <mergeCell ref="C1283:C1286"/>
    <mergeCell ref="C1287:C1291"/>
    <mergeCell ref="C1292:C1296"/>
    <mergeCell ref="C1297:C1301"/>
    <mergeCell ref="C1302:C1304"/>
    <mergeCell ref="C1305:C1307"/>
    <mergeCell ref="C1308:C1311"/>
    <mergeCell ref="C1312:C1313"/>
    <mergeCell ref="C1315:C1317"/>
    <mergeCell ref="C1318:C1321"/>
    <mergeCell ref="C1322:C1325"/>
    <mergeCell ref="C1326:C1328"/>
    <mergeCell ref="C1329:C1331"/>
    <mergeCell ref="C1332:C1335"/>
    <mergeCell ref="C1336:C1338"/>
    <mergeCell ref="C1339:C1341"/>
    <mergeCell ref="C1342:C1345"/>
    <mergeCell ref="C1346:C1349"/>
    <mergeCell ref="C1350:C1353"/>
    <mergeCell ref="C1354:C1356"/>
    <mergeCell ref="C1357:C1360"/>
    <mergeCell ref="C1361:C1364"/>
    <mergeCell ref="C1365:C1367"/>
    <mergeCell ref="C1368:C1370"/>
    <mergeCell ref="C1371:C1374"/>
    <mergeCell ref="C1375:C1378"/>
    <mergeCell ref="C1379:C1381"/>
    <mergeCell ref="C1382:C1386"/>
    <mergeCell ref="C1387:C1390"/>
    <mergeCell ref="C1391:C1393"/>
    <mergeCell ref="C1394:C1398"/>
    <mergeCell ref="C1399:C1401"/>
    <mergeCell ref="C1402:C1406"/>
    <mergeCell ref="C1407:C1411"/>
    <mergeCell ref="C1412:C1416"/>
    <mergeCell ref="C1417:C1418"/>
    <mergeCell ref="C1419:C1421"/>
    <mergeCell ref="C1422:C1424"/>
    <mergeCell ref="C1425:C1428"/>
    <mergeCell ref="C1429:C1430"/>
    <mergeCell ref="C1431:C1434"/>
    <mergeCell ref="C1435:C1437"/>
    <mergeCell ref="C1438:C1440"/>
    <mergeCell ref="C1441:C1444"/>
    <mergeCell ref="C1445:C1448"/>
    <mergeCell ref="C1449:C1451"/>
    <mergeCell ref="C1453:C1457"/>
    <mergeCell ref="C1458:C1462"/>
    <mergeCell ref="C1463:C1466"/>
    <mergeCell ref="C1467:C1470"/>
    <mergeCell ref="C1471:C1473"/>
    <mergeCell ref="C1474:C1477"/>
    <mergeCell ref="C1478:C1481"/>
    <mergeCell ref="C1482:C1483"/>
    <mergeCell ref="C1484:C1485"/>
    <mergeCell ref="C1486:C1489"/>
    <mergeCell ref="C1490:C1493"/>
    <mergeCell ref="C1494:C1497"/>
    <mergeCell ref="C1498:C1501"/>
    <mergeCell ref="C1502:C1506"/>
    <mergeCell ref="C1507:C1510"/>
    <mergeCell ref="D2:D5"/>
    <mergeCell ref="D6:D8"/>
    <mergeCell ref="D9:D12"/>
    <mergeCell ref="D13:D17"/>
    <mergeCell ref="D18:D21"/>
    <mergeCell ref="D22:D23"/>
    <mergeCell ref="D24:D27"/>
    <mergeCell ref="D28:D29"/>
    <mergeCell ref="D30:D32"/>
    <mergeCell ref="D33:D34"/>
    <mergeCell ref="D35:D38"/>
    <mergeCell ref="D39:D42"/>
    <mergeCell ref="D43:D44"/>
    <mergeCell ref="D45:D46"/>
    <mergeCell ref="D47:D50"/>
    <mergeCell ref="D51:D54"/>
    <mergeCell ref="D55:D57"/>
    <mergeCell ref="D58:D61"/>
    <mergeCell ref="D62:D65"/>
    <mergeCell ref="D66:D69"/>
    <mergeCell ref="D70:D72"/>
    <mergeCell ref="D73:D76"/>
    <mergeCell ref="D77:D80"/>
    <mergeCell ref="D81:D84"/>
    <mergeCell ref="D85:D88"/>
    <mergeCell ref="D89:D92"/>
    <mergeCell ref="D93:D95"/>
    <mergeCell ref="D96:D97"/>
    <mergeCell ref="D98:D100"/>
    <mergeCell ref="D101:D103"/>
    <mergeCell ref="D104:D107"/>
    <mergeCell ref="D108:D111"/>
    <mergeCell ref="D112:D114"/>
    <mergeCell ref="D115:D118"/>
    <mergeCell ref="D119:D122"/>
    <mergeCell ref="D123:D126"/>
    <mergeCell ref="D127:D131"/>
    <mergeCell ref="D132:D135"/>
    <mergeCell ref="D136:D139"/>
    <mergeCell ref="D140:D143"/>
    <mergeCell ref="D144:D147"/>
    <mergeCell ref="D148:D150"/>
    <mergeCell ref="D151:D155"/>
    <mergeCell ref="D156:D158"/>
    <mergeCell ref="D159:D161"/>
    <mergeCell ref="D162:D163"/>
    <mergeCell ref="D164:D167"/>
    <mergeCell ref="D168:D171"/>
    <mergeCell ref="D172:D175"/>
    <mergeCell ref="D176:D179"/>
    <mergeCell ref="D180:D183"/>
    <mergeCell ref="D184:D188"/>
    <mergeCell ref="D189:D190"/>
    <mergeCell ref="D191:D194"/>
    <mergeCell ref="D195:D198"/>
    <mergeCell ref="D199:D202"/>
    <mergeCell ref="D203:D205"/>
    <mergeCell ref="D206:D209"/>
    <mergeCell ref="D210:D213"/>
    <mergeCell ref="D214:D217"/>
    <mergeCell ref="D218:D222"/>
    <mergeCell ref="D223:D226"/>
    <mergeCell ref="D227:D230"/>
    <mergeCell ref="D231:D232"/>
    <mergeCell ref="D233:D234"/>
    <mergeCell ref="D235:D238"/>
    <mergeCell ref="D239:D240"/>
    <mergeCell ref="D241:D244"/>
    <mergeCell ref="D245:D247"/>
    <mergeCell ref="D248:D251"/>
    <mergeCell ref="D252:D255"/>
    <mergeCell ref="D256:D258"/>
    <mergeCell ref="D259:D262"/>
    <mergeCell ref="D263:D264"/>
    <mergeCell ref="D265:D268"/>
    <mergeCell ref="D269:D272"/>
    <mergeCell ref="D273:D275"/>
    <mergeCell ref="D276:D279"/>
    <mergeCell ref="D280:D283"/>
    <mergeCell ref="D284:D287"/>
    <mergeCell ref="D288:D289"/>
    <mergeCell ref="D290:D293"/>
    <mergeCell ref="D294:D296"/>
    <mergeCell ref="D297:D300"/>
    <mergeCell ref="D301:D302"/>
    <mergeCell ref="D303:D304"/>
    <mergeCell ref="D305:D306"/>
    <mergeCell ref="D307:D309"/>
    <mergeCell ref="D310:D312"/>
    <mergeCell ref="D313:D316"/>
    <mergeCell ref="D317:D319"/>
    <mergeCell ref="D320:D323"/>
    <mergeCell ref="D324:D328"/>
    <mergeCell ref="D329:D332"/>
    <mergeCell ref="D333:D336"/>
    <mergeCell ref="D337:D340"/>
    <mergeCell ref="D341:D344"/>
    <mergeCell ref="D345:D348"/>
    <mergeCell ref="D349:D352"/>
    <mergeCell ref="D353:D356"/>
    <mergeCell ref="D357:D360"/>
    <mergeCell ref="D361:D364"/>
    <mergeCell ref="D365:D367"/>
    <mergeCell ref="D368:D369"/>
    <mergeCell ref="D370:D371"/>
    <mergeCell ref="D372:D375"/>
    <mergeCell ref="D376:D377"/>
    <mergeCell ref="D378:D381"/>
    <mergeCell ref="D382:D384"/>
    <mergeCell ref="D385:D388"/>
    <mergeCell ref="D389:D392"/>
    <mergeCell ref="D393:D396"/>
    <mergeCell ref="D397:D400"/>
    <mergeCell ref="D401:D403"/>
    <mergeCell ref="D404:D407"/>
    <mergeCell ref="D408:D411"/>
    <mergeCell ref="D412:D415"/>
    <mergeCell ref="D416:D419"/>
    <mergeCell ref="D420:D422"/>
    <mergeCell ref="D423:D426"/>
    <mergeCell ref="D427:D431"/>
    <mergeCell ref="D432:D435"/>
    <mergeCell ref="D436:D439"/>
    <mergeCell ref="D440:D442"/>
    <mergeCell ref="D443:D446"/>
    <mergeCell ref="D447:D450"/>
    <mergeCell ref="D451:D455"/>
    <mergeCell ref="D456:D458"/>
    <mergeCell ref="D459:D460"/>
    <mergeCell ref="D461:D464"/>
    <mergeCell ref="D465:D467"/>
    <mergeCell ref="D468:D470"/>
    <mergeCell ref="D471:D474"/>
    <mergeCell ref="D475:D478"/>
    <mergeCell ref="D479:D482"/>
    <mergeCell ref="D483:D486"/>
    <mergeCell ref="D487:D490"/>
    <mergeCell ref="D491:D494"/>
    <mergeCell ref="D495:D498"/>
    <mergeCell ref="D499:D500"/>
    <mergeCell ref="D501:D503"/>
    <mergeCell ref="D504:D506"/>
    <mergeCell ref="D507:D510"/>
    <mergeCell ref="D511:D514"/>
    <mergeCell ref="D515:D519"/>
    <mergeCell ref="D520:D523"/>
    <mergeCell ref="D524:D526"/>
    <mergeCell ref="D527:D530"/>
    <mergeCell ref="D531:D534"/>
    <mergeCell ref="D535:D538"/>
    <mergeCell ref="D539:D542"/>
    <mergeCell ref="D543:D546"/>
    <mergeCell ref="D547:D549"/>
    <mergeCell ref="D550:D551"/>
    <mergeCell ref="D552:D555"/>
    <mergeCell ref="D556:D558"/>
    <mergeCell ref="D559:D560"/>
    <mergeCell ref="D561:D564"/>
    <mergeCell ref="D565:D568"/>
    <mergeCell ref="D569:D572"/>
    <mergeCell ref="D573:D575"/>
    <mergeCell ref="D576:D579"/>
    <mergeCell ref="D580:D581"/>
    <mergeCell ref="D582:D584"/>
    <mergeCell ref="D585:D587"/>
    <mergeCell ref="D588:D591"/>
    <mergeCell ref="D592:D595"/>
    <mergeCell ref="D596:D599"/>
    <mergeCell ref="D600:D603"/>
    <mergeCell ref="D604:D608"/>
    <mergeCell ref="D609:D612"/>
    <mergeCell ref="D613:D614"/>
    <mergeCell ref="D615:D619"/>
    <mergeCell ref="D620:D624"/>
    <mergeCell ref="D625:D629"/>
    <mergeCell ref="D630:D631"/>
    <mergeCell ref="D632:D635"/>
    <mergeCell ref="D636:D640"/>
    <mergeCell ref="D641:D644"/>
    <mergeCell ref="D645:D648"/>
    <mergeCell ref="D649:D652"/>
    <mergeCell ref="D653:D655"/>
    <mergeCell ref="D656:D657"/>
    <mergeCell ref="D658:D660"/>
    <mergeCell ref="D661:D664"/>
    <mergeCell ref="D665:D668"/>
    <mergeCell ref="D669:D672"/>
    <mergeCell ref="D673:D675"/>
    <mergeCell ref="D676:D679"/>
    <mergeCell ref="D680:D681"/>
    <mergeCell ref="D682:D685"/>
    <mergeCell ref="D686:D689"/>
    <mergeCell ref="D690:D692"/>
    <mergeCell ref="D693:D695"/>
    <mergeCell ref="D696:D697"/>
    <mergeCell ref="D698:D701"/>
    <mergeCell ref="D702:D703"/>
    <mergeCell ref="D704:D706"/>
    <mergeCell ref="D707:D708"/>
    <mergeCell ref="D709:D710"/>
    <mergeCell ref="D711:D714"/>
    <mergeCell ref="D715:D718"/>
    <mergeCell ref="D719:D722"/>
    <mergeCell ref="D723:D726"/>
    <mergeCell ref="D727:D730"/>
    <mergeCell ref="D731:D734"/>
    <mergeCell ref="D735:D739"/>
    <mergeCell ref="D740:D743"/>
    <mergeCell ref="D744:D747"/>
    <mergeCell ref="D748:D750"/>
    <mergeCell ref="D751:D754"/>
    <mergeCell ref="D755:D758"/>
    <mergeCell ref="D759:D763"/>
    <mergeCell ref="D764:D766"/>
    <mergeCell ref="D767:D770"/>
    <mergeCell ref="D771:D773"/>
    <mergeCell ref="D774:D777"/>
    <mergeCell ref="D778:D780"/>
    <mergeCell ref="D781:D784"/>
    <mergeCell ref="D785:D786"/>
    <mergeCell ref="D787:D790"/>
    <mergeCell ref="D791:D794"/>
    <mergeCell ref="D795:D797"/>
    <mergeCell ref="D798:D801"/>
    <mergeCell ref="D802:D803"/>
    <mergeCell ref="D804:D807"/>
    <mergeCell ref="D808:D811"/>
    <mergeCell ref="D812:D813"/>
    <mergeCell ref="D814:D817"/>
    <mergeCell ref="D818:D821"/>
    <mergeCell ref="D823:D824"/>
    <mergeCell ref="D825:D828"/>
    <mergeCell ref="D829:D832"/>
    <mergeCell ref="D833:D836"/>
    <mergeCell ref="D837:D839"/>
    <mergeCell ref="D840:D843"/>
    <mergeCell ref="D844:D845"/>
    <mergeCell ref="D846:D849"/>
    <mergeCell ref="D850:D851"/>
    <mergeCell ref="D852:D855"/>
    <mergeCell ref="D856:D857"/>
    <mergeCell ref="D858:D861"/>
    <mergeCell ref="D862:D865"/>
    <mergeCell ref="D866:D868"/>
    <mergeCell ref="D869:D872"/>
    <mergeCell ref="D873:D875"/>
    <mergeCell ref="D876:D878"/>
    <mergeCell ref="D879:D882"/>
    <mergeCell ref="D883:D884"/>
    <mergeCell ref="D885:D887"/>
    <mergeCell ref="D888:D890"/>
    <mergeCell ref="D891:D893"/>
    <mergeCell ref="D894:D897"/>
    <mergeCell ref="D898:D901"/>
    <mergeCell ref="D902:D905"/>
    <mergeCell ref="D906:D908"/>
    <mergeCell ref="D909:D911"/>
    <mergeCell ref="D912:D914"/>
    <mergeCell ref="D915:D918"/>
    <mergeCell ref="D919:D920"/>
    <mergeCell ref="D921:D923"/>
    <mergeCell ref="D924:D928"/>
    <mergeCell ref="D929:D930"/>
    <mergeCell ref="D931:D932"/>
    <mergeCell ref="D933:D936"/>
    <mergeCell ref="D937:D940"/>
    <mergeCell ref="D942:D944"/>
    <mergeCell ref="D945:D949"/>
    <mergeCell ref="D950:D953"/>
    <mergeCell ref="D954:D956"/>
    <mergeCell ref="D957:D961"/>
    <mergeCell ref="D962:D963"/>
    <mergeCell ref="D964:D967"/>
    <mergeCell ref="D968:D970"/>
    <mergeCell ref="D971:D973"/>
    <mergeCell ref="D974:D977"/>
    <mergeCell ref="D978:D981"/>
    <mergeCell ref="D982:D986"/>
    <mergeCell ref="D987:D990"/>
    <mergeCell ref="D991:D992"/>
    <mergeCell ref="D993:D996"/>
    <mergeCell ref="D997:D1000"/>
    <mergeCell ref="D1001:D1004"/>
    <mergeCell ref="D1005:D1006"/>
    <mergeCell ref="D1007:D1011"/>
    <mergeCell ref="D1012:D1016"/>
    <mergeCell ref="D1017:D1019"/>
    <mergeCell ref="D1020:D1022"/>
    <mergeCell ref="D1023:D1026"/>
    <mergeCell ref="D1027:D1030"/>
    <mergeCell ref="D1031:D1034"/>
    <mergeCell ref="D1035:D1038"/>
    <mergeCell ref="D1039:D1042"/>
    <mergeCell ref="D1043:D1047"/>
    <mergeCell ref="D1048:D1050"/>
    <mergeCell ref="D1051:D1053"/>
    <mergeCell ref="D1054:D1055"/>
    <mergeCell ref="D1056:D1058"/>
    <mergeCell ref="D1059:D1063"/>
    <mergeCell ref="D1064:D1065"/>
    <mergeCell ref="D1066:D1069"/>
    <mergeCell ref="D1071:D1074"/>
    <mergeCell ref="D1075:D1078"/>
    <mergeCell ref="D1079:D1081"/>
    <mergeCell ref="D1082:D1084"/>
    <mergeCell ref="D1085:D1088"/>
    <mergeCell ref="D1089:D1093"/>
    <mergeCell ref="D1094:D1096"/>
    <mergeCell ref="D1097:D1100"/>
    <mergeCell ref="D1101:D1104"/>
    <mergeCell ref="D1105:D1107"/>
    <mergeCell ref="D1108:D1111"/>
    <mergeCell ref="D1112:D1115"/>
    <mergeCell ref="D1116:D1117"/>
    <mergeCell ref="D1118:D1120"/>
    <mergeCell ref="D1121:D1122"/>
    <mergeCell ref="D1123:D1126"/>
    <mergeCell ref="D1127:D1130"/>
    <mergeCell ref="D1131:D1133"/>
    <mergeCell ref="D1134:D1136"/>
    <mergeCell ref="D1137:D1139"/>
    <mergeCell ref="D1140:D1143"/>
    <mergeCell ref="D1144:D1147"/>
    <mergeCell ref="D1148:D1151"/>
    <mergeCell ref="D1152:D1155"/>
    <mergeCell ref="D1156:D1159"/>
    <mergeCell ref="D1160:D1163"/>
    <mergeCell ref="D1164:D1168"/>
    <mergeCell ref="D1169:D1172"/>
    <mergeCell ref="D1173:D1176"/>
    <mergeCell ref="D1177:D1180"/>
    <mergeCell ref="D1181:D1183"/>
    <mergeCell ref="D1184:D1187"/>
    <mergeCell ref="D1188:D1190"/>
    <mergeCell ref="D1191:D1193"/>
    <mergeCell ref="D1194:D1197"/>
    <mergeCell ref="D1198:D1201"/>
    <mergeCell ref="D1202:D1205"/>
    <mergeCell ref="D1206:D1209"/>
    <mergeCell ref="D1210:D1213"/>
    <mergeCell ref="D1214:D1217"/>
    <mergeCell ref="D1218:D1220"/>
    <mergeCell ref="D1221:D1223"/>
    <mergeCell ref="D1224:D1227"/>
    <mergeCell ref="D1228:D1230"/>
    <mergeCell ref="D1231:D1233"/>
    <mergeCell ref="D1234:D1238"/>
    <mergeCell ref="D1239:D1242"/>
    <mergeCell ref="D1243:D1246"/>
    <mergeCell ref="D1247:D1248"/>
    <mergeCell ref="D1249:D1251"/>
    <mergeCell ref="D1252:D1254"/>
    <mergeCell ref="D1255:D1259"/>
    <mergeCell ref="D1260:D1262"/>
    <mergeCell ref="D1263:D1266"/>
    <mergeCell ref="D1267:D1270"/>
    <mergeCell ref="D1271:D1274"/>
    <mergeCell ref="D1275:D1278"/>
    <mergeCell ref="D1279:D1282"/>
    <mergeCell ref="D1283:D1286"/>
    <mergeCell ref="D1287:D1291"/>
    <mergeCell ref="D1292:D1296"/>
    <mergeCell ref="D1297:D1301"/>
    <mergeCell ref="D1302:D1304"/>
    <mergeCell ref="D1305:D1307"/>
    <mergeCell ref="D1308:D1311"/>
    <mergeCell ref="D1312:D1313"/>
    <mergeCell ref="D1315:D1317"/>
    <mergeCell ref="D1318:D1321"/>
    <mergeCell ref="D1322:D1325"/>
    <mergeCell ref="D1326:D1328"/>
    <mergeCell ref="D1329:D1331"/>
    <mergeCell ref="D1332:D1335"/>
    <mergeCell ref="D1336:D1338"/>
    <mergeCell ref="D1339:D1341"/>
    <mergeCell ref="D1342:D1345"/>
    <mergeCell ref="D1346:D1349"/>
    <mergeCell ref="D1350:D1353"/>
    <mergeCell ref="D1354:D1356"/>
    <mergeCell ref="D1357:D1360"/>
    <mergeCell ref="D1361:D1364"/>
    <mergeCell ref="D1365:D1367"/>
    <mergeCell ref="D1368:D1370"/>
    <mergeCell ref="D1371:D1374"/>
    <mergeCell ref="D1375:D1378"/>
    <mergeCell ref="D1379:D1381"/>
    <mergeCell ref="D1382:D1386"/>
    <mergeCell ref="D1387:D1390"/>
    <mergeCell ref="D1391:D1393"/>
    <mergeCell ref="D1394:D1398"/>
    <mergeCell ref="D1399:D1401"/>
    <mergeCell ref="D1402:D1406"/>
    <mergeCell ref="D1407:D1411"/>
    <mergeCell ref="D1412:D1416"/>
    <mergeCell ref="D1417:D1418"/>
    <mergeCell ref="D1419:D1421"/>
    <mergeCell ref="D1422:D1424"/>
    <mergeCell ref="D1425:D1428"/>
    <mergeCell ref="D1429:D1430"/>
    <mergeCell ref="D1431:D1434"/>
    <mergeCell ref="D1435:D1437"/>
    <mergeCell ref="D1438:D1440"/>
    <mergeCell ref="D1441:D1444"/>
    <mergeCell ref="D1445:D1448"/>
    <mergeCell ref="D1449:D1451"/>
    <mergeCell ref="D1453:D1457"/>
    <mergeCell ref="D1458:D1462"/>
    <mergeCell ref="D1463:D1466"/>
    <mergeCell ref="D1467:D1470"/>
    <mergeCell ref="D1471:D1473"/>
    <mergeCell ref="D1474:D1477"/>
    <mergeCell ref="D1478:D1481"/>
    <mergeCell ref="D1482:D1483"/>
    <mergeCell ref="D1484:D1485"/>
    <mergeCell ref="D1486:D1489"/>
    <mergeCell ref="D1490:D1493"/>
    <mergeCell ref="D1494:D1497"/>
    <mergeCell ref="D1498:D1501"/>
    <mergeCell ref="D1502:D1506"/>
    <mergeCell ref="D1507:D1510"/>
    <mergeCell ref="E2:E5"/>
    <mergeCell ref="E6:E8"/>
    <mergeCell ref="E9:E12"/>
    <mergeCell ref="E13:E17"/>
    <mergeCell ref="E18:E21"/>
    <mergeCell ref="E22:E23"/>
    <mergeCell ref="E24:E27"/>
    <mergeCell ref="E28:E29"/>
    <mergeCell ref="E30:E32"/>
    <mergeCell ref="E33:E34"/>
    <mergeCell ref="E35:E38"/>
    <mergeCell ref="E39:E42"/>
    <mergeCell ref="E43:E44"/>
    <mergeCell ref="E45:E46"/>
    <mergeCell ref="E47:E50"/>
    <mergeCell ref="E51:E54"/>
    <mergeCell ref="E55:E57"/>
    <mergeCell ref="E58:E61"/>
    <mergeCell ref="E62:E65"/>
    <mergeCell ref="E66:E69"/>
    <mergeCell ref="E70:E72"/>
    <mergeCell ref="E73:E76"/>
    <mergeCell ref="E77:E80"/>
    <mergeCell ref="E81:E84"/>
    <mergeCell ref="E85:E88"/>
    <mergeCell ref="E89:E92"/>
    <mergeCell ref="E93:E95"/>
    <mergeCell ref="E96:E97"/>
    <mergeCell ref="E98:E100"/>
    <mergeCell ref="E101:E103"/>
    <mergeCell ref="E104:E107"/>
    <mergeCell ref="E108:E111"/>
    <mergeCell ref="E112:E114"/>
    <mergeCell ref="E115:E118"/>
    <mergeCell ref="E119:E122"/>
    <mergeCell ref="E123:E126"/>
    <mergeCell ref="E127:E131"/>
    <mergeCell ref="E132:E135"/>
    <mergeCell ref="E136:E139"/>
    <mergeCell ref="E140:E143"/>
    <mergeCell ref="E144:E147"/>
    <mergeCell ref="E148:E150"/>
    <mergeCell ref="E151:E155"/>
    <mergeCell ref="E156:E158"/>
    <mergeCell ref="E159:E161"/>
    <mergeCell ref="E162:E163"/>
    <mergeCell ref="E164:E167"/>
    <mergeCell ref="E168:E171"/>
    <mergeCell ref="E172:E175"/>
    <mergeCell ref="E176:E179"/>
    <mergeCell ref="E180:E183"/>
    <mergeCell ref="E184:E188"/>
    <mergeCell ref="E189:E190"/>
    <mergeCell ref="E191:E194"/>
    <mergeCell ref="E195:E198"/>
    <mergeCell ref="E199:E202"/>
    <mergeCell ref="E203:E205"/>
    <mergeCell ref="E206:E209"/>
    <mergeCell ref="E210:E213"/>
    <mergeCell ref="E214:E217"/>
    <mergeCell ref="E218:E222"/>
    <mergeCell ref="E223:E226"/>
    <mergeCell ref="E227:E230"/>
    <mergeCell ref="E231:E232"/>
    <mergeCell ref="E233:E234"/>
    <mergeCell ref="E235:E238"/>
    <mergeCell ref="E239:E240"/>
    <mergeCell ref="E241:E244"/>
    <mergeCell ref="E245:E247"/>
    <mergeCell ref="E248:E251"/>
    <mergeCell ref="E252:E255"/>
    <mergeCell ref="E256:E258"/>
    <mergeCell ref="E259:E262"/>
    <mergeCell ref="E263:E264"/>
    <mergeCell ref="E265:E268"/>
    <mergeCell ref="E269:E272"/>
    <mergeCell ref="E273:E275"/>
    <mergeCell ref="E276:E279"/>
    <mergeCell ref="E280:E283"/>
    <mergeCell ref="E284:E287"/>
    <mergeCell ref="E288:E289"/>
    <mergeCell ref="E290:E293"/>
    <mergeCell ref="E294:E296"/>
    <mergeCell ref="E297:E300"/>
    <mergeCell ref="E301:E302"/>
    <mergeCell ref="E303:E304"/>
    <mergeCell ref="E305:E306"/>
    <mergeCell ref="E307:E309"/>
    <mergeCell ref="E310:E312"/>
    <mergeCell ref="E313:E316"/>
    <mergeCell ref="E317:E319"/>
    <mergeCell ref="E320:E323"/>
    <mergeCell ref="E324:E328"/>
    <mergeCell ref="E329:E332"/>
    <mergeCell ref="E333:E336"/>
    <mergeCell ref="E337:E340"/>
    <mergeCell ref="E341:E344"/>
    <mergeCell ref="E345:E348"/>
    <mergeCell ref="E349:E352"/>
    <mergeCell ref="E353:E356"/>
    <mergeCell ref="E357:E360"/>
    <mergeCell ref="E361:E364"/>
    <mergeCell ref="E365:E367"/>
    <mergeCell ref="E368:E369"/>
    <mergeCell ref="E370:E371"/>
    <mergeCell ref="E372:E375"/>
    <mergeCell ref="E376:E377"/>
    <mergeCell ref="E378:E381"/>
    <mergeCell ref="E382:E384"/>
    <mergeCell ref="E385:E388"/>
    <mergeCell ref="E389:E392"/>
    <mergeCell ref="E393:E396"/>
    <mergeCell ref="E397:E400"/>
    <mergeCell ref="E401:E403"/>
    <mergeCell ref="E404:E407"/>
    <mergeCell ref="E408:E411"/>
    <mergeCell ref="E412:E415"/>
    <mergeCell ref="E416:E419"/>
    <mergeCell ref="E420:E422"/>
    <mergeCell ref="E423:E426"/>
    <mergeCell ref="E427:E431"/>
    <mergeCell ref="E432:E435"/>
    <mergeCell ref="E436:E439"/>
    <mergeCell ref="E440:E442"/>
    <mergeCell ref="E443:E446"/>
    <mergeCell ref="E447:E450"/>
    <mergeCell ref="E451:E455"/>
    <mergeCell ref="E456:E458"/>
    <mergeCell ref="E459:E460"/>
    <mergeCell ref="E461:E464"/>
    <mergeCell ref="E465:E467"/>
    <mergeCell ref="E468:E470"/>
    <mergeCell ref="E471:E474"/>
    <mergeCell ref="E475:E478"/>
    <mergeCell ref="E479:E482"/>
    <mergeCell ref="E483:E486"/>
    <mergeCell ref="E487:E490"/>
    <mergeCell ref="E491:E494"/>
    <mergeCell ref="E495:E498"/>
    <mergeCell ref="E499:E500"/>
    <mergeCell ref="E501:E503"/>
    <mergeCell ref="E504:E506"/>
    <mergeCell ref="E507:E510"/>
    <mergeCell ref="E511:E514"/>
    <mergeCell ref="E515:E519"/>
    <mergeCell ref="E520:E523"/>
    <mergeCell ref="E524:E526"/>
    <mergeCell ref="E527:E530"/>
    <mergeCell ref="E531:E534"/>
    <mergeCell ref="E535:E538"/>
    <mergeCell ref="E539:E542"/>
    <mergeCell ref="E543:E546"/>
    <mergeCell ref="E547:E549"/>
    <mergeCell ref="E550:E551"/>
    <mergeCell ref="E552:E555"/>
    <mergeCell ref="E556:E558"/>
    <mergeCell ref="E559:E560"/>
    <mergeCell ref="E561:E564"/>
    <mergeCell ref="E565:E568"/>
    <mergeCell ref="E569:E572"/>
    <mergeCell ref="E573:E575"/>
    <mergeCell ref="E576:E579"/>
    <mergeCell ref="E580:E581"/>
    <mergeCell ref="E582:E584"/>
    <mergeCell ref="E585:E587"/>
    <mergeCell ref="E588:E591"/>
    <mergeCell ref="E592:E595"/>
    <mergeCell ref="E596:E599"/>
    <mergeCell ref="E600:E603"/>
    <mergeCell ref="E604:E608"/>
    <mergeCell ref="E609:E612"/>
    <mergeCell ref="E613:E614"/>
    <mergeCell ref="E615:E619"/>
    <mergeCell ref="E620:E624"/>
    <mergeCell ref="E625:E629"/>
    <mergeCell ref="E630:E631"/>
    <mergeCell ref="E632:E635"/>
    <mergeCell ref="E636:E640"/>
    <mergeCell ref="E641:E644"/>
    <mergeCell ref="E645:E648"/>
    <mergeCell ref="E649:E652"/>
    <mergeCell ref="E653:E655"/>
    <mergeCell ref="E656:E657"/>
    <mergeCell ref="E658:E660"/>
    <mergeCell ref="E661:E664"/>
    <mergeCell ref="E665:E668"/>
    <mergeCell ref="E669:E672"/>
    <mergeCell ref="E673:E675"/>
    <mergeCell ref="E676:E679"/>
    <mergeCell ref="E680:E681"/>
    <mergeCell ref="E682:E685"/>
    <mergeCell ref="E686:E689"/>
    <mergeCell ref="E690:E692"/>
    <mergeCell ref="E693:E695"/>
    <mergeCell ref="E696:E697"/>
    <mergeCell ref="E698:E701"/>
    <mergeCell ref="E702:E703"/>
    <mergeCell ref="E704:E706"/>
    <mergeCell ref="E707:E708"/>
    <mergeCell ref="E709:E710"/>
    <mergeCell ref="E711:E714"/>
    <mergeCell ref="E715:E718"/>
    <mergeCell ref="E719:E722"/>
    <mergeCell ref="E723:E726"/>
    <mergeCell ref="E727:E730"/>
    <mergeCell ref="E731:E734"/>
    <mergeCell ref="E735:E739"/>
    <mergeCell ref="E740:E743"/>
    <mergeCell ref="E744:E747"/>
    <mergeCell ref="E748:E750"/>
    <mergeCell ref="E751:E754"/>
    <mergeCell ref="E755:E758"/>
    <mergeCell ref="E759:E763"/>
    <mergeCell ref="E764:E766"/>
    <mergeCell ref="E767:E770"/>
    <mergeCell ref="E771:E773"/>
    <mergeCell ref="E774:E777"/>
    <mergeCell ref="E778:E780"/>
    <mergeCell ref="E781:E784"/>
    <mergeCell ref="E785:E786"/>
    <mergeCell ref="E787:E790"/>
    <mergeCell ref="E791:E794"/>
    <mergeCell ref="E795:E797"/>
    <mergeCell ref="E798:E801"/>
    <mergeCell ref="E802:E803"/>
    <mergeCell ref="E804:E807"/>
    <mergeCell ref="E808:E811"/>
    <mergeCell ref="E812:E813"/>
    <mergeCell ref="E814:E817"/>
    <mergeCell ref="E818:E821"/>
    <mergeCell ref="E823:E824"/>
    <mergeCell ref="E825:E828"/>
    <mergeCell ref="E829:E832"/>
    <mergeCell ref="E833:E836"/>
    <mergeCell ref="E837:E839"/>
    <mergeCell ref="E840:E843"/>
    <mergeCell ref="E844:E845"/>
    <mergeCell ref="E846:E849"/>
    <mergeCell ref="E850:E851"/>
    <mergeCell ref="E852:E855"/>
    <mergeCell ref="E856:E857"/>
    <mergeCell ref="E858:E861"/>
    <mergeCell ref="E862:E865"/>
    <mergeCell ref="E866:E868"/>
    <mergeCell ref="E869:E872"/>
    <mergeCell ref="E873:E875"/>
    <mergeCell ref="E876:E878"/>
    <mergeCell ref="E879:E882"/>
    <mergeCell ref="E883:E884"/>
    <mergeCell ref="E885:E887"/>
    <mergeCell ref="E888:E890"/>
    <mergeCell ref="E891:E893"/>
    <mergeCell ref="E894:E897"/>
    <mergeCell ref="E898:E901"/>
    <mergeCell ref="E902:E905"/>
    <mergeCell ref="E906:E908"/>
    <mergeCell ref="E909:E911"/>
    <mergeCell ref="E912:E914"/>
    <mergeCell ref="E915:E918"/>
    <mergeCell ref="E919:E920"/>
    <mergeCell ref="E921:E923"/>
    <mergeCell ref="E924:E928"/>
    <mergeCell ref="E929:E930"/>
    <mergeCell ref="E931:E932"/>
    <mergeCell ref="E933:E936"/>
    <mergeCell ref="E937:E940"/>
    <mergeCell ref="E942:E944"/>
    <mergeCell ref="E945:E949"/>
    <mergeCell ref="E950:E953"/>
    <mergeCell ref="E954:E956"/>
    <mergeCell ref="E957:E961"/>
    <mergeCell ref="E962:E963"/>
    <mergeCell ref="E964:E967"/>
    <mergeCell ref="E968:E970"/>
    <mergeCell ref="E971:E973"/>
    <mergeCell ref="E974:E977"/>
    <mergeCell ref="E978:E981"/>
    <mergeCell ref="E982:E986"/>
    <mergeCell ref="E987:E990"/>
    <mergeCell ref="E991:E992"/>
    <mergeCell ref="E993:E996"/>
    <mergeCell ref="E997:E1000"/>
    <mergeCell ref="E1001:E1004"/>
    <mergeCell ref="E1005:E1006"/>
    <mergeCell ref="E1007:E1011"/>
    <mergeCell ref="E1012:E1016"/>
    <mergeCell ref="E1017:E1019"/>
    <mergeCell ref="E1020:E1022"/>
    <mergeCell ref="E1023:E1026"/>
    <mergeCell ref="E1027:E1030"/>
    <mergeCell ref="E1031:E1034"/>
    <mergeCell ref="E1035:E1038"/>
    <mergeCell ref="E1039:E1042"/>
    <mergeCell ref="E1043:E1047"/>
    <mergeCell ref="E1048:E1050"/>
    <mergeCell ref="E1051:E1053"/>
    <mergeCell ref="E1054:E1055"/>
    <mergeCell ref="E1056:E1058"/>
    <mergeCell ref="E1059:E1063"/>
    <mergeCell ref="E1064:E1065"/>
    <mergeCell ref="E1066:E1069"/>
    <mergeCell ref="E1071:E1074"/>
    <mergeCell ref="E1075:E1078"/>
    <mergeCell ref="E1079:E1081"/>
    <mergeCell ref="E1082:E1084"/>
    <mergeCell ref="E1085:E1088"/>
    <mergeCell ref="E1089:E1093"/>
    <mergeCell ref="E1094:E1096"/>
    <mergeCell ref="E1097:E1100"/>
    <mergeCell ref="E1101:E1104"/>
    <mergeCell ref="E1105:E1107"/>
    <mergeCell ref="E1108:E1111"/>
    <mergeCell ref="E1112:E1115"/>
    <mergeCell ref="E1116:E1117"/>
    <mergeCell ref="E1118:E1120"/>
    <mergeCell ref="E1121:E1122"/>
    <mergeCell ref="E1123:E1126"/>
    <mergeCell ref="E1127:E1130"/>
    <mergeCell ref="E1131:E1133"/>
    <mergeCell ref="E1134:E1136"/>
    <mergeCell ref="E1137:E1139"/>
    <mergeCell ref="E1140:E1143"/>
    <mergeCell ref="E1144:E1147"/>
    <mergeCell ref="E1148:E1151"/>
    <mergeCell ref="E1152:E1155"/>
    <mergeCell ref="E1156:E1159"/>
    <mergeCell ref="E1160:E1163"/>
    <mergeCell ref="E1164:E1168"/>
    <mergeCell ref="E1169:E1172"/>
    <mergeCell ref="E1173:E1176"/>
    <mergeCell ref="E1177:E1180"/>
    <mergeCell ref="E1181:E1183"/>
    <mergeCell ref="E1184:E1187"/>
    <mergeCell ref="E1188:E1190"/>
    <mergeCell ref="E1191:E1193"/>
    <mergeCell ref="E1194:E1197"/>
    <mergeCell ref="E1198:E1201"/>
    <mergeCell ref="E1202:E1205"/>
    <mergeCell ref="E1206:E1209"/>
    <mergeCell ref="E1210:E1213"/>
    <mergeCell ref="E1214:E1217"/>
    <mergeCell ref="E1218:E1220"/>
    <mergeCell ref="E1221:E1223"/>
    <mergeCell ref="E1224:E1227"/>
    <mergeCell ref="E1228:E1230"/>
    <mergeCell ref="E1231:E1233"/>
    <mergeCell ref="E1234:E1238"/>
    <mergeCell ref="E1239:E1242"/>
    <mergeCell ref="E1243:E1246"/>
    <mergeCell ref="E1247:E1248"/>
    <mergeCell ref="E1249:E1251"/>
    <mergeCell ref="E1252:E1254"/>
    <mergeCell ref="E1255:E1259"/>
    <mergeCell ref="E1260:E1262"/>
    <mergeCell ref="E1263:E1266"/>
    <mergeCell ref="E1267:E1270"/>
    <mergeCell ref="E1271:E1274"/>
    <mergeCell ref="E1275:E1278"/>
    <mergeCell ref="E1279:E1282"/>
    <mergeCell ref="E1283:E1286"/>
    <mergeCell ref="E1287:E1291"/>
    <mergeCell ref="E1292:E1296"/>
    <mergeCell ref="E1297:E1301"/>
    <mergeCell ref="E1302:E1304"/>
    <mergeCell ref="E1305:E1307"/>
    <mergeCell ref="E1308:E1311"/>
    <mergeCell ref="E1312:E1313"/>
    <mergeCell ref="E1315:E1317"/>
    <mergeCell ref="E1318:E1321"/>
    <mergeCell ref="E1322:E1325"/>
    <mergeCell ref="E1326:E1328"/>
    <mergeCell ref="E1329:E1331"/>
    <mergeCell ref="E1332:E1335"/>
    <mergeCell ref="E1336:E1338"/>
    <mergeCell ref="E1339:E1341"/>
    <mergeCell ref="E1342:E1345"/>
    <mergeCell ref="E1346:E1349"/>
    <mergeCell ref="E1350:E1353"/>
    <mergeCell ref="E1354:E1356"/>
    <mergeCell ref="E1357:E1360"/>
    <mergeCell ref="E1361:E1364"/>
    <mergeCell ref="E1365:E1367"/>
    <mergeCell ref="E1368:E1370"/>
    <mergeCell ref="E1371:E1374"/>
    <mergeCell ref="E1375:E1378"/>
    <mergeCell ref="E1379:E1381"/>
    <mergeCell ref="E1382:E1386"/>
    <mergeCell ref="E1387:E1390"/>
    <mergeCell ref="E1391:E1393"/>
    <mergeCell ref="E1394:E1398"/>
    <mergeCell ref="E1399:E1401"/>
    <mergeCell ref="E1402:E1406"/>
    <mergeCell ref="E1407:E1411"/>
    <mergeCell ref="E1412:E1416"/>
    <mergeCell ref="E1417:E1418"/>
    <mergeCell ref="E1419:E1421"/>
    <mergeCell ref="E1422:E1424"/>
    <mergeCell ref="E1425:E1428"/>
    <mergeCell ref="E1429:E1430"/>
    <mergeCell ref="E1431:E1434"/>
    <mergeCell ref="E1435:E1437"/>
    <mergeCell ref="E1438:E1440"/>
    <mergeCell ref="E1441:E1444"/>
    <mergeCell ref="E1445:E1448"/>
    <mergeCell ref="E1449:E1451"/>
    <mergeCell ref="E1453:E1457"/>
    <mergeCell ref="E1458:E1462"/>
    <mergeCell ref="E1463:E1466"/>
    <mergeCell ref="E1467:E1470"/>
    <mergeCell ref="E1471:E1473"/>
    <mergeCell ref="E1474:E1477"/>
    <mergeCell ref="E1478:E1481"/>
    <mergeCell ref="E1482:E1483"/>
    <mergeCell ref="E1484:E1485"/>
    <mergeCell ref="E1486:E1489"/>
    <mergeCell ref="E1490:E1493"/>
    <mergeCell ref="E1494:E1497"/>
    <mergeCell ref="E1498:E1501"/>
    <mergeCell ref="E1502:E1506"/>
    <mergeCell ref="E1507:E1510"/>
    <mergeCell ref="F2:F5"/>
    <mergeCell ref="F6:F8"/>
    <mergeCell ref="F9:F12"/>
    <mergeCell ref="F13:F17"/>
    <mergeCell ref="F18:F21"/>
    <mergeCell ref="F22:F23"/>
    <mergeCell ref="F24:F27"/>
    <mergeCell ref="F28:F29"/>
    <mergeCell ref="F30:F32"/>
    <mergeCell ref="F33:F34"/>
    <mergeCell ref="F35:F38"/>
    <mergeCell ref="F39:F42"/>
    <mergeCell ref="F43:F44"/>
    <mergeCell ref="F45:F46"/>
    <mergeCell ref="F47:F50"/>
    <mergeCell ref="F51:F54"/>
    <mergeCell ref="F55:F57"/>
    <mergeCell ref="F58:F61"/>
    <mergeCell ref="F62:F65"/>
    <mergeCell ref="F66:F69"/>
    <mergeCell ref="F70:F72"/>
    <mergeCell ref="F73:F76"/>
    <mergeCell ref="F77:F80"/>
    <mergeCell ref="F81:F84"/>
    <mergeCell ref="F85:F88"/>
    <mergeCell ref="F89:F92"/>
    <mergeCell ref="F93:F95"/>
    <mergeCell ref="F96:F97"/>
    <mergeCell ref="F98:F100"/>
    <mergeCell ref="F101:F103"/>
    <mergeCell ref="F104:F107"/>
    <mergeCell ref="F108:F111"/>
    <mergeCell ref="F112:F114"/>
    <mergeCell ref="F115:F118"/>
    <mergeCell ref="F119:F122"/>
    <mergeCell ref="F123:F126"/>
    <mergeCell ref="F127:F131"/>
    <mergeCell ref="F132:F135"/>
    <mergeCell ref="F136:F139"/>
    <mergeCell ref="F140:F143"/>
    <mergeCell ref="F144:F147"/>
    <mergeCell ref="F148:F150"/>
    <mergeCell ref="F151:F155"/>
    <mergeCell ref="F156:F158"/>
    <mergeCell ref="F159:F161"/>
    <mergeCell ref="F162:F163"/>
    <mergeCell ref="F164:F167"/>
    <mergeCell ref="F168:F171"/>
    <mergeCell ref="F172:F175"/>
    <mergeCell ref="F176:F179"/>
    <mergeCell ref="F180:F183"/>
    <mergeCell ref="F184:F188"/>
    <mergeCell ref="F189:F190"/>
    <mergeCell ref="F191:F194"/>
    <mergeCell ref="F195:F198"/>
    <mergeCell ref="F199:F202"/>
    <mergeCell ref="F203:F205"/>
    <mergeCell ref="F206:F209"/>
    <mergeCell ref="F210:F213"/>
    <mergeCell ref="F214:F217"/>
    <mergeCell ref="F218:F222"/>
    <mergeCell ref="F223:F226"/>
    <mergeCell ref="F227:F230"/>
    <mergeCell ref="F231:F232"/>
    <mergeCell ref="F233:F234"/>
    <mergeCell ref="F235:F238"/>
    <mergeCell ref="F239:F240"/>
    <mergeCell ref="F241:F244"/>
    <mergeCell ref="F245:F247"/>
    <mergeCell ref="F248:F251"/>
    <mergeCell ref="F252:F255"/>
    <mergeCell ref="F256:F258"/>
    <mergeCell ref="F259:F262"/>
    <mergeCell ref="F263:F264"/>
    <mergeCell ref="F265:F268"/>
    <mergeCell ref="F269:F272"/>
    <mergeCell ref="F273:F275"/>
    <mergeCell ref="F276:F279"/>
    <mergeCell ref="F280:F283"/>
    <mergeCell ref="F284:F287"/>
    <mergeCell ref="F288:F289"/>
    <mergeCell ref="F290:F293"/>
    <mergeCell ref="F294:F296"/>
    <mergeCell ref="F297:F300"/>
    <mergeCell ref="F301:F302"/>
    <mergeCell ref="F303:F304"/>
    <mergeCell ref="F305:F306"/>
    <mergeCell ref="F307:F309"/>
    <mergeCell ref="F310:F312"/>
    <mergeCell ref="F313:F316"/>
    <mergeCell ref="F317:F319"/>
    <mergeCell ref="F320:F323"/>
    <mergeCell ref="F324:F328"/>
    <mergeCell ref="F329:F332"/>
    <mergeCell ref="F333:F336"/>
    <mergeCell ref="F337:F340"/>
    <mergeCell ref="F341:F344"/>
    <mergeCell ref="F345:F348"/>
    <mergeCell ref="F349:F352"/>
    <mergeCell ref="F353:F356"/>
    <mergeCell ref="F357:F360"/>
    <mergeCell ref="F361:F364"/>
    <mergeCell ref="F365:F367"/>
    <mergeCell ref="F368:F369"/>
    <mergeCell ref="F370:F371"/>
    <mergeCell ref="F372:F375"/>
    <mergeCell ref="F376:F377"/>
    <mergeCell ref="F378:F381"/>
    <mergeCell ref="F382:F384"/>
    <mergeCell ref="F385:F388"/>
    <mergeCell ref="F389:F392"/>
    <mergeCell ref="F393:F396"/>
    <mergeCell ref="F397:F400"/>
    <mergeCell ref="F401:F403"/>
    <mergeCell ref="F404:F407"/>
    <mergeCell ref="F408:F411"/>
    <mergeCell ref="F412:F415"/>
    <mergeCell ref="F416:F419"/>
    <mergeCell ref="F420:F422"/>
    <mergeCell ref="F423:F426"/>
    <mergeCell ref="F427:F431"/>
    <mergeCell ref="F432:F435"/>
    <mergeCell ref="F436:F439"/>
    <mergeCell ref="F440:F442"/>
    <mergeCell ref="F443:F446"/>
    <mergeCell ref="F447:F450"/>
    <mergeCell ref="F451:F455"/>
    <mergeCell ref="F456:F458"/>
    <mergeCell ref="F459:F460"/>
    <mergeCell ref="F461:F464"/>
    <mergeCell ref="F465:F467"/>
    <mergeCell ref="F468:F470"/>
    <mergeCell ref="F471:F474"/>
    <mergeCell ref="F475:F478"/>
    <mergeCell ref="F479:F482"/>
    <mergeCell ref="F483:F486"/>
    <mergeCell ref="F487:F490"/>
    <mergeCell ref="F491:F494"/>
    <mergeCell ref="F495:F498"/>
    <mergeCell ref="F499:F500"/>
    <mergeCell ref="F501:F503"/>
    <mergeCell ref="F504:F506"/>
    <mergeCell ref="F507:F510"/>
    <mergeCell ref="F511:F514"/>
    <mergeCell ref="F515:F519"/>
    <mergeCell ref="F520:F523"/>
    <mergeCell ref="F524:F526"/>
    <mergeCell ref="F527:F530"/>
    <mergeCell ref="F531:F534"/>
    <mergeCell ref="F535:F538"/>
    <mergeCell ref="F539:F542"/>
    <mergeCell ref="F543:F546"/>
    <mergeCell ref="F547:F549"/>
    <mergeCell ref="F550:F551"/>
    <mergeCell ref="F552:F555"/>
    <mergeCell ref="F556:F558"/>
    <mergeCell ref="F559:F560"/>
    <mergeCell ref="F561:F564"/>
    <mergeCell ref="F565:F568"/>
    <mergeCell ref="F569:F572"/>
    <mergeCell ref="F573:F575"/>
    <mergeCell ref="F576:F579"/>
    <mergeCell ref="F580:F581"/>
    <mergeCell ref="F582:F584"/>
    <mergeCell ref="F585:F587"/>
    <mergeCell ref="F588:F591"/>
    <mergeCell ref="F592:F595"/>
    <mergeCell ref="F596:F599"/>
    <mergeCell ref="F600:F603"/>
    <mergeCell ref="F604:F608"/>
    <mergeCell ref="F609:F612"/>
    <mergeCell ref="F613:F614"/>
    <mergeCell ref="F615:F619"/>
    <mergeCell ref="F620:F624"/>
    <mergeCell ref="F625:F629"/>
    <mergeCell ref="F630:F631"/>
    <mergeCell ref="F632:F635"/>
    <mergeCell ref="F636:F640"/>
    <mergeCell ref="F641:F644"/>
    <mergeCell ref="F645:F648"/>
    <mergeCell ref="F649:F652"/>
    <mergeCell ref="F653:F655"/>
    <mergeCell ref="F656:F657"/>
    <mergeCell ref="F658:F660"/>
    <mergeCell ref="F661:F664"/>
    <mergeCell ref="F665:F668"/>
    <mergeCell ref="F669:F672"/>
    <mergeCell ref="F673:F675"/>
    <mergeCell ref="F676:F679"/>
    <mergeCell ref="F680:F681"/>
    <mergeCell ref="F682:F685"/>
    <mergeCell ref="F686:F689"/>
    <mergeCell ref="F690:F692"/>
    <mergeCell ref="F693:F695"/>
    <mergeCell ref="F696:F697"/>
    <mergeCell ref="F698:F701"/>
    <mergeCell ref="F702:F703"/>
    <mergeCell ref="F704:F706"/>
    <mergeCell ref="F707:F708"/>
    <mergeCell ref="F709:F710"/>
    <mergeCell ref="F711:F714"/>
    <mergeCell ref="F715:F718"/>
    <mergeCell ref="F719:F722"/>
    <mergeCell ref="F723:F726"/>
    <mergeCell ref="F727:F730"/>
    <mergeCell ref="F731:F734"/>
    <mergeCell ref="F735:F739"/>
    <mergeCell ref="F740:F743"/>
    <mergeCell ref="F744:F747"/>
    <mergeCell ref="F748:F750"/>
    <mergeCell ref="F751:F754"/>
    <mergeCell ref="F755:F758"/>
    <mergeCell ref="F759:F763"/>
    <mergeCell ref="F764:F766"/>
    <mergeCell ref="F767:F770"/>
    <mergeCell ref="F771:F773"/>
    <mergeCell ref="F774:F777"/>
    <mergeCell ref="F778:F780"/>
    <mergeCell ref="F781:F784"/>
    <mergeCell ref="F785:F786"/>
    <mergeCell ref="F787:F790"/>
    <mergeCell ref="F791:F794"/>
    <mergeCell ref="F795:F797"/>
    <mergeCell ref="F798:F801"/>
    <mergeCell ref="F802:F803"/>
    <mergeCell ref="F804:F807"/>
    <mergeCell ref="F808:F811"/>
    <mergeCell ref="F812:F813"/>
    <mergeCell ref="F814:F817"/>
    <mergeCell ref="F818:F821"/>
    <mergeCell ref="F823:F824"/>
    <mergeCell ref="F825:F828"/>
    <mergeCell ref="F829:F832"/>
    <mergeCell ref="F833:F836"/>
    <mergeCell ref="F837:F839"/>
    <mergeCell ref="F840:F843"/>
    <mergeCell ref="F844:F845"/>
    <mergeCell ref="F846:F849"/>
    <mergeCell ref="F850:F851"/>
    <mergeCell ref="F852:F855"/>
    <mergeCell ref="F856:F857"/>
    <mergeCell ref="F858:F861"/>
    <mergeCell ref="F862:F865"/>
    <mergeCell ref="F866:F868"/>
    <mergeCell ref="F869:F872"/>
    <mergeCell ref="F873:F875"/>
    <mergeCell ref="F876:F878"/>
    <mergeCell ref="F879:F882"/>
    <mergeCell ref="F883:F884"/>
    <mergeCell ref="F885:F887"/>
    <mergeCell ref="F888:F890"/>
    <mergeCell ref="F891:F893"/>
    <mergeCell ref="F894:F897"/>
    <mergeCell ref="F898:F901"/>
    <mergeCell ref="F902:F905"/>
    <mergeCell ref="F906:F908"/>
    <mergeCell ref="F909:F911"/>
    <mergeCell ref="F912:F914"/>
    <mergeCell ref="F915:F918"/>
    <mergeCell ref="F919:F920"/>
    <mergeCell ref="F921:F923"/>
    <mergeCell ref="F924:F928"/>
    <mergeCell ref="F929:F930"/>
    <mergeCell ref="F931:F932"/>
    <mergeCell ref="F933:F936"/>
    <mergeCell ref="F937:F940"/>
    <mergeCell ref="F942:F944"/>
    <mergeCell ref="F945:F949"/>
    <mergeCell ref="F950:F953"/>
    <mergeCell ref="F954:F956"/>
    <mergeCell ref="F957:F961"/>
    <mergeCell ref="F962:F963"/>
    <mergeCell ref="F964:F967"/>
    <mergeCell ref="F968:F970"/>
    <mergeCell ref="F971:F973"/>
    <mergeCell ref="F974:F977"/>
    <mergeCell ref="F978:F981"/>
    <mergeCell ref="F982:F986"/>
    <mergeCell ref="F987:F990"/>
    <mergeCell ref="F991:F992"/>
    <mergeCell ref="F993:F996"/>
    <mergeCell ref="F997:F1000"/>
    <mergeCell ref="F1001:F1004"/>
    <mergeCell ref="F1005:F1006"/>
    <mergeCell ref="F1007:F1011"/>
    <mergeCell ref="F1012:F1016"/>
    <mergeCell ref="F1017:F1019"/>
    <mergeCell ref="F1020:F1022"/>
    <mergeCell ref="F1023:F1026"/>
    <mergeCell ref="F1027:F1030"/>
    <mergeCell ref="F1031:F1034"/>
    <mergeCell ref="F1035:F1038"/>
    <mergeCell ref="F1039:F1042"/>
    <mergeCell ref="F1043:F1047"/>
    <mergeCell ref="F1048:F1050"/>
    <mergeCell ref="F1051:F1053"/>
    <mergeCell ref="F1054:F1055"/>
    <mergeCell ref="F1056:F1058"/>
    <mergeCell ref="F1059:F1063"/>
    <mergeCell ref="F1064:F1065"/>
    <mergeCell ref="F1066:F1069"/>
    <mergeCell ref="F1071:F1074"/>
    <mergeCell ref="F1075:F1078"/>
    <mergeCell ref="F1079:F1081"/>
    <mergeCell ref="F1082:F1084"/>
    <mergeCell ref="F1085:F1088"/>
    <mergeCell ref="F1089:F1093"/>
    <mergeCell ref="F1094:F1096"/>
    <mergeCell ref="F1097:F1100"/>
    <mergeCell ref="F1101:F1104"/>
    <mergeCell ref="F1105:F1107"/>
    <mergeCell ref="F1108:F1111"/>
    <mergeCell ref="F1112:F1115"/>
    <mergeCell ref="F1116:F1117"/>
    <mergeCell ref="F1118:F1120"/>
    <mergeCell ref="F1121:F1122"/>
    <mergeCell ref="F1123:F1126"/>
    <mergeCell ref="F1127:F1130"/>
    <mergeCell ref="F1131:F1133"/>
    <mergeCell ref="F1134:F1136"/>
    <mergeCell ref="F1137:F1139"/>
    <mergeCell ref="F1140:F1143"/>
    <mergeCell ref="F1144:F1147"/>
    <mergeCell ref="F1148:F1151"/>
    <mergeCell ref="F1152:F1155"/>
    <mergeCell ref="F1156:F1159"/>
    <mergeCell ref="F1160:F1163"/>
    <mergeCell ref="F1164:F1168"/>
    <mergeCell ref="F1169:F1172"/>
    <mergeCell ref="F1173:F1176"/>
    <mergeCell ref="F1177:F1180"/>
    <mergeCell ref="F1181:F1183"/>
    <mergeCell ref="F1184:F1187"/>
    <mergeCell ref="F1188:F1190"/>
    <mergeCell ref="F1191:F1193"/>
    <mergeCell ref="F1194:F1197"/>
    <mergeCell ref="F1198:F1201"/>
    <mergeCell ref="F1202:F1205"/>
    <mergeCell ref="F1206:F1209"/>
    <mergeCell ref="F1210:F1213"/>
    <mergeCell ref="F1214:F1217"/>
    <mergeCell ref="F1218:F1220"/>
    <mergeCell ref="F1221:F1223"/>
    <mergeCell ref="F1224:F1227"/>
    <mergeCell ref="F1228:F1230"/>
    <mergeCell ref="F1231:F1233"/>
    <mergeCell ref="F1234:F1238"/>
    <mergeCell ref="F1239:F1242"/>
    <mergeCell ref="F1243:F1246"/>
    <mergeCell ref="F1247:F1248"/>
    <mergeCell ref="F1249:F1251"/>
    <mergeCell ref="F1252:F1254"/>
    <mergeCell ref="F1255:F1259"/>
    <mergeCell ref="F1260:F1262"/>
    <mergeCell ref="F1263:F1266"/>
    <mergeCell ref="F1267:F1270"/>
    <mergeCell ref="F1271:F1274"/>
    <mergeCell ref="F1275:F1278"/>
    <mergeCell ref="F1279:F1282"/>
    <mergeCell ref="F1283:F1286"/>
    <mergeCell ref="F1287:F1291"/>
    <mergeCell ref="F1292:F1296"/>
    <mergeCell ref="F1297:F1301"/>
    <mergeCell ref="F1302:F1304"/>
    <mergeCell ref="F1305:F1307"/>
    <mergeCell ref="F1308:F1311"/>
    <mergeCell ref="F1312:F1313"/>
    <mergeCell ref="F1315:F1317"/>
    <mergeCell ref="F1318:F1321"/>
    <mergeCell ref="F1322:F1325"/>
    <mergeCell ref="F1326:F1328"/>
    <mergeCell ref="F1329:F1331"/>
    <mergeCell ref="F1332:F1335"/>
    <mergeCell ref="F1336:F1338"/>
    <mergeCell ref="F1339:F1341"/>
    <mergeCell ref="F1342:F1345"/>
    <mergeCell ref="F1346:F1349"/>
    <mergeCell ref="F1350:F1353"/>
    <mergeCell ref="F1354:F1356"/>
    <mergeCell ref="F1357:F1360"/>
    <mergeCell ref="F1361:F1364"/>
    <mergeCell ref="F1365:F1367"/>
    <mergeCell ref="F1368:F1370"/>
    <mergeCell ref="F1371:F1374"/>
    <mergeCell ref="F1375:F1378"/>
    <mergeCell ref="F1379:F1381"/>
    <mergeCell ref="F1382:F1386"/>
    <mergeCell ref="F1387:F1390"/>
    <mergeCell ref="F1391:F1393"/>
    <mergeCell ref="F1394:F1398"/>
    <mergeCell ref="F1399:F1401"/>
    <mergeCell ref="F1402:F1406"/>
    <mergeCell ref="F1407:F1411"/>
    <mergeCell ref="F1412:F1416"/>
    <mergeCell ref="F1417:F1418"/>
    <mergeCell ref="F1419:F1421"/>
    <mergeCell ref="F1422:F1424"/>
    <mergeCell ref="F1425:F1428"/>
    <mergeCell ref="F1429:F1430"/>
    <mergeCell ref="F1431:F1434"/>
    <mergeCell ref="F1435:F1437"/>
    <mergeCell ref="F1438:F1440"/>
    <mergeCell ref="F1441:F1444"/>
    <mergeCell ref="F1445:F1448"/>
    <mergeCell ref="F1449:F1451"/>
    <mergeCell ref="F1453:F1457"/>
    <mergeCell ref="F1458:F1462"/>
    <mergeCell ref="F1463:F1466"/>
    <mergeCell ref="F1467:F1470"/>
    <mergeCell ref="F1471:F1473"/>
    <mergeCell ref="F1474:F1477"/>
    <mergeCell ref="F1478:F1481"/>
    <mergeCell ref="F1482:F1483"/>
    <mergeCell ref="F1484:F1485"/>
    <mergeCell ref="F1486:F1489"/>
    <mergeCell ref="F1490:F1493"/>
    <mergeCell ref="F1494:F1497"/>
    <mergeCell ref="F1498:F1501"/>
    <mergeCell ref="F1502:F1506"/>
    <mergeCell ref="F1507:F1510"/>
    <mergeCell ref="L2:L5"/>
    <mergeCell ref="L6:L8"/>
    <mergeCell ref="L9:L12"/>
    <mergeCell ref="L13:L17"/>
    <mergeCell ref="L18:L21"/>
    <mergeCell ref="L22:L23"/>
    <mergeCell ref="L24:L27"/>
    <mergeCell ref="L28:L29"/>
    <mergeCell ref="L30:L32"/>
    <mergeCell ref="L33:L34"/>
    <mergeCell ref="L35:L38"/>
    <mergeCell ref="L39:L42"/>
    <mergeCell ref="L43:L44"/>
    <mergeCell ref="L45:L46"/>
    <mergeCell ref="L47:L50"/>
    <mergeCell ref="L51:L54"/>
    <mergeCell ref="L55:L57"/>
    <mergeCell ref="L58:L61"/>
    <mergeCell ref="L62:L65"/>
    <mergeCell ref="L66:L69"/>
    <mergeCell ref="L70:L72"/>
    <mergeCell ref="L73:L76"/>
    <mergeCell ref="L77:L80"/>
    <mergeCell ref="L81:L84"/>
    <mergeCell ref="L85:L88"/>
    <mergeCell ref="L89:L92"/>
    <mergeCell ref="L93:L95"/>
    <mergeCell ref="L96:L97"/>
    <mergeCell ref="L98:L100"/>
    <mergeCell ref="L101:L103"/>
    <mergeCell ref="L104:L107"/>
    <mergeCell ref="L108:L111"/>
    <mergeCell ref="L112:L114"/>
    <mergeCell ref="L115:L118"/>
    <mergeCell ref="L119:L122"/>
    <mergeCell ref="L123:L126"/>
    <mergeCell ref="L127:L131"/>
    <mergeCell ref="L132:L135"/>
    <mergeCell ref="L136:L139"/>
    <mergeCell ref="L140:L143"/>
    <mergeCell ref="L144:L147"/>
    <mergeCell ref="L148:L150"/>
    <mergeCell ref="L151:L155"/>
    <mergeCell ref="L156:L158"/>
    <mergeCell ref="L159:L161"/>
    <mergeCell ref="L162:L163"/>
    <mergeCell ref="L164:L167"/>
    <mergeCell ref="L168:L171"/>
    <mergeCell ref="L172:L175"/>
    <mergeCell ref="L176:L179"/>
    <mergeCell ref="L180:L183"/>
    <mergeCell ref="L184:L188"/>
    <mergeCell ref="L189:L190"/>
    <mergeCell ref="L191:L194"/>
    <mergeCell ref="L195:L198"/>
    <mergeCell ref="L199:L202"/>
    <mergeCell ref="L203:L205"/>
    <mergeCell ref="L206:L209"/>
    <mergeCell ref="L210:L213"/>
    <mergeCell ref="L214:L217"/>
    <mergeCell ref="L218:L222"/>
    <mergeCell ref="L223:L226"/>
    <mergeCell ref="L227:L230"/>
    <mergeCell ref="L231:L232"/>
    <mergeCell ref="L233:L234"/>
    <mergeCell ref="L235:L238"/>
    <mergeCell ref="L239:L240"/>
    <mergeCell ref="L241:L244"/>
    <mergeCell ref="L245:L247"/>
    <mergeCell ref="L248:L251"/>
    <mergeCell ref="L252:L255"/>
    <mergeCell ref="L256:L258"/>
    <mergeCell ref="L259:L262"/>
    <mergeCell ref="L263:L264"/>
    <mergeCell ref="L265:L268"/>
    <mergeCell ref="L269:L272"/>
    <mergeCell ref="L273:L275"/>
    <mergeCell ref="L276:L279"/>
    <mergeCell ref="L280:L283"/>
    <mergeCell ref="L284:L287"/>
    <mergeCell ref="L288:L289"/>
    <mergeCell ref="L290:L293"/>
    <mergeCell ref="L294:L296"/>
    <mergeCell ref="L297:L300"/>
    <mergeCell ref="L301:L302"/>
    <mergeCell ref="L303:L304"/>
    <mergeCell ref="L305:L306"/>
    <mergeCell ref="L307:L309"/>
    <mergeCell ref="L310:L312"/>
    <mergeCell ref="L313:L316"/>
    <mergeCell ref="L317:L319"/>
    <mergeCell ref="L320:L323"/>
    <mergeCell ref="L324:L328"/>
    <mergeCell ref="L329:L332"/>
    <mergeCell ref="L333:L336"/>
    <mergeCell ref="L337:L340"/>
    <mergeCell ref="L341:L344"/>
    <mergeCell ref="L345:L348"/>
    <mergeCell ref="L349:L352"/>
    <mergeCell ref="L353:L356"/>
    <mergeCell ref="L357:L360"/>
    <mergeCell ref="L361:L364"/>
    <mergeCell ref="L365:L367"/>
    <mergeCell ref="L368:L369"/>
    <mergeCell ref="L370:L371"/>
    <mergeCell ref="L372:L375"/>
    <mergeCell ref="L376:L377"/>
    <mergeCell ref="L378:L381"/>
    <mergeCell ref="L382:L384"/>
    <mergeCell ref="L385:L388"/>
    <mergeCell ref="L389:L392"/>
    <mergeCell ref="L393:L396"/>
    <mergeCell ref="L397:L400"/>
    <mergeCell ref="L401:L403"/>
    <mergeCell ref="L404:L407"/>
    <mergeCell ref="L408:L411"/>
    <mergeCell ref="L412:L415"/>
    <mergeCell ref="L416:L419"/>
    <mergeCell ref="L420:L422"/>
    <mergeCell ref="L423:L426"/>
    <mergeCell ref="L427:L431"/>
    <mergeCell ref="L432:L435"/>
    <mergeCell ref="L436:L439"/>
    <mergeCell ref="L440:L442"/>
    <mergeCell ref="L443:L446"/>
    <mergeCell ref="L447:L450"/>
    <mergeCell ref="L451:L455"/>
    <mergeCell ref="L456:L458"/>
    <mergeCell ref="L459:L460"/>
    <mergeCell ref="L461:L464"/>
    <mergeCell ref="L465:L467"/>
    <mergeCell ref="L468:L470"/>
    <mergeCell ref="L471:L474"/>
    <mergeCell ref="L475:L478"/>
    <mergeCell ref="L479:L482"/>
    <mergeCell ref="L483:L486"/>
    <mergeCell ref="L487:L490"/>
    <mergeCell ref="L491:L494"/>
    <mergeCell ref="L495:L498"/>
    <mergeCell ref="L499:L500"/>
    <mergeCell ref="L501:L503"/>
    <mergeCell ref="L504:L506"/>
    <mergeCell ref="L507:L510"/>
    <mergeCell ref="L511:L514"/>
    <mergeCell ref="L515:L519"/>
    <mergeCell ref="L520:L523"/>
    <mergeCell ref="L524:L526"/>
    <mergeCell ref="L527:L530"/>
    <mergeCell ref="L531:L534"/>
    <mergeCell ref="L535:L538"/>
    <mergeCell ref="L539:L542"/>
    <mergeCell ref="L543:L546"/>
    <mergeCell ref="L547:L549"/>
    <mergeCell ref="L550:L551"/>
    <mergeCell ref="L552:L555"/>
    <mergeCell ref="L556:L558"/>
    <mergeCell ref="L559:L560"/>
    <mergeCell ref="L561:L564"/>
    <mergeCell ref="L565:L568"/>
    <mergeCell ref="L569:L572"/>
    <mergeCell ref="L573:L575"/>
    <mergeCell ref="L576:L579"/>
    <mergeCell ref="L580:L581"/>
    <mergeCell ref="L582:L584"/>
    <mergeCell ref="L585:L587"/>
    <mergeCell ref="L588:L591"/>
    <mergeCell ref="L592:L595"/>
    <mergeCell ref="L596:L599"/>
    <mergeCell ref="L600:L603"/>
    <mergeCell ref="L604:L608"/>
    <mergeCell ref="L609:L612"/>
    <mergeCell ref="L613:L614"/>
    <mergeCell ref="L615:L619"/>
    <mergeCell ref="L620:L624"/>
    <mergeCell ref="L625:L629"/>
    <mergeCell ref="L630:L631"/>
    <mergeCell ref="L632:L635"/>
    <mergeCell ref="L636:L640"/>
    <mergeCell ref="L641:L644"/>
    <mergeCell ref="L645:L648"/>
    <mergeCell ref="L649:L652"/>
    <mergeCell ref="L653:L655"/>
    <mergeCell ref="L656:L657"/>
    <mergeCell ref="L658:L660"/>
    <mergeCell ref="L661:L664"/>
    <mergeCell ref="L665:L668"/>
    <mergeCell ref="L669:L672"/>
    <mergeCell ref="L673:L675"/>
    <mergeCell ref="L676:L679"/>
    <mergeCell ref="L680:L681"/>
    <mergeCell ref="L682:L685"/>
    <mergeCell ref="L686:L689"/>
    <mergeCell ref="L690:L692"/>
    <mergeCell ref="L693:L695"/>
    <mergeCell ref="L696:L697"/>
    <mergeCell ref="L698:L701"/>
    <mergeCell ref="L702:L703"/>
    <mergeCell ref="L704:L706"/>
    <mergeCell ref="L707:L708"/>
    <mergeCell ref="L709:L710"/>
    <mergeCell ref="L711:L714"/>
    <mergeCell ref="L715:L718"/>
    <mergeCell ref="L719:L722"/>
    <mergeCell ref="L723:L726"/>
    <mergeCell ref="L727:L730"/>
    <mergeCell ref="L731:L734"/>
    <mergeCell ref="L735:L739"/>
    <mergeCell ref="L740:L743"/>
    <mergeCell ref="L744:L747"/>
    <mergeCell ref="L748:L750"/>
    <mergeCell ref="L751:L754"/>
    <mergeCell ref="L755:L758"/>
    <mergeCell ref="L759:L763"/>
    <mergeCell ref="L764:L766"/>
    <mergeCell ref="L767:L770"/>
    <mergeCell ref="L771:L773"/>
    <mergeCell ref="L774:L777"/>
    <mergeCell ref="L778:L780"/>
    <mergeCell ref="L781:L784"/>
    <mergeCell ref="L785:L786"/>
    <mergeCell ref="L787:L790"/>
    <mergeCell ref="L791:L794"/>
    <mergeCell ref="L795:L797"/>
    <mergeCell ref="L798:L801"/>
    <mergeCell ref="L802:L803"/>
    <mergeCell ref="L804:L807"/>
    <mergeCell ref="L808:L811"/>
    <mergeCell ref="L812:L813"/>
    <mergeCell ref="L814:L817"/>
    <mergeCell ref="L818:L821"/>
    <mergeCell ref="L823:L824"/>
    <mergeCell ref="L825:L828"/>
    <mergeCell ref="L829:L832"/>
    <mergeCell ref="L833:L836"/>
    <mergeCell ref="L837:L839"/>
    <mergeCell ref="L840:L843"/>
    <mergeCell ref="L844:L845"/>
    <mergeCell ref="L846:L849"/>
    <mergeCell ref="L850:L851"/>
    <mergeCell ref="L852:L855"/>
    <mergeCell ref="L856:L857"/>
    <mergeCell ref="L858:L861"/>
    <mergeCell ref="L862:L865"/>
    <mergeCell ref="L866:L868"/>
    <mergeCell ref="L869:L872"/>
    <mergeCell ref="L873:L875"/>
    <mergeCell ref="L876:L878"/>
    <mergeCell ref="L879:L882"/>
    <mergeCell ref="L883:L884"/>
    <mergeCell ref="L885:L887"/>
    <mergeCell ref="L888:L890"/>
    <mergeCell ref="L891:L893"/>
    <mergeCell ref="L894:L897"/>
    <mergeCell ref="L898:L901"/>
    <mergeCell ref="L902:L905"/>
    <mergeCell ref="L906:L908"/>
    <mergeCell ref="L909:L911"/>
    <mergeCell ref="L912:L914"/>
    <mergeCell ref="L915:L918"/>
    <mergeCell ref="L919:L920"/>
    <mergeCell ref="L921:L923"/>
    <mergeCell ref="L924:L928"/>
    <mergeCell ref="L929:L930"/>
    <mergeCell ref="L931:L932"/>
    <mergeCell ref="L933:L936"/>
    <mergeCell ref="L937:L940"/>
    <mergeCell ref="L942:L944"/>
    <mergeCell ref="L945:L949"/>
    <mergeCell ref="L950:L953"/>
    <mergeCell ref="L954:L956"/>
    <mergeCell ref="L957:L961"/>
    <mergeCell ref="L962:L963"/>
    <mergeCell ref="L964:L967"/>
    <mergeCell ref="L968:L970"/>
    <mergeCell ref="L971:L973"/>
    <mergeCell ref="L974:L977"/>
    <mergeCell ref="L978:L981"/>
    <mergeCell ref="L982:L986"/>
    <mergeCell ref="L987:L990"/>
    <mergeCell ref="L991:L992"/>
    <mergeCell ref="L993:L996"/>
    <mergeCell ref="L997:L1000"/>
    <mergeCell ref="L1001:L1004"/>
    <mergeCell ref="L1005:L1006"/>
    <mergeCell ref="L1007:L1011"/>
    <mergeCell ref="L1012:L1016"/>
    <mergeCell ref="L1017:L1019"/>
    <mergeCell ref="L1020:L1022"/>
    <mergeCell ref="L1023:L1026"/>
    <mergeCell ref="L1027:L1030"/>
    <mergeCell ref="L1031:L1034"/>
    <mergeCell ref="L1035:L1038"/>
    <mergeCell ref="L1039:L1042"/>
    <mergeCell ref="L1043:L1047"/>
    <mergeCell ref="L1048:L1050"/>
    <mergeCell ref="L1051:L1053"/>
    <mergeCell ref="L1054:L1055"/>
    <mergeCell ref="L1056:L1058"/>
    <mergeCell ref="L1059:L1063"/>
    <mergeCell ref="L1064:L1065"/>
    <mergeCell ref="L1066:L1069"/>
    <mergeCell ref="L1071:L1074"/>
    <mergeCell ref="L1075:L1078"/>
    <mergeCell ref="L1079:L1081"/>
    <mergeCell ref="L1082:L1084"/>
    <mergeCell ref="L1085:L1088"/>
    <mergeCell ref="L1089:L1093"/>
    <mergeCell ref="L1094:L1096"/>
    <mergeCell ref="L1097:L1100"/>
    <mergeCell ref="L1101:L1104"/>
    <mergeCell ref="L1105:L1107"/>
    <mergeCell ref="L1108:L1111"/>
    <mergeCell ref="L1112:L1115"/>
    <mergeCell ref="L1116:L1117"/>
    <mergeCell ref="L1118:L1120"/>
    <mergeCell ref="L1121:L1122"/>
    <mergeCell ref="L1123:L1126"/>
    <mergeCell ref="L1127:L1130"/>
    <mergeCell ref="L1131:L1133"/>
    <mergeCell ref="L1134:L1136"/>
    <mergeCell ref="L1137:L1139"/>
    <mergeCell ref="L1140:L1143"/>
    <mergeCell ref="L1144:L1147"/>
    <mergeCell ref="L1148:L1151"/>
    <mergeCell ref="L1152:L1155"/>
    <mergeCell ref="L1156:L1159"/>
    <mergeCell ref="L1160:L1163"/>
    <mergeCell ref="L1164:L1168"/>
    <mergeCell ref="L1169:L1172"/>
    <mergeCell ref="L1173:L1176"/>
    <mergeCell ref="L1177:L1180"/>
    <mergeCell ref="L1181:L1183"/>
    <mergeCell ref="L1184:L1187"/>
    <mergeCell ref="L1188:L1190"/>
    <mergeCell ref="L1191:L1193"/>
    <mergeCell ref="L1194:L1197"/>
    <mergeCell ref="L1198:L1201"/>
    <mergeCell ref="L1202:L1205"/>
    <mergeCell ref="L1206:L1209"/>
    <mergeCell ref="L1210:L1213"/>
    <mergeCell ref="L1214:L1217"/>
    <mergeCell ref="L1218:L1220"/>
    <mergeCell ref="L1221:L1223"/>
    <mergeCell ref="L1224:L1227"/>
    <mergeCell ref="L1228:L1230"/>
    <mergeCell ref="L1231:L1233"/>
    <mergeCell ref="L1234:L1238"/>
    <mergeCell ref="L1239:L1242"/>
    <mergeCell ref="L1243:L1246"/>
    <mergeCell ref="L1247:L1248"/>
    <mergeCell ref="L1249:L1251"/>
    <mergeCell ref="L1252:L1254"/>
    <mergeCell ref="L1255:L1259"/>
    <mergeCell ref="L1260:L1262"/>
    <mergeCell ref="L1263:L1266"/>
    <mergeCell ref="L1267:L1270"/>
    <mergeCell ref="L1271:L1274"/>
    <mergeCell ref="L1275:L1278"/>
    <mergeCell ref="L1279:L1282"/>
    <mergeCell ref="L1283:L1286"/>
    <mergeCell ref="L1287:L1291"/>
    <mergeCell ref="L1292:L1296"/>
    <mergeCell ref="L1297:L1301"/>
    <mergeCell ref="L1302:L1304"/>
    <mergeCell ref="L1305:L1307"/>
    <mergeCell ref="L1308:L1311"/>
    <mergeCell ref="L1312:L1313"/>
    <mergeCell ref="L1315:L1317"/>
    <mergeCell ref="L1318:L1321"/>
    <mergeCell ref="L1322:L1325"/>
    <mergeCell ref="L1326:L1328"/>
    <mergeCell ref="L1329:L1331"/>
    <mergeCell ref="L1332:L1335"/>
    <mergeCell ref="L1336:L1338"/>
    <mergeCell ref="L1339:L1341"/>
    <mergeCell ref="L1342:L1345"/>
    <mergeCell ref="L1346:L1349"/>
    <mergeCell ref="L1350:L1353"/>
    <mergeCell ref="L1354:L1356"/>
    <mergeCell ref="L1357:L1360"/>
    <mergeCell ref="L1361:L1364"/>
    <mergeCell ref="L1365:L1367"/>
    <mergeCell ref="L1368:L1370"/>
    <mergeCell ref="L1371:L1374"/>
    <mergeCell ref="L1375:L1378"/>
    <mergeCell ref="L1379:L1381"/>
    <mergeCell ref="L1382:L1386"/>
    <mergeCell ref="L1387:L1390"/>
    <mergeCell ref="L1391:L1393"/>
    <mergeCell ref="L1394:L1398"/>
    <mergeCell ref="L1399:L1401"/>
    <mergeCell ref="L1402:L1406"/>
    <mergeCell ref="L1407:L1411"/>
    <mergeCell ref="L1412:L1416"/>
    <mergeCell ref="L1417:L1418"/>
    <mergeCell ref="L1419:L1421"/>
    <mergeCell ref="L1422:L1424"/>
    <mergeCell ref="L1425:L1428"/>
    <mergeCell ref="L1429:L1430"/>
    <mergeCell ref="L1431:L1434"/>
    <mergeCell ref="L1435:L1437"/>
    <mergeCell ref="L1438:L1440"/>
    <mergeCell ref="L1441:L1444"/>
    <mergeCell ref="L1445:L1448"/>
    <mergeCell ref="L1449:L1451"/>
    <mergeCell ref="L1453:L1457"/>
    <mergeCell ref="L1458:L1462"/>
    <mergeCell ref="L1463:L1466"/>
    <mergeCell ref="L1467:L1470"/>
    <mergeCell ref="L1471:L1473"/>
    <mergeCell ref="L1474:L1477"/>
    <mergeCell ref="L1478:L1481"/>
    <mergeCell ref="L1482:L1483"/>
    <mergeCell ref="L1484:L1485"/>
    <mergeCell ref="L1486:L1489"/>
    <mergeCell ref="L1490:L1493"/>
    <mergeCell ref="L1494:L1497"/>
    <mergeCell ref="L1498:L1501"/>
    <mergeCell ref="L1502:L1506"/>
    <mergeCell ref="L1507:L1510"/>
  </mergeCells>
  <conditionalFormatting sqref="B256">
    <cfRule type="duplicateValues" dxfId="0" priority="275"/>
  </conditionalFormatting>
  <conditionalFormatting sqref="B263">
    <cfRule type="duplicateValues" dxfId="0" priority="279"/>
  </conditionalFormatting>
  <conditionalFormatting sqref="B269">
    <cfRule type="duplicateValues" dxfId="0" priority="283"/>
  </conditionalFormatting>
  <conditionalFormatting sqref="B276">
    <cfRule type="duplicateValues" dxfId="0" priority="287"/>
  </conditionalFormatting>
  <conditionalFormatting sqref="B284">
    <cfRule type="duplicateValues" dxfId="1" priority="292"/>
    <cfRule type="duplicateValues" dxfId="0" priority="293"/>
  </conditionalFormatting>
  <conditionalFormatting sqref="B349">
    <cfRule type="duplicateValues" dxfId="0" priority="236"/>
    <cfRule type="duplicateValues" dxfId="1" priority="237"/>
  </conditionalFormatting>
  <conditionalFormatting sqref="B353">
    <cfRule type="duplicateValues" dxfId="1" priority="233"/>
    <cfRule type="duplicateValues" dxfId="0" priority="234"/>
  </conditionalFormatting>
  <conditionalFormatting sqref="B357">
    <cfRule type="duplicateValues" dxfId="0" priority="224"/>
    <cfRule type="duplicateValues" dxfId="1" priority="225"/>
  </conditionalFormatting>
  <conditionalFormatting sqref="B361">
    <cfRule type="duplicateValues" dxfId="1" priority="221"/>
    <cfRule type="duplicateValues" dxfId="0" priority="222"/>
  </conditionalFormatting>
  <conditionalFormatting sqref="B365">
    <cfRule type="duplicateValues" dxfId="0" priority="205"/>
    <cfRule type="duplicateValues" dxfId="1" priority="211"/>
  </conditionalFormatting>
  <conditionalFormatting sqref="B368">
    <cfRule type="duplicateValues" dxfId="0" priority="204"/>
    <cfRule type="duplicateValues" dxfId="1" priority="210"/>
  </conditionalFormatting>
  <conditionalFormatting sqref="B370">
    <cfRule type="duplicateValues" dxfId="1" priority="209"/>
    <cfRule type="duplicateValues" dxfId="0" priority="215"/>
  </conditionalFormatting>
  <conditionalFormatting sqref="B372">
    <cfRule type="duplicateValues" dxfId="1" priority="208"/>
    <cfRule type="duplicateValues" dxfId="0" priority="214"/>
  </conditionalFormatting>
  <conditionalFormatting sqref="B376">
    <cfRule type="duplicateValues" dxfId="1" priority="207"/>
    <cfRule type="duplicateValues" dxfId="0" priority="213"/>
  </conditionalFormatting>
  <conditionalFormatting sqref="B378">
    <cfRule type="duplicateValues" dxfId="1" priority="212"/>
    <cfRule type="duplicateValues" dxfId="0" priority="218"/>
  </conditionalFormatting>
  <conditionalFormatting sqref="B432">
    <cfRule type="duplicateValues" dxfId="0" priority="177"/>
    <cfRule type="duplicateValues" dxfId="1" priority="185"/>
  </conditionalFormatting>
  <conditionalFormatting sqref="B436">
    <cfRule type="duplicateValues" dxfId="0" priority="178"/>
    <cfRule type="duplicateValues" dxfId="1" priority="186"/>
  </conditionalFormatting>
  <conditionalFormatting sqref="B440">
    <cfRule type="duplicateValues" dxfId="0" priority="179"/>
    <cfRule type="duplicateValues" dxfId="1" priority="187"/>
  </conditionalFormatting>
  <conditionalFormatting sqref="B443">
    <cfRule type="duplicateValues" dxfId="1" priority="188"/>
    <cfRule type="duplicateValues" dxfId="0" priority="196"/>
  </conditionalFormatting>
  <conditionalFormatting sqref="B447">
    <cfRule type="duplicateValues" dxfId="1" priority="189"/>
    <cfRule type="duplicateValues" dxfId="0" priority="197"/>
  </conditionalFormatting>
  <conditionalFormatting sqref="B456">
    <cfRule type="duplicateValues" dxfId="1" priority="191"/>
    <cfRule type="duplicateValues" dxfId="0" priority="199"/>
  </conditionalFormatting>
  <conditionalFormatting sqref="B459">
    <cfRule type="duplicateValues" dxfId="0" priority="182"/>
    <cfRule type="duplicateValues" dxfId="1" priority="190"/>
  </conditionalFormatting>
  <conditionalFormatting sqref="B461">
    <cfRule type="duplicateValues" dxfId="1" priority="175"/>
    <cfRule type="duplicateValues" dxfId="0" priority="176"/>
  </conditionalFormatting>
  <conditionalFormatting sqref="B465">
    <cfRule type="duplicateValues" dxfId="1" priority="192"/>
    <cfRule type="duplicateValues" dxfId="0" priority="200"/>
  </conditionalFormatting>
  <conditionalFormatting sqref="B504">
    <cfRule type="duplicateValues" dxfId="0" priority="166"/>
  </conditionalFormatting>
  <conditionalFormatting sqref="A531:D531">
    <cfRule type="duplicateValues" dxfId="0" priority="155"/>
    <cfRule type="duplicateValues" dxfId="1" priority="157"/>
  </conditionalFormatting>
  <conditionalFormatting sqref="A535">
    <cfRule type="duplicateValues" dxfId="1" priority="137"/>
    <cfRule type="duplicateValues" dxfId="0" priority="138"/>
  </conditionalFormatting>
  <conditionalFormatting sqref="B535">
    <cfRule type="duplicateValues" dxfId="0" priority="162"/>
  </conditionalFormatting>
  <conditionalFormatting sqref="A539">
    <cfRule type="duplicateValues" dxfId="1" priority="133"/>
    <cfRule type="duplicateValues" dxfId="0" priority="134"/>
  </conditionalFormatting>
  <conditionalFormatting sqref="A543">
    <cfRule type="duplicateValues" dxfId="0" priority="143"/>
    <cfRule type="duplicateValues" dxfId="1" priority="145"/>
  </conditionalFormatting>
  <conditionalFormatting sqref="A552">
    <cfRule type="duplicateValues" dxfId="1" priority="141"/>
    <cfRule type="duplicateValues" dxfId="0" priority="142"/>
  </conditionalFormatting>
  <conditionalFormatting sqref="B569">
    <cfRule type="duplicateValues" dxfId="1" priority="129"/>
    <cfRule type="duplicateValues" dxfId="0" priority="130"/>
  </conditionalFormatting>
  <conditionalFormatting sqref="B573">
    <cfRule type="duplicateValues" dxfId="1" priority="126"/>
    <cfRule type="duplicateValues" dxfId="0" priority="127"/>
  </conditionalFormatting>
  <conditionalFormatting sqref="B576">
    <cfRule type="duplicateValues" dxfId="0" priority="122"/>
    <cfRule type="duplicateValues" dxfId="1" priority="123"/>
  </conditionalFormatting>
  <conditionalFormatting sqref="B580">
    <cfRule type="duplicateValues" dxfId="0" priority="119"/>
    <cfRule type="duplicateValues" dxfId="1" priority="120"/>
  </conditionalFormatting>
  <conditionalFormatting sqref="B582">
    <cfRule type="duplicateValues" dxfId="1" priority="117"/>
    <cfRule type="duplicateValues" dxfId="0" priority="118"/>
  </conditionalFormatting>
  <conditionalFormatting sqref="B585">
    <cfRule type="duplicateValues" dxfId="0" priority="113"/>
    <cfRule type="duplicateValues" dxfId="1" priority="114"/>
  </conditionalFormatting>
  <conditionalFormatting sqref="B588">
    <cfRule type="duplicateValues" dxfId="1" priority="111"/>
    <cfRule type="duplicateValues" dxfId="0" priority="112"/>
  </conditionalFormatting>
  <conditionalFormatting sqref="B592">
    <cfRule type="duplicateValues" dxfId="0" priority="107"/>
    <cfRule type="duplicateValues" dxfId="1" priority="108"/>
  </conditionalFormatting>
  <conditionalFormatting sqref="B676">
    <cfRule type="duplicateValues" dxfId="1" priority="294"/>
    <cfRule type="duplicateValues" dxfId="0" priority="295"/>
  </conditionalFormatting>
  <conditionalFormatting sqref="B1156">
    <cfRule type="duplicateValues" dxfId="1" priority="26"/>
    <cfRule type="duplicateValues" dxfId="0" priority="27"/>
  </conditionalFormatting>
  <conditionalFormatting sqref="B1231">
    <cfRule type="duplicateValues" dxfId="0" priority="62"/>
    <cfRule type="duplicateValues" dxfId="1" priority="63"/>
    <cfRule type="duplicateValues" dxfId="0" priority="64"/>
  </conditionalFormatting>
  <conditionalFormatting sqref="L1239">
    <cfRule type="duplicateValues" dxfId="0" priority="54"/>
    <cfRule type="duplicateValues" dxfId="1" priority="55"/>
  </conditionalFormatting>
  <conditionalFormatting sqref="L1249">
    <cfRule type="duplicateValues" dxfId="0" priority="52"/>
    <cfRule type="duplicateValues" dxfId="1" priority="53"/>
  </conditionalFormatting>
  <conditionalFormatting sqref="B1318">
    <cfRule type="duplicateValues" dxfId="0" priority="20"/>
    <cfRule type="duplicateValues" dxfId="1" priority="21"/>
    <cfRule type="duplicateValues" dxfId="0" priority="22"/>
  </conditionalFormatting>
  <conditionalFormatting sqref="L1379">
    <cfRule type="duplicateValues" dxfId="0" priority="3"/>
    <cfRule type="duplicateValues" dxfId="1" priority="4"/>
  </conditionalFormatting>
  <conditionalFormatting sqref="B1438">
    <cfRule type="duplicateValues" dxfId="1" priority="1"/>
    <cfRule type="duplicateValues" dxfId="0" priority="2"/>
  </conditionalFormatting>
  <conditionalFormatting sqref="B241 B245">
    <cfRule type="duplicateValues" dxfId="1" priority="269"/>
    <cfRule type="duplicateValues" dxfId="0" priority="270"/>
  </conditionalFormatting>
  <conditionalFormatting sqref="B248 B252">
    <cfRule type="duplicateValues" dxfId="1" priority="273"/>
    <cfRule type="duplicateValues" dxfId="0" priority="274"/>
  </conditionalFormatting>
  <conditionalFormatting sqref="B256 B259">
    <cfRule type="duplicateValues" dxfId="1" priority="277"/>
    <cfRule type="duplicateValues" dxfId="0" priority="278"/>
  </conditionalFormatting>
  <conditionalFormatting sqref="B265 B263">
    <cfRule type="duplicateValues" dxfId="1" priority="281"/>
    <cfRule type="duplicateValues" dxfId="0" priority="282"/>
  </conditionalFormatting>
  <conditionalFormatting sqref="B269 B273">
    <cfRule type="duplicateValues" dxfId="1" priority="285"/>
    <cfRule type="duplicateValues" dxfId="0" priority="286"/>
  </conditionalFormatting>
  <conditionalFormatting sqref="B276 B280">
    <cfRule type="duplicateValues" dxfId="0" priority="288"/>
    <cfRule type="duplicateValues" dxfId="1" priority="289"/>
  </conditionalFormatting>
  <conditionalFormatting sqref="B303 B337 B317 B288">
    <cfRule type="duplicateValues" dxfId="0" priority="256"/>
    <cfRule type="duplicateValues" dxfId="1" priority="257"/>
  </conditionalFormatting>
  <conditionalFormatting sqref="B290 B345 B324 B307 B294 B341 B320 B305">
    <cfRule type="duplicateValues" dxfId="0" priority="259"/>
    <cfRule type="duplicateValues" dxfId="1" priority="261"/>
  </conditionalFormatting>
  <conditionalFormatting sqref="B297 B329 B333 B313 B301 B310">
    <cfRule type="duplicateValues" dxfId="1" priority="265"/>
    <cfRule type="duplicateValues" dxfId="0" priority="266"/>
  </conditionalFormatting>
  <conditionalFormatting sqref="B511 B527 B524 B520 B515 B507 B504">
    <cfRule type="duplicateValues" dxfId="1" priority="168"/>
    <cfRule type="duplicateValues" dxfId="0" priority="169"/>
  </conditionalFormatting>
  <conditionalFormatting sqref="B547 B556 B552 B539 B535 B543 B550">
    <cfRule type="duplicateValues" dxfId="0" priority="163"/>
    <cfRule type="duplicateValues" dxfId="1" priority="164"/>
  </conditionalFormatting>
  <conditionalFormatting sqref="B559 B565 B561">
    <cfRule type="duplicateValues" dxfId="1" priority="160"/>
    <cfRule type="duplicateValues" dxfId="0" priority="161"/>
  </conditionalFormatting>
  <conditionalFormatting sqref="B645 B658 B656 B653 B649">
    <cfRule type="duplicateValues" dxfId="1" priority="101"/>
    <cfRule type="duplicateValues" dxfId="0" priority="103"/>
  </conditionalFormatting>
  <conditionalFormatting sqref="B764 B767 B771">
    <cfRule type="duplicateValues" dxfId="1" priority="93"/>
    <cfRule type="duplicateValues" dxfId="0" priority="94"/>
  </conditionalFormatting>
  <conditionalFormatting sqref="B823 B829 B833 B825">
    <cfRule type="duplicateValues" dxfId="1" priority="87"/>
    <cfRule type="duplicateValues" dxfId="0" priority="88"/>
  </conditionalFormatting>
  <conditionalFormatting sqref="B837 B840">
    <cfRule type="duplicateValues" dxfId="0" priority="80"/>
    <cfRule type="duplicateValues" dxfId="1" priority="81"/>
  </conditionalFormatting>
  <conditionalFormatting sqref="B957 B971 B968 B974 B978 B945 B941:B942 B937 B964 B929 B931 B933 B962 B950 B954">
    <cfRule type="duplicateValues" dxfId="1" priority="477"/>
    <cfRule type="duplicateValues" dxfId="0" priority="509"/>
  </conditionalFormatting>
  <conditionalFormatting sqref="B1131 B1134 B1137 B1140 B1144 B1148 B1152 B1160 B1169 B1164">
    <cfRule type="duplicateValues" dxfId="1" priority="68"/>
    <cfRule type="duplicateValues" dxfId="0" priority="70"/>
  </conditionalFormatting>
  <conditionalFormatting sqref="B1198 B1228 B1224 B1221 B1218 B1214 B1210 B1206 B1202">
    <cfRule type="duplicateValues" dxfId="0" priority="65"/>
    <cfRule type="duplicateValues" dxfId="1" priority="66"/>
    <cfRule type="duplicateValues" dxfId="0" priority="67"/>
  </conditionalFormatting>
  <conditionalFormatting sqref="B1249 B1271 B1267 B1263 B1260 B1255 B1252 B1247 B1243 B1239 B1234">
    <cfRule type="duplicateValues" dxfId="0" priority="49"/>
    <cfRule type="duplicateValues" dxfId="1" priority="50"/>
    <cfRule type="duplicateValues" dxfId="0" priority="51"/>
  </conditionalFormatting>
  <conditionalFormatting sqref="B1312 B1275 B1279 B1283 B1287 B1292 B1297 B1302 B1305 B1308">
    <cfRule type="duplicateValues" dxfId="1" priority="597"/>
    <cfRule type="duplicateValues" dxfId="0" priority="598"/>
    <cfRule type="duplicateValues" dxfId="0" priority="617"/>
  </conditionalFormatting>
  <conditionalFormatting sqref="B1315 B1329 B1332 B1336 B1326 B1322">
    <cfRule type="duplicateValues" dxfId="0" priority="23"/>
    <cfRule type="duplicateValues" dxfId="1" priority="24"/>
    <cfRule type="duplicateValues" dxfId="0" priority="25"/>
  </conditionalFormatting>
  <conditionalFormatting sqref="L1322 L1336 L1332 L1329 L1326">
    <cfRule type="duplicateValues" dxfId="0" priority="11"/>
    <cfRule type="duplicateValues" dxfId="1" priority="12"/>
    <cfRule type="duplicateValues" dxfId="0" priority="13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1355"/>
  <sheetViews>
    <sheetView zoomScale="90" zoomScaleNormal="90" topLeftCell="A1328" workbookViewId="0">
      <selection activeCell="C1356" sqref="C1356"/>
    </sheetView>
  </sheetViews>
  <sheetFormatPr defaultColWidth="10.8" defaultRowHeight="12"/>
  <cols>
    <col min="1" max="1" width="11.4636363636364" style="279" customWidth="1"/>
    <col min="2" max="2" width="31" style="24" customWidth="1"/>
    <col min="3" max="3" width="10.8" style="24"/>
    <col min="4" max="4" width="10.8" style="280"/>
    <col min="5" max="5" width="20.4636363636364" style="24" customWidth="1"/>
    <col min="6" max="6" width="35.5909090909091" style="24" customWidth="1"/>
    <col min="7" max="16384" width="10.8" style="24"/>
  </cols>
  <sheetData>
    <row r="1" ht="24" spans="1:14">
      <c r="A1" s="26" t="s">
        <v>1739</v>
      </c>
      <c r="B1" s="27" t="s">
        <v>1036</v>
      </c>
      <c r="C1" s="27" t="s">
        <v>1037</v>
      </c>
      <c r="D1" s="28" t="s">
        <v>1038</v>
      </c>
      <c r="E1" s="27" t="s">
        <v>1039</v>
      </c>
      <c r="F1" s="27" t="s">
        <v>1040</v>
      </c>
      <c r="G1" s="27" t="s">
        <v>1740</v>
      </c>
      <c r="H1" s="28" t="s">
        <v>1042</v>
      </c>
      <c r="I1" s="28" t="s">
        <v>1038</v>
      </c>
      <c r="J1" s="28" t="s">
        <v>8</v>
      </c>
      <c r="K1" s="28" t="s">
        <v>1741</v>
      </c>
      <c r="L1" s="27" t="s">
        <v>10</v>
      </c>
    </row>
    <row r="2" spans="1:14">
      <c r="A2" s="281">
        <v>45300</v>
      </c>
      <c r="B2" s="8" t="s">
        <v>1742</v>
      </c>
      <c r="C2" s="8" t="s">
        <v>462</v>
      </c>
      <c r="D2" s="282">
        <v>8</v>
      </c>
      <c r="E2" s="8" t="s">
        <v>1743</v>
      </c>
      <c r="F2" s="8" t="s">
        <v>460</v>
      </c>
      <c r="G2" s="8" t="s">
        <v>1064</v>
      </c>
      <c r="H2" s="13">
        <v>1.51</v>
      </c>
      <c r="I2" s="13">
        <v>6.672</v>
      </c>
      <c r="J2" s="13" t="s">
        <v>1744</v>
      </c>
      <c r="K2" s="13">
        <v>2.98</v>
      </c>
      <c r="L2" s="13">
        <v>360</v>
      </c>
      <c r="M2" s="280"/>
      <c r="N2" s="280"/>
    </row>
    <row r="3" spans="1:14">
      <c r="A3" s="17"/>
      <c r="B3" s="8"/>
      <c r="C3" s="8"/>
      <c r="D3" s="283"/>
      <c r="E3" s="8"/>
      <c r="F3" s="8"/>
      <c r="G3" s="8" t="s">
        <v>1060</v>
      </c>
      <c r="H3" s="13">
        <v>1.51</v>
      </c>
      <c r="I3" s="13">
        <v>0.4</v>
      </c>
      <c r="J3" s="13" t="s">
        <v>1745</v>
      </c>
      <c r="K3" s="13">
        <v>4.5</v>
      </c>
      <c r="L3" s="8"/>
      <c r="M3" s="280"/>
      <c r="N3" s="280"/>
    </row>
    <row r="4" spans="1:14">
      <c r="A4" s="17"/>
      <c r="B4" s="8"/>
      <c r="C4" s="8"/>
      <c r="D4" s="283"/>
      <c r="E4" s="8"/>
      <c r="F4" s="8"/>
      <c r="G4" s="8" t="s">
        <v>1061</v>
      </c>
      <c r="H4" s="13">
        <v>1.51</v>
      </c>
      <c r="I4" s="13">
        <v>0.32</v>
      </c>
      <c r="J4" s="13" t="s">
        <v>1746</v>
      </c>
      <c r="K4" s="13">
        <v>6.55</v>
      </c>
      <c r="L4" s="8"/>
      <c r="M4" s="280"/>
      <c r="N4" s="280"/>
    </row>
    <row r="5" spans="1:14">
      <c r="A5" s="17"/>
      <c r="B5" s="8"/>
      <c r="C5" s="8"/>
      <c r="D5" s="283"/>
      <c r="E5" s="8"/>
      <c r="F5" s="8"/>
      <c r="G5" s="8" t="s">
        <v>503</v>
      </c>
      <c r="H5" s="13">
        <v>1.51</v>
      </c>
      <c r="I5" s="13">
        <v>0.608</v>
      </c>
      <c r="J5" s="8" t="s">
        <v>24</v>
      </c>
      <c r="K5" s="16"/>
      <c r="L5" s="8"/>
      <c r="M5" s="280"/>
      <c r="N5" s="280"/>
    </row>
    <row r="6" spans="1:14">
      <c r="A6" s="9">
        <v>45300</v>
      </c>
      <c r="B6" s="8" t="s">
        <v>1747</v>
      </c>
      <c r="C6" s="8" t="s">
        <v>459</v>
      </c>
      <c r="D6" s="282">
        <v>4</v>
      </c>
      <c r="E6" s="8" t="s">
        <v>477</v>
      </c>
      <c r="F6" s="8" t="s">
        <v>460</v>
      </c>
      <c r="G6" s="8" t="s">
        <v>1058</v>
      </c>
      <c r="H6" s="13">
        <v>1.76</v>
      </c>
      <c r="I6" s="13">
        <v>1.4</v>
      </c>
      <c r="J6" s="13" t="s">
        <v>1744</v>
      </c>
      <c r="K6" s="13">
        <v>3.1</v>
      </c>
      <c r="L6" s="8" t="s">
        <v>1748</v>
      </c>
      <c r="M6" s="280"/>
      <c r="N6" s="280"/>
    </row>
    <row r="7" spans="1:14">
      <c r="A7" s="14"/>
      <c r="B7" s="8"/>
      <c r="C7" s="8"/>
      <c r="D7" s="283"/>
      <c r="E7" s="8"/>
      <c r="F7" s="8"/>
      <c r="G7" s="8" t="s">
        <v>1059</v>
      </c>
      <c r="H7" s="13">
        <v>2.24</v>
      </c>
      <c r="I7" s="13">
        <v>1.44</v>
      </c>
      <c r="J7" s="13" t="s">
        <v>1744</v>
      </c>
      <c r="K7" s="13">
        <v>3.4</v>
      </c>
      <c r="L7" s="8"/>
      <c r="M7" s="280"/>
      <c r="N7" s="280"/>
    </row>
    <row r="8" spans="1:14">
      <c r="A8" s="14"/>
      <c r="B8" s="8"/>
      <c r="C8" s="8"/>
      <c r="D8" s="283"/>
      <c r="E8" s="8"/>
      <c r="F8" s="8"/>
      <c r="G8" s="8" t="s">
        <v>1060</v>
      </c>
      <c r="H8" s="13">
        <v>3.08</v>
      </c>
      <c r="I8" s="13">
        <v>0.364</v>
      </c>
      <c r="J8" s="13" t="s">
        <v>1744</v>
      </c>
      <c r="K8" s="13">
        <v>3.5</v>
      </c>
      <c r="L8" s="8"/>
      <c r="M8" s="280"/>
      <c r="N8" s="280"/>
    </row>
    <row r="9" spans="1:14">
      <c r="A9" s="14"/>
      <c r="B9" s="8"/>
      <c r="C9" s="8"/>
      <c r="D9" s="283"/>
      <c r="E9" s="8"/>
      <c r="F9" s="8"/>
      <c r="G9" s="8" t="s">
        <v>1061</v>
      </c>
      <c r="H9" s="13">
        <v>3.08</v>
      </c>
      <c r="I9" s="13">
        <v>0.412</v>
      </c>
      <c r="J9" s="13" t="s">
        <v>1744</v>
      </c>
      <c r="K9" s="13">
        <v>4</v>
      </c>
      <c r="L9" s="8"/>
      <c r="M9" s="280"/>
      <c r="N9" s="280"/>
    </row>
    <row r="10" spans="1:14">
      <c r="A10" s="14"/>
      <c r="B10" s="8"/>
      <c r="C10" s="8"/>
      <c r="D10" s="283"/>
      <c r="E10" s="8"/>
      <c r="F10" s="8"/>
      <c r="G10" s="8" t="s">
        <v>1086</v>
      </c>
      <c r="H10" s="13">
        <v>3.08</v>
      </c>
      <c r="I10" s="13">
        <v>0.184</v>
      </c>
      <c r="J10" s="8" t="s">
        <v>24</v>
      </c>
      <c r="K10" s="8" t="s">
        <v>24</v>
      </c>
      <c r="L10" s="8"/>
      <c r="M10" s="280"/>
      <c r="N10" s="280"/>
    </row>
    <row r="11" spans="1:14">
      <c r="A11" s="14"/>
      <c r="B11" s="8"/>
      <c r="C11" s="8"/>
      <c r="D11" s="283"/>
      <c r="E11" s="8"/>
      <c r="F11" s="8"/>
      <c r="G11" s="8" t="s">
        <v>1087</v>
      </c>
      <c r="H11" s="13">
        <v>3.08</v>
      </c>
      <c r="I11" s="13">
        <v>0.2</v>
      </c>
      <c r="J11" s="8" t="s">
        <v>24</v>
      </c>
      <c r="K11" s="8" t="s">
        <v>24</v>
      </c>
      <c r="L11" s="8"/>
      <c r="M11" s="280"/>
      <c r="N11" s="280"/>
    </row>
    <row r="12" spans="1:14">
      <c r="A12" s="9">
        <v>45301</v>
      </c>
      <c r="B12" s="8" t="s">
        <v>1749</v>
      </c>
      <c r="C12" s="8" t="s">
        <v>462</v>
      </c>
      <c r="D12" s="282">
        <v>6</v>
      </c>
      <c r="E12" s="8" t="s">
        <v>486</v>
      </c>
      <c r="F12" s="8" t="s">
        <v>1709</v>
      </c>
      <c r="G12" s="8" t="s">
        <v>1058</v>
      </c>
      <c r="H12" s="13">
        <v>0.95</v>
      </c>
      <c r="I12" s="13">
        <v>1.8</v>
      </c>
      <c r="J12" s="13" t="s">
        <v>1744</v>
      </c>
      <c r="K12" s="13">
        <v>3.2</v>
      </c>
      <c r="L12" s="8" t="s">
        <v>1082</v>
      </c>
      <c r="M12" s="280"/>
      <c r="N12" s="280"/>
    </row>
    <row r="13" spans="1:14">
      <c r="A13" s="14"/>
      <c r="B13" s="8"/>
      <c r="C13" s="8"/>
      <c r="D13" s="283"/>
      <c r="E13" s="8"/>
      <c r="F13" s="8"/>
      <c r="G13" s="8" t="s">
        <v>1059</v>
      </c>
      <c r="H13" s="13">
        <v>1.95</v>
      </c>
      <c r="I13" s="13">
        <v>2.4</v>
      </c>
      <c r="J13" s="13" t="s">
        <v>1744</v>
      </c>
      <c r="K13" s="13">
        <v>3.8</v>
      </c>
      <c r="L13" s="8"/>
      <c r="M13" s="280"/>
      <c r="N13" s="280"/>
    </row>
    <row r="14" spans="1:14">
      <c r="A14" s="14"/>
      <c r="B14" s="8"/>
      <c r="C14" s="8"/>
      <c r="D14" s="283"/>
      <c r="E14" s="8"/>
      <c r="F14" s="8"/>
      <c r="G14" s="8" t="s">
        <v>1099</v>
      </c>
      <c r="H14" s="13">
        <v>2.95</v>
      </c>
      <c r="I14" s="13">
        <v>1.71</v>
      </c>
      <c r="J14" s="13" t="s">
        <v>1744</v>
      </c>
      <c r="K14" s="13">
        <v>5.1</v>
      </c>
      <c r="L14" s="8"/>
      <c r="M14" s="280"/>
      <c r="N14" s="280"/>
    </row>
    <row r="15" spans="1:14">
      <c r="A15" s="14"/>
      <c r="B15" s="8"/>
      <c r="C15" s="8"/>
      <c r="D15" s="283"/>
      <c r="E15" s="8"/>
      <c r="F15" s="8"/>
      <c r="G15" s="8" t="s">
        <v>503</v>
      </c>
      <c r="H15" s="13">
        <v>3.12</v>
      </c>
      <c r="I15" s="13">
        <v>0.09</v>
      </c>
      <c r="J15" s="8" t="s">
        <v>24</v>
      </c>
      <c r="K15" s="8" t="s">
        <v>24</v>
      </c>
      <c r="L15" s="8"/>
      <c r="M15" s="280"/>
      <c r="N15" s="280"/>
    </row>
    <row r="16" spans="1:14">
      <c r="A16" s="9">
        <v>45303</v>
      </c>
      <c r="B16" s="8" t="s">
        <v>1750</v>
      </c>
      <c r="C16" s="8" t="s">
        <v>459</v>
      </c>
      <c r="D16" s="282">
        <v>8</v>
      </c>
      <c r="E16" s="8" t="s">
        <v>1743</v>
      </c>
      <c r="F16" s="8" t="s">
        <v>1751</v>
      </c>
      <c r="G16" s="8" t="s">
        <v>1064</v>
      </c>
      <c r="H16" s="13">
        <v>1.26</v>
      </c>
      <c r="I16" s="13">
        <v>6.77</v>
      </c>
      <c r="J16" s="13" t="s">
        <v>1744</v>
      </c>
      <c r="K16" s="13">
        <v>3.3</v>
      </c>
      <c r="L16" s="13">
        <v>360</v>
      </c>
      <c r="M16" s="280"/>
      <c r="N16" s="280"/>
    </row>
    <row r="17" spans="1:14">
      <c r="A17" s="14"/>
      <c r="B17" s="8"/>
      <c r="C17" s="8"/>
      <c r="D17" s="283"/>
      <c r="E17" s="8"/>
      <c r="F17" s="8"/>
      <c r="G17" s="8" t="s">
        <v>1060</v>
      </c>
      <c r="H17" s="13">
        <v>1.26</v>
      </c>
      <c r="I17" s="13">
        <v>0.4</v>
      </c>
      <c r="J17" s="13" t="s">
        <v>1745</v>
      </c>
      <c r="K17" s="13">
        <v>4.5</v>
      </c>
      <c r="L17" s="8"/>
      <c r="M17" s="280"/>
      <c r="N17" s="280"/>
    </row>
    <row r="18" spans="1:14">
      <c r="A18" s="14"/>
      <c r="B18" s="8"/>
      <c r="C18" s="8"/>
      <c r="D18" s="283"/>
      <c r="E18" s="8"/>
      <c r="F18" s="8"/>
      <c r="G18" s="8" t="s">
        <v>1061</v>
      </c>
      <c r="H18" s="13">
        <v>1.26</v>
      </c>
      <c r="I18" s="13">
        <v>0.29</v>
      </c>
      <c r="J18" s="13" t="s">
        <v>1752</v>
      </c>
      <c r="K18" s="13">
        <v>6.55</v>
      </c>
      <c r="L18" s="8"/>
      <c r="M18" s="280"/>
      <c r="N18" s="280"/>
    </row>
    <row r="19" spans="1:14">
      <c r="A19" s="14"/>
      <c r="B19" s="8"/>
      <c r="C19" s="8"/>
      <c r="D19" s="283"/>
      <c r="E19" s="8"/>
      <c r="F19" s="8"/>
      <c r="G19" s="8" t="s">
        <v>503</v>
      </c>
      <c r="H19" s="13">
        <v>1.26</v>
      </c>
      <c r="I19" s="13">
        <v>0.54</v>
      </c>
      <c r="J19" s="8" t="s">
        <v>24</v>
      </c>
      <c r="K19" s="8" t="s">
        <v>24</v>
      </c>
      <c r="L19" s="8"/>
      <c r="M19" s="280"/>
      <c r="N19" s="280"/>
    </row>
    <row r="20" spans="1:14">
      <c r="A20" s="9">
        <v>45303</v>
      </c>
      <c r="B20" s="8" t="s">
        <v>1753</v>
      </c>
      <c r="C20" s="8" t="s">
        <v>459</v>
      </c>
      <c r="D20" s="282">
        <v>3.5</v>
      </c>
      <c r="E20" s="8" t="s">
        <v>1754</v>
      </c>
      <c r="F20" s="8" t="s">
        <v>1755</v>
      </c>
      <c r="G20" s="8" t="s">
        <v>1064</v>
      </c>
      <c r="H20" s="13">
        <v>1.87</v>
      </c>
      <c r="I20" s="13">
        <v>2.73</v>
      </c>
      <c r="J20" s="13" t="s">
        <v>1744</v>
      </c>
      <c r="K20" s="13">
        <v>3.1</v>
      </c>
      <c r="L20" s="8" t="s">
        <v>70</v>
      </c>
      <c r="M20" s="280"/>
      <c r="N20" s="280"/>
    </row>
    <row r="21" spans="1:14">
      <c r="A21" s="284"/>
      <c r="B21" s="8"/>
      <c r="C21" s="8"/>
      <c r="D21" s="285"/>
      <c r="E21" s="8"/>
      <c r="F21" s="8"/>
      <c r="G21" s="8" t="s">
        <v>1060</v>
      </c>
      <c r="H21" s="13">
        <v>1.95</v>
      </c>
      <c r="I21" s="13">
        <v>0.24</v>
      </c>
      <c r="J21" s="13" t="s">
        <v>1756</v>
      </c>
      <c r="K21" s="13">
        <v>5.18</v>
      </c>
      <c r="L21" s="8"/>
      <c r="M21" s="280"/>
      <c r="N21" s="280"/>
    </row>
    <row r="22" spans="1:14">
      <c r="A22" s="284"/>
      <c r="B22" s="8"/>
      <c r="C22" s="8"/>
      <c r="D22" s="285"/>
      <c r="E22" s="8"/>
      <c r="F22" s="8"/>
      <c r="G22" s="8" t="s">
        <v>503</v>
      </c>
      <c r="H22" s="13">
        <v>2.7</v>
      </c>
      <c r="I22" s="13">
        <v>0.53</v>
      </c>
      <c r="J22" s="286" t="s">
        <v>24</v>
      </c>
      <c r="K22" s="286" t="s">
        <v>24</v>
      </c>
      <c r="L22" s="8"/>
      <c r="M22" s="280"/>
      <c r="N22" s="280"/>
    </row>
    <row r="23" spans="1:14">
      <c r="A23" s="9">
        <v>45302</v>
      </c>
      <c r="B23" s="8" t="s">
        <v>1757</v>
      </c>
      <c r="C23" s="8" t="s">
        <v>462</v>
      </c>
      <c r="D23" s="282">
        <v>6</v>
      </c>
      <c r="E23" s="8" t="s">
        <v>486</v>
      </c>
      <c r="F23" s="8" t="s">
        <v>543</v>
      </c>
      <c r="G23" s="8" t="s">
        <v>1058</v>
      </c>
      <c r="H23" s="13">
        <v>0.93</v>
      </c>
      <c r="I23" s="13">
        <v>1.8</v>
      </c>
      <c r="J23" s="13" t="s">
        <v>1744</v>
      </c>
      <c r="K23" s="13">
        <v>3.2</v>
      </c>
      <c r="L23" s="8" t="s">
        <v>1082</v>
      </c>
      <c r="M23" s="280"/>
      <c r="N23" s="280"/>
    </row>
    <row r="24" spans="1:14">
      <c r="A24" s="284"/>
      <c r="B24" s="8"/>
      <c r="C24" s="8"/>
      <c r="D24" s="285"/>
      <c r="E24" s="8"/>
      <c r="F24" s="8"/>
      <c r="G24" s="8" t="s">
        <v>1059</v>
      </c>
      <c r="H24" s="13">
        <v>1.93</v>
      </c>
      <c r="I24" s="13">
        <v>2.4</v>
      </c>
      <c r="J24" s="13" t="s">
        <v>1744</v>
      </c>
      <c r="K24" s="13">
        <v>3.7</v>
      </c>
      <c r="L24" s="8"/>
      <c r="M24" s="280"/>
      <c r="N24" s="280"/>
    </row>
    <row r="25" spans="1:14">
      <c r="A25" s="284"/>
      <c r="B25" s="8"/>
      <c r="C25" s="8"/>
      <c r="D25" s="285"/>
      <c r="E25" s="8"/>
      <c r="F25" s="8"/>
      <c r="G25" s="8" t="s">
        <v>1099</v>
      </c>
      <c r="H25" s="13">
        <v>2.93</v>
      </c>
      <c r="I25" s="13">
        <v>1.71</v>
      </c>
      <c r="J25" s="13" t="s">
        <v>1744</v>
      </c>
      <c r="K25" s="13">
        <v>5.1</v>
      </c>
      <c r="L25" s="8"/>
      <c r="M25" s="280"/>
      <c r="N25" s="280"/>
    </row>
    <row r="26" spans="1:14">
      <c r="A26" s="284"/>
      <c r="B26" s="8"/>
      <c r="C26" s="8"/>
      <c r="D26" s="285"/>
      <c r="E26" s="8"/>
      <c r="F26" s="8"/>
      <c r="G26" s="8" t="s">
        <v>503</v>
      </c>
      <c r="H26" s="13">
        <v>2.98</v>
      </c>
      <c r="I26" s="13">
        <v>0.09</v>
      </c>
      <c r="J26" s="286" t="s">
        <v>24</v>
      </c>
      <c r="K26" s="286" t="s">
        <v>24</v>
      </c>
      <c r="L26" s="8"/>
      <c r="M26" s="280"/>
      <c r="N26" s="280"/>
    </row>
    <row r="27" spans="1:14">
      <c r="A27" s="9">
        <v>45308</v>
      </c>
      <c r="B27" s="8" t="s">
        <v>1758</v>
      </c>
      <c r="C27" s="8" t="s">
        <v>459</v>
      </c>
      <c r="D27" s="282">
        <v>6</v>
      </c>
      <c r="E27" s="8" t="s">
        <v>1754</v>
      </c>
      <c r="F27" s="8" t="s">
        <v>460</v>
      </c>
      <c r="G27" s="8" t="s">
        <v>1058</v>
      </c>
      <c r="H27" s="13">
        <v>0.51</v>
      </c>
      <c r="I27" s="13">
        <v>1.8</v>
      </c>
      <c r="J27" s="13" t="s">
        <v>1744</v>
      </c>
      <c r="K27" s="13">
        <v>3.2</v>
      </c>
      <c r="L27" s="8" t="s">
        <v>1082</v>
      </c>
      <c r="M27" s="280"/>
      <c r="N27" s="280"/>
    </row>
    <row r="28" spans="1:14">
      <c r="A28" s="284"/>
      <c r="B28" s="8"/>
      <c r="C28" s="8"/>
      <c r="D28" s="285"/>
      <c r="E28" s="8"/>
      <c r="F28" s="8"/>
      <c r="G28" s="8" t="s">
        <v>1059</v>
      </c>
      <c r="H28" s="13">
        <v>1.34</v>
      </c>
      <c r="I28" s="13">
        <v>2.4</v>
      </c>
      <c r="J28" s="13" t="s">
        <v>1744</v>
      </c>
      <c r="K28" s="13">
        <v>3.6</v>
      </c>
      <c r="L28" s="8"/>
      <c r="M28" s="280"/>
      <c r="N28" s="280"/>
    </row>
    <row r="29" spans="1:14">
      <c r="A29" s="284"/>
      <c r="B29" s="8"/>
      <c r="C29" s="8"/>
      <c r="D29" s="285"/>
      <c r="E29" s="8"/>
      <c r="F29" s="8"/>
      <c r="G29" s="8" t="s">
        <v>1099</v>
      </c>
      <c r="H29" s="13">
        <v>2.34</v>
      </c>
      <c r="I29" s="13">
        <v>1.71</v>
      </c>
      <c r="J29" s="13" t="s">
        <v>1744</v>
      </c>
      <c r="K29" s="13">
        <v>3.51</v>
      </c>
      <c r="L29" s="8"/>
      <c r="M29" s="280"/>
      <c r="N29" s="280"/>
    </row>
    <row r="30" spans="1:14">
      <c r="A30" s="284"/>
      <c r="B30" s="8"/>
      <c r="C30" s="8"/>
      <c r="D30" s="285"/>
      <c r="E30" s="8"/>
      <c r="F30" s="8"/>
      <c r="G30" s="8" t="s">
        <v>503</v>
      </c>
      <c r="H30" s="13">
        <v>3.17</v>
      </c>
      <c r="I30" s="13">
        <v>0.09</v>
      </c>
      <c r="J30" s="286" t="s">
        <v>24</v>
      </c>
      <c r="K30" s="286" t="s">
        <v>24</v>
      </c>
      <c r="L30" s="8"/>
      <c r="M30" s="280"/>
      <c r="N30" s="280"/>
    </row>
    <row r="31" spans="1:14">
      <c r="A31" s="9">
        <v>45308</v>
      </c>
      <c r="B31" s="8" t="s">
        <v>1759</v>
      </c>
      <c r="C31" s="8" t="s">
        <v>462</v>
      </c>
      <c r="D31" s="282">
        <v>6</v>
      </c>
      <c r="E31" s="8" t="s">
        <v>477</v>
      </c>
      <c r="F31" s="8" t="s">
        <v>523</v>
      </c>
      <c r="G31" s="8" t="s">
        <v>1058</v>
      </c>
      <c r="H31" s="13">
        <v>1.04</v>
      </c>
      <c r="I31" s="13">
        <v>5.34</v>
      </c>
      <c r="J31" s="13" t="s">
        <v>1744</v>
      </c>
      <c r="K31" s="13">
        <v>2.78</v>
      </c>
      <c r="L31" s="8" t="s">
        <v>112</v>
      </c>
      <c r="M31" s="280"/>
      <c r="N31" s="280"/>
    </row>
    <row r="32" spans="1:14">
      <c r="A32" s="284"/>
      <c r="B32" s="8"/>
      <c r="C32" s="8"/>
      <c r="D32" s="285"/>
      <c r="E32" s="8"/>
      <c r="F32" s="8"/>
      <c r="G32" s="8" t="s">
        <v>1059</v>
      </c>
      <c r="H32" s="13">
        <v>1.04</v>
      </c>
      <c r="I32" s="13">
        <v>0.36</v>
      </c>
      <c r="J32" s="13" t="s">
        <v>1756</v>
      </c>
      <c r="K32" s="13">
        <v>3.1</v>
      </c>
      <c r="L32" s="8"/>
      <c r="M32" s="280"/>
      <c r="N32" s="280"/>
    </row>
    <row r="33" spans="1:14">
      <c r="A33" s="284"/>
      <c r="B33" s="8"/>
      <c r="C33" s="8"/>
      <c r="D33" s="285"/>
      <c r="E33" s="8"/>
      <c r="F33" s="8"/>
      <c r="G33" s="8" t="s">
        <v>1086</v>
      </c>
      <c r="H33" s="13">
        <v>1.04</v>
      </c>
      <c r="I33" s="13">
        <v>0.12</v>
      </c>
      <c r="J33" s="286" t="s">
        <v>24</v>
      </c>
      <c r="K33" s="286" t="s">
        <v>24</v>
      </c>
      <c r="L33" s="8"/>
      <c r="M33" s="280"/>
      <c r="N33" s="280"/>
    </row>
    <row r="34" spans="1:14">
      <c r="A34" s="284"/>
      <c r="B34" s="8"/>
      <c r="C34" s="8"/>
      <c r="D34" s="285"/>
      <c r="E34" s="8"/>
      <c r="F34" s="8"/>
      <c r="G34" s="8" t="s">
        <v>1087</v>
      </c>
      <c r="H34" s="13">
        <v>1.04</v>
      </c>
      <c r="I34" s="13">
        <v>0.18</v>
      </c>
      <c r="J34" s="286" t="s">
        <v>24</v>
      </c>
      <c r="K34" s="286" t="s">
        <v>24</v>
      </c>
      <c r="L34" s="8"/>
      <c r="M34" s="280"/>
      <c r="N34" s="280"/>
    </row>
    <row r="35" spans="1:14">
      <c r="A35" s="9">
        <v>45308</v>
      </c>
      <c r="B35" s="8" t="s">
        <v>1760</v>
      </c>
      <c r="C35" s="8" t="s">
        <v>462</v>
      </c>
      <c r="D35" s="282">
        <v>6</v>
      </c>
      <c r="E35" s="8" t="s">
        <v>1754</v>
      </c>
      <c r="F35" s="8" t="s">
        <v>460</v>
      </c>
      <c r="G35" s="8" t="s">
        <v>1064</v>
      </c>
      <c r="H35" s="13">
        <v>1.2</v>
      </c>
      <c r="I35" s="13">
        <v>4.97</v>
      </c>
      <c r="J35" s="13" t="s">
        <v>1744</v>
      </c>
      <c r="K35" s="13">
        <v>2.95</v>
      </c>
      <c r="L35" s="8" t="s">
        <v>27</v>
      </c>
      <c r="M35" s="280"/>
      <c r="N35" s="280"/>
    </row>
    <row r="36" spans="1:14">
      <c r="A36" s="284"/>
      <c r="B36" s="8"/>
      <c r="C36" s="8"/>
      <c r="D36" s="285"/>
      <c r="E36" s="8"/>
      <c r="F36" s="8"/>
      <c r="G36" s="8" t="s">
        <v>1060</v>
      </c>
      <c r="H36" s="13">
        <v>1.54</v>
      </c>
      <c r="I36" s="13">
        <v>0.19</v>
      </c>
      <c r="J36" s="13" t="s">
        <v>1756</v>
      </c>
      <c r="K36" s="13">
        <v>3.13</v>
      </c>
      <c r="L36" s="8"/>
      <c r="M36" s="280"/>
      <c r="N36" s="280"/>
    </row>
    <row r="37" spans="1:14">
      <c r="A37" s="284"/>
      <c r="B37" s="8"/>
      <c r="C37" s="8"/>
      <c r="D37" s="285"/>
      <c r="E37" s="8"/>
      <c r="F37" s="8"/>
      <c r="G37" s="8" t="s">
        <v>1086</v>
      </c>
      <c r="H37" s="13">
        <v>3.04</v>
      </c>
      <c r="I37" s="13">
        <v>0.36</v>
      </c>
      <c r="J37" s="286" t="s">
        <v>24</v>
      </c>
      <c r="K37" s="286" t="s">
        <v>24</v>
      </c>
      <c r="L37" s="8"/>
      <c r="M37" s="280"/>
      <c r="N37" s="280"/>
    </row>
    <row r="38" spans="1:14">
      <c r="A38" s="284"/>
      <c r="B38" s="8"/>
      <c r="C38" s="8"/>
      <c r="D38" s="285"/>
      <c r="E38" s="8"/>
      <c r="F38" s="8"/>
      <c r="G38" s="8" t="s">
        <v>1087</v>
      </c>
      <c r="H38" s="13">
        <v>3.04</v>
      </c>
      <c r="I38" s="13">
        <v>0.48</v>
      </c>
      <c r="J38" s="286" t="s">
        <v>24</v>
      </c>
      <c r="K38" s="286" t="s">
        <v>24</v>
      </c>
      <c r="L38" s="8"/>
      <c r="M38" s="280"/>
      <c r="N38" s="280"/>
    </row>
    <row r="39" spans="1:14">
      <c r="A39" s="9">
        <v>45308</v>
      </c>
      <c r="B39" s="8" t="s">
        <v>1761</v>
      </c>
      <c r="C39" s="8" t="s">
        <v>462</v>
      </c>
      <c r="D39" s="282">
        <v>5</v>
      </c>
      <c r="E39" s="8" t="s">
        <v>486</v>
      </c>
      <c r="F39" s="8" t="s">
        <v>1091</v>
      </c>
      <c r="G39" s="8" t="s">
        <v>1058</v>
      </c>
      <c r="H39" s="13">
        <v>1.04</v>
      </c>
      <c r="I39" s="13">
        <v>4.04</v>
      </c>
      <c r="J39" s="13" t="s">
        <v>1744</v>
      </c>
      <c r="K39" s="13">
        <v>2.85</v>
      </c>
      <c r="L39" s="8" t="s">
        <v>27</v>
      </c>
      <c r="M39" s="280"/>
      <c r="N39" s="280"/>
    </row>
    <row r="40" spans="1:14">
      <c r="A40" s="287"/>
      <c r="B40" s="8"/>
      <c r="C40" s="8"/>
      <c r="D40" s="288"/>
      <c r="E40" s="8"/>
      <c r="F40" s="8"/>
      <c r="G40" s="8" t="s">
        <v>1059</v>
      </c>
      <c r="H40" s="13">
        <v>1.04</v>
      </c>
      <c r="I40" s="13">
        <v>0.27</v>
      </c>
      <c r="J40" s="13" t="s">
        <v>1762</v>
      </c>
      <c r="K40" s="13">
        <v>3</v>
      </c>
      <c r="L40" s="8"/>
      <c r="M40" s="280"/>
      <c r="N40" s="280"/>
    </row>
    <row r="41" spans="1:14">
      <c r="A41" s="287"/>
      <c r="B41" s="8"/>
      <c r="C41" s="8"/>
      <c r="D41" s="288"/>
      <c r="E41" s="8"/>
      <c r="F41" s="8"/>
      <c r="G41" s="8" t="s">
        <v>1086</v>
      </c>
      <c r="H41" s="13">
        <v>1.79</v>
      </c>
      <c r="I41" s="13">
        <v>0.44</v>
      </c>
      <c r="J41" s="289" t="s">
        <v>24</v>
      </c>
      <c r="K41" s="289" t="s">
        <v>24</v>
      </c>
      <c r="L41" s="8"/>
      <c r="M41" s="280"/>
      <c r="N41" s="280"/>
    </row>
    <row r="42" spans="1:14">
      <c r="A42" s="287"/>
      <c r="B42" s="8"/>
      <c r="C42" s="8"/>
      <c r="D42" s="288"/>
      <c r="E42" s="8"/>
      <c r="F42" s="8"/>
      <c r="G42" s="8" t="s">
        <v>1087</v>
      </c>
      <c r="H42" s="13">
        <v>1.79</v>
      </c>
      <c r="I42" s="13">
        <v>0.25</v>
      </c>
      <c r="J42" s="289" t="s">
        <v>24</v>
      </c>
      <c r="K42" s="289" t="s">
        <v>24</v>
      </c>
      <c r="L42" s="8"/>
      <c r="M42" s="280"/>
      <c r="N42" s="280"/>
    </row>
    <row r="43" spans="1:14">
      <c r="A43" s="9">
        <v>45308</v>
      </c>
      <c r="B43" s="8" t="s">
        <v>1763</v>
      </c>
      <c r="C43" s="8" t="s">
        <v>459</v>
      </c>
      <c r="D43" s="282">
        <v>3.5</v>
      </c>
      <c r="E43" s="8" t="s">
        <v>1764</v>
      </c>
      <c r="F43" s="8" t="s">
        <v>543</v>
      </c>
      <c r="G43" s="8" t="s">
        <v>531</v>
      </c>
      <c r="H43" s="13">
        <v>1</v>
      </c>
      <c r="I43" s="13">
        <v>3.49</v>
      </c>
      <c r="J43" s="13" t="s">
        <v>1744</v>
      </c>
      <c r="K43" s="13">
        <v>3.1</v>
      </c>
      <c r="L43" s="8" t="s">
        <v>1765</v>
      </c>
      <c r="M43" s="280"/>
      <c r="N43" s="280"/>
    </row>
    <row r="44" spans="1:14">
      <c r="A44" s="287"/>
      <c r="B44" s="8"/>
      <c r="C44" s="8"/>
      <c r="D44" s="288"/>
      <c r="E44" s="8"/>
      <c r="F44" s="8"/>
      <c r="G44" s="8" t="s">
        <v>503</v>
      </c>
      <c r="H44" s="13">
        <v>1</v>
      </c>
      <c r="I44" s="13">
        <v>0.01</v>
      </c>
      <c r="J44" s="289" t="s">
        <v>24</v>
      </c>
      <c r="K44" s="289" t="s">
        <v>24</v>
      </c>
      <c r="L44" s="8"/>
      <c r="M44" s="280"/>
      <c r="N44" s="280"/>
    </row>
    <row r="45" spans="1:14">
      <c r="A45" s="9">
        <v>45309</v>
      </c>
      <c r="B45" s="8" t="s">
        <v>1766</v>
      </c>
      <c r="C45" s="8" t="s">
        <v>462</v>
      </c>
      <c r="D45" s="282">
        <v>5.09</v>
      </c>
      <c r="E45" s="8" t="s">
        <v>1767</v>
      </c>
      <c r="F45" s="8" t="s">
        <v>1768</v>
      </c>
      <c r="G45" s="8" t="s">
        <v>531</v>
      </c>
      <c r="H45" s="13">
        <v>2.83</v>
      </c>
      <c r="I45" s="13">
        <v>4.83</v>
      </c>
      <c r="J45" s="13" t="s">
        <v>1744</v>
      </c>
      <c r="K45" s="13">
        <v>3.27</v>
      </c>
      <c r="L45" s="8" t="s">
        <v>1769</v>
      </c>
      <c r="M45" s="280"/>
      <c r="N45" s="280"/>
    </row>
    <row r="46" spans="1:14">
      <c r="A46" s="287"/>
      <c r="B46" s="8"/>
      <c r="C46" s="8"/>
      <c r="D46" s="288"/>
      <c r="E46" s="8"/>
      <c r="F46" s="8"/>
      <c r="G46" s="8" t="s">
        <v>503</v>
      </c>
      <c r="H46" s="13">
        <v>2.83</v>
      </c>
      <c r="I46" s="13">
        <v>0.26</v>
      </c>
      <c r="J46" s="289" t="s">
        <v>24</v>
      </c>
      <c r="K46" s="289" t="s">
        <v>24</v>
      </c>
      <c r="L46" s="8"/>
      <c r="M46" s="280"/>
      <c r="N46" s="280"/>
    </row>
    <row r="47" spans="1:14">
      <c r="A47" s="9">
        <v>45309</v>
      </c>
      <c r="B47" s="8" t="s">
        <v>1770</v>
      </c>
      <c r="C47" s="8" t="s">
        <v>462</v>
      </c>
      <c r="D47" s="282">
        <v>10</v>
      </c>
      <c r="E47" s="8" t="s">
        <v>1079</v>
      </c>
      <c r="F47" s="8" t="s">
        <v>482</v>
      </c>
      <c r="G47" s="8" t="s">
        <v>1064</v>
      </c>
      <c r="H47" s="13">
        <v>1.49</v>
      </c>
      <c r="I47" s="13">
        <v>8.7</v>
      </c>
      <c r="J47" s="13" t="s">
        <v>1744</v>
      </c>
      <c r="K47" s="13">
        <v>2.96</v>
      </c>
      <c r="L47" s="8" t="s">
        <v>35</v>
      </c>
      <c r="M47" s="280"/>
      <c r="N47" s="280"/>
    </row>
    <row r="48" spans="1:14">
      <c r="A48" s="287"/>
      <c r="B48" s="8"/>
      <c r="C48" s="8"/>
      <c r="D48" s="288"/>
      <c r="E48" s="8"/>
      <c r="F48" s="8"/>
      <c r="G48" s="8" t="s">
        <v>1060</v>
      </c>
      <c r="H48" s="13">
        <v>1.49</v>
      </c>
      <c r="I48" s="13">
        <v>0.4</v>
      </c>
      <c r="J48" s="13" t="s">
        <v>1762</v>
      </c>
      <c r="K48" s="13">
        <v>3.14</v>
      </c>
      <c r="L48" s="8"/>
      <c r="M48" s="280"/>
      <c r="N48" s="280"/>
    </row>
    <row r="49" spans="1:14">
      <c r="A49" s="287"/>
      <c r="B49" s="8"/>
      <c r="C49" s="8"/>
      <c r="D49" s="288"/>
      <c r="E49" s="8"/>
      <c r="F49" s="8"/>
      <c r="G49" s="8" t="s">
        <v>503</v>
      </c>
      <c r="H49" s="13">
        <v>1.49</v>
      </c>
      <c r="I49" s="13">
        <v>0.9</v>
      </c>
      <c r="J49" s="289" t="s">
        <v>24</v>
      </c>
      <c r="K49" s="289" t="s">
        <v>24</v>
      </c>
      <c r="L49" s="8"/>
      <c r="M49" s="280"/>
      <c r="N49" s="280"/>
    </row>
    <row r="50" spans="1:14">
      <c r="A50" s="9">
        <v>45309</v>
      </c>
      <c r="B50" s="8" t="s">
        <v>1771</v>
      </c>
      <c r="C50" s="8" t="s">
        <v>462</v>
      </c>
      <c r="D50" s="282">
        <v>5</v>
      </c>
      <c r="E50" s="8" t="s">
        <v>486</v>
      </c>
      <c r="F50" s="8" t="s">
        <v>1768</v>
      </c>
      <c r="G50" s="8" t="s">
        <v>1064</v>
      </c>
      <c r="H50" s="13">
        <v>1.54</v>
      </c>
      <c r="I50" s="13">
        <v>4.15</v>
      </c>
      <c r="J50" s="13" t="s">
        <v>1744</v>
      </c>
      <c r="K50" s="13">
        <v>2.85</v>
      </c>
      <c r="L50" s="8" t="s">
        <v>27</v>
      </c>
      <c r="M50" s="280"/>
      <c r="N50" s="280"/>
    </row>
    <row r="51" spans="1:14">
      <c r="A51" s="287"/>
      <c r="B51" s="8"/>
      <c r="C51" s="8"/>
      <c r="D51" s="288"/>
      <c r="E51" s="8"/>
      <c r="F51" s="8"/>
      <c r="G51" s="8" t="s">
        <v>1060</v>
      </c>
      <c r="H51" s="13">
        <v>2.04</v>
      </c>
      <c r="I51" s="13">
        <v>0.16</v>
      </c>
      <c r="J51" s="13" t="s">
        <v>1762</v>
      </c>
      <c r="K51" s="13">
        <v>3.1</v>
      </c>
      <c r="L51" s="8"/>
      <c r="M51" s="280"/>
      <c r="N51" s="280"/>
    </row>
    <row r="52" spans="1:14">
      <c r="A52" s="287"/>
      <c r="B52" s="8"/>
      <c r="C52" s="8"/>
      <c r="D52" s="288"/>
      <c r="E52" s="8"/>
      <c r="F52" s="8"/>
      <c r="G52" s="8" t="s">
        <v>1086</v>
      </c>
      <c r="H52" s="13">
        <v>3.04</v>
      </c>
      <c r="I52" s="13">
        <v>0.44</v>
      </c>
      <c r="J52" s="289" t="s">
        <v>24</v>
      </c>
      <c r="K52" s="289" t="s">
        <v>24</v>
      </c>
      <c r="L52" s="8"/>
      <c r="M52" s="280"/>
      <c r="N52" s="280"/>
    </row>
    <row r="53" spans="1:14">
      <c r="A53" s="287"/>
      <c r="B53" s="8"/>
      <c r="C53" s="8"/>
      <c r="D53" s="288"/>
      <c r="E53" s="8"/>
      <c r="F53" s="8"/>
      <c r="G53" s="8" t="s">
        <v>1087</v>
      </c>
      <c r="H53" s="13">
        <v>3.04</v>
      </c>
      <c r="I53" s="13">
        <v>0.25</v>
      </c>
      <c r="J53" s="289" t="s">
        <v>24</v>
      </c>
      <c r="K53" s="289" t="s">
        <v>24</v>
      </c>
      <c r="L53" s="8"/>
      <c r="M53" s="280"/>
      <c r="N53" s="280"/>
    </row>
    <row r="54" spans="1:14">
      <c r="A54" s="9">
        <v>45310</v>
      </c>
      <c r="B54" s="8" t="s">
        <v>1772</v>
      </c>
      <c r="C54" s="8" t="s">
        <v>462</v>
      </c>
      <c r="D54" s="282">
        <v>3</v>
      </c>
      <c r="E54" s="8" t="s">
        <v>1754</v>
      </c>
      <c r="F54" s="8" t="s">
        <v>460</v>
      </c>
      <c r="G54" s="8" t="s">
        <v>1058</v>
      </c>
      <c r="H54" s="13">
        <v>1.02</v>
      </c>
      <c r="I54" s="13">
        <v>2.5</v>
      </c>
      <c r="J54" s="13" t="s">
        <v>1744</v>
      </c>
      <c r="K54" s="13">
        <v>2.84</v>
      </c>
      <c r="L54" s="8" t="s">
        <v>27</v>
      </c>
      <c r="M54" s="280"/>
      <c r="N54" s="280"/>
    </row>
    <row r="55" spans="1:14">
      <c r="A55" s="287"/>
      <c r="B55" s="8"/>
      <c r="C55" s="8"/>
      <c r="D55" s="288"/>
      <c r="E55" s="8"/>
      <c r="F55" s="8"/>
      <c r="G55" s="8" t="s">
        <v>1060</v>
      </c>
      <c r="H55" s="13">
        <v>1.02</v>
      </c>
      <c r="I55" s="13">
        <v>0.12</v>
      </c>
      <c r="J55" s="13" t="s">
        <v>1762</v>
      </c>
      <c r="K55" s="13">
        <v>3</v>
      </c>
      <c r="L55" s="8"/>
      <c r="M55" s="280"/>
      <c r="N55" s="280"/>
    </row>
    <row r="56" spans="1:14">
      <c r="A56" s="287"/>
      <c r="B56" s="8"/>
      <c r="C56" s="8"/>
      <c r="D56" s="288"/>
      <c r="E56" s="8"/>
      <c r="F56" s="8"/>
      <c r="G56" s="8" t="s">
        <v>1086</v>
      </c>
      <c r="H56" s="13">
        <v>1.52</v>
      </c>
      <c r="I56" s="13">
        <v>0.12</v>
      </c>
      <c r="J56" s="289" t="s">
        <v>24</v>
      </c>
      <c r="K56" s="289" t="s">
        <v>24</v>
      </c>
      <c r="L56" s="8"/>
      <c r="M56" s="280"/>
      <c r="N56" s="280"/>
    </row>
    <row r="57" spans="1:14">
      <c r="A57" s="287"/>
      <c r="B57" s="8"/>
      <c r="C57" s="8"/>
      <c r="D57" s="288"/>
      <c r="E57" s="8"/>
      <c r="F57" s="8"/>
      <c r="G57" s="8" t="s">
        <v>1087</v>
      </c>
      <c r="H57" s="13">
        <v>1.52</v>
      </c>
      <c r="I57" s="13">
        <v>0.26</v>
      </c>
      <c r="J57" s="289" t="s">
        <v>24</v>
      </c>
      <c r="K57" s="289" t="s">
        <v>24</v>
      </c>
      <c r="L57" s="8"/>
      <c r="M57" s="280"/>
      <c r="N57" s="280"/>
    </row>
    <row r="58" spans="1:14">
      <c r="A58" s="9">
        <v>45310</v>
      </c>
      <c r="B58" s="8" t="s">
        <v>1773</v>
      </c>
      <c r="C58" s="8" t="s">
        <v>459</v>
      </c>
      <c r="D58" s="282">
        <v>10</v>
      </c>
      <c r="E58" s="8" t="s">
        <v>1066</v>
      </c>
      <c r="F58" s="8" t="s">
        <v>482</v>
      </c>
      <c r="G58" s="8" t="s">
        <v>1058</v>
      </c>
      <c r="H58" s="13">
        <v>1</v>
      </c>
      <c r="I58" s="13">
        <v>8.9</v>
      </c>
      <c r="J58" s="13" t="s">
        <v>1744</v>
      </c>
      <c r="K58" s="13">
        <v>2.85</v>
      </c>
      <c r="L58" s="8" t="s">
        <v>35</v>
      </c>
      <c r="M58" s="280"/>
      <c r="N58" s="280"/>
    </row>
    <row r="59" spans="1:14">
      <c r="A59" s="287"/>
      <c r="B59" s="8"/>
      <c r="C59" s="8"/>
      <c r="D59" s="288"/>
      <c r="E59" s="8"/>
      <c r="F59" s="8"/>
      <c r="G59" s="8" t="s">
        <v>1060</v>
      </c>
      <c r="H59" s="13">
        <v>1</v>
      </c>
      <c r="I59" s="13">
        <v>0.3</v>
      </c>
      <c r="J59" s="13" t="s">
        <v>1762</v>
      </c>
      <c r="K59" s="13">
        <v>2.95</v>
      </c>
      <c r="L59" s="8"/>
      <c r="M59" s="280"/>
      <c r="N59" s="280"/>
    </row>
    <row r="60" spans="1:14">
      <c r="A60" s="287"/>
      <c r="B60" s="8"/>
      <c r="C60" s="8"/>
      <c r="D60" s="288"/>
      <c r="E60" s="8"/>
      <c r="F60" s="8"/>
      <c r="G60" s="8" t="s">
        <v>503</v>
      </c>
      <c r="H60" s="13">
        <v>3</v>
      </c>
      <c r="I60" s="13">
        <v>0.8</v>
      </c>
      <c r="J60" s="289" t="s">
        <v>24</v>
      </c>
      <c r="K60" s="289" t="s">
        <v>24</v>
      </c>
      <c r="L60" s="8"/>
      <c r="M60" s="280"/>
      <c r="N60" s="280"/>
    </row>
    <row r="61" spans="1:14">
      <c r="A61" s="9">
        <v>45310</v>
      </c>
      <c r="B61" s="8" t="s">
        <v>1774</v>
      </c>
      <c r="C61" s="8" t="s">
        <v>459</v>
      </c>
      <c r="D61" s="282">
        <v>6.01</v>
      </c>
      <c r="E61" s="8" t="s">
        <v>486</v>
      </c>
      <c r="F61" s="8" t="s">
        <v>1768</v>
      </c>
      <c r="G61" s="8" t="s">
        <v>1058</v>
      </c>
      <c r="H61" s="13">
        <v>0.97</v>
      </c>
      <c r="I61" s="13">
        <v>4.43</v>
      </c>
      <c r="J61" s="13" t="s">
        <v>1744</v>
      </c>
      <c r="K61" s="13">
        <v>2.9</v>
      </c>
      <c r="L61" s="8" t="s">
        <v>435</v>
      </c>
      <c r="M61" s="280"/>
      <c r="N61" s="280"/>
    </row>
    <row r="62" spans="1:14">
      <c r="A62" s="287"/>
      <c r="B62" s="8"/>
      <c r="C62" s="8"/>
      <c r="D62" s="288"/>
      <c r="E62" s="8"/>
      <c r="F62" s="8"/>
      <c r="G62" s="8" t="s">
        <v>1059</v>
      </c>
      <c r="H62" s="13">
        <v>1.73</v>
      </c>
      <c r="I62" s="13">
        <v>1.46</v>
      </c>
      <c r="J62" s="13" t="s">
        <v>1744</v>
      </c>
      <c r="K62" s="13">
        <v>3</v>
      </c>
      <c r="L62" s="8"/>
      <c r="M62" s="280"/>
      <c r="N62" s="280"/>
    </row>
    <row r="63" spans="1:14">
      <c r="A63" s="287"/>
      <c r="B63" s="8"/>
      <c r="C63" s="8"/>
      <c r="D63" s="288"/>
      <c r="E63" s="8"/>
      <c r="F63" s="8"/>
      <c r="G63" s="8" t="s">
        <v>503</v>
      </c>
      <c r="H63" s="13">
        <v>2.3</v>
      </c>
      <c r="I63" s="13">
        <v>0.12</v>
      </c>
      <c r="J63" s="289" t="s">
        <v>24</v>
      </c>
      <c r="K63" s="289" t="s">
        <v>24</v>
      </c>
      <c r="L63" s="8"/>
      <c r="M63" s="280"/>
      <c r="N63" s="280"/>
    </row>
    <row r="64" spans="1:14">
      <c r="A64" s="9">
        <v>45315</v>
      </c>
      <c r="B64" s="8" t="s">
        <v>1775</v>
      </c>
      <c r="C64" s="8" t="s">
        <v>462</v>
      </c>
      <c r="D64" s="282">
        <v>5</v>
      </c>
      <c r="E64" s="8" t="s">
        <v>1776</v>
      </c>
      <c r="F64" s="8" t="s">
        <v>482</v>
      </c>
      <c r="G64" s="8" t="s">
        <v>1064</v>
      </c>
      <c r="H64" s="13">
        <v>2.02</v>
      </c>
      <c r="I64" s="13">
        <v>4.23</v>
      </c>
      <c r="J64" s="13" t="s">
        <v>1744</v>
      </c>
      <c r="K64" s="13">
        <v>3.4</v>
      </c>
      <c r="L64" s="13">
        <v>360</v>
      </c>
      <c r="M64" s="280"/>
      <c r="N64" s="280"/>
    </row>
    <row r="65" spans="1:14">
      <c r="A65" s="287"/>
      <c r="B65" s="8"/>
      <c r="C65" s="8"/>
      <c r="D65" s="288"/>
      <c r="E65" s="8"/>
      <c r="F65" s="8"/>
      <c r="G65" s="8" t="s">
        <v>1060</v>
      </c>
      <c r="H65" s="13">
        <v>2.02</v>
      </c>
      <c r="I65" s="13">
        <v>0.22</v>
      </c>
      <c r="J65" s="13" t="s">
        <v>1762</v>
      </c>
      <c r="K65" s="13">
        <v>4.5</v>
      </c>
      <c r="L65" s="289"/>
      <c r="M65" s="280"/>
      <c r="N65" s="280"/>
    </row>
    <row r="66" spans="1:14">
      <c r="A66" s="287"/>
      <c r="B66" s="8"/>
      <c r="C66" s="8"/>
      <c r="D66" s="288"/>
      <c r="E66" s="8"/>
      <c r="F66" s="8"/>
      <c r="G66" s="8" t="s">
        <v>1061</v>
      </c>
      <c r="H66" s="13">
        <v>2.02</v>
      </c>
      <c r="I66" s="13">
        <v>0.18</v>
      </c>
      <c r="J66" s="13" t="s">
        <v>1746</v>
      </c>
      <c r="K66" s="13">
        <v>6.55</v>
      </c>
      <c r="L66" s="289"/>
      <c r="M66" s="280"/>
      <c r="N66" s="280"/>
    </row>
    <row r="67" spans="1:14">
      <c r="A67" s="287"/>
      <c r="B67" s="8"/>
      <c r="C67" s="8"/>
      <c r="D67" s="288"/>
      <c r="E67" s="8"/>
      <c r="F67" s="8"/>
      <c r="G67" s="8" t="s">
        <v>503</v>
      </c>
      <c r="H67" s="13">
        <v>2.02</v>
      </c>
      <c r="I67" s="13">
        <v>0.37</v>
      </c>
      <c r="J67" s="289" t="s">
        <v>24</v>
      </c>
      <c r="K67" s="289" t="s">
        <v>24</v>
      </c>
      <c r="L67" s="289"/>
      <c r="M67" s="280"/>
      <c r="N67" s="280"/>
    </row>
    <row r="68" spans="1:14">
      <c r="A68" s="9">
        <v>45316</v>
      </c>
      <c r="B68" s="8" t="s">
        <v>1777</v>
      </c>
      <c r="C68" s="8" t="s">
        <v>462</v>
      </c>
      <c r="D68" s="282">
        <v>2.49</v>
      </c>
      <c r="E68" s="8" t="s">
        <v>1778</v>
      </c>
      <c r="F68" s="8" t="s">
        <v>1779</v>
      </c>
      <c r="G68" s="8" t="s">
        <v>531</v>
      </c>
      <c r="H68" s="13">
        <v>1.85</v>
      </c>
      <c r="I68" s="13">
        <v>2.36</v>
      </c>
      <c r="J68" s="13" t="s">
        <v>1744</v>
      </c>
      <c r="K68" s="13">
        <v>2.97</v>
      </c>
      <c r="L68" s="8" t="s">
        <v>1780</v>
      </c>
      <c r="M68" s="280"/>
      <c r="N68" s="280"/>
    </row>
    <row r="69" spans="1:14">
      <c r="A69" s="287"/>
      <c r="B69" s="8"/>
      <c r="C69" s="8"/>
      <c r="D69" s="288"/>
      <c r="E69" s="8"/>
      <c r="F69" s="8"/>
      <c r="G69" s="8" t="s">
        <v>503</v>
      </c>
      <c r="H69" s="13">
        <v>2.52</v>
      </c>
      <c r="I69" s="13">
        <v>0.13</v>
      </c>
      <c r="J69" s="289" t="s">
        <v>24</v>
      </c>
      <c r="K69" s="289" t="s">
        <v>24</v>
      </c>
      <c r="L69" s="8"/>
      <c r="M69" s="280"/>
      <c r="N69" s="280"/>
    </row>
    <row r="70" spans="1:14">
      <c r="A70" s="9">
        <v>45316</v>
      </c>
      <c r="B70" s="8" t="s">
        <v>1781</v>
      </c>
      <c r="C70" s="8" t="s">
        <v>462</v>
      </c>
      <c r="D70" s="282">
        <v>10</v>
      </c>
      <c r="E70" s="8" t="s">
        <v>1057</v>
      </c>
      <c r="F70" s="8" t="s">
        <v>1751</v>
      </c>
      <c r="G70" s="8" t="s">
        <v>1058</v>
      </c>
      <c r="H70" s="13">
        <v>1.1</v>
      </c>
      <c r="I70" s="13">
        <v>7.2</v>
      </c>
      <c r="J70" s="13" t="s">
        <v>1744</v>
      </c>
      <c r="K70" s="13">
        <v>2.78</v>
      </c>
      <c r="L70" s="8" t="s">
        <v>41</v>
      </c>
      <c r="M70" s="280"/>
      <c r="N70" s="280"/>
    </row>
    <row r="71" spans="1:14">
      <c r="A71" s="287"/>
      <c r="B71" s="8"/>
      <c r="C71" s="8"/>
      <c r="D71" s="288"/>
      <c r="E71" s="8"/>
      <c r="F71" s="8"/>
      <c r="G71" s="8" t="s">
        <v>1059</v>
      </c>
      <c r="H71" s="13">
        <v>1.22</v>
      </c>
      <c r="I71" s="13">
        <v>1.35</v>
      </c>
      <c r="J71" s="13" t="s">
        <v>1744</v>
      </c>
      <c r="K71" s="13">
        <v>2.9</v>
      </c>
      <c r="L71" s="8"/>
      <c r="M71" s="280"/>
      <c r="N71" s="280"/>
    </row>
    <row r="72" spans="1:14">
      <c r="A72" s="287"/>
      <c r="B72" s="8"/>
      <c r="C72" s="8"/>
      <c r="D72" s="288"/>
      <c r="E72" s="8"/>
      <c r="F72" s="8"/>
      <c r="G72" s="8" t="s">
        <v>1060</v>
      </c>
      <c r="H72" s="13">
        <v>1.3</v>
      </c>
      <c r="I72" s="13">
        <v>0.5</v>
      </c>
      <c r="J72" s="13" t="s">
        <v>1762</v>
      </c>
      <c r="K72" s="13">
        <v>3.1</v>
      </c>
      <c r="L72" s="8"/>
      <c r="M72" s="280"/>
      <c r="N72" s="280"/>
    </row>
    <row r="73" spans="1:14">
      <c r="A73" s="287"/>
      <c r="B73" s="8"/>
      <c r="C73" s="8"/>
      <c r="D73" s="288"/>
      <c r="E73" s="8"/>
      <c r="F73" s="8"/>
      <c r="G73" s="8" t="s">
        <v>1061</v>
      </c>
      <c r="H73" s="13">
        <v>1.34</v>
      </c>
      <c r="I73" s="13">
        <v>0.45</v>
      </c>
      <c r="J73" s="13" t="s">
        <v>1782</v>
      </c>
      <c r="K73" s="13">
        <v>5.8</v>
      </c>
      <c r="L73" s="8"/>
      <c r="M73" s="280"/>
      <c r="N73" s="280"/>
    </row>
    <row r="74" spans="1:14">
      <c r="A74" s="287"/>
      <c r="B74" s="8"/>
      <c r="C74" s="8"/>
      <c r="D74" s="288"/>
      <c r="E74" s="8"/>
      <c r="F74" s="8"/>
      <c r="G74" s="8" t="s">
        <v>503</v>
      </c>
      <c r="H74" s="13">
        <v>1.76</v>
      </c>
      <c r="I74" s="13">
        <v>0.5</v>
      </c>
      <c r="J74" s="289" t="s">
        <v>24</v>
      </c>
      <c r="K74" s="289" t="s">
        <v>24</v>
      </c>
      <c r="L74" s="8"/>
      <c r="M74" s="280"/>
      <c r="N74" s="280"/>
    </row>
    <row r="75" spans="1:14">
      <c r="A75" s="9">
        <v>45316</v>
      </c>
      <c r="B75" s="8" t="s">
        <v>1783</v>
      </c>
      <c r="C75" s="8" t="s">
        <v>462</v>
      </c>
      <c r="D75" s="282">
        <v>10</v>
      </c>
      <c r="E75" s="8" t="s">
        <v>1079</v>
      </c>
      <c r="F75" s="8" t="s">
        <v>482</v>
      </c>
      <c r="G75" s="8" t="s">
        <v>1064</v>
      </c>
      <c r="H75" s="13">
        <v>1.5</v>
      </c>
      <c r="I75" s="13">
        <v>8.2</v>
      </c>
      <c r="J75" s="13" t="s">
        <v>1744</v>
      </c>
      <c r="K75" s="13">
        <v>2.94</v>
      </c>
      <c r="L75" s="8" t="s">
        <v>35</v>
      </c>
      <c r="M75" s="280"/>
      <c r="N75" s="280"/>
    </row>
    <row r="76" spans="1:14">
      <c r="A76" s="287"/>
      <c r="B76" s="8"/>
      <c r="C76" s="8"/>
      <c r="D76" s="288"/>
      <c r="E76" s="8"/>
      <c r="F76" s="8"/>
      <c r="G76" s="8" t="s">
        <v>1060</v>
      </c>
      <c r="H76" s="13">
        <v>1.5</v>
      </c>
      <c r="I76" s="13">
        <v>0.4</v>
      </c>
      <c r="J76" s="13" t="s">
        <v>1756</v>
      </c>
      <c r="K76" s="13">
        <v>2.95</v>
      </c>
      <c r="L76" s="8"/>
      <c r="M76" s="280"/>
      <c r="N76" s="280"/>
    </row>
    <row r="77" spans="1:14">
      <c r="A77" s="287"/>
      <c r="B77" s="8"/>
      <c r="C77" s="8"/>
      <c r="D77" s="288"/>
      <c r="E77" s="8"/>
      <c r="F77" s="8"/>
      <c r="G77" s="8" t="s">
        <v>503</v>
      </c>
      <c r="H77" s="13">
        <v>1.5</v>
      </c>
      <c r="I77" s="13">
        <v>1.4</v>
      </c>
      <c r="J77" s="286" t="s">
        <v>24</v>
      </c>
      <c r="K77" s="286" t="s">
        <v>24</v>
      </c>
      <c r="L77" s="8"/>
      <c r="M77" s="280"/>
      <c r="N77" s="280"/>
    </row>
    <row r="78" spans="1:14">
      <c r="A78" s="9">
        <v>45317</v>
      </c>
      <c r="B78" s="8" t="s">
        <v>1784</v>
      </c>
      <c r="C78" s="8" t="s">
        <v>462</v>
      </c>
      <c r="D78" s="282">
        <v>10</v>
      </c>
      <c r="E78" s="8" t="s">
        <v>1109</v>
      </c>
      <c r="F78" s="8" t="s">
        <v>482</v>
      </c>
      <c r="G78" s="8" t="s">
        <v>1064</v>
      </c>
      <c r="H78" s="13">
        <v>1.92</v>
      </c>
      <c r="I78" s="13">
        <v>8.13</v>
      </c>
      <c r="J78" s="13" t="s">
        <v>1744</v>
      </c>
      <c r="K78" s="13">
        <v>2.87</v>
      </c>
      <c r="L78" s="8" t="s">
        <v>27</v>
      </c>
      <c r="M78" s="280"/>
      <c r="N78" s="280"/>
    </row>
    <row r="79" spans="1:14">
      <c r="A79" s="287"/>
      <c r="B79" s="8"/>
      <c r="C79" s="8"/>
      <c r="D79" s="288"/>
      <c r="E79" s="8"/>
      <c r="F79" s="8"/>
      <c r="G79" s="8" t="s">
        <v>1060</v>
      </c>
      <c r="H79" s="13">
        <v>1.92</v>
      </c>
      <c r="I79" s="13">
        <v>0.59</v>
      </c>
      <c r="J79" s="13" t="s">
        <v>1756</v>
      </c>
      <c r="K79" s="13">
        <v>2.87</v>
      </c>
      <c r="L79" s="8"/>
      <c r="M79" s="280"/>
      <c r="N79" s="280"/>
    </row>
    <row r="80" spans="1:14">
      <c r="A80" s="287"/>
      <c r="B80" s="8"/>
      <c r="C80" s="8"/>
      <c r="D80" s="288"/>
      <c r="E80" s="8"/>
      <c r="F80" s="8"/>
      <c r="G80" s="8" t="s">
        <v>503</v>
      </c>
      <c r="H80" s="13">
        <v>2</v>
      </c>
      <c r="I80" s="13">
        <v>1.28</v>
      </c>
      <c r="J80" s="286" t="s">
        <v>24</v>
      </c>
      <c r="K80" s="286" t="s">
        <v>24</v>
      </c>
      <c r="L80" s="8"/>
      <c r="M80" s="280"/>
      <c r="N80" s="280"/>
    </row>
    <row r="81" spans="1:14">
      <c r="A81" s="9">
        <v>45317</v>
      </c>
      <c r="B81" s="8" t="s">
        <v>1785</v>
      </c>
      <c r="C81" s="8" t="s">
        <v>462</v>
      </c>
      <c r="D81" s="282">
        <v>3</v>
      </c>
      <c r="E81" s="8" t="s">
        <v>1754</v>
      </c>
      <c r="F81" s="8" t="s">
        <v>460</v>
      </c>
      <c r="G81" s="8" t="s">
        <v>1064</v>
      </c>
      <c r="H81" s="13">
        <v>1.01</v>
      </c>
      <c r="I81" s="13">
        <v>2.5</v>
      </c>
      <c r="J81" s="13" t="s">
        <v>1744</v>
      </c>
      <c r="K81" s="13">
        <v>2.8</v>
      </c>
      <c r="L81" s="8" t="s">
        <v>27</v>
      </c>
      <c r="M81" s="280"/>
      <c r="N81" s="280"/>
    </row>
    <row r="82" spans="1:14">
      <c r="A82" s="287"/>
      <c r="B82" s="8"/>
      <c r="C82" s="8"/>
      <c r="D82" s="288"/>
      <c r="E82" s="8"/>
      <c r="F82" s="8"/>
      <c r="G82" s="8" t="s">
        <v>1060</v>
      </c>
      <c r="H82" s="13">
        <v>1.01</v>
      </c>
      <c r="I82" s="13">
        <v>0.12</v>
      </c>
      <c r="J82" s="13" t="s">
        <v>1756</v>
      </c>
      <c r="K82" s="13">
        <v>2.8</v>
      </c>
      <c r="L82" s="8"/>
      <c r="M82" s="280"/>
      <c r="N82" s="280"/>
    </row>
    <row r="83" spans="1:14">
      <c r="A83" s="287"/>
      <c r="B83" s="8"/>
      <c r="C83" s="8"/>
      <c r="D83" s="288"/>
      <c r="E83" s="8"/>
      <c r="F83" s="8"/>
      <c r="G83" s="8" t="s">
        <v>1786</v>
      </c>
      <c r="H83" s="13">
        <v>1.5</v>
      </c>
      <c r="I83" s="13">
        <v>0.23</v>
      </c>
      <c r="J83" s="286" t="s">
        <v>24</v>
      </c>
      <c r="K83" s="286" t="s">
        <v>24</v>
      </c>
      <c r="L83" s="8"/>
      <c r="M83" s="280"/>
      <c r="N83" s="280"/>
    </row>
    <row r="84" spans="1:14">
      <c r="A84" s="287"/>
      <c r="B84" s="8"/>
      <c r="C84" s="8"/>
      <c r="D84" s="288"/>
      <c r="E84" s="8"/>
      <c r="F84" s="8"/>
      <c r="G84" s="8" t="s">
        <v>1787</v>
      </c>
      <c r="H84" s="13">
        <v>1.5</v>
      </c>
      <c r="I84" s="13">
        <v>0.15</v>
      </c>
      <c r="J84" s="286" t="s">
        <v>24</v>
      </c>
      <c r="K84" s="286" t="s">
        <v>24</v>
      </c>
      <c r="L84" s="8"/>
      <c r="M84" s="280"/>
      <c r="N84" s="280"/>
    </row>
    <row r="85" spans="1:14">
      <c r="A85" s="9">
        <v>45317</v>
      </c>
      <c r="B85" s="8" t="s">
        <v>1788</v>
      </c>
      <c r="C85" s="8" t="s">
        <v>462</v>
      </c>
      <c r="D85" s="282">
        <v>5.4</v>
      </c>
      <c r="E85" s="8" t="s">
        <v>486</v>
      </c>
      <c r="F85" s="8" t="s">
        <v>543</v>
      </c>
      <c r="G85" s="8" t="s">
        <v>1058</v>
      </c>
      <c r="H85" s="13">
        <v>0.97</v>
      </c>
      <c r="I85" s="13">
        <v>1.62</v>
      </c>
      <c r="J85" s="13" t="s">
        <v>1744</v>
      </c>
      <c r="K85" s="13">
        <v>3.2</v>
      </c>
      <c r="L85" s="8" t="s">
        <v>1082</v>
      </c>
      <c r="M85" s="280"/>
      <c r="N85" s="280"/>
    </row>
    <row r="86" spans="1:14">
      <c r="A86" s="284"/>
      <c r="B86" s="8"/>
      <c r="C86" s="8"/>
      <c r="D86" s="288"/>
      <c r="E86" s="8"/>
      <c r="F86" s="8"/>
      <c r="G86" s="8" t="s">
        <v>1059</v>
      </c>
      <c r="H86" s="13">
        <v>1.97</v>
      </c>
      <c r="I86" s="13">
        <v>2.16</v>
      </c>
      <c r="J86" s="13" t="s">
        <v>1744</v>
      </c>
      <c r="K86" s="13">
        <v>3.6</v>
      </c>
      <c r="L86" s="8"/>
      <c r="M86" s="280"/>
      <c r="N86" s="280"/>
    </row>
    <row r="87" spans="1:14">
      <c r="A87" s="284"/>
      <c r="B87" s="8"/>
      <c r="C87" s="8"/>
      <c r="D87" s="288"/>
      <c r="E87" s="8"/>
      <c r="F87" s="8"/>
      <c r="G87" s="8" t="s">
        <v>1099</v>
      </c>
      <c r="H87" s="13">
        <v>2.97</v>
      </c>
      <c r="I87" s="13">
        <v>1.54</v>
      </c>
      <c r="J87" s="13" t="s">
        <v>1744</v>
      </c>
      <c r="K87" s="13">
        <v>5.1</v>
      </c>
      <c r="L87" s="8"/>
      <c r="M87" s="280"/>
      <c r="N87" s="280"/>
    </row>
    <row r="88" spans="1:14">
      <c r="A88" s="284"/>
      <c r="B88" s="8"/>
      <c r="C88" s="8"/>
      <c r="D88" s="288"/>
      <c r="E88" s="8"/>
      <c r="F88" s="8"/>
      <c r="G88" s="8" t="s">
        <v>503</v>
      </c>
      <c r="H88" s="13">
        <v>2.97</v>
      </c>
      <c r="I88" s="13">
        <v>0.081</v>
      </c>
      <c r="J88" s="13"/>
      <c r="K88" s="13"/>
      <c r="L88" s="8"/>
      <c r="M88" s="280"/>
      <c r="N88" s="280"/>
    </row>
    <row r="89" spans="1:14">
      <c r="A89" s="9">
        <v>45321</v>
      </c>
      <c r="B89" s="8" t="s">
        <v>1789</v>
      </c>
      <c r="C89" s="8" t="s">
        <v>462</v>
      </c>
      <c r="D89" s="282">
        <v>1.82</v>
      </c>
      <c r="E89" s="8" t="s">
        <v>486</v>
      </c>
      <c r="F89" s="8" t="s">
        <v>1709</v>
      </c>
      <c r="G89" s="8" t="s">
        <v>531</v>
      </c>
      <c r="H89" s="13">
        <v>1.01</v>
      </c>
      <c r="I89" s="13">
        <v>1.73</v>
      </c>
      <c r="J89" s="13" t="s">
        <v>1744</v>
      </c>
      <c r="K89" s="13">
        <v>2.85</v>
      </c>
      <c r="L89" s="8" t="s">
        <v>1790</v>
      </c>
      <c r="M89" s="280"/>
      <c r="N89" s="280"/>
    </row>
    <row r="90" spans="1:14">
      <c r="A90" s="284"/>
      <c r="B90" s="8"/>
      <c r="C90" s="8"/>
      <c r="D90" s="285"/>
      <c r="E90" s="8"/>
      <c r="F90" s="8"/>
      <c r="G90" s="8" t="s">
        <v>503</v>
      </c>
      <c r="H90" s="13">
        <v>1.17</v>
      </c>
      <c r="I90" s="13">
        <v>0.092</v>
      </c>
      <c r="J90" s="286" t="s">
        <v>24</v>
      </c>
      <c r="K90" s="286" t="s">
        <v>24</v>
      </c>
      <c r="L90" s="8"/>
      <c r="M90" s="280"/>
      <c r="N90" s="280"/>
    </row>
    <row r="91" spans="1:14">
      <c r="A91" s="9">
        <v>45321</v>
      </c>
      <c r="B91" s="8" t="s">
        <v>1791</v>
      </c>
      <c r="C91" s="8" t="s">
        <v>459</v>
      </c>
      <c r="D91" s="282">
        <v>8</v>
      </c>
      <c r="E91" s="8" t="s">
        <v>1109</v>
      </c>
      <c r="F91" s="8" t="s">
        <v>460</v>
      </c>
      <c r="G91" s="8" t="s">
        <v>1064</v>
      </c>
      <c r="H91" s="13">
        <v>1.5</v>
      </c>
      <c r="I91" s="13">
        <v>6.94</v>
      </c>
      <c r="J91" s="13" t="s">
        <v>1744</v>
      </c>
      <c r="K91" s="13">
        <v>2.85</v>
      </c>
      <c r="L91" s="8" t="s">
        <v>27</v>
      </c>
      <c r="M91" s="280"/>
      <c r="N91" s="280"/>
    </row>
    <row r="92" spans="1:14">
      <c r="A92" s="284"/>
      <c r="B92" s="8"/>
      <c r="C92" s="8"/>
      <c r="D92" s="285"/>
      <c r="E92" s="8"/>
      <c r="F92" s="8"/>
      <c r="G92" s="8" t="s">
        <v>1060</v>
      </c>
      <c r="H92" s="13">
        <v>1.5</v>
      </c>
      <c r="I92" s="13">
        <v>0.37</v>
      </c>
      <c r="J92" s="13" t="s">
        <v>1756</v>
      </c>
      <c r="K92" s="13">
        <v>2.96</v>
      </c>
      <c r="L92" s="8"/>
      <c r="M92" s="280"/>
      <c r="N92" s="280"/>
    </row>
    <row r="93" spans="1:14">
      <c r="A93" s="284"/>
      <c r="B93" s="8"/>
      <c r="C93" s="8"/>
      <c r="D93" s="285"/>
      <c r="E93" s="8"/>
      <c r="F93" s="8"/>
      <c r="G93" s="8" t="s">
        <v>503</v>
      </c>
      <c r="H93" s="13">
        <v>1.84</v>
      </c>
      <c r="I93" s="13">
        <v>0.69</v>
      </c>
      <c r="J93" s="286" t="s">
        <v>24</v>
      </c>
      <c r="K93" s="286" t="s">
        <v>24</v>
      </c>
      <c r="L93" s="8"/>
      <c r="M93" s="280"/>
      <c r="N93" s="280"/>
    </row>
    <row r="94" spans="1:14">
      <c r="A94" s="9">
        <v>45322</v>
      </c>
      <c r="B94" s="8" t="s">
        <v>1792</v>
      </c>
      <c r="C94" s="8" t="s">
        <v>462</v>
      </c>
      <c r="D94" s="282">
        <v>7.2</v>
      </c>
      <c r="E94" s="8" t="s">
        <v>477</v>
      </c>
      <c r="F94" s="8" t="s">
        <v>1140</v>
      </c>
      <c r="G94" s="8" t="s">
        <v>1058</v>
      </c>
      <c r="H94" s="13">
        <v>0.72</v>
      </c>
      <c r="I94" s="13">
        <v>2.16</v>
      </c>
      <c r="J94" s="13" t="s">
        <v>1744</v>
      </c>
      <c r="K94" s="13">
        <v>3.2</v>
      </c>
      <c r="L94" s="8" t="s">
        <v>1082</v>
      </c>
      <c r="M94" s="280"/>
      <c r="N94" s="280"/>
    </row>
    <row r="95" spans="1:14">
      <c r="A95" s="284"/>
      <c r="B95" s="8"/>
      <c r="C95" s="8"/>
      <c r="D95" s="285"/>
      <c r="E95" s="8"/>
      <c r="F95" s="8"/>
      <c r="G95" s="8" t="s">
        <v>1059</v>
      </c>
      <c r="H95" s="13">
        <v>1.97</v>
      </c>
      <c r="I95" s="13">
        <v>2.88</v>
      </c>
      <c r="J95" s="13" t="s">
        <v>1744</v>
      </c>
      <c r="K95" s="13">
        <v>3.6</v>
      </c>
      <c r="L95" s="8"/>
      <c r="M95" s="280"/>
      <c r="N95" s="280"/>
    </row>
    <row r="96" spans="1:14">
      <c r="A96" s="284"/>
      <c r="B96" s="8"/>
      <c r="C96" s="8"/>
      <c r="D96" s="285"/>
      <c r="E96" s="8"/>
      <c r="F96" s="8"/>
      <c r="G96" s="8" t="s">
        <v>1099</v>
      </c>
      <c r="H96" s="13">
        <v>2.99</v>
      </c>
      <c r="I96" s="13">
        <v>2.05</v>
      </c>
      <c r="J96" s="13" t="s">
        <v>1744</v>
      </c>
      <c r="K96" s="13">
        <v>5.2</v>
      </c>
      <c r="L96" s="8"/>
      <c r="M96" s="280"/>
      <c r="N96" s="280"/>
    </row>
    <row r="97" spans="1:14">
      <c r="A97" s="284"/>
      <c r="B97" s="8"/>
      <c r="C97" s="8"/>
      <c r="D97" s="285"/>
      <c r="E97" s="8"/>
      <c r="F97" s="8"/>
      <c r="G97" s="8" t="s">
        <v>503</v>
      </c>
      <c r="H97" s="13">
        <v>3.31</v>
      </c>
      <c r="I97" s="13">
        <v>0.11</v>
      </c>
      <c r="J97" s="286" t="s">
        <v>24</v>
      </c>
      <c r="K97" s="286" t="s">
        <v>24</v>
      </c>
      <c r="L97" s="8"/>
      <c r="M97" s="280"/>
      <c r="N97" s="280"/>
    </row>
    <row r="98" spans="1:14">
      <c r="A98" s="9">
        <v>45323</v>
      </c>
      <c r="B98" s="8" t="s">
        <v>1793</v>
      </c>
      <c r="C98" s="8" t="s">
        <v>462</v>
      </c>
      <c r="D98" s="282">
        <v>10</v>
      </c>
      <c r="E98" s="8" t="s">
        <v>1109</v>
      </c>
      <c r="F98" s="8" t="s">
        <v>482</v>
      </c>
      <c r="G98" s="8" t="s">
        <v>1064</v>
      </c>
      <c r="H98" s="13">
        <v>0.99</v>
      </c>
      <c r="I98" s="13">
        <v>8.13</v>
      </c>
      <c r="J98" s="13" t="s">
        <v>1744</v>
      </c>
      <c r="K98" s="13">
        <v>2.85</v>
      </c>
      <c r="L98" s="8" t="s">
        <v>27</v>
      </c>
      <c r="M98" s="280"/>
      <c r="N98" s="280"/>
    </row>
    <row r="99" spans="1:14">
      <c r="A99" s="287"/>
      <c r="B99" s="8"/>
      <c r="C99" s="8"/>
      <c r="D99" s="288"/>
      <c r="E99" s="8"/>
      <c r="F99" s="8"/>
      <c r="G99" s="8" t="s">
        <v>1060</v>
      </c>
      <c r="H99" s="13">
        <v>0.99</v>
      </c>
      <c r="I99" s="13">
        <v>0.59</v>
      </c>
      <c r="J99" s="13" t="s">
        <v>1756</v>
      </c>
      <c r="K99" s="13">
        <v>2.9</v>
      </c>
      <c r="L99" s="8"/>
      <c r="M99" s="280"/>
      <c r="N99" s="280"/>
    </row>
    <row r="100" spans="1:14">
      <c r="A100" s="287"/>
      <c r="B100" s="8"/>
      <c r="C100" s="8"/>
      <c r="D100" s="288"/>
      <c r="E100" s="8"/>
      <c r="F100" s="8"/>
      <c r="G100" s="8" t="s">
        <v>503</v>
      </c>
      <c r="H100" s="13">
        <v>1.07</v>
      </c>
      <c r="I100" s="13">
        <v>1.28</v>
      </c>
      <c r="J100" s="286" t="s">
        <v>24</v>
      </c>
      <c r="K100" s="286" t="s">
        <v>24</v>
      </c>
      <c r="L100" s="8"/>
      <c r="M100" s="280"/>
      <c r="N100" s="280"/>
    </row>
    <row r="101" spans="1:14">
      <c r="A101" s="9">
        <v>45324</v>
      </c>
      <c r="B101" s="8" t="s">
        <v>1794</v>
      </c>
      <c r="C101" s="8" t="s">
        <v>462</v>
      </c>
      <c r="D101" s="282">
        <v>10</v>
      </c>
      <c r="E101" s="8" t="s">
        <v>486</v>
      </c>
      <c r="F101" s="8" t="s">
        <v>543</v>
      </c>
      <c r="G101" s="8" t="s">
        <v>1058</v>
      </c>
      <c r="H101" s="13">
        <v>0.95</v>
      </c>
      <c r="I101" s="13">
        <v>3</v>
      </c>
      <c r="J101" s="13" t="s">
        <v>1744</v>
      </c>
      <c r="K101" s="13">
        <v>3</v>
      </c>
      <c r="L101" s="8" t="s">
        <v>1082</v>
      </c>
      <c r="M101" s="280"/>
      <c r="N101" s="280"/>
    </row>
    <row r="102" spans="1:14">
      <c r="A102" s="287"/>
      <c r="B102" s="8"/>
      <c r="C102" s="8"/>
      <c r="D102" s="285"/>
      <c r="E102" s="8"/>
      <c r="F102" s="8"/>
      <c r="G102" s="8" t="s">
        <v>1059</v>
      </c>
      <c r="H102" s="13">
        <v>1.95</v>
      </c>
      <c r="I102" s="13">
        <v>4</v>
      </c>
      <c r="J102" s="13" t="s">
        <v>1744</v>
      </c>
      <c r="K102" s="13">
        <v>3.6</v>
      </c>
      <c r="L102" s="8"/>
      <c r="M102" s="280"/>
      <c r="N102" s="280"/>
    </row>
    <row r="103" spans="1:14">
      <c r="A103" s="287"/>
      <c r="B103" s="8"/>
      <c r="C103" s="8"/>
      <c r="D103" s="285"/>
      <c r="E103" s="8"/>
      <c r="F103" s="8"/>
      <c r="G103" s="8" t="s">
        <v>1099</v>
      </c>
      <c r="H103" s="13">
        <v>2.95</v>
      </c>
      <c r="I103" s="13">
        <v>2.85</v>
      </c>
      <c r="J103" s="13" t="s">
        <v>1744</v>
      </c>
      <c r="K103" s="13">
        <v>5.2</v>
      </c>
      <c r="L103" s="8"/>
      <c r="M103" s="280"/>
      <c r="N103" s="280"/>
    </row>
    <row r="104" spans="1:14">
      <c r="A104" s="287"/>
      <c r="B104" s="8"/>
      <c r="C104" s="8"/>
      <c r="D104" s="285"/>
      <c r="E104" s="8"/>
      <c r="F104" s="8"/>
      <c r="G104" s="8" t="s">
        <v>503</v>
      </c>
      <c r="H104" s="13">
        <v>3</v>
      </c>
      <c r="I104" s="13">
        <v>0.15</v>
      </c>
      <c r="J104" s="286" t="s">
        <v>24</v>
      </c>
      <c r="K104" s="286" t="s">
        <v>24</v>
      </c>
      <c r="L104" s="8"/>
      <c r="M104" s="280"/>
      <c r="N104" s="280"/>
    </row>
    <row r="105" spans="1:14">
      <c r="A105" s="9">
        <v>45324</v>
      </c>
      <c r="B105" s="8" t="s">
        <v>1795</v>
      </c>
      <c r="C105" s="8" t="s">
        <v>462</v>
      </c>
      <c r="D105" s="282">
        <v>10</v>
      </c>
      <c r="E105" s="8" t="s">
        <v>1109</v>
      </c>
      <c r="F105" s="8" t="s">
        <v>460</v>
      </c>
      <c r="G105" s="8" t="s">
        <v>1064</v>
      </c>
      <c r="H105" s="13">
        <v>1.56</v>
      </c>
      <c r="I105" s="13">
        <v>8.46</v>
      </c>
      <c r="J105" s="13" t="s">
        <v>1744</v>
      </c>
      <c r="K105" s="13">
        <v>2.8</v>
      </c>
      <c r="L105" s="8" t="s">
        <v>27</v>
      </c>
      <c r="M105" s="280"/>
      <c r="N105" s="280"/>
    </row>
    <row r="106" spans="1:14">
      <c r="A106" s="284"/>
      <c r="B106" s="8"/>
      <c r="C106" s="8"/>
      <c r="D106" s="285"/>
      <c r="E106" s="8"/>
      <c r="F106" s="8"/>
      <c r="G106" s="8" t="s">
        <v>1060</v>
      </c>
      <c r="H106" s="13">
        <v>1.73</v>
      </c>
      <c r="I106" s="13">
        <v>0.46</v>
      </c>
      <c r="J106" s="13" t="s">
        <v>1762</v>
      </c>
      <c r="K106" s="13">
        <v>2.97</v>
      </c>
      <c r="L106" s="8"/>
      <c r="M106" s="280"/>
      <c r="N106" s="280"/>
    </row>
    <row r="107" spans="1:14">
      <c r="A107" s="284"/>
      <c r="B107" s="8"/>
      <c r="C107" s="8"/>
      <c r="D107" s="285"/>
      <c r="E107" s="8"/>
      <c r="F107" s="8"/>
      <c r="G107" s="8" t="s">
        <v>503</v>
      </c>
      <c r="H107" s="13">
        <v>3.07</v>
      </c>
      <c r="I107" s="13">
        <v>1.08</v>
      </c>
      <c r="J107" s="289" t="s">
        <v>24</v>
      </c>
      <c r="K107" s="289" t="s">
        <v>24</v>
      </c>
      <c r="L107" s="8"/>
      <c r="M107" s="280"/>
      <c r="N107" s="280"/>
    </row>
    <row r="108" spans="1:14">
      <c r="A108" s="9">
        <v>45324</v>
      </c>
      <c r="B108" s="8" t="s">
        <v>1796</v>
      </c>
      <c r="C108" s="8" t="s">
        <v>462</v>
      </c>
      <c r="D108" s="282">
        <v>4.15</v>
      </c>
      <c r="E108" s="8" t="s">
        <v>1797</v>
      </c>
      <c r="F108" s="8" t="s">
        <v>1798</v>
      </c>
      <c r="G108" s="8" t="s">
        <v>1064</v>
      </c>
      <c r="H108" s="13">
        <v>0.99</v>
      </c>
      <c r="I108" s="13">
        <v>3.63</v>
      </c>
      <c r="J108" s="13" t="s">
        <v>1744</v>
      </c>
      <c r="K108" s="13">
        <v>3</v>
      </c>
      <c r="L108" s="8" t="s">
        <v>27</v>
      </c>
      <c r="M108" s="280"/>
      <c r="N108" s="280"/>
    </row>
    <row r="109" spans="1:14">
      <c r="A109" s="284"/>
      <c r="B109" s="8"/>
      <c r="C109" s="8"/>
      <c r="D109" s="285"/>
      <c r="E109" s="8"/>
      <c r="F109" s="8"/>
      <c r="G109" s="8" t="s">
        <v>1060</v>
      </c>
      <c r="H109" s="13">
        <v>0.99</v>
      </c>
      <c r="I109" s="13">
        <v>0.24</v>
      </c>
      <c r="J109" s="13" t="s">
        <v>1762</v>
      </c>
      <c r="K109" s="13">
        <v>3.2</v>
      </c>
      <c r="L109" s="8"/>
      <c r="M109" s="280"/>
      <c r="N109" s="280"/>
    </row>
    <row r="110" spans="1:14">
      <c r="A110" s="284"/>
      <c r="B110" s="8"/>
      <c r="C110" s="8"/>
      <c r="D110" s="285"/>
      <c r="E110" s="8"/>
      <c r="F110" s="8"/>
      <c r="G110" s="8" t="s">
        <v>1086</v>
      </c>
      <c r="H110" s="13">
        <v>0.99</v>
      </c>
      <c r="I110" s="13">
        <v>0.07</v>
      </c>
      <c r="J110" s="289" t="s">
        <v>24</v>
      </c>
      <c r="K110" s="289" t="s">
        <v>24</v>
      </c>
      <c r="L110" s="8"/>
      <c r="M110" s="280"/>
      <c r="N110" s="280"/>
    </row>
    <row r="111" spans="1:14">
      <c r="A111" s="284"/>
      <c r="B111" s="8"/>
      <c r="C111" s="8"/>
      <c r="D111" s="285"/>
      <c r="E111" s="8"/>
      <c r="F111" s="8"/>
      <c r="G111" s="8" t="s">
        <v>1087</v>
      </c>
      <c r="H111" s="13">
        <v>0.99</v>
      </c>
      <c r="I111" s="13">
        <v>0.21</v>
      </c>
      <c r="J111" s="289" t="s">
        <v>24</v>
      </c>
      <c r="K111" s="289" t="s">
        <v>24</v>
      </c>
      <c r="L111" s="8"/>
      <c r="M111" s="280"/>
      <c r="N111" s="280"/>
    </row>
    <row r="112" spans="1:14">
      <c r="A112" s="9">
        <v>45328</v>
      </c>
      <c r="B112" s="8" t="s">
        <v>1799</v>
      </c>
      <c r="C112" s="8" t="s">
        <v>459</v>
      </c>
      <c r="D112" s="282">
        <v>5</v>
      </c>
      <c r="E112" s="8" t="s">
        <v>1776</v>
      </c>
      <c r="F112" s="8" t="s">
        <v>1751</v>
      </c>
      <c r="G112" s="8" t="s">
        <v>1064</v>
      </c>
      <c r="H112" s="13">
        <v>1.26</v>
      </c>
      <c r="I112" s="13">
        <v>4.17</v>
      </c>
      <c r="J112" s="13" t="s">
        <v>1744</v>
      </c>
      <c r="K112" s="13">
        <v>3.3</v>
      </c>
      <c r="L112" s="13">
        <v>360</v>
      </c>
      <c r="M112" s="280"/>
      <c r="N112" s="280"/>
    </row>
    <row r="113" spans="1:14">
      <c r="A113" s="287"/>
      <c r="B113" s="8"/>
      <c r="C113" s="8"/>
      <c r="D113" s="288"/>
      <c r="E113" s="8"/>
      <c r="F113" s="8"/>
      <c r="G113" s="8" t="s">
        <v>1060</v>
      </c>
      <c r="H113" s="13">
        <v>1.26</v>
      </c>
      <c r="I113" s="13">
        <v>0.28</v>
      </c>
      <c r="J113" s="13" t="s">
        <v>1762</v>
      </c>
      <c r="K113" s="13">
        <v>4.5</v>
      </c>
      <c r="L113" s="8"/>
      <c r="M113" s="280"/>
      <c r="N113" s="280"/>
    </row>
    <row r="114" spans="1:14">
      <c r="A114" s="287"/>
      <c r="B114" s="8"/>
      <c r="C114" s="8"/>
      <c r="D114" s="288"/>
      <c r="E114" s="8"/>
      <c r="F114" s="8"/>
      <c r="G114" s="8" t="s">
        <v>1061</v>
      </c>
      <c r="H114" s="13">
        <v>1.26</v>
      </c>
      <c r="I114" s="13">
        <v>0.18</v>
      </c>
      <c r="J114" s="13" t="s">
        <v>1746</v>
      </c>
      <c r="K114" s="13">
        <v>5.5</v>
      </c>
      <c r="L114" s="8"/>
      <c r="M114" s="280"/>
      <c r="N114" s="280"/>
    </row>
    <row r="115" spans="1:14">
      <c r="A115" s="287"/>
      <c r="B115" s="8"/>
      <c r="C115" s="8"/>
      <c r="D115" s="288"/>
      <c r="E115" s="8"/>
      <c r="F115" s="8"/>
      <c r="G115" s="8" t="s">
        <v>503</v>
      </c>
      <c r="H115" s="13">
        <v>1.26</v>
      </c>
      <c r="I115" s="13">
        <v>0.37</v>
      </c>
      <c r="J115" s="289" t="s">
        <v>24</v>
      </c>
      <c r="K115" s="289" t="s">
        <v>24</v>
      </c>
      <c r="L115" s="8"/>
      <c r="M115" s="280"/>
      <c r="N115" s="280"/>
    </row>
    <row r="116" spans="1:14">
      <c r="A116" s="9">
        <v>45328</v>
      </c>
      <c r="B116" s="8" t="s">
        <v>1800</v>
      </c>
      <c r="C116" s="8" t="s">
        <v>459</v>
      </c>
      <c r="D116" s="282">
        <v>10</v>
      </c>
      <c r="E116" s="8" t="s">
        <v>1057</v>
      </c>
      <c r="F116" s="8" t="s">
        <v>482</v>
      </c>
      <c r="G116" s="8" t="s">
        <v>1064</v>
      </c>
      <c r="H116" s="13">
        <v>1.09</v>
      </c>
      <c r="I116" s="13">
        <v>7.2</v>
      </c>
      <c r="J116" s="13" t="s">
        <v>1744</v>
      </c>
      <c r="K116" s="13">
        <v>2.7</v>
      </c>
      <c r="L116" s="8" t="s">
        <v>41</v>
      </c>
      <c r="M116" s="280"/>
      <c r="N116" s="280"/>
    </row>
    <row r="117" spans="1:14">
      <c r="A117" s="284"/>
      <c r="B117" s="8"/>
      <c r="C117" s="8"/>
      <c r="D117" s="285"/>
      <c r="E117" s="8"/>
      <c r="F117" s="8"/>
      <c r="G117" s="8" t="s">
        <v>1060</v>
      </c>
      <c r="H117" s="13">
        <v>1.22</v>
      </c>
      <c r="I117" s="13">
        <v>1.35</v>
      </c>
      <c r="J117" s="13" t="s">
        <v>1744</v>
      </c>
      <c r="K117" s="13">
        <v>2.8</v>
      </c>
      <c r="L117" s="8"/>
      <c r="M117" s="280"/>
      <c r="N117" s="280"/>
    </row>
    <row r="118" spans="1:14">
      <c r="A118" s="284"/>
      <c r="B118" s="8"/>
      <c r="C118" s="8"/>
      <c r="D118" s="285"/>
      <c r="E118" s="8"/>
      <c r="F118" s="8"/>
      <c r="G118" s="8" t="s">
        <v>1061</v>
      </c>
      <c r="H118" s="13">
        <v>1.3</v>
      </c>
      <c r="I118" s="13">
        <v>0.5</v>
      </c>
      <c r="J118" s="13" t="s">
        <v>1762</v>
      </c>
      <c r="K118" s="13">
        <v>2.9</v>
      </c>
      <c r="L118" s="8"/>
      <c r="M118" s="280"/>
      <c r="N118" s="280"/>
    </row>
    <row r="119" spans="1:14">
      <c r="A119" s="284"/>
      <c r="B119" s="8"/>
      <c r="C119" s="8"/>
      <c r="D119" s="285"/>
      <c r="E119" s="8"/>
      <c r="F119" s="8"/>
      <c r="G119" s="8" t="s">
        <v>1801</v>
      </c>
      <c r="H119" s="13">
        <v>1.34</v>
      </c>
      <c r="I119" s="13">
        <v>0.45</v>
      </c>
      <c r="J119" s="13" t="s">
        <v>1782</v>
      </c>
      <c r="K119" s="13">
        <v>5.6</v>
      </c>
      <c r="L119" s="8"/>
      <c r="M119" s="280"/>
      <c r="N119" s="280"/>
    </row>
    <row r="120" spans="1:14">
      <c r="A120" s="284"/>
      <c r="B120" s="8"/>
      <c r="C120" s="8"/>
      <c r="D120" s="285"/>
      <c r="E120" s="8"/>
      <c r="F120" s="8"/>
      <c r="G120" s="8" t="s">
        <v>503</v>
      </c>
      <c r="H120" s="13">
        <v>1.76</v>
      </c>
      <c r="I120" s="13">
        <v>0.5</v>
      </c>
      <c r="J120" s="286" t="s">
        <v>24</v>
      </c>
      <c r="K120" s="286" t="s">
        <v>24</v>
      </c>
      <c r="L120" s="8"/>
      <c r="M120" s="280"/>
      <c r="N120" s="280"/>
    </row>
    <row r="121" spans="1:14">
      <c r="A121" s="9">
        <v>45328</v>
      </c>
      <c r="B121" s="8" t="s">
        <v>1802</v>
      </c>
      <c r="C121" s="8" t="s">
        <v>462</v>
      </c>
      <c r="D121" s="282">
        <v>6.8</v>
      </c>
      <c r="E121" s="8" t="s">
        <v>1754</v>
      </c>
      <c r="F121" s="8" t="s">
        <v>460</v>
      </c>
      <c r="G121" s="8" t="s">
        <v>1058</v>
      </c>
      <c r="H121" s="13">
        <v>0.7</v>
      </c>
      <c r="I121" s="13">
        <v>2.04</v>
      </c>
      <c r="J121" s="13" t="s">
        <v>1744</v>
      </c>
      <c r="K121" s="13">
        <v>3</v>
      </c>
      <c r="L121" s="8" t="s">
        <v>1082</v>
      </c>
      <c r="M121" s="280"/>
      <c r="N121" s="280"/>
    </row>
    <row r="122" spans="1:14">
      <c r="A122" s="284"/>
      <c r="B122" s="8"/>
      <c r="C122" s="8"/>
      <c r="D122" s="285"/>
      <c r="E122" s="8"/>
      <c r="F122" s="8"/>
      <c r="G122" s="8" t="s">
        <v>1059</v>
      </c>
      <c r="H122" s="13">
        <v>1.87</v>
      </c>
      <c r="I122" s="13">
        <v>2.72</v>
      </c>
      <c r="J122" s="13" t="s">
        <v>1744</v>
      </c>
      <c r="K122" s="13">
        <v>3.6</v>
      </c>
      <c r="L122" s="8"/>
      <c r="M122" s="280"/>
      <c r="N122" s="280"/>
    </row>
    <row r="123" spans="1:14">
      <c r="A123" s="284"/>
      <c r="B123" s="8"/>
      <c r="C123" s="8"/>
      <c r="D123" s="285"/>
      <c r="E123" s="8"/>
      <c r="F123" s="8"/>
      <c r="G123" s="8" t="s">
        <v>1099</v>
      </c>
      <c r="H123" s="13">
        <v>2.97</v>
      </c>
      <c r="I123" s="13">
        <v>1.94</v>
      </c>
      <c r="J123" s="13" t="s">
        <v>1744</v>
      </c>
      <c r="K123" s="13">
        <v>5</v>
      </c>
      <c r="L123" s="8"/>
      <c r="M123" s="280"/>
      <c r="N123" s="280"/>
    </row>
    <row r="124" spans="1:14">
      <c r="A124" s="284"/>
      <c r="B124" s="8"/>
      <c r="C124" s="8"/>
      <c r="D124" s="285"/>
      <c r="E124" s="8"/>
      <c r="F124" s="8"/>
      <c r="G124" s="8" t="s">
        <v>503</v>
      </c>
      <c r="H124" s="13">
        <v>3.29</v>
      </c>
      <c r="I124" s="13">
        <v>0.1</v>
      </c>
      <c r="J124" s="286" t="s">
        <v>24</v>
      </c>
      <c r="K124" s="286" t="s">
        <v>24</v>
      </c>
      <c r="L124" s="8"/>
      <c r="M124" s="280"/>
      <c r="N124" s="280"/>
    </row>
    <row r="125" spans="1:14">
      <c r="A125" s="9">
        <v>45328</v>
      </c>
      <c r="B125" s="8" t="s">
        <v>1803</v>
      </c>
      <c r="C125" s="8" t="s">
        <v>462</v>
      </c>
      <c r="D125" s="282">
        <v>6</v>
      </c>
      <c r="E125" s="8" t="s">
        <v>1754</v>
      </c>
      <c r="F125" s="8" t="s">
        <v>460</v>
      </c>
      <c r="G125" s="8" t="s">
        <v>1064</v>
      </c>
      <c r="H125" s="13">
        <v>1.24</v>
      </c>
      <c r="I125" s="13">
        <v>4.97</v>
      </c>
      <c r="J125" s="13" t="s">
        <v>1744</v>
      </c>
      <c r="K125" s="13">
        <v>2.9</v>
      </c>
      <c r="L125" s="8" t="s">
        <v>27</v>
      </c>
      <c r="M125" s="280"/>
      <c r="N125" s="280"/>
    </row>
    <row r="126" spans="1:14">
      <c r="A126" s="284"/>
      <c r="B126" s="8"/>
      <c r="C126" s="8"/>
      <c r="D126" s="285"/>
      <c r="E126" s="8"/>
      <c r="F126" s="8"/>
      <c r="G126" s="8" t="s">
        <v>1060</v>
      </c>
      <c r="H126" s="13">
        <v>1.56</v>
      </c>
      <c r="I126" s="13">
        <v>0.19</v>
      </c>
      <c r="J126" s="13" t="s">
        <v>1756</v>
      </c>
      <c r="K126" s="13">
        <v>2.95</v>
      </c>
      <c r="L126" s="8"/>
      <c r="M126" s="280"/>
      <c r="N126" s="280"/>
    </row>
    <row r="127" spans="1:14">
      <c r="A127" s="284"/>
      <c r="B127" s="8"/>
      <c r="C127" s="8"/>
      <c r="D127" s="285"/>
      <c r="E127" s="8"/>
      <c r="F127" s="8"/>
      <c r="G127" s="8" t="s">
        <v>1086</v>
      </c>
      <c r="H127" s="13">
        <v>3.07</v>
      </c>
      <c r="I127" s="13">
        <v>0.54</v>
      </c>
      <c r="J127" s="286" t="s">
        <v>24</v>
      </c>
      <c r="K127" s="286" t="s">
        <v>24</v>
      </c>
      <c r="L127" s="8"/>
      <c r="M127" s="280"/>
      <c r="N127" s="280"/>
    </row>
    <row r="128" spans="1:14">
      <c r="A128" s="284"/>
      <c r="B128" s="8"/>
      <c r="C128" s="8"/>
      <c r="D128" s="285"/>
      <c r="E128" s="8"/>
      <c r="F128" s="8"/>
      <c r="G128" s="8" t="s">
        <v>1087</v>
      </c>
      <c r="H128" s="13">
        <v>3.07</v>
      </c>
      <c r="I128" s="13">
        <v>0.3</v>
      </c>
      <c r="J128" s="286" t="s">
        <v>24</v>
      </c>
      <c r="K128" s="286" t="s">
        <v>24</v>
      </c>
      <c r="L128" s="8"/>
      <c r="M128" s="280"/>
      <c r="N128" s="280"/>
    </row>
    <row r="129" spans="1:14">
      <c r="A129" s="9">
        <v>45329</v>
      </c>
      <c r="B129" s="8" t="s">
        <v>1804</v>
      </c>
      <c r="C129" s="8" t="s">
        <v>459</v>
      </c>
      <c r="D129" s="282">
        <v>5.8</v>
      </c>
      <c r="E129" s="8" t="s">
        <v>477</v>
      </c>
      <c r="F129" s="8" t="s">
        <v>490</v>
      </c>
      <c r="G129" s="8" t="s">
        <v>1058</v>
      </c>
      <c r="H129" s="13">
        <v>0.95</v>
      </c>
      <c r="I129" s="13">
        <v>1.74</v>
      </c>
      <c r="J129" s="13" t="s">
        <v>1744</v>
      </c>
      <c r="K129" s="13">
        <v>3</v>
      </c>
      <c r="L129" s="8" t="s">
        <v>1082</v>
      </c>
      <c r="M129" s="280"/>
      <c r="N129" s="280"/>
    </row>
    <row r="130" spans="1:14">
      <c r="A130" s="284"/>
      <c r="B130" s="8"/>
      <c r="C130" s="8"/>
      <c r="D130" s="285"/>
      <c r="E130" s="8"/>
      <c r="F130" s="8"/>
      <c r="G130" s="8" t="s">
        <v>1059</v>
      </c>
      <c r="H130" s="13">
        <v>1.95</v>
      </c>
      <c r="I130" s="13">
        <v>2.32</v>
      </c>
      <c r="J130" s="13" t="s">
        <v>1744</v>
      </c>
      <c r="K130" s="13">
        <v>3.6</v>
      </c>
      <c r="L130" s="8"/>
      <c r="M130" s="280"/>
      <c r="N130" s="280"/>
    </row>
    <row r="131" spans="1:14">
      <c r="A131" s="284"/>
      <c r="B131" s="8"/>
      <c r="C131" s="8"/>
      <c r="D131" s="285"/>
      <c r="E131" s="8"/>
      <c r="F131" s="8"/>
      <c r="G131" s="8" t="s">
        <v>1099</v>
      </c>
      <c r="H131" s="13">
        <v>2.95</v>
      </c>
      <c r="I131" s="13">
        <v>1.65</v>
      </c>
      <c r="J131" s="13" t="s">
        <v>1744</v>
      </c>
      <c r="K131" s="13">
        <v>5.2</v>
      </c>
      <c r="L131" s="8"/>
      <c r="M131" s="280"/>
      <c r="N131" s="280"/>
    </row>
    <row r="132" spans="1:14">
      <c r="A132" s="284"/>
      <c r="B132" s="8"/>
      <c r="C132" s="8"/>
      <c r="D132" s="285"/>
      <c r="E132" s="8"/>
      <c r="F132" s="8"/>
      <c r="G132" s="8" t="s">
        <v>503</v>
      </c>
      <c r="H132" s="13">
        <v>3.23</v>
      </c>
      <c r="I132" s="13">
        <v>0.09</v>
      </c>
      <c r="J132" s="286" t="s">
        <v>24</v>
      </c>
      <c r="K132" s="286" t="s">
        <v>24</v>
      </c>
      <c r="L132" s="8"/>
      <c r="M132" s="280"/>
      <c r="N132" s="280"/>
    </row>
    <row r="133" spans="1:14">
      <c r="A133" s="9">
        <v>45329</v>
      </c>
      <c r="B133" s="8" t="s">
        <v>1805</v>
      </c>
      <c r="C133" s="8" t="s">
        <v>462</v>
      </c>
      <c r="D133" s="282">
        <v>4</v>
      </c>
      <c r="E133" s="8" t="s">
        <v>486</v>
      </c>
      <c r="F133" s="8" t="s">
        <v>1768</v>
      </c>
      <c r="G133" s="8" t="s">
        <v>1064</v>
      </c>
      <c r="H133" s="13">
        <v>1.56</v>
      </c>
      <c r="I133" s="13">
        <v>3.26</v>
      </c>
      <c r="J133" s="13" t="s">
        <v>1744</v>
      </c>
      <c r="K133" s="13">
        <v>2.8</v>
      </c>
      <c r="L133" s="8" t="s">
        <v>27</v>
      </c>
      <c r="M133" s="280"/>
      <c r="N133" s="280"/>
    </row>
    <row r="134" spans="1:14">
      <c r="A134" s="284"/>
      <c r="B134" s="8"/>
      <c r="C134" s="8"/>
      <c r="D134" s="285"/>
      <c r="E134" s="8"/>
      <c r="F134" s="8"/>
      <c r="G134" s="8" t="s">
        <v>1060</v>
      </c>
      <c r="H134" s="13">
        <v>2.07</v>
      </c>
      <c r="I134" s="13">
        <v>0.16</v>
      </c>
      <c r="J134" s="13" t="s">
        <v>1762</v>
      </c>
      <c r="K134" s="13">
        <v>3</v>
      </c>
      <c r="L134" s="8"/>
      <c r="M134" s="280"/>
      <c r="N134" s="280"/>
    </row>
    <row r="135" spans="1:14">
      <c r="A135" s="284"/>
      <c r="B135" s="8"/>
      <c r="C135" s="8"/>
      <c r="D135" s="285"/>
      <c r="E135" s="8"/>
      <c r="F135" s="8"/>
      <c r="G135" s="8" t="s">
        <v>1086</v>
      </c>
      <c r="H135" s="13">
        <v>3.07</v>
      </c>
      <c r="I135" s="13">
        <v>0.38</v>
      </c>
      <c r="J135" s="289" t="s">
        <v>24</v>
      </c>
      <c r="K135" s="289" t="s">
        <v>24</v>
      </c>
      <c r="L135" s="8"/>
      <c r="M135" s="280"/>
      <c r="N135" s="280"/>
    </row>
    <row r="136" spans="1:14">
      <c r="A136" s="284"/>
      <c r="B136" s="8"/>
      <c r="C136" s="8"/>
      <c r="D136" s="285"/>
      <c r="E136" s="8"/>
      <c r="F136" s="8"/>
      <c r="G136" s="8" t="s">
        <v>1087</v>
      </c>
      <c r="H136" s="13">
        <v>3.07</v>
      </c>
      <c r="I136" s="13">
        <v>0.2</v>
      </c>
      <c r="J136" s="289" t="s">
        <v>24</v>
      </c>
      <c r="K136" s="289" t="s">
        <v>24</v>
      </c>
      <c r="L136" s="8"/>
      <c r="M136" s="280"/>
      <c r="N136" s="280"/>
    </row>
    <row r="137" spans="1:14">
      <c r="A137" s="9">
        <v>45345</v>
      </c>
      <c r="B137" s="8" t="s">
        <v>1806</v>
      </c>
      <c r="C137" s="8" t="s">
        <v>462</v>
      </c>
      <c r="D137" s="282">
        <v>4</v>
      </c>
      <c r="E137" s="8" t="s">
        <v>486</v>
      </c>
      <c r="F137" s="8" t="s">
        <v>1091</v>
      </c>
      <c r="G137" s="8" t="s">
        <v>1064</v>
      </c>
      <c r="H137" s="13">
        <v>1.01</v>
      </c>
      <c r="I137" s="13">
        <v>3.35</v>
      </c>
      <c r="J137" s="13" t="s">
        <v>1744</v>
      </c>
      <c r="K137" s="13">
        <v>2.53</v>
      </c>
      <c r="L137" s="8" t="s">
        <v>27</v>
      </c>
      <c r="M137" s="280"/>
      <c r="N137" s="280"/>
    </row>
    <row r="138" spans="1:14">
      <c r="A138" s="284"/>
      <c r="B138" s="8"/>
      <c r="C138" s="8"/>
      <c r="D138" s="285"/>
      <c r="E138" s="8"/>
      <c r="F138" s="8"/>
      <c r="G138" s="8" t="s">
        <v>1060</v>
      </c>
      <c r="H138" s="13">
        <v>1.01</v>
      </c>
      <c r="I138" s="13">
        <v>0.23</v>
      </c>
      <c r="J138" s="13" t="s">
        <v>1762</v>
      </c>
      <c r="K138" s="13">
        <v>2.9</v>
      </c>
      <c r="L138" s="8"/>
      <c r="M138" s="280"/>
      <c r="N138" s="280"/>
    </row>
    <row r="139" spans="1:14">
      <c r="A139" s="284"/>
      <c r="B139" s="8"/>
      <c r="C139" s="8"/>
      <c r="D139" s="285"/>
      <c r="E139" s="8"/>
      <c r="F139" s="8"/>
      <c r="G139" s="8" t="s">
        <v>503</v>
      </c>
      <c r="H139" s="13">
        <v>1.01</v>
      </c>
      <c r="I139" s="13">
        <v>0.22</v>
      </c>
      <c r="J139" s="289" t="s">
        <v>24</v>
      </c>
      <c r="K139" s="289" t="s">
        <v>24</v>
      </c>
      <c r="L139" s="8"/>
      <c r="M139" s="280"/>
      <c r="N139" s="280"/>
    </row>
    <row r="140" spans="1:14">
      <c r="A140" s="284"/>
      <c r="B140" s="8"/>
      <c r="C140" s="8"/>
      <c r="D140" s="285"/>
      <c r="E140" s="8"/>
      <c r="F140" s="8"/>
      <c r="G140" s="8" t="s">
        <v>503</v>
      </c>
      <c r="H140" s="13">
        <v>1.76</v>
      </c>
      <c r="I140" s="13">
        <v>0.2</v>
      </c>
      <c r="J140" s="289" t="s">
        <v>24</v>
      </c>
      <c r="K140" s="289" t="s">
        <v>24</v>
      </c>
      <c r="L140" s="8"/>
      <c r="M140" s="280"/>
      <c r="N140" s="280"/>
    </row>
    <row r="141" spans="1:14">
      <c r="A141" s="9">
        <v>45349</v>
      </c>
      <c r="B141" s="8" t="s">
        <v>1807</v>
      </c>
      <c r="C141" s="8" t="s">
        <v>459</v>
      </c>
      <c r="D141" s="282">
        <v>9</v>
      </c>
      <c r="E141" s="8" t="s">
        <v>1776</v>
      </c>
      <c r="F141" s="8" t="s">
        <v>1755</v>
      </c>
      <c r="G141" s="8" t="s">
        <v>1064</v>
      </c>
      <c r="H141" s="13">
        <v>1.51</v>
      </c>
      <c r="I141" s="13">
        <v>7.308</v>
      </c>
      <c r="J141" s="13" t="s">
        <v>1744</v>
      </c>
      <c r="K141" s="13">
        <v>3.43</v>
      </c>
      <c r="L141" s="13">
        <v>360</v>
      </c>
      <c r="M141" s="280"/>
      <c r="N141" s="280"/>
    </row>
    <row r="142" spans="1:14">
      <c r="A142" s="284"/>
      <c r="B142" s="8"/>
      <c r="C142" s="8"/>
      <c r="D142" s="285"/>
      <c r="E142" s="8"/>
      <c r="F142" s="8"/>
      <c r="G142" s="8" t="s">
        <v>1060</v>
      </c>
      <c r="H142" s="13">
        <v>1.51</v>
      </c>
      <c r="I142" s="13">
        <v>0.7</v>
      </c>
      <c r="J142" s="13" t="s">
        <v>1762</v>
      </c>
      <c r="K142" s="289" t="s">
        <v>24</v>
      </c>
      <c r="L142" s="289"/>
      <c r="M142" s="280"/>
      <c r="N142" s="280"/>
    </row>
    <row r="143" spans="1:14">
      <c r="A143" s="284"/>
      <c r="B143" s="8"/>
      <c r="C143" s="8"/>
      <c r="D143" s="285"/>
      <c r="E143" s="8"/>
      <c r="F143" s="8"/>
      <c r="G143" s="8" t="s">
        <v>1061</v>
      </c>
      <c r="H143" s="13">
        <v>1.51</v>
      </c>
      <c r="I143" s="13">
        <v>0.326</v>
      </c>
      <c r="J143" s="13" t="s">
        <v>1746</v>
      </c>
      <c r="K143" s="289" t="s">
        <v>24</v>
      </c>
      <c r="L143" s="289"/>
      <c r="M143" s="280"/>
      <c r="N143" s="280"/>
    </row>
    <row r="144" spans="1:14">
      <c r="A144" s="284"/>
      <c r="B144" s="8"/>
      <c r="C144" s="8"/>
      <c r="D144" s="285"/>
      <c r="E144" s="8"/>
      <c r="F144" s="8"/>
      <c r="G144" s="8" t="s">
        <v>503</v>
      </c>
      <c r="H144" s="13">
        <v>1.51</v>
      </c>
      <c r="I144" s="13">
        <v>0.666</v>
      </c>
      <c r="J144" s="289" t="s">
        <v>24</v>
      </c>
      <c r="K144" s="289" t="s">
        <v>24</v>
      </c>
      <c r="L144" s="289"/>
      <c r="M144" s="280"/>
      <c r="N144" s="280"/>
    </row>
    <row r="145" spans="1:14">
      <c r="A145" s="9">
        <v>45349</v>
      </c>
      <c r="B145" s="8" t="s">
        <v>1808</v>
      </c>
      <c r="C145" s="8" t="s">
        <v>462</v>
      </c>
      <c r="D145" s="282">
        <v>10</v>
      </c>
      <c r="E145" s="8" t="s">
        <v>1057</v>
      </c>
      <c r="F145" s="8" t="s">
        <v>543</v>
      </c>
      <c r="G145" s="8" t="s">
        <v>1058</v>
      </c>
      <c r="H145" s="13">
        <v>1.09</v>
      </c>
      <c r="I145" s="13">
        <v>7</v>
      </c>
      <c r="J145" s="13" t="s">
        <v>1744</v>
      </c>
      <c r="K145" s="13">
        <v>2.6</v>
      </c>
      <c r="L145" s="8" t="s">
        <v>41</v>
      </c>
      <c r="M145" s="280"/>
      <c r="N145" s="280"/>
    </row>
    <row r="146" spans="1:14">
      <c r="A146" s="284"/>
      <c r="B146" s="8"/>
      <c r="C146" s="8"/>
      <c r="D146" s="285"/>
      <c r="E146" s="8"/>
      <c r="F146" s="8"/>
      <c r="G146" s="8" t="s">
        <v>1059</v>
      </c>
      <c r="H146" s="13">
        <v>1.22</v>
      </c>
      <c r="I146" s="13">
        <v>1.4</v>
      </c>
      <c r="J146" s="13" t="s">
        <v>1744</v>
      </c>
      <c r="K146" s="13">
        <v>2.66</v>
      </c>
      <c r="L146" s="8"/>
      <c r="M146" s="280"/>
      <c r="N146" s="280"/>
    </row>
    <row r="147" spans="1:14">
      <c r="A147" s="284"/>
      <c r="B147" s="8"/>
      <c r="C147" s="8"/>
      <c r="D147" s="285"/>
      <c r="E147" s="8"/>
      <c r="F147" s="8"/>
      <c r="G147" s="8" t="s">
        <v>1060</v>
      </c>
      <c r="H147" s="13">
        <v>1.25</v>
      </c>
      <c r="I147" s="13">
        <v>0.55</v>
      </c>
      <c r="J147" s="13" t="s">
        <v>1756</v>
      </c>
      <c r="K147" s="13">
        <v>2.9</v>
      </c>
      <c r="L147" s="8"/>
      <c r="M147" s="280"/>
      <c r="N147" s="280"/>
    </row>
    <row r="148" spans="1:14">
      <c r="A148" s="284"/>
      <c r="B148" s="8"/>
      <c r="C148" s="8"/>
      <c r="D148" s="285"/>
      <c r="E148" s="8"/>
      <c r="F148" s="8"/>
      <c r="G148" s="8" t="s">
        <v>1061</v>
      </c>
      <c r="H148" s="13">
        <v>1.34</v>
      </c>
      <c r="I148" s="13">
        <v>0.55</v>
      </c>
      <c r="J148" s="13" t="s">
        <v>1809</v>
      </c>
      <c r="K148" s="13">
        <v>5.6</v>
      </c>
      <c r="L148" s="8"/>
      <c r="M148" s="280"/>
      <c r="N148" s="280"/>
    </row>
    <row r="149" spans="1:14">
      <c r="A149" s="284"/>
      <c r="B149" s="8"/>
      <c r="C149" s="8"/>
      <c r="D149" s="285"/>
      <c r="E149" s="8"/>
      <c r="F149" s="8"/>
      <c r="G149" s="8" t="s">
        <v>503</v>
      </c>
      <c r="H149" s="13">
        <v>1.75</v>
      </c>
      <c r="I149" s="13">
        <v>0.5</v>
      </c>
      <c r="J149" s="289" t="s">
        <v>24</v>
      </c>
      <c r="K149" s="289" t="s">
        <v>24</v>
      </c>
      <c r="L149" s="8"/>
      <c r="M149" s="280"/>
      <c r="N149" s="280"/>
    </row>
    <row r="150" spans="1:14">
      <c r="A150" s="9">
        <v>45345</v>
      </c>
      <c r="B150" s="8" t="s">
        <v>1810</v>
      </c>
      <c r="C150" s="8" t="s">
        <v>459</v>
      </c>
      <c r="D150" s="282">
        <v>4.85</v>
      </c>
      <c r="E150" s="8" t="s">
        <v>1139</v>
      </c>
      <c r="F150" s="8" t="s">
        <v>460</v>
      </c>
      <c r="G150" s="8" t="s">
        <v>1058</v>
      </c>
      <c r="H150" s="13">
        <v>0.92</v>
      </c>
      <c r="I150" s="13">
        <v>1.54</v>
      </c>
      <c r="J150" s="13" t="s">
        <v>1744</v>
      </c>
      <c r="K150" s="13">
        <v>2.6</v>
      </c>
      <c r="L150" s="8" t="s">
        <v>435</v>
      </c>
      <c r="M150" s="280"/>
      <c r="N150" s="280"/>
    </row>
    <row r="151" spans="1:14">
      <c r="A151" s="284"/>
      <c r="B151" s="8"/>
      <c r="C151" s="8"/>
      <c r="D151" s="285"/>
      <c r="E151" s="8"/>
      <c r="F151" s="8"/>
      <c r="G151" s="8" t="s">
        <v>1059</v>
      </c>
      <c r="H151" s="13">
        <v>0.92</v>
      </c>
      <c r="I151" s="13">
        <v>1.69</v>
      </c>
      <c r="J151" s="13" t="s">
        <v>1744</v>
      </c>
      <c r="K151" s="13">
        <v>2.8</v>
      </c>
      <c r="L151" s="8"/>
      <c r="M151" s="280"/>
      <c r="N151" s="280"/>
    </row>
    <row r="152" spans="1:14">
      <c r="A152" s="284"/>
      <c r="B152" s="8"/>
      <c r="C152" s="8"/>
      <c r="D152" s="285"/>
      <c r="E152" s="8"/>
      <c r="F152" s="8"/>
      <c r="G152" s="8" t="s">
        <v>1099</v>
      </c>
      <c r="H152" s="13">
        <v>0.92</v>
      </c>
      <c r="I152" s="13">
        <v>1.47</v>
      </c>
      <c r="J152" s="13" t="s">
        <v>1744</v>
      </c>
      <c r="K152" s="13">
        <v>2.95</v>
      </c>
      <c r="L152" s="8"/>
      <c r="M152" s="280"/>
      <c r="N152" s="280"/>
    </row>
    <row r="153" spans="1:14">
      <c r="A153" s="284"/>
      <c r="B153" s="8"/>
      <c r="C153" s="8"/>
      <c r="D153" s="285"/>
      <c r="E153" s="8"/>
      <c r="F153" s="8"/>
      <c r="G153" s="8" t="s">
        <v>503</v>
      </c>
      <c r="H153" s="13">
        <v>0.92</v>
      </c>
      <c r="I153" s="13">
        <v>0.15</v>
      </c>
      <c r="J153" s="289" t="s">
        <v>24</v>
      </c>
      <c r="K153" s="289" t="s">
        <v>24</v>
      </c>
      <c r="L153" s="8"/>
      <c r="M153" s="280"/>
      <c r="N153" s="280"/>
    </row>
    <row r="154" spans="1:14">
      <c r="A154" s="9">
        <v>45350</v>
      </c>
      <c r="B154" s="8" t="s">
        <v>1811</v>
      </c>
      <c r="C154" s="8" t="s">
        <v>462</v>
      </c>
      <c r="D154" s="282">
        <v>6.9</v>
      </c>
      <c r="E154" s="8" t="s">
        <v>486</v>
      </c>
      <c r="F154" s="8" t="s">
        <v>1709</v>
      </c>
      <c r="G154" s="8" t="s">
        <v>1058</v>
      </c>
      <c r="H154" s="13">
        <v>0.99</v>
      </c>
      <c r="I154" s="13">
        <v>2.07</v>
      </c>
      <c r="J154" s="13" t="s">
        <v>1744</v>
      </c>
      <c r="K154" s="13">
        <v>2.9</v>
      </c>
      <c r="L154" s="8" t="s">
        <v>1082</v>
      </c>
      <c r="M154" s="280"/>
      <c r="N154" s="280"/>
    </row>
    <row r="155" spans="1:14">
      <c r="A155" s="287"/>
      <c r="B155" s="8"/>
      <c r="C155" s="8"/>
      <c r="D155" s="285"/>
      <c r="E155" s="8"/>
      <c r="F155" s="8"/>
      <c r="G155" s="8" t="s">
        <v>1059</v>
      </c>
      <c r="H155" s="13">
        <v>2</v>
      </c>
      <c r="I155" s="13">
        <v>2.76</v>
      </c>
      <c r="J155" s="13" t="s">
        <v>1744</v>
      </c>
      <c r="K155" s="13">
        <v>3.5</v>
      </c>
      <c r="L155" s="8"/>
      <c r="M155" s="280"/>
      <c r="N155" s="280"/>
    </row>
    <row r="156" spans="1:14">
      <c r="A156" s="287"/>
      <c r="B156" s="8"/>
      <c r="C156" s="8"/>
      <c r="D156" s="285"/>
      <c r="E156" s="8"/>
      <c r="F156" s="8"/>
      <c r="G156" s="8" t="s">
        <v>1099</v>
      </c>
      <c r="H156" s="13">
        <v>2.98</v>
      </c>
      <c r="I156" s="13">
        <v>1.9665</v>
      </c>
      <c r="J156" s="13" t="s">
        <v>1744</v>
      </c>
      <c r="K156" s="13">
        <v>5</v>
      </c>
      <c r="L156" s="8"/>
      <c r="M156" s="280"/>
      <c r="N156" s="280"/>
    </row>
    <row r="157" spans="1:14">
      <c r="A157" s="287"/>
      <c r="B157" s="8"/>
      <c r="C157" s="8"/>
      <c r="D157" s="285"/>
      <c r="E157" s="8"/>
      <c r="F157" s="8"/>
      <c r="G157" s="8" t="s">
        <v>503</v>
      </c>
      <c r="H157" s="13">
        <v>3.06</v>
      </c>
      <c r="I157" s="13">
        <v>0.1035</v>
      </c>
      <c r="J157" s="289" t="s">
        <v>24</v>
      </c>
      <c r="K157" s="289" t="s">
        <v>24</v>
      </c>
      <c r="L157" s="8"/>
      <c r="M157" s="280"/>
      <c r="N157" s="280"/>
    </row>
    <row r="158" spans="1:14">
      <c r="A158" s="9">
        <v>45350</v>
      </c>
      <c r="B158" s="8" t="s">
        <v>1812</v>
      </c>
      <c r="C158" s="8" t="s">
        <v>462</v>
      </c>
      <c r="D158" s="282">
        <v>4</v>
      </c>
      <c r="E158" s="8" t="s">
        <v>486</v>
      </c>
      <c r="F158" s="8" t="s">
        <v>1768</v>
      </c>
      <c r="G158" s="8" t="s">
        <v>1064</v>
      </c>
      <c r="H158" s="13">
        <v>1.51</v>
      </c>
      <c r="I158" s="13">
        <v>3.26</v>
      </c>
      <c r="J158" s="13" t="s">
        <v>1744</v>
      </c>
      <c r="K158" s="13">
        <v>2.6</v>
      </c>
      <c r="L158" s="8" t="s">
        <v>27</v>
      </c>
      <c r="M158" s="280"/>
      <c r="N158" s="280"/>
    </row>
    <row r="159" spans="1:14">
      <c r="A159" s="287"/>
      <c r="B159" s="8"/>
      <c r="C159" s="8"/>
      <c r="D159" s="288"/>
      <c r="E159" s="8"/>
      <c r="F159" s="8"/>
      <c r="G159" s="8" t="s">
        <v>1060</v>
      </c>
      <c r="H159" s="13">
        <v>2.01</v>
      </c>
      <c r="I159" s="13">
        <v>0.16</v>
      </c>
      <c r="J159" s="13" t="s">
        <v>1762</v>
      </c>
      <c r="K159" s="13">
        <v>2.8</v>
      </c>
      <c r="L159" s="8"/>
      <c r="M159" s="280"/>
      <c r="N159" s="280"/>
    </row>
    <row r="160" spans="1:14">
      <c r="A160" s="287"/>
      <c r="B160" s="8"/>
      <c r="C160" s="8"/>
      <c r="D160" s="288"/>
      <c r="E160" s="8"/>
      <c r="F160" s="8"/>
      <c r="G160" s="8" t="s">
        <v>503</v>
      </c>
      <c r="H160" s="13">
        <v>3.01</v>
      </c>
      <c r="I160" s="13">
        <v>0.38</v>
      </c>
      <c r="J160" s="289" t="s">
        <v>24</v>
      </c>
      <c r="K160" s="289" t="s">
        <v>24</v>
      </c>
      <c r="L160" s="8"/>
      <c r="M160" s="280"/>
      <c r="N160" s="280"/>
    </row>
    <row r="161" spans="1:14">
      <c r="A161" s="287"/>
      <c r="B161" s="8"/>
      <c r="C161" s="8"/>
      <c r="D161" s="288"/>
      <c r="E161" s="8"/>
      <c r="F161" s="8"/>
      <c r="G161" s="8" t="s">
        <v>503</v>
      </c>
      <c r="H161" s="13">
        <v>3.01</v>
      </c>
      <c r="I161" s="13">
        <v>0.2</v>
      </c>
      <c r="J161" s="289" t="s">
        <v>24</v>
      </c>
      <c r="K161" s="289" t="s">
        <v>24</v>
      </c>
      <c r="L161" s="8"/>
      <c r="M161" s="280"/>
      <c r="N161" s="280"/>
    </row>
    <row r="162" spans="1:14">
      <c r="A162" s="9">
        <v>45351</v>
      </c>
      <c r="B162" s="8" t="s">
        <v>1813</v>
      </c>
      <c r="C162" s="8" t="s">
        <v>462</v>
      </c>
      <c r="D162" s="282">
        <v>4</v>
      </c>
      <c r="E162" s="8" t="s">
        <v>477</v>
      </c>
      <c r="F162" s="8" t="s">
        <v>487</v>
      </c>
      <c r="G162" s="8" t="s">
        <v>1064</v>
      </c>
      <c r="H162" s="13">
        <v>1.51</v>
      </c>
      <c r="I162" s="13">
        <v>3.56</v>
      </c>
      <c r="J162" s="13" t="s">
        <v>1744</v>
      </c>
      <c r="K162" s="13">
        <v>2.57</v>
      </c>
      <c r="L162" s="8" t="s">
        <v>112</v>
      </c>
      <c r="M162" s="280"/>
      <c r="N162" s="280"/>
    </row>
    <row r="163" spans="1:14">
      <c r="A163" s="287"/>
      <c r="B163" s="8"/>
      <c r="C163" s="8"/>
      <c r="D163" s="288"/>
      <c r="E163" s="8"/>
      <c r="F163" s="8"/>
      <c r="G163" s="8" t="s">
        <v>1060</v>
      </c>
      <c r="H163" s="13">
        <v>2.01</v>
      </c>
      <c r="I163" s="13">
        <v>0.2</v>
      </c>
      <c r="J163" s="13" t="s">
        <v>1762</v>
      </c>
      <c r="K163" s="13">
        <v>2.75</v>
      </c>
      <c r="L163" s="8"/>
      <c r="M163" s="280"/>
      <c r="N163" s="280"/>
    </row>
    <row r="164" spans="1:14">
      <c r="A164" s="287"/>
      <c r="B164" s="8"/>
      <c r="C164" s="8"/>
      <c r="D164" s="288"/>
      <c r="E164" s="8"/>
      <c r="F164" s="8"/>
      <c r="G164" s="8" t="s">
        <v>503</v>
      </c>
      <c r="H164" s="13">
        <v>3.01</v>
      </c>
      <c r="I164" s="13">
        <v>0.12</v>
      </c>
      <c r="J164" s="289" t="s">
        <v>24</v>
      </c>
      <c r="K164" s="289" t="s">
        <v>24</v>
      </c>
      <c r="L164" s="8"/>
      <c r="M164" s="280"/>
      <c r="N164" s="280"/>
    </row>
    <row r="165" spans="1:14">
      <c r="A165" s="287"/>
      <c r="B165" s="8"/>
      <c r="C165" s="8"/>
      <c r="D165" s="288"/>
      <c r="E165" s="8"/>
      <c r="F165" s="8"/>
      <c r="G165" s="8" t="s">
        <v>503</v>
      </c>
      <c r="H165" s="13">
        <v>3.01</v>
      </c>
      <c r="I165" s="13">
        <v>0.12</v>
      </c>
      <c r="J165" s="289" t="s">
        <v>24</v>
      </c>
      <c r="K165" s="289" t="s">
        <v>24</v>
      </c>
      <c r="L165" s="8"/>
      <c r="M165" s="280"/>
      <c r="N165" s="280"/>
    </row>
    <row r="166" spans="1:14">
      <c r="A166" s="9">
        <v>45352</v>
      </c>
      <c r="B166" s="8" t="s">
        <v>1814</v>
      </c>
      <c r="C166" s="8" t="s">
        <v>462</v>
      </c>
      <c r="D166" s="282">
        <v>4.5</v>
      </c>
      <c r="E166" s="8" t="s">
        <v>1743</v>
      </c>
      <c r="F166" s="8" t="s">
        <v>460</v>
      </c>
      <c r="G166" s="8" t="s">
        <v>1064</v>
      </c>
      <c r="H166" s="13">
        <v>1.99</v>
      </c>
      <c r="I166" s="13">
        <v>3.8</v>
      </c>
      <c r="J166" s="13" t="s">
        <v>1744</v>
      </c>
      <c r="K166" s="13">
        <v>2.58</v>
      </c>
      <c r="L166" s="8" t="s">
        <v>27</v>
      </c>
      <c r="M166" s="280"/>
      <c r="N166" s="280"/>
    </row>
    <row r="167" spans="1:14">
      <c r="A167" s="287"/>
      <c r="B167" s="8"/>
      <c r="C167" s="8"/>
      <c r="D167" s="285"/>
      <c r="E167" s="8"/>
      <c r="F167" s="8"/>
      <c r="G167" s="8" t="s">
        <v>1060</v>
      </c>
      <c r="H167" s="13">
        <v>1.99</v>
      </c>
      <c r="I167" s="13">
        <v>0.25</v>
      </c>
      <c r="J167" s="13" t="s">
        <v>1762</v>
      </c>
      <c r="K167" s="13">
        <v>2.74</v>
      </c>
      <c r="L167" s="8"/>
      <c r="M167" s="280"/>
      <c r="N167" s="280"/>
    </row>
    <row r="168" spans="1:14">
      <c r="A168" s="287"/>
      <c r="B168" s="8"/>
      <c r="C168" s="8"/>
      <c r="D168" s="285"/>
      <c r="E168" s="8"/>
      <c r="F168" s="8"/>
      <c r="G168" s="8" t="s">
        <v>503</v>
      </c>
      <c r="H168" s="13">
        <v>2.07</v>
      </c>
      <c r="I168" s="13">
        <v>0.23</v>
      </c>
      <c r="J168" s="289" t="s">
        <v>24</v>
      </c>
      <c r="K168" s="289" t="s">
        <v>24</v>
      </c>
      <c r="L168" s="8"/>
      <c r="M168" s="280"/>
      <c r="N168" s="280"/>
    </row>
    <row r="169" spans="1:14">
      <c r="A169" s="287"/>
      <c r="B169" s="8"/>
      <c r="C169" s="8"/>
      <c r="D169" s="285"/>
      <c r="E169" s="8"/>
      <c r="F169" s="8"/>
      <c r="G169" s="8" t="s">
        <v>503</v>
      </c>
      <c r="H169" s="13">
        <v>2.07</v>
      </c>
      <c r="I169" s="13">
        <v>0.23</v>
      </c>
      <c r="J169" s="289" t="s">
        <v>24</v>
      </c>
      <c r="K169" s="289" t="s">
        <v>24</v>
      </c>
      <c r="L169" s="8"/>
      <c r="M169" s="280"/>
      <c r="N169" s="280"/>
    </row>
    <row r="170" spans="1:14">
      <c r="A170" s="9">
        <v>45352</v>
      </c>
      <c r="B170" s="8" t="s">
        <v>1815</v>
      </c>
      <c r="C170" s="8" t="s">
        <v>462</v>
      </c>
      <c r="D170" s="282">
        <v>8</v>
      </c>
      <c r="E170" s="8" t="s">
        <v>477</v>
      </c>
      <c r="F170" s="8" t="s">
        <v>460</v>
      </c>
      <c r="G170" s="8" t="s">
        <v>1058</v>
      </c>
      <c r="H170" s="13">
        <v>0.71</v>
      </c>
      <c r="I170" s="13">
        <v>2.4</v>
      </c>
      <c r="J170" s="13" t="s">
        <v>1744</v>
      </c>
      <c r="K170" s="13">
        <v>2.9</v>
      </c>
      <c r="L170" s="8" t="s">
        <v>1082</v>
      </c>
      <c r="M170" s="280"/>
      <c r="N170" s="280"/>
    </row>
    <row r="171" spans="1:14">
      <c r="A171" s="287"/>
      <c r="B171" s="8"/>
      <c r="C171" s="8"/>
      <c r="D171" s="285"/>
      <c r="E171" s="8"/>
      <c r="F171" s="8"/>
      <c r="G171" s="8" t="s">
        <v>1059</v>
      </c>
      <c r="H171" s="13">
        <v>1.88</v>
      </c>
      <c r="I171" s="13">
        <v>3.2</v>
      </c>
      <c r="J171" s="13" t="s">
        <v>1744</v>
      </c>
      <c r="K171" s="13">
        <v>3.5</v>
      </c>
      <c r="L171" s="8"/>
      <c r="M171" s="280"/>
      <c r="N171" s="280"/>
    </row>
    <row r="172" spans="1:14">
      <c r="A172" s="287"/>
      <c r="B172" s="8"/>
      <c r="C172" s="8"/>
      <c r="D172" s="285"/>
      <c r="E172" s="8"/>
      <c r="F172" s="8"/>
      <c r="G172" s="8" t="s">
        <v>1099</v>
      </c>
      <c r="H172" s="13">
        <v>2.99</v>
      </c>
      <c r="I172" s="13">
        <v>2.28</v>
      </c>
      <c r="J172" s="13" t="s">
        <v>1744</v>
      </c>
      <c r="K172" s="13">
        <v>4.9</v>
      </c>
      <c r="L172" s="8"/>
      <c r="M172" s="280"/>
      <c r="N172" s="280"/>
    </row>
    <row r="173" spans="1:14">
      <c r="A173" s="287"/>
      <c r="B173" s="8"/>
      <c r="C173" s="8"/>
      <c r="D173" s="285"/>
      <c r="E173" s="8"/>
      <c r="F173" s="8"/>
      <c r="G173" s="8" t="s">
        <v>503</v>
      </c>
      <c r="H173" s="13">
        <v>3.29</v>
      </c>
      <c r="I173" s="13">
        <v>0.12</v>
      </c>
      <c r="J173" s="289" t="s">
        <v>24</v>
      </c>
      <c r="K173" s="289" t="s">
        <v>24</v>
      </c>
      <c r="L173" s="8"/>
      <c r="M173" s="280"/>
      <c r="N173" s="280"/>
    </row>
    <row r="174" spans="1:14">
      <c r="A174" s="9">
        <v>45356</v>
      </c>
      <c r="B174" s="8" t="s">
        <v>1816</v>
      </c>
      <c r="C174" s="8" t="s">
        <v>462</v>
      </c>
      <c r="D174" s="282">
        <v>5.6</v>
      </c>
      <c r="E174" s="8" t="s">
        <v>486</v>
      </c>
      <c r="F174" s="8" t="s">
        <v>543</v>
      </c>
      <c r="G174" s="8" t="s">
        <v>1058</v>
      </c>
      <c r="H174" s="13">
        <v>0.97</v>
      </c>
      <c r="I174" s="13">
        <v>1.68</v>
      </c>
      <c r="J174" s="13" t="s">
        <v>1744</v>
      </c>
      <c r="K174" s="13">
        <v>2.9</v>
      </c>
      <c r="L174" s="8" t="s">
        <v>1082</v>
      </c>
      <c r="M174" s="280"/>
      <c r="N174" s="280"/>
    </row>
    <row r="175" spans="1:14">
      <c r="A175" s="287"/>
      <c r="B175" s="8"/>
      <c r="C175" s="8"/>
      <c r="D175" s="285"/>
      <c r="E175" s="8"/>
      <c r="F175" s="8"/>
      <c r="G175" s="8" t="s">
        <v>1059</v>
      </c>
      <c r="H175" s="13">
        <v>1.96</v>
      </c>
      <c r="I175" s="13">
        <v>2.24</v>
      </c>
      <c r="J175" s="13" t="s">
        <v>1744</v>
      </c>
      <c r="K175" s="13">
        <v>3.6</v>
      </c>
      <c r="L175" s="8"/>
      <c r="M175" s="280"/>
      <c r="N175" s="280"/>
    </row>
    <row r="176" spans="1:14">
      <c r="A176" s="287"/>
      <c r="B176" s="8"/>
      <c r="C176" s="8"/>
      <c r="D176" s="285"/>
      <c r="E176" s="8"/>
      <c r="F176" s="8"/>
      <c r="G176" s="8" t="s">
        <v>1099</v>
      </c>
      <c r="H176" s="13">
        <v>2.96</v>
      </c>
      <c r="I176" s="13">
        <v>1.6</v>
      </c>
      <c r="J176" s="13" t="s">
        <v>1744</v>
      </c>
      <c r="K176" s="13">
        <v>5</v>
      </c>
      <c r="L176" s="8"/>
      <c r="M176" s="280"/>
      <c r="N176" s="280"/>
    </row>
    <row r="177" spans="1:14">
      <c r="A177" s="287"/>
      <c r="B177" s="8"/>
      <c r="C177" s="8"/>
      <c r="D177" s="285"/>
      <c r="E177" s="8"/>
      <c r="F177" s="8"/>
      <c r="G177" s="8" t="s">
        <v>503</v>
      </c>
      <c r="H177" s="13">
        <v>3</v>
      </c>
      <c r="I177" s="13">
        <v>0.08</v>
      </c>
      <c r="J177" s="289" t="s">
        <v>24</v>
      </c>
      <c r="K177" s="286" t="s">
        <v>24</v>
      </c>
      <c r="L177" s="8"/>
      <c r="M177" s="280"/>
      <c r="N177" s="280"/>
    </row>
    <row r="178" spans="1:14">
      <c r="A178" s="9">
        <v>45358</v>
      </c>
      <c r="B178" s="8" t="s">
        <v>1817</v>
      </c>
      <c r="C178" s="8" t="s">
        <v>462</v>
      </c>
      <c r="D178" s="282">
        <v>10</v>
      </c>
      <c r="E178" s="8" t="s">
        <v>1079</v>
      </c>
      <c r="F178" s="8" t="s">
        <v>482</v>
      </c>
      <c r="G178" s="8" t="s">
        <v>1064</v>
      </c>
      <c r="H178" s="13">
        <v>1.5</v>
      </c>
      <c r="I178" s="13">
        <v>8.7</v>
      </c>
      <c r="J178" s="13" t="s">
        <v>1744</v>
      </c>
      <c r="K178" s="13">
        <v>2.55</v>
      </c>
      <c r="L178" s="8" t="s">
        <v>35</v>
      </c>
      <c r="M178" s="280"/>
      <c r="N178" s="280"/>
    </row>
    <row r="179" spans="1:14">
      <c r="A179" s="287"/>
      <c r="B179" s="8"/>
      <c r="C179" s="8"/>
      <c r="D179" s="285"/>
      <c r="E179" s="8"/>
      <c r="F179" s="8"/>
      <c r="G179" s="8" t="s">
        <v>1060</v>
      </c>
      <c r="H179" s="13">
        <v>1.5</v>
      </c>
      <c r="I179" s="13">
        <v>0.4</v>
      </c>
      <c r="J179" s="13" t="s">
        <v>1762</v>
      </c>
      <c r="K179" s="13">
        <v>2.75</v>
      </c>
      <c r="L179" s="8"/>
      <c r="M179" s="280"/>
      <c r="N179" s="280"/>
    </row>
    <row r="180" spans="1:14">
      <c r="A180" s="287"/>
      <c r="B180" s="8"/>
      <c r="C180" s="8"/>
      <c r="D180" s="285"/>
      <c r="E180" s="8"/>
      <c r="F180" s="8"/>
      <c r="G180" s="8" t="s">
        <v>503</v>
      </c>
      <c r="H180" s="13">
        <v>1.5</v>
      </c>
      <c r="I180" s="13">
        <v>0.9</v>
      </c>
      <c r="J180" s="289" t="s">
        <v>24</v>
      </c>
      <c r="K180" s="289" t="s">
        <v>24</v>
      </c>
      <c r="L180" s="8"/>
      <c r="M180" s="280"/>
      <c r="N180" s="280"/>
    </row>
    <row r="181" spans="1:14">
      <c r="A181" s="9">
        <v>45359</v>
      </c>
      <c r="B181" s="8" t="s">
        <v>1818</v>
      </c>
      <c r="C181" s="8" t="s">
        <v>459</v>
      </c>
      <c r="D181" s="282">
        <v>20</v>
      </c>
      <c r="E181" s="8" t="s">
        <v>1066</v>
      </c>
      <c r="F181" s="8" t="s">
        <v>482</v>
      </c>
      <c r="G181" s="8" t="s">
        <v>1064</v>
      </c>
      <c r="H181" s="13">
        <v>1</v>
      </c>
      <c r="I181" s="13">
        <v>17.8</v>
      </c>
      <c r="J181" s="13" t="s">
        <v>1744</v>
      </c>
      <c r="K181" s="13">
        <v>2.49</v>
      </c>
      <c r="L181" s="8" t="s">
        <v>27</v>
      </c>
      <c r="M181" s="280"/>
      <c r="N181" s="280"/>
    </row>
    <row r="182" spans="1:14">
      <c r="A182" s="287"/>
      <c r="B182" s="8"/>
      <c r="C182" s="8"/>
      <c r="D182" s="285"/>
      <c r="E182" s="8"/>
      <c r="F182" s="8"/>
      <c r="G182" s="8" t="s">
        <v>1060</v>
      </c>
      <c r="H182" s="13">
        <v>1</v>
      </c>
      <c r="I182" s="13">
        <v>0.6</v>
      </c>
      <c r="J182" s="13" t="s">
        <v>1762</v>
      </c>
      <c r="K182" s="13">
        <v>2.7</v>
      </c>
      <c r="L182" s="8"/>
      <c r="M182" s="280"/>
      <c r="N182" s="280"/>
    </row>
    <row r="183" spans="1:14">
      <c r="A183" s="287"/>
      <c r="B183" s="8"/>
      <c r="C183" s="8"/>
      <c r="D183" s="285"/>
      <c r="E183" s="8"/>
      <c r="F183" s="8"/>
      <c r="G183" s="8" t="s">
        <v>503</v>
      </c>
      <c r="H183" s="13">
        <v>3</v>
      </c>
      <c r="I183" s="13">
        <v>1.6</v>
      </c>
      <c r="J183" s="289" t="s">
        <v>24</v>
      </c>
      <c r="K183" s="289" t="s">
        <v>24</v>
      </c>
      <c r="L183" s="8"/>
      <c r="M183" s="280"/>
      <c r="N183" s="280"/>
    </row>
    <row r="184" spans="1:14">
      <c r="A184" s="9">
        <v>45359</v>
      </c>
      <c r="B184" s="8" t="s">
        <v>1819</v>
      </c>
      <c r="C184" s="8" t="s">
        <v>459</v>
      </c>
      <c r="D184" s="282">
        <v>3</v>
      </c>
      <c r="E184" s="8" t="s">
        <v>1754</v>
      </c>
      <c r="F184" s="8" t="s">
        <v>1820</v>
      </c>
      <c r="G184" s="8" t="s">
        <v>1064</v>
      </c>
      <c r="H184" s="13">
        <v>1.05</v>
      </c>
      <c r="I184" s="13">
        <v>2.6</v>
      </c>
      <c r="J184" s="13" t="s">
        <v>1744</v>
      </c>
      <c r="K184" s="13">
        <v>2.5</v>
      </c>
      <c r="L184" s="8" t="s">
        <v>27</v>
      </c>
      <c r="M184" s="280"/>
      <c r="N184" s="280"/>
    </row>
    <row r="185" spans="1:14">
      <c r="A185" s="287"/>
      <c r="B185" s="8"/>
      <c r="C185" s="8"/>
      <c r="D185" s="285"/>
      <c r="E185" s="8"/>
      <c r="F185" s="8"/>
      <c r="G185" s="8" t="s">
        <v>1060</v>
      </c>
      <c r="H185" s="13">
        <v>1.05</v>
      </c>
      <c r="I185" s="13">
        <v>0.16</v>
      </c>
      <c r="J185" s="13" t="s">
        <v>1762</v>
      </c>
      <c r="K185" s="13">
        <v>2.68</v>
      </c>
      <c r="L185" s="8"/>
      <c r="M185" s="280"/>
      <c r="N185" s="280"/>
    </row>
    <row r="186" spans="1:14">
      <c r="A186" s="287"/>
      <c r="B186" s="8"/>
      <c r="C186" s="8"/>
      <c r="D186" s="285"/>
      <c r="E186" s="8"/>
      <c r="F186" s="8"/>
      <c r="G186" s="8" t="s">
        <v>503</v>
      </c>
      <c r="H186" s="13">
        <v>1.72</v>
      </c>
      <c r="I186" s="13">
        <v>0.09</v>
      </c>
      <c r="J186" s="289" t="s">
        <v>24</v>
      </c>
      <c r="K186" s="286" t="s">
        <v>24</v>
      </c>
      <c r="L186" s="8"/>
      <c r="M186" s="280"/>
      <c r="N186" s="280"/>
    </row>
    <row r="187" spans="1:14">
      <c r="A187" s="287"/>
      <c r="B187" s="8"/>
      <c r="C187" s="8"/>
      <c r="D187" s="285"/>
      <c r="E187" s="8"/>
      <c r="F187" s="8"/>
      <c r="G187" s="8" t="s">
        <v>503</v>
      </c>
      <c r="H187" s="13">
        <v>1.72</v>
      </c>
      <c r="I187" s="13">
        <v>0.15</v>
      </c>
      <c r="J187" s="289" t="s">
        <v>24</v>
      </c>
      <c r="K187" s="286" t="s">
        <v>24</v>
      </c>
      <c r="L187" s="8"/>
      <c r="M187" s="280"/>
      <c r="N187" s="280"/>
    </row>
    <row r="188" spans="1:14">
      <c r="A188" s="9">
        <v>45359</v>
      </c>
      <c r="B188" s="8" t="s">
        <v>1821</v>
      </c>
      <c r="C188" s="8" t="s">
        <v>459</v>
      </c>
      <c r="D188" s="282">
        <v>8</v>
      </c>
      <c r="E188" s="8" t="s">
        <v>1743</v>
      </c>
      <c r="F188" s="8" t="s">
        <v>1751</v>
      </c>
      <c r="G188" s="8" t="s">
        <v>1058</v>
      </c>
      <c r="H188" s="13">
        <v>1.49</v>
      </c>
      <c r="I188" s="13">
        <v>6.92</v>
      </c>
      <c r="J188" s="13" t="s">
        <v>1744</v>
      </c>
      <c r="K188" s="13">
        <v>2.79</v>
      </c>
      <c r="L188" s="13">
        <v>360</v>
      </c>
      <c r="M188" s="280"/>
      <c r="N188" s="280"/>
    </row>
    <row r="189" spans="1:14">
      <c r="A189" s="287"/>
      <c r="B189" s="8"/>
      <c r="C189" s="8"/>
      <c r="D189" s="285"/>
      <c r="E189" s="8"/>
      <c r="F189" s="8"/>
      <c r="G189" s="8" t="s">
        <v>1059</v>
      </c>
      <c r="H189" s="13">
        <v>1.49</v>
      </c>
      <c r="I189" s="13">
        <v>0.36</v>
      </c>
      <c r="J189" s="13" t="s">
        <v>1762</v>
      </c>
      <c r="K189" s="13">
        <v>4.5</v>
      </c>
      <c r="L189" s="289"/>
      <c r="M189" s="280"/>
      <c r="N189" s="280"/>
    </row>
    <row r="190" spans="1:14">
      <c r="A190" s="287"/>
      <c r="B190" s="8"/>
      <c r="C190" s="8"/>
      <c r="D190" s="285"/>
      <c r="E190" s="8"/>
      <c r="F190" s="8"/>
      <c r="G190" s="8" t="s">
        <v>1099</v>
      </c>
      <c r="H190" s="13">
        <v>1.49</v>
      </c>
      <c r="I190" s="13">
        <v>0.24</v>
      </c>
      <c r="J190" s="13" t="s">
        <v>1822</v>
      </c>
      <c r="K190" s="13">
        <v>5</v>
      </c>
      <c r="L190" s="289"/>
      <c r="M190" s="280"/>
      <c r="N190" s="280"/>
    </row>
    <row r="191" spans="1:14">
      <c r="A191" s="287"/>
      <c r="B191" s="8"/>
      <c r="C191" s="8"/>
      <c r="D191" s="285"/>
      <c r="E191" s="8"/>
      <c r="F191" s="8"/>
      <c r="G191" s="8" t="s">
        <v>503</v>
      </c>
      <c r="H191" s="13">
        <v>1.49</v>
      </c>
      <c r="I191" s="13">
        <v>0.48</v>
      </c>
      <c r="J191" s="289" t="s">
        <v>24</v>
      </c>
      <c r="K191" s="289" t="s">
        <v>24</v>
      </c>
      <c r="L191" s="289"/>
      <c r="M191" s="280"/>
      <c r="N191" s="280"/>
    </row>
    <row r="192" spans="1:14">
      <c r="A192" s="9">
        <v>45363</v>
      </c>
      <c r="B192" s="8" t="s">
        <v>1823</v>
      </c>
      <c r="C192" s="8" t="s">
        <v>459</v>
      </c>
      <c r="D192" s="282">
        <v>10</v>
      </c>
      <c r="E192" s="8" t="s">
        <v>1066</v>
      </c>
      <c r="F192" s="8" t="s">
        <v>482</v>
      </c>
      <c r="G192" s="8" t="s">
        <v>1064</v>
      </c>
      <c r="H192" s="13">
        <v>1.01</v>
      </c>
      <c r="I192" s="13">
        <v>8.9</v>
      </c>
      <c r="J192" s="13" t="s">
        <v>1744</v>
      </c>
      <c r="K192" s="13">
        <v>2.5</v>
      </c>
      <c r="L192" s="8" t="s">
        <v>35</v>
      </c>
      <c r="M192" s="280"/>
      <c r="N192" s="280"/>
    </row>
    <row r="193" spans="1:14">
      <c r="A193" s="287"/>
      <c r="B193" s="8"/>
      <c r="C193" s="8"/>
      <c r="D193" s="285"/>
      <c r="E193" s="8"/>
      <c r="F193" s="8"/>
      <c r="G193" s="8" t="s">
        <v>1060</v>
      </c>
      <c r="H193" s="13">
        <v>1.01</v>
      </c>
      <c r="I193" s="13">
        <v>0.3</v>
      </c>
      <c r="J193" s="13" t="s">
        <v>1762</v>
      </c>
      <c r="K193" s="13">
        <v>2.7</v>
      </c>
      <c r="L193" s="8"/>
      <c r="M193" s="280"/>
      <c r="N193" s="280"/>
    </row>
    <row r="194" spans="1:14">
      <c r="A194" s="287"/>
      <c r="B194" s="8"/>
      <c r="C194" s="8"/>
      <c r="D194" s="285"/>
      <c r="E194" s="8"/>
      <c r="F194" s="8"/>
      <c r="G194" s="8" t="s">
        <v>503</v>
      </c>
      <c r="H194" s="13">
        <v>3.01</v>
      </c>
      <c r="I194" s="13">
        <v>0.8</v>
      </c>
      <c r="J194" s="289" t="s">
        <v>24</v>
      </c>
      <c r="K194" s="289" t="s">
        <v>24</v>
      </c>
      <c r="L194" s="8"/>
      <c r="M194" s="280"/>
      <c r="N194" s="280"/>
    </row>
    <row r="195" spans="1:14">
      <c r="A195" s="9">
        <v>45364</v>
      </c>
      <c r="B195" s="8" t="s">
        <v>1824</v>
      </c>
      <c r="C195" s="8" t="s">
        <v>459</v>
      </c>
      <c r="D195" s="282">
        <v>10</v>
      </c>
      <c r="E195" s="8" t="s">
        <v>1066</v>
      </c>
      <c r="F195" s="8" t="s">
        <v>482</v>
      </c>
      <c r="G195" s="8" t="s">
        <v>1064</v>
      </c>
      <c r="H195" s="13">
        <v>1.01</v>
      </c>
      <c r="I195" s="13">
        <v>8.9</v>
      </c>
      <c r="J195" s="13" t="s">
        <v>1744</v>
      </c>
      <c r="K195" s="13">
        <v>2.5</v>
      </c>
      <c r="L195" s="8" t="s">
        <v>35</v>
      </c>
      <c r="M195" s="280"/>
      <c r="N195" s="280"/>
    </row>
    <row r="196" spans="1:14">
      <c r="A196" s="287"/>
      <c r="B196" s="8"/>
      <c r="C196" s="8"/>
      <c r="D196" s="285"/>
      <c r="E196" s="8"/>
      <c r="F196" s="8"/>
      <c r="G196" s="8" t="s">
        <v>1060</v>
      </c>
      <c r="H196" s="13">
        <v>1.01</v>
      </c>
      <c r="I196" s="13">
        <v>0.3</v>
      </c>
      <c r="J196" s="13" t="s">
        <v>1762</v>
      </c>
      <c r="K196" s="13">
        <v>2.7</v>
      </c>
      <c r="L196" s="8"/>
      <c r="M196" s="280"/>
      <c r="N196" s="280"/>
    </row>
    <row r="197" spans="1:14">
      <c r="A197" s="287"/>
      <c r="B197" s="8"/>
      <c r="C197" s="8"/>
      <c r="D197" s="285"/>
      <c r="E197" s="8"/>
      <c r="F197" s="8"/>
      <c r="G197" s="8" t="s">
        <v>503</v>
      </c>
      <c r="H197" s="13">
        <v>3.01</v>
      </c>
      <c r="I197" s="13">
        <v>0.8</v>
      </c>
      <c r="J197" s="289" t="s">
        <v>24</v>
      </c>
      <c r="K197" s="286" t="s">
        <v>24</v>
      </c>
      <c r="L197" s="8"/>
      <c r="M197" s="280"/>
      <c r="N197" s="280"/>
    </row>
    <row r="198" spans="1:14">
      <c r="A198" s="9">
        <v>45364</v>
      </c>
      <c r="B198" s="8" t="s">
        <v>1825</v>
      </c>
      <c r="C198" s="8" t="s">
        <v>459</v>
      </c>
      <c r="D198" s="282">
        <v>5</v>
      </c>
      <c r="E198" s="8" t="s">
        <v>1754</v>
      </c>
      <c r="F198" s="8" t="s">
        <v>1755</v>
      </c>
      <c r="G198" s="8" t="s">
        <v>1064</v>
      </c>
      <c r="H198" s="13">
        <v>1.87</v>
      </c>
      <c r="I198" s="13">
        <v>4</v>
      </c>
      <c r="J198" s="13" t="s">
        <v>1744</v>
      </c>
      <c r="K198" s="13">
        <v>3.9</v>
      </c>
      <c r="L198" s="8" t="s">
        <v>70</v>
      </c>
      <c r="M198" s="280"/>
      <c r="N198" s="280"/>
    </row>
    <row r="199" spans="1:14">
      <c r="A199" s="284"/>
      <c r="B199" s="8"/>
      <c r="C199" s="8"/>
      <c r="D199" s="285"/>
      <c r="E199" s="8"/>
      <c r="F199" s="8"/>
      <c r="G199" s="8" t="s">
        <v>1060</v>
      </c>
      <c r="H199" s="13">
        <v>1.96</v>
      </c>
      <c r="I199" s="13">
        <v>0.35</v>
      </c>
      <c r="J199" s="13" t="s">
        <v>1756</v>
      </c>
      <c r="K199" s="13">
        <v>4.8</v>
      </c>
      <c r="L199" s="8"/>
      <c r="M199" s="280"/>
      <c r="N199" s="280"/>
    </row>
    <row r="200" spans="1:14">
      <c r="A200" s="284"/>
      <c r="B200" s="8"/>
      <c r="C200" s="8"/>
      <c r="D200" s="285"/>
      <c r="E200" s="8"/>
      <c r="F200" s="8"/>
      <c r="G200" s="8" t="s">
        <v>503</v>
      </c>
      <c r="H200" s="13">
        <v>2.71</v>
      </c>
      <c r="I200" s="13">
        <v>0.65</v>
      </c>
      <c r="J200" s="286" t="s">
        <v>24</v>
      </c>
      <c r="K200" s="286" t="s">
        <v>24</v>
      </c>
      <c r="L200" s="8"/>
      <c r="M200" s="280"/>
      <c r="N200" s="280"/>
    </row>
    <row r="201" spans="1:14">
      <c r="A201" s="9">
        <v>45365</v>
      </c>
      <c r="B201" s="8" t="s">
        <v>1826</v>
      </c>
      <c r="C201" s="8" t="s">
        <v>462</v>
      </c>
      <c r="D201" s="282">
        <v>5.6</v>
      </c>
      <c r="E201" s="8" t="s">
        <v>1743</v>
      </c>
      <c r="F201" s="8" t="s">
        <v>460</v>
      </c>
      <c r="G201" s="8" t="s">
        <v>1064</v>
      </c>
      <c r="H201" s="13">
        <v>1.97</v>
      </c>
      <c r="I201" s="13">
        <v>4.727</v>
      </c>
      <c r="J201" s="13" t="s">
        <v>1744</v>
      </c>
      <c r="K201" s="13">
        <v>2.6</v>
      </c>
      <c r="L201" s="8" t="s">
        <v>27</v>
      </c>
      <c r="M201" s="280"/>
      <c r="N201" s="280"/>
    </row>
    <row r="202" spans="1:14">
      <c r="A202" s="287"/>
      <c r="B202" s="8"/>
      <c r="C202" s="8"/>
      <c r="D202" s="285"/>
      <c r="E202" s="8"/>
      <c r="F202" s="8"/>
      <c r="G202" s="8" t="s">
        <v>1060</v>
      </c>
      <c r="H202" s="13">
        <v>1.97</v>
      </c>
      <c r="I202" s="13">
        <v>0.313</v>
      </c>
      <c r="J202" s="13" t="s">
        <v>1762</v>
      </c>
      <c r="K202" s="13">
        <v>2.75</v>
      </c>
      <c r="L202" s="8"/>
      <c r="M202" s="280"/>
      <c r="N202" s="280"/>
    </row>
    <row r="203" spans="1:14">
      <c r="A203" s="287"/>
      <c r="B203" s="8"/>
      <c r="C203" s="8"/>
      <c r="D203" s="285"/>
      <c r="E203" s="8"/>
      <c r="F203" s="8"/>
      <c r="G203" s="8" t="s">
        <v>503</v>
      </c>
      <c r="H203" s="13">
        <v>2.04</v>
      </c>
      <c r="I203" s="13">
        <v>0.28</v>
      </c>
      <c r="J203" s="289" t="s">
        <v>24</v>
      </c>
      <c r="K203" s="289" t="s">
        <v>24</v>
      </c>
      <c r="L203" s="8"/>
      <c r="M203" s="280"/>
      <c r="N203" s="280"/>
    </row>
    <row r="204" spans="1:14">
      <c r="A204" s="287"/>
      <c r="B204" s="8"/>
      <c r="C204" s="8"/>
      <c r="D204" s="285"/>
      <c r="E204" s="8"/>
      <c r="F204" s="8"/>
      <c r="G204" s="8" t="s">
        <v>503</v>
      </c>
      <c r="H204" s="13">
        <v>2.04</v>
      </c>
      <c r="I204" s="13">
        <v>0.28</v>
      </c>
      <c r="J204" s="289" t="s">
        <v>24</v>
      </c>
      <c r="K204" s="289" t="s">
        <v>24</v>
      </c>
      <c r="L204" s="8"/>
      <c r="M204" s="280"/>
      <c r="N204" s="280"/>
    </row>
    <row r="205" spans="1:14">
      <c r="A205" s="9">
        <v>45366</v>
      </c>
      <c r="B205" s="8" t="s">
        <v>1827</v>
      </c>
      <c r="C205" s="8" t="s">
        <v>462</v>
      </c>
      <c r="D205" s="282">
        <v>10</v>
      </c>
      <c r="E205" s="8" t="s">
        <v>1109</v>
      </c>
      <c r="F205" s="8" t="s">
        <v>460</v>
      </c>
      <c r="G205" s="8" t="s">
        <v>1064</v>
      </c>
      <c r="H205" s="13">
        <v>1.53</v>
      </c>
      <c r="I205" s="13">
        <v>8.46</v>
      </c>
      <c r="J205" s="13" t="s">
        <v>1744</v>
      </c>
      <c r="K205" s="13">
        <v>2.55</v>
      </c>
      <c r="L205" s="8" t="s">
        <v>27</v>
      </c>
      <c r="M205" s="280"/>
      <c r="N205" s="280"/>
    </row>
    <row r="206" spans="1:14">
      <c r="A206" s="287"/>
      <c r="B206" s="8"/>
      <c r="C206" s="8"/>
      <c r="D206" s="285"/>
      <c r="E206" s="8"/>
      <c r="F206" s="8"/>
      <c r="G206" s="8" t="s">
        <v>1060</v>
      </c>
      <c r="H206" s="13">
        <v>1.7</v>
      </c>
      <c r="I206" s="13">
        <v>0.464</v>
      </c>
      <c r="J206" s="13" t="s">
        <v>1762</v>
      </c>
      <c r="K206" s="13">
        <v>2.77</v>
      </c>
      <c r="L206" s="8"/>
      <c r="M206" s="280"/>
      <c r="N206" s="280"/>
    </row>
    <row r="207" spans="1:14">
      <c r="A207" s="287"/>
      <c r="B207" s="8"/>
      <c r="C207" s="8"/>
      <c r="D207" s="285"/>
      <c r="E207" s="8"/>
      <c r="F207" s="8"/>
      <c r="G207" s="8" t="s">
        <v>503</v>
      </c>
      <c r="H207" s="13">
        <v>3.03</v>
      </c>
      <c r="I207" s="13">
        <v>1.076</v>
      </c>
      <c r="J207" s="289" t="s">
        <v>24</v>
      </c>
      <c r="K207" s="286" t="s">
        <v>24</v>
      </c>
      <c r="L207" s="8"/>
      <c r="M207" s="280"/>
      <c r="N207" s="280"/>
    </row>
    <row r="208" spans="1:14">
      <c r="A208" s="9">
        <v>45366</v>
      </c>
      <c r="B208" s="8" t="s">
        <v>1828</v>
      </c>
      <c r="C208" s="8" t="s">
        <v>462</v>
      </c>
      <c r="D208" s="282">
        <v>30</v>
      </c>
      <c r="E208" s="8" t="s">
        <v>1261</v>
      </c>
      <c r="F208" s="8" t="s">
        <v>1091</v>
      </c>
      <c r="G208" s="8" t="s">
        <v>1064</v>
      </c>
      <c r="H208" s="13">
        <v>1.01</v>
      </c>
      <c r="I208" s="13">
        <v>27.5</v>
      </c>
      <c r="J208" s="13" t="s">
        <v>1744</v>
      </c>
      <c r="K208" s="13">
        <v>2.47</v>
      </c>
      <c r="L208" s="8" t="s">
        <v>1262</v>
      </c>
      <c r="M208" s="280"/>
      <c r="N208" s="280"/>
    </row>
    <row r="209" spans="1:14">
      <c r="A209" s="287"/>
      <c r="B209" s="8"/>
      <c r="C209" s="8"/>
      <c r="D209" s="285"/>
      <c r="E209" s="8"/>
      <c r="F209" s="8"/>
      <c r="G209" s="8" t="s">
        <v>503</v>
      </c>
      <c r="H209" s="13">
        <v>1.01</v>
      </c>
      <c r="I209" s="13">
        <v>2.5</v>
      </c>
      <c r="J209" s="13" t="s">
        <v>1746</v>
      </c>
      <c r="K209" s="286" t="s">
        <v>24</v>
      </c>
      <c r="L209" s="8"/>
      <c r="M209" s="280"/>
      <c r="N209" s="280"/>
    </row>
    <row r="210" spans="1:14">
      <c r="A210" s="9">
        <v>45371</v>
      </c>
      <c r="B210" s="8" t="s">
        <v>1829</v>
      </c>
      <c r="C210" s="8" t="s">
        <v>459</v>
      </c>
      <c r="D210" s="282">
        <v>10</v>
      </c>
      <c r="E210" s="8" t="s">
        <v>1079</v>
      </c>
      <c r="F210" s="8" t="s">
        <v>1140</v>
      </c>
      <c r="G210" s="8" t="s">
        <v>1064</v>
      </c>
      <c r="H210" s="13">
        <v>2.01</v>
      </c>
      <c r="I210" s="13">
        <v>8.7</v>
      </c>
      <c r="J210" s="13" t="s">
        <v>1744</v>
      </c>
      <c r="K210" s="13">
        <v>2.63</v>
      </c>
      <c r="L210" s="8" t="s">
        <v>35</v>
      </c>
      <c r="M210" s="280"/>
      <c r="N210" s="280"/>
    </row>
    <row r="211" spans="1:14">
      <c r="A211" s="287"/>
      <c r="B211" s="8"/>
      <c r="C211" s="8"/>
      <c r="D211" s="285"/>
      <c r="E211" s="8"/>
      <c r="F211" s="8"/>
      <c r="G211" s="8" t="s">
        <v>1060</v>
      </c>
      <c r="H211" s="13">
        <v>2.01</v>
      </c>
      <c r="I211" s="13">
        <v>0.4</v>
      </c>
      <c r="J211" s="13" t="s">
        <v>1762</v>
      </c>
      <c r="K211" s="13">
        <v>2.78</v>
      </c>
      <c r="L211" s="8"/>
      <c r="M211" s="280"/>
      <c r="N211" s="280"/>
    </row>
    <row r="212" spans="1:14">
      <c r="A212" s="287"/>
      <c r="B212" s="8"/>
      <c r="C212" s="8"/>
      <c r="D212" s="285"/>
      <c r="E212" s="8"/>
      <c r="F212" s="8"/>
      <c r="G212" s="8" t="s">
        <v>503</v>
      </c>
      <c r="H212" s="13">
        <v>2.01</v>
      </c>
      <c r="I212" s="13">
        <v>0.9</v>
      </c>
      <c r="J212" s="289" t="s">
        <v>24</v>
      </c>
      <c r="K212" s="289" t="s">
        <v>24</v>
      </c>
      <c r="L212" s="8"/>
      <c r="M212" s="280"/>
      <c r="N212" s="280"/>
    </row>
    <row r="213" spans="1:14">
      <c r="A213" s="9">
        <v>45371</v>
      </c>
      <c r="B213" s="8" t="s">
        <v>1830</v>
      </c>
      <c r="C213" s="8" t="s">
        <v>462</v>
      </c>
      <c r="D213" s="282">
        <v>6</v>
      </c>
      <c r="E213" s="8" t="s">
        <v>1754</v>
      </c>
      <c r="F213" s="8" t="s">
        <v>460</v>
      </c>
      <c r="G213" s="8" t="s">
        <v>1064</v>
      </c>
      <c r="H213" s="13">
        <v>1.2</v>
      </c>
      <c r="I213" s="13">
        <v>5</v>
      </c>
      <c r="J213" s="13" t="s">
        <v>1744</v>
      </c>
      <c r="K213" s="13">
        <v>2.6</v>
      </c>
      <c r="L213" s="8" t="s">
        <v>27</v>
      </c>
      <c r="M213" s="280"/>
      <c r="N213" s="280"/>
    </row>
    <row r="214" spans="1:14">
      <c r="A214" s="287"/>
      <c r="B214" s="8"/>
      <c r="C214" s="8"/>
      <c r="D214" s="285"/>
      <c r="E214" s="8"/>
      <c r="F214" s="8"/>
      <c r="G214" s="8" t="s">
        <v>1060</v>
      </c>
      <c r="H214" s="13">
        <v>1.53</v>
      </c>
      <c r="I214" s="13">
        <v>0.23</v>
      </c>
      <c r="J214" s="13" t="s">
        <v>1762</v>
      </c>
      <c r="K214" s="13">
        <v>2.74</v>
      </c>
      <c r="L214" s="8"/>
      <c r="M214" s="280"/>
      <c r="N214" s="280"/>
    </row>
    <row r="215" spans="1:14">
      <c r="A215" s="287"/>
      <c r="B215" s="8"/>
      <c r="C215" s="8"/>
      <c r="D215" s="285"/>
      <c r="E215" s="8"/>
      <c r="F215" s="8"/>
      <c r="G215" s="8" t="s">
        <v>1086</v>
      </c>
      <c r="H215" s="13">
        <v>3.03</v>
      </c>
      <c r="I215" s="13">
        <v>0.47</v>
      </c>
      <c r="J215" s="289" t="s">
        <v>24</v>
      </c>
      <c r="K215" s="289" t="s">
        <v>24</v>
      </c>
      <c r="L215" s="8"/>
      <c r="M215" s="280"/>
      <c r="N215" s="280"/>
    </row>
    <row r="216" spans="1:14">
      <c r="A216" s="287"/>
      <c r="B216" s="8"/>
      <c r="C216" s="8"/>
      <c r="D216" s="285"/>
      <c r="E216" s="8"/>
      <c r="F216" s="8"/>
      <c r="G216" s="8" t="s">
        <v>1087</v>
      </c>
      <c r="H216" s="13">
        <v>3.03</v>
      </c>
      <c r="I216" s="13">
        <v>0.3</v>
      </c>
      <c r="J216" s="289" t="s">
        <v>24</v>
      </c>
      <c r="K216" s="289" t="s">
        <v>24</v>
      </c>
      <c r="L216" s="8"/>
      <c r="M216" s="280"/>
      <c r="N216" s="280"/>
    </row>
    <row r="217" spans="1:14">
      <c r="A217" s="9">
        <v>45370</v>
      </c>
      <c r="B217" s="8" t="s">
        <v>1831</v>
      </c>
      <c r="C217" s="8" t="s">
        <v>459</v>
      </c>
      <c r="D217" s="282">
        <v>10</v>
      </c>
      <c r="E217" s="8" t="s">
        <v>1109</v>
      </c>
      <c r="F217" s="8" t="s">
        <v>460</v>
      </c>
      <c r="G217" s="8" t="s">
        <v>1064</v>
      </c>
      <c r="H217" s="13">
        <v>1.95</v>
      </c>
      <c r="I217" s="13">
        <v>8.62</v>
      </c>
      <c r="J217" s="13" t="s">
        <v>1744</v>
      </c>
      <c r="K217" s="13">
        <v>2.59</v>
      </c>
      <c r="L217" s="8" t="s">
        <v>27</v>
      </c>
      <c r="M217" s="280"/>
      <c r="N217" s="280"/>
    </row>
    <row r="218" spans="1:14">
      <c r="A218" s="287"/>
      <c r="B218" s="8"/>
      <c r="C218" s="8"/>
      <c r="D218" s="285"/>
      <c r="E218" s="8"/>
      <c r="F218" s="8"/>
      <c r="G218" s="8" t="s">
        <v>1060</v>
      </c>
      <c r="H218" s="13">
        <v>1.95</v>
      </c>
      <c r="I218" s="13">
        <v>0.42</v>
      </c>
      <c r="J218" s="13" t="s">
        <v>1762</v>
      </c>
      <c r="K218" s="13">
        <v>2.7</v>
      </c>
      <c r="L218" s="8"/>
      <c r="M218" s="280"/>
      <c r="N218" s="280"/>
    </row>
    <row r="219" spans="1:14">
      <c r="A219" s="287"/>
      <c r="B219" s="8"/>
      <c r="C219" s="8"/>
      <c r="D219" s="285"/>
      <c r="E219" s="8"/>
      <c r="F219" s="8"/>
      <c r="G219" s="8" t="s">
        <v>503</v>
      </c>
      <c r="H219" s="13">
        <v>2.2</v>
      </c>
      <c r="I219" s="13">
        <v>0.96</v>
      </c>
      <c r="J219" s="289" t="s">
        <v>24</v>
      </c>
      <c r="K219" s="286" t="s">
        <v>24</v>
      </c>
      <c r="L219" s="8"/>
      <c r="M219" s="280"/>
      <c r="N219" s="280"/>
    </row>
    <row r="220" spans="1:14">
      <c r="A220" s="9">
        <v>45370</v>
      </c>
      <c r="B220" s="8" t="s">
        <v>1832</v>
      </c>
      <c r="C220" s="8" t="s">
        <v>462</v>
      </c>
      <c r="D220" s="282">
        <v>5</v>
      </c>
      <c r="E220" s="8" t="s">
        <v>486</v>
      </c>
      <c r="F220" s="8" t="s">
        <v>1768</v>
      </c>
      <c r="G220" s="8" t="s">
        <v>1064</v>
      </c>
      <c r="H220" s="13">
        <v>1.53</v>
      </c>
      <c r="I220" s="13">
        <v>4.075</v>
      </c>
      <c r="J220" s="13" t="s">
        <v>1744</v>
      </c>
      <c r="K220" s="13">
        <v>2.55</v>
      </c>
      <c r="L220" s="8" t="s">
        <v>27</v>
      </c>
      <c r="M220" s="280"/>
      <c r="N220" s="280"/>
    </row>
    <row r="221" spans="1:14">
      <c r="A221" s="287"/>
      <c r="B221" s="8"/>
      <c r="C221" s="8"/>
      <c r="D221" s="285"/>
      <c r="E221" s="8"/>
      <c r="F221" s="8"/>
      <c r="G221" s="8" t="s">
        <v>1060</v>
      </c>
      <c r="H221" s="13">
        <v>2.03</v>
      </c>
      <c r="I221" s="13">
        <v>0.2</v>
      </c>
      <c r="J221" s="13" t="s">
        <v>1762</v>
      </c>
      <c r="K221" s="13">
        <v>2.7</v>
      </c>
      <c r="L221" s="8"/>
      <c r="M221" s="280"/>
      <c r="N221" s="280"/>
    </row>
    <row r="222" spans="1:14">
      <c r="A222" s="287"/>
      <c r="B222" s="8"/>
      <c r="C222" s="8"/>
      <c r="D222" s="285"/>
      <c r="E222" s="8"/>
      <c r="F222" s="8"/>
      <c r="G222" s="8" t="s">
        <v>1086</v>
      </c>
      <c r="H222" s="13">
        <v>3.03</v>
      </c>
      <c r="I222" s="13">
        <v>0.475</v>
      </c>
      <c r="J222" s="289" t="s">
        <v>24</v>
      </c>
      <c r="K222" s="289" t="s">
        <v>24</v>
      </c>
      <c r="L222" s="8"/>
      <c r="M222" s="280"/>
      <c r="N222" s="280"/>
    </row>
    <row r="223" spans="1:14">
      <c r="A223" s="287"/>
      <c r="B223" s="8"/>
      <c r="C223" s="8"/>
      <c r="D223" s="285"/>
      <c r="E223" s="8"/>
      <c r="F223" s="8"/>
      <c r="G223" s="8" t="s">
        <v>1087</v>
      </c>
      <c r="H223" s="13">
        <v>3.03</v>
      </c>
      <c r="I223" s="13">
        <v>0.25</v>
      </c>
      <c r="J223" s="289" t="s">
        <v>24</v>
      </c>
      <c r="K223" s="289" t="s">
        <v>24</v>
      </c>
      <c r="L223" s="8"/>
      <c r="M223" s="280"/>
      <c r="N223" s="280"/>
    </row>
    <row r="224" spans="1:14">
      <c r="A224" s="9">
        <v>45373</v>
      </c>
      <c r="B224" s="8" t="s">
        <v>1833</v>
      </c>
      <c r="C224" s="8" t="s">
        <v>462</v>
      </c>
      <c r="D224" s="282">
        <v>10</v>
      </c>
      <c r="E224" s="8" t="s">
        <v>1109</v>
      </c>
      <c r="F224" s="8" t="s">
        <v>482</v>
      </c>
      <c r="G224" s="8" t="s">
        <v>1064</v>
      </c>
      <c r="H224" s="13">
        <v>1.95</v>
      </c>
      <c r="I224" s="13">
        <v>8.25</v>
      </c>
      <c r="J224" s="13" t="s">
        <v>1744</v>
      </c>
      <c r="K224" s="13">
        <v>2.65</v>
      </c>
      <c r="L224" s="8" t="s">
        <v>27</v>
      </c>
      <c r="M224" s="280"/>
      <c r="N224" s="280"/>
    </row>
    <row r="225" spans="1:14">
      <c r="A225" s="287"/>
      <c r="B225" s="8"/>
      <c r="C225" s="8"/>
      <c r="D225" s="285"/>
      <c r="E225" s="8"/>
      <c r="F225" s="8"/>
      <c r="G225" s="8" t="s">
        <v>1060</v>
      </c>
      <c r="H225" s="13">
        <v>1.95</v>
      </c>
      <c r="I225" s="13">
        <v>0.8</v>
      </c>
      <c r="J225" s="13" t="s">
        <v>1762</v>
      </c>
      <c r="K225" s="13">
        <v>2.75</v>
      </c>
      <c r="L225" s="8"/>
      <c r="M225" s="280"/>
      <c r="N225" s="280"/>
    </row>
    <row r="226" spans="1:14">
      <c r="A226" s="287"/>
      <c r="B226" s="8"/>
      <c r="C226" s="8"/>
      <c r="D226" s="285"/>
      <c r="E226" s="8"/>
      <c r="F226" s="8"/>
      <c r="G226" s="8" t="s">
        <v>503</v>
      </c>
      <c r="H226" s="13">
        <v>2.03</v>
      </c>
      <c r="I226" s="13">
        <v>0.95</v>
      </c>
      <c r="J226" s="289" t="s">
        <v>24</v>
      </c>
      <c r="K226" s="289" t="s">
        <v>24</v>
      </c>
      <c r="L226" s="8"/>
      <c r="M226" s="280"/>
      <c r="N226" s="280"/>
    </row>
    <row r="227" spans="1:14">
      <c r="A227" s="9">
        <v>45371</v>
      </c>
      <c r="B227" s="8" t="s">
        <v>1834</v>
      </c>
      <c r="C227" s="8" t="s">
        <v>462</v>
      </c>
      <c r="D227" s="282">
        <v>10</v>
      </c>
      <c r="E227" s="8" t="s">
        <v>1754</v>
      </c>
      <c r="F227" s="8" t="s">
        <v>1768</v>
      </c>
      <c r="G227" s="8" t="s">
        <v>1064</v>
      </c>
      <c r="H227" s="13">
        <v>1.52</v>
      </c>
      <c r="I227" s="13">
        <v>8</v>
      </c>
      <c r="J227" s="13" t="s">
        <v>1744</v>
      </c>
      <c r="K227" s="13">
        <v>2.6</v>
      </c>
      <c r="L227" s="8" t="s">
        <v>35</v>
      </c>
      <c r="M227" s="280"/>
      <c r="N227" s="280"/>
    </row>
    <row r="228" spans="1:14">
      <c r="A228" s="287"/>
      <c r="B228" s="8"/>
      <c r="C228" s="8"/>
      <c r="D228" s="285"/>
      <c r="E228" s="8"/>
      <c r="F228" s="8"/>
      <c r="G228" s="8" t="s">
        <v>1060</v>
      </c>
      <c r="H228" s="13">
        <v>1.52</v>
      </c>
      <c r="I228" s="13">
        <v>0.5</v>
      </c>
      <c r="J228" s="13" t="s">
        <v>1762</v>
      </c>
      <c r="K228" s="13">
        <v>2.7</v>
      </c>
      <c r="L228" s="8"/>
      <c r="M228" s="280"/>
      <c r="N228" s="280"/>
    </row>
    <row r="229" spans="1:14">
      <c r="A229" s="287"/>
      <c r="B229" s="8"/>
      <c r="C229" s="8"/>
      <c r="D229" s="285"/>
      <c r="E229" s="8"/>
      <c r="F229" s="8"/>
      <c r="G229" s="8" t="s">
        <v>503</v>
      </c>
      <c r="H229" s="13">
        <v>1.52</v>
      </c>
      <c r="I229" s="13">
        <v>1.5</v>
      </c>
      <c r="J229" s="289" t="s">
        <v>24</v>
      </c>
      <c r="K229" s="289" t="s">
        <v>24</v>
      </c>
      <c r="L229" s="8"/>
      <c r="M229" s="280"/>
      <c r="N229" s="280"/>
    </row>
    <row r="230" spans="1:14">
      <c r="A230" s="9">
        <v>45372</v>
      </c>
      <c r="B230" s="8" t="s">
        <v>1835</v>
      </c>
      <c r="C230" s="8" t="s">
        <v>459</v>
      </c>
      <c r="D230" s="282">
        <v>3</v>
      </c>
      <c r="E230" s="8" t="s">
        <v>1754</v>
      </c>
      <c r="F230" s="8" t="s">
        <v>460</v>
      </c>
      <c r="G230" s="8" t="s">
        <v>1064</v>
      </c>
      <c r="H230" s="13">
        <v>1.03</v>
      </c>
      <c r="I230" s="13">
        <v>2.51</v>
      </c>
      <c r="J230" s="13" t="s">
        <v>1744</v>
      </c>
      <c r="K230" s="13">
        <v>2.55</v>
      </c>
      <c r="L230" s="8" t="s">
        <v>27</v>
      </c>
      <c r="M230" s="280"/>
      <c r="N230" s="280"/>
    </row>
    <row r="231" spans="1:14">
      <c r="A231" s="287"/>
      <c r="B231" s="8"/>
      <c r="C231" s="8"/>
      <c r="D231" s="285"/>
      <c r="E231" s="8"/>
      <c r="F231" s="8"/>
      <c r="G231" s="8" t="s">
        <v>1060</v>
      </c>
      <c r="H231" s="13">
        <v>1.03</v>
      </c>
      <c r="I231" s="13">
        <v>0.18</v>
      </c>
      <c r="J231" s="13" t="s">
        <v>1762</v>
      </c>
      <c r="K231" s="13">
        <v>2.6</v>
      </c>
      <c r="L231" s="8"/>
      <c r="M231" s="280"/>
      <c r="N231" s="280"/>
    </row>
    <row r="232" spans="1:14">
      <c r="A232" s="287"/>
      <c r="B232" s="8"/>
      <c r="C232" s="8"/>
      <c r="D232" s="285"/>
      <c r="E232" s="8"/>
      <c r="F232" s="8"/>
      <c r="G232" s="8" t="s">
        <v>1086</v>
      </c>
      <c r="H232" s="13">
        <v>1.53</v>
      </c>
      <c r="I232" s="13">
        <v>0.16</v>
      </c>
      <c r="J232" s="289" t="s">
        <v>24</v>
      </c>
      <c r="K232" s="289" t="s">
        <v>24</v>
      </c>
      <c r="L232" s="8"/>
      <c r="M232" s="280"/>
      <c r="N232" s="280"/>
    </row>
    <row r="233" spans="1:14">
      <c r="A233" s="287"/>
      <c r="B233" s="8"/>
      <c r="C233" s="8"/>
      <c r="D233" s="285"/>
      <c r="E233" s="8"/>
      <c r="F233" s="8"/>
      <c r="G233" s="8" t="s">
        <v>1087</v>
      </c>
      <c r="H233" s="13">
        <v>1.53</v>
      </c>
      <c r="I233" s="13">
        <v>0.15</v>
      </c>
      <c r="J233" s="289" t="s">
        <v>24</v>
      </c>
      <c r="K233" s="289" t="s">
        <v>24</v>
      </c>
      <c r="L233" s="8"/>
      <c r="M233" s="280"/>
      <c r="N233" s="280"/>
    </row>
    <row r="234" spans="1:14">
      <c r="A234" s="9">
        <v>45370</v>
      </c>
      <c r="B234" s="8" t="s">
        <v>1836</v>
      </c>
      <c r="C234" s="8" t="s">
        <v>459</v>
      </c>
      <c r="D234" s="282">
        <v>4</v>
      </c>
      <c r="E234" s="8" t="s">
        <v>1754</v>
      </c>
      <c r="F234" s="8" t="s">
        <v>1768</v>
      </c>
      <c r="G234" s="8" t="s">
        <v>1064</v>
      </c>
      <c r="H234" s="13">
        <v>1.03</v>
      </c>
      <c r="I234" s="13">
        <v>3.46</v>
      </c>
      <c r="J234" s="13" t="s">
        <v>1744</v>
      </c>
      <c r="K234" s="13">
        <v>2.46</v>
      </c>
      <c r="L234" s="8" t="s">
        <v>27</v>
      </c>
      <c r="M234" s="280"/>
      <c r="N234" s="280"/>
    </row>
    <row r="235" spans="1:14">
      <c r="A235" s="287"/>
      <c r="B235" s="8"/>
      <c r="C235" s="8"/>
      <c r="D235" s="285"/>
      <c r="E235" s="8"/>
      <c r="F235" s="8"/>
      <c r="G235" s="8" t="s">
        <v>1060</v>
      </c>
      <c r="H235" s="13">
        <v>1.03</v>
      </c>
      <c r="I235" s="13">
        <v>0.22</v>
      </c>
      <c r="J235" s="13" t="s">
        <v>1762</v>
      </c>
      <c r="K235" s="13">
        <v>2.67</v>
      </c>
      <c r="L235" s="8"/>
      <c r="M235" s="280"/>
      <c r="N235" s="280"/>
    </row>
    <row r="236" spans="1:14">
      <c r="A236" s="287"/>
      <c r="B236" s="8"/>
      <c r="C236" s="8"/>
      <c r="D236" s="285"/>
      <c r="E236" s="8"/>
      <c r="F236" s="8"/>
      <c r="G236" s="8" t="s">
        <v>1086</v>
      </c>
      <c r="H236" s="13">
        <v>1.7</v>
      </c>
      <c r="I236" s="13">
        <v>0.12</v>
      </c>
      <c r="J236" s="289" t="s">
        <v>24</v>
      </c>
      <c r="K236" s="289" t="s">
        <v>24</v>
      </c>
      <c r="L236" s="8"/>
      <c r="M236" s="280"/>
      <c r="N236" s="280"/>
    </row>
    <row r="237" spans="1:14">
      <c r="A237" s="287"/>
      <c r="B237" s="8"/>
      <c r="C237" s="8"/>
      <c r="D237" s="285"/>
      <c r="E237" s="8"/>
      <c r="F237" s="8"/>
      <c r="G237" s="8" t="s">
        <v>1087</v>
      </c>
      <c r="H237" s="13">
        <v>1.7</v>
      </c>
      <c r="I237" s="13">
        <v>0.2</v>
      </c>
      <c r="J237" s="289" t="s">
        <v>24</v>
      </c>
      <c r="K237" s="289" t="s">
        <v>24</v>
      </c>
      <c r="L237" s="8"/>
      <c r="M237" s="280"/>
      <c r="N237" s="280"/>
    </row>
    <row r="238" spans="1:14">
      <c r="A238" s="9">
        <v>45372</v>
      </c>
      <c r="B238" s="8" t="s">
        <v>1837</v>
      </c>
      <c r="C238" s="8" t="s">
        <v>462</v>
      </c>
      <c r="D238" s="282">
        <v>3.92</v>
      </c>
      <c r="E238" s="8" t="s">
        <v>486</v>
      </c>
      <c r="F238" s="8" t="s">
        <v>460</v>
      </c>
      <c r="G238" s="8" t="s">
        <v>1058</v>
      </c>
      <c r="H238" s="13">
        <v>0.93</v>
      </c>
      <c r="I238" s="13">
        <v>1.24</v>
      </c>
      <c r="J238" s="13" t="s">
        <v>1744</v>
      </c>
      <c r="K238" s="13">
        <v>2.5</v>
      </c>
      <c r="L238" s="8" t="s">
        <v>435</v>
      </c>
      <c r="M238" s="280"/>
      <c r="N238" s="280"/>
    </row>
    <row r="239" spans="1:14">
      <c r="A239" s="287"/>
      <c r="B239" s="8"/>
      <c r="C239" s="8"/>
      <c r="D239" s="285"/>
      <c r="E239" s="8"/>
      <c r="F239" s="8"/>
      <c r="G239" s="8" t="s">
        <v>1059</v>
      </c>
      <c r="H239" s="13">
        <v>1.93</v>
      </c>
      <c r="I239" s="13">
        <v>1.32</v>
      </c>
      <c r="J239" s="13" t="s">
        <v>1744</v>
      </c>
      <c r="K239" s="13">
        <v>2.8</v>
      </c>
      <c r="L239" s="8"/>
      <c r="M239" s="280"/>
      <c r="N239" s="280"/>
    </row>
    <row r="240" spans="1:14">
      <c r="A240" s="287"/>
      <c r="B240" s="8"/>
      <c r="C240" s="8"/>
      <c r="D240" s="285"/>
      <c r="E240" s="8"/>
      <c r="F240" s="8"/>
      <c r="G240" s="8" t="s">
        <v>1099</v>
      </c>
      <c r="H240" s="13">
        <v>2.84</v>
      </c>
      <c r="I240" s="13">
        <v>1.24</v>
      </c>
      <c r="J240" s="13" t="s">
        <v>1744</v>
      </c>
      <c r="K240" s="13">
        <v>2.95</v>
      </c>
      <c r="L240" s="8"/>
      <c r="M240" s="280"/>
      <c r="N240" s="280"/>
    </row>
    <row r="241" spans="1:14">
      <c r="A241" s="287"/>
      <c r="B241" s="8"/>
      <c r="C241" s="8"/>
      <c r="D241" s="285"/>
      <c r="E241" s="8"/>
      <c r="F241" s="8"/>
      <c r="G241" s="8" t="s">
        <v>1087</v>
      </c>
      <c r="H241" s="13">
        <v>2.93</v>
      </c>
      <c r="I241" s="13">
        <v>0.121</v>
      </c>
      <c r="J241" s="289" t="s">
        <v>24</v>
      </c>
      <c r="K241" s="289" t="s">
        <v>24</v>
      </c>
      <c r="L241" s="8"/>
      <c r="M241" s="280"/>
      <c r="N241" s="280"/>
    </row>
    <row r="242" spans="1:14">
      <c r="A242" s="9">
        <v>45373</v>
      </c>
      <c r="B242" s="8" t="s">
        <v>1838</v>
      </c>
      <c r="C242" s="8" t="s">
        <v>462</v>
      </c>
      <c r="D242" s="282">
        <v>6</v>
      </c>
      <c r="E242" s="8" t="s">
        <v>486</v>
      </c>
      <c r="F242" s="8" t="s">
        <v>543</v>
      </c>
      <c r="G242" s="8" t="s">
        <v>1058</v>
      </c>
      <c r="H242" s="13">
        <v>0.99</v>
      </c>
      <c r="I242" s="13">
        <v>1.8</v>
      </c>
      <c r="J242" s="13" t="s">
        <v>1744</v>
      </c>
      <c r="K242" s="13">
        <v>2.8</v>
      </c>
      <c r="L242" s="8" t="s">
        <v>1082</v>
      </c>
      <c r="M242" s="280"/>
      <c r="N242" s="280"/>
    </row>
    <row r="243" spans="1:14">
      <c r="A243" s="287"/>
      <c r="B243" s="8"/>
      <c r="C243" s="8"/>
      <c r="D243" s="285"/>
      <c r="E243" s="8"/>
      <c r="F243" s="8"/>
      <c r="G243" s="8" t="s">
        <v>1059</v>
      </c>
      <c r="H243" s="13">
        <v>0.99</v>
      </c>
      <c r="I243" s="13">
        <v>2.4</v>
      </c>
      <c r="J243" s="13" t="s">
        <v>1744</v>
      </c>
      <c r="K243" s="13">
        <v>3.4</v>
      </c>
      <c r="L243" s="8"/>
      <c r="M243" s="280"/>
      <c r="N243" s="280"/>
    </row>
    <row r="244" spans="1:14">
      <c r="A244" s="287"/>
      <c r="B244" s="8"/>
      <c r="C244" s="8"/>
      <c r="D244" s="285"/>
      <c r="E244" s="8"/>
      <c r="F244" s="8"/>
      <c r="G244" s="8" t="s">
        <v>1099</v>
      </c>
      <c r="H244" s="13">
        <v>2.98</v>
      </c>
      <c r="I244" s="13">
        <v>1.71</v>
      </c>
      <c r="J244" s="13" t="s">
        <v>1744</v>
      </c>
      <c r="K244" s="13">
        <v>5</v>
      </c>
      <c r="L244" s="8"/>
      <c r="M244" s="280"/>
      <c r="N244" s="280"/>
    </row>
    <row r="245" spans="1:14">
      <c r="A245" s="287"/>
      <c r="B245" s="8"/>
      <c r="C245" s="8"/>
      <c r="D245" s="285"/>
      <c r="E245" s="8"/>
      <c r="F245" s="8"/>
      <c r="G245" s="8" t="s">
        <v>503</v>
      </c>
      <c r="H245" s="13">
        <v>2.99</v>
      </c>
      <c r="I245" s="13">
        <v>0.09</v>
      </c>
      <c r="J245" s="289" t="s">
        <v>24</v>
      </c>
      <c r="K245" s="289" t="s">
        <v>24</v>
      </c>
      <c r="L245" s="8"/>
      <c r="M245" s="280"/>
      <c r="N245" s="280"/>
    </row>
    <row r="246" spans="1:14">
      <c r="A246" s="9">
        <v>45373</v>
      </c>
      <c r="B246" s="8" t="s">
        <v>1839</v>
      </c>
      <c r="C246" s="8" t="s">
        <v>459</v>
      </c>
      <c r="D246" s="282">
        <v>3</v>
      </c>
      <c r="E246" s="8" t="s">
        <v>1136</v>
      </c>
      <c r="F246" s="8" t="s">
        <v>1820</v>
      </c>
      <c r="G246" s="8" t="s">
        <v>1064</v>
      </c>
      <c r="H246" s="13">
        <v>1.01</v>
      </c>
      <c r="I246" s="13">
        <v>2.6</v>
      </c>
      <c r="J246" s="13" t="s">
        <v>1744</v>
      </c>
      <c r="K246" s="13">
        <v>2.46</v>
      </c>
      <c r="L246" s="8" t="s">
        <v>27</v>
      </c>
      <c r="M246" s="280"/>
      <c r="N246" s="280"/>
    </row>
    <row r="247" spans="1:14">
      <c r="A247" s="287"/>
      <c r="B247" s="8"/>
      <c r="C247" s="8"/>
      <c r="D247" s="285"/>
      <c r="E247" s="8"/>
      <c r="F247" s="8"/>
      <c r="G247" s="8" t="s">
        <v>1060</v>
      </c>
      <c r="H247" s="13">
        <v>1.01</v>
      </c>
      <c r="I247" s="13">
        <v>0.16</v>
      </c>
      <c r="J247" s="13" t="s">
        <v>1762</v>
      </c>
      <c r="K247" s="13">
        <v>2.65</v>
      </c>
      <c r="L247" s="8"/>
      <c r="M247" s="280"/>
      <c r="N247" s="280"/>
    </row>
    <row r="248" spans="1:14">
      <c r="A248" s="287"/>
      <c r="B248" s="8"/>
      <c r="C248" s="8"/>
      <c r="D248" s="285"/>
      <c r="E248" s="8"/>
      <c r="F248" s="8"/>
      <c r="G248" s="8" t="s">
        <v>503</v>
      </c>
      <c r="H248" s="13">
        <v>1.6</v>
      </c>
      <c r="I248" s="13">
        <v>0.09</v>
      </c>
      <c r="J248" s="289" t="s">
        <v>24</v>
      </c>
      <c r="K248" s="289" t="s">
        <v>24</v>
      </c>
      <c r="L248" s="8"/>
      <c r="M248" s="280"/>
      <c r="N248" s="280"/>
    </row>
    <row r="249" spans="1:14">
      <c r="A249" s="287"/>
      <c r="B249" s="8"/>
      <c r="C249" s="8"/>
      <c r="D249" s="285"/>
      <c r="E249" s="8"/>
      <c r="F249" s="8"/>
      <c r="G249" s="8" t="s">
        <v>503</v>
      </c>
      <c r="H249" s="13">
        <v>1.6</v>
      </c>
      <c r="I249" s="13">
        <v>0.15</v>
      </c>
      <c r="J249" s="289" t="s">
        <v>24</v>
      </c>
      <c r="K249" s="289" t="s">
        <v>24</v>
      </c>
      <c r="L249" s="8"/>
      <c r="M249" s="280"/>
      <c r="N249" s="280"/>
    </row>
    <row r="250" spans="1:14">
      <c r="A250" s="9">
        <v>45377</v>
      </c>
      <c r="B250" s="8" t="s">
        <v>1840</v>
      </c>
      <c r="C250" s="8" t="s">
        <v>462</v>
      </c>
      <c r="D250" s="282">
        <v>5</v>
      </c>
      <c r="E250" s="8" t="s">
        <v>1079</v>
      </c>
      <c r="F250" s="8" t="s">
        <v>1768</v>
      </c>
      <c r="G250" s="8" t="s">
        <v>1064</v>
      </c>
      <c r="H250" s="13">
        <v>1.01</v>
      </c>
      <c r="I250" s="13">
        <v>4.15</v>
      </c>
      <c r="J250" s="13" t="s">
        <v>1744</v>
      </c>
      <c r="K250" s="13">
        <v>2.57</v>
      </c>
      <c r="L250" s="8" t="s">
        <v>35</v>
      </c>
      <c r="M250" s="280"/>
      <c r="N250" s="280"/>
    </row>
    <row r="251" spans="1:14">
      <c r="A251" s="287"/>
      <c r="B251" s="8"/>
      <c r="C251" s="8"/>
      <c r="D251" s="285"/>
      <c r="E251" s="8"/>
      <c r="F251" s="8"/>
      <c r="G251" s="8" t="s">
        <v>1060</v>
      </c>
      <c r="H251" s="13">
        <v>1.01</v>
      </c>
      <c r="I251" s="13">
        <v>0.2</v>
      </c>
      <c r="J251" s="13" t="s">
        <v>1762</v>
      </c>
      <c r="K251" s="13">
        <v>2.68</v>
      </c>
      <c r="L251" s="8"/>
      <c r="M251" s="280"/>
      <c r="N251" s="280"/>
    </row>
    <row r="252" spans="1:14">
      <c r="A252" s="287"/>
      <c r="B252" s="8"/>
      <c r="C252" s="8"/>
      <c r="D252" s="285"/>
      <c r="E252" s="8"/>
      <c r="F252" s="8"/>
      <c r="G252" s="8" t="s">
        <v>503</v>
      </c>
      <c r="H252" s="13">
        <v>1.01</v>
      </c>
      <c r="I252" s="13">
        <v>0.65</v>
      </c>
      <c r="J252" s="289" t="s">
        <v>24</v>
      </c>
      <c r="K252" s="289" t="s">
        <v>24</v>
      </c>
      <c r="L252" s="8"/>
      <c r="M252" s="280"/>
      <c r="N252" s="280"/>
    </row>
    <row r="253" spans="1:14">
      <c r="A253" s="9">
        <v>45377</v>
      </c>
      <c r="B253" s="8" t="s">
        <v>1841</v>
      </c>
      <c r="C253" s="8" t="s">
        <v>462</v>
      </c>
      <c r="D253" s="282">
        <v>1.77</v>
      </c>
      <c r="E253" s="8" t="s">
        <v>492</v>
      </c>
      <c r="F253" s="8" t="s">
        <v>1779</v>
      </c>
      <c r="G253" s="8" t="s">
        <v>1064</v>
      </c>
      <c r="H253" s="13">
        <v>0.97</v>
      </c>
      <c r="I253" s="13">
        <v>1.59</v>
      </c>
      <c r="J253" s="13" t="s">
        <v>1744</v>
      </c>
      <c r="K253" s="13">
        <v>3.2</v>
      </c>
      <c r="L253" s="8" t="s">
        <v>1842</v>
      </c>
      <c r="M253" s="280"/>
      <c r="N253" s="280"/>
    </row>
    <row r="254" spans="1:14">
      <c r="A254" s="287"/>
      <c r="B254" s="8"/>
      <c r="C254" s="8"/>
      <c r="D254" s="285"/>
      <c r="E254" s="8"/>
      <c r="F254" s="8"/>
      <c r="G254" s="8" t="s">
        <v>1060</v>
      </c>
      <c r="H254" s="13">
        <v>0.97</v>
      </c>
      <c r="I254" s="13">
        <v>0.09</v>
      </c>
      <c r="J254" s="13" t="s">
        <v>1762</v>
      </c>
      <c r="K254" s="13">
        <v>5.2</v>
      </c>
      <c r="L254" s="8"/>
      <c r="M254" s="280"/>
      <c r="N254" s="280"/>
    </row>
    <row r="255" spans="1:14">
      <c r="A255" s="287"/>
      <c r="B255" s="8"/>
      <c r="C255" s="8"/>
      <c r="D255" s="285"/>
      <c r="E255" s="8"/>
      <c r="F255" s="8"/>
      <c r="G255" s="8" t="s">
        <v>503</v>
      </c>
      <c r="H255" s="13">
        <v>0.97</v>
      </c>
      <c r="I255" s="13">
        <v>0.09</v>
      </c>
      <c r="J255" s="289" t="s">
        <v>24</v>
      </c>
      <c r="K255" s="286" t="s">
        <v>24</v>
      </c>
      <c r="L255" s="8"/>
      <c r="M255" s="280"/>
      <c r="N255" s="280"/>
    </row>
    <row r="256" spans="1:14">
      <c r="A256" s="9">
        <v>45377</v>
      </c>
      <c r="B256" s="8" t="s">
        <v>1843</v>
      </c>
      <c r="C256" s="8" t="s">
        <v>462</v>
      </c>
      <c r="D256" s="282">
        <v>10</v>
      </c>
      <c r="E256" s="8" t="s">
        <v>1776</v>
      </c>
      <c r="F256" s="8" t="s">
        <v>486</v>
      </c>
      <c r="G256" s="8" t="s">
        <v>1058</v>
      </c>
      <c r="H256" s="13">
        <v>1.18</v>
      </c>
      <c r="I256" s="13">
        <v>4.16</v>
      </c>
      <c r="J256" s="8" t="s">
        <v>1844</v>
      </c>
      <c r="K256" s="13">
        <v>3.4</v>
      </c>
      <c r="L256" s="13">
        <v>360</v>
      </c>
      <c r="M256" s="280"/>
      <c r="N256" s="280"/>
    </row>
    <row r="257" spans="1:14">
      <c r="A257" s="287"/>
      <c r="B257" s="8"/>
      <c r="C257" s="8"/>
      <c r="D257" s="285"/>
      <c r="E257" s="8"/>
      <c r="F257" s="8"/>
      <c r="G257" s="8" t="s">
        <v>1059</v>
      </c>
      <c r="H257" s="13">
        <v>1.18</v>
      </c>
      <c r="I257" s="13">
        <v>4.16</v>
      </c>
      <c r="J257" s="8" t="s">
        <v>1844</v>
      </c>
      <c r="K257" s="13">
        <v>3.46</v>
      </c>
      <c r="L257" s="289"/>
      <c r="M257" s="280"/>
      <c r="N257" s="280"/>
    </row>
    <row r="258" spans="1:14">
      <c r="A258" s="287"/>
      <c r="B258" s="8"/>
      <c r="C258" s="8"/>
      <c r="D258" s="285"/>
      <c r="E258" s="8"/>
      <c r="F258" s="8"/>
      <c r="G258" s="8" t="s">
        <v>1060</v>
      </c>
      <c r="H258" s="13">
        <v>1.18</v>
      </c>
      <c r="I258" s="13">
        <v>1</v>
      </c>
      <c r="J258" s="8" t="s">
        <v>1844</v>
      </c>
      <c r="K258" s="13">
        <v>5.2</v>
      </c>
      <c r="L258" s="289"/>
      <c r="M258" s="280"/>
      <c r="N258" s="280"/>
    </row>
    <row r="259" spans="1:14">
      <c r="A259" s="287"/>
      <c r="B259" s="8"/>
      <c r="C259" s="8"/>
      <c r="D259" s="285"/>
      <c r="E259" s="8"/>
      <c r="F259" s="8"/>
      <c r="G259" s="8" t="s">
        <v>503</v>
      </c>
      <c r="H259" s="13">
        <v>1.18</v>
      </c>
      <c r="I259" s="13">
        <v>0.68</v>
      </c>
      <c r="J259" s="289" t="s">
        <v>24</v>
      </c>
      <c r="K259" s="286" t="s">
        <v>24</v>
      </c>
      <c r="L259" s="289"/>
      <c r="M259" s="280"/>
      <c r="N259" s="280"/>
    </row>
    <row r="260" spans="1:14">
      <c r="A260" s="9">
        <v>45378</v>
      </c>
      <c r="B260" s="8" t="s">
        <v>1845</v>
      </c>
      <c r="C260" s="8" t="s">
        <v>462</v>
      </c>
      <c r="D260" s="282">
        <v>18</v>
      </c>
      <c r="E260" s="8" t="s">
        <v>1235</v>
      </c>
      <c r="F260" s="8" t="s">
        <v>1091</v>
      </c>
      <c r="G260" s="8" t="s">
        <v>1064</v>
      </c>
      <c r="H260" s="13">
        <v>1.01</v>
      </c>
      <c r="I260" s="13">
        <v>16.236</v>
      </c>
      <c r="J260" s="13" t="s">
        <v>1744</v>
      </c>
      <c r="K260" s="13">
        <v>2.42</v>
      </c>
      <c r="L260" s="8" t="s">
        <v>1236</v>
      </c>
      <c r="M260" s="280"/>
      <c r="N260" s="280"/>
    </row>
    <row r="261" spans="1:14">
      <c r="A261" s="287"/>
      <c r="B261" s="8"/>
      <c r="C261" s="8"/>
      <c r="D261" s="285"/>
      <c r="E261" s="8"/>
      <c r="F261" s="8"/>
      <c r="G261" s="8" t="s">
        <v>1060</v>
      </c>
      <c r="H261" s="13">
        <v>1.01</v>
      </c>
      <c r="I261" s="13">
        <v>1.404</v>
      </c>
      <c r="J261" s="13" t="s">
        <v>505</v>
      </c>
      <c r="K261" s="13">
        <v>11.5</v>
      </c>
      <c r="L261" s="8"/>
      <c r="M261" s="280"/>
      <c r="N261" s="280"/>
    </row>
    <row r="262" spans="1:14">
      <c r="A262" s="287"/>
      <c r="B262" s="8"/>
      <c r="C262" s="8"/>
      <c r="D262" s="285"/>
      <c r="E262" s="8"/>
      <c r="F262" s="8"/>
      <c r="G262" s="8" t="s">
        <v>1061</v>
      </c>
      <c r="H262" s="13">
        <v>1.01</v>
      </c>
      <c r="I262" s="13">
        <v>0.36</v>
      </c>
      <c r="J262" s="13" t="s">
        <v>1746</v>
      </c>
      <c r="K262" s="286" t="s">
        <v>24</v>
      </c>
      <c r="L262" s="8"/>
      <c r="M262" s="280"/>
      <c r="N262" s="280"/>
    </row>
    <row r="263" spans="1:14">
      <c r="A263" s="9">
        <v>45379</v>
      </c>
      <c r="B263" s="8" t="s">
        <v>1846</v>
      </c>
      <c r="C263" s="8" t="s">
        <v>459</v>
      </c>
      <c r="D263" s="282">
        <v>20</v>
      </c>
      <c r="E263" s="8" t="s">
        <v>1066</v>
      </c>
      <c r="F263" s="8" t="s">
        <v>1091</v>
      </c>
      <c r="G263" s="8" t="s">
        <v>1058</v>
      </c>
      <c r="H263" s="13">
        <v>1</v>
      </c>
      <c r="I263" s="13">
        <v>17.8</v>
      </c>
      <c r="J263" s="13" t="s">
        <v>1744</v>
      </c>
      <c r="K263" s="13">
        <v>2.5</v>
      </c>
      <c r="L263" s="8" t="s">
        <v>35</v>
      </c>
      <c r="M263" s="280"/>
      <c r="N263" s="280"/>
    </row>
    <row r="264" spans="1:14">
      <c r="A264" s="287"/>
      <c r="B264" s="8"/>
      <c r="C264" s="8"/>
      <c r="D264" s="285"/>
      <c r="E264" s="8"/>
      <c r="F264" s="8"/>
      <c r="G264" s="8" t="s">
        <v>1847</v>
      </c>
      <c r="H264" s="13">
        <v>1</v>
      </c>
      <c r="I264" s="13">
        <v>0.6</v>
      </c>
      <c r="J264" s="13" t="s">
        <v>1762</v>
      </c>
      <c r="K264" s="13">
        <v>2.75</v>
      </c>
      <c r="L264" s="8"/>
      <c r="M264" s="280"/>
      <c r="N264" s="280"/>
    </row>
    <row r="265" spans="1:14">
      <c r="A265" s="287"/>
      <c r="B265" s="8"/>
      <c r="C265" s="8"/>
      <c r="D265" s="285"/>
      <c r="E265" s="8"/>
      <c r="F265" s="8"/>
      <c r="G265" s="8" t="s">
        <v>503</v>
      </c>
      <c r="H265" s="13">
        <v>2.99</v>
      </c>
      <c r="I265" s="13">
        <v>1.6</v>
      </c>
      <c r="J265" s="289" t="s">
        <v>24</v>
      </c>
      <c r="K265" s="289" t="s">
        <v>24</v>
      </c>
      <c r="L265" s="8"/>
      <c r="M265" s="280"/>
      <c r="N265" s="280"/>
    </row>
    <row r="266" spans="1:14">
      <c r="A266" s="9">
        <v>45379</v>
      </c>
      <c r="B266" s="8" t="s">
        <v>1848</v>
      </c>
      <c r="C266" s="8" t="s">
        <v>459</v>
      </c>
      <c r="D266" s="282">
        <v>10</v>
      </c>
      <c r="E266" s="8" t="s">
        <v>1066</v>
      </c>
      <c r="F266" s="8" t="s">
        <v>1140</v>
      </c>
      <c r="G266" s="8" t="s">
        <v>1058</v>
      </c>
      <c r="H266" s="13">
        <v>1</v>
      </c>
      <c r="I266" s="13">
        <v>8.9</v>
      </c>
      <c r="J266" s="13" t="s">
        <v>1744</v>
      </c>
      <c r="K266" s="13">
        <v>2.49</v>
      </c>
      <c r="L266" s="8" t="s">
        <v>35</v>
      </c>
      <c r="M266" s="280"/>
      <c r="N266" s="280"/>
    </row>
    <row r="267" spans="1:14">
      <c r="A267" s="287"/>
      <c r="B267" s="8"/>
      <c r="C267" s="8"/>
      <c r="D267" s="285"/>
      <c r="E267" s="8"/>
      <c r="F267" s="8"/>
      <c r="G267" s="8" t="s">
        <v>1847</v>
      </c>
      <c r="H267" s="13">
        <v>1</v>
      </c>
      <c r="I267" s="13">
        <v>0.3</v>
      </c>
      <c r="J267" s="13" t="s">
        <v>1762</v>
      </c>
      <c r="K267" s="13">
        <v>2.75</v>
      </c>
      <c r="L267" s="8"/>
      <c r="M267" s="280"/>
      <c r="N267" s="280"/>
    </row>
    <row r="268" spans="1:14">
      <c r="A268" s="287"/>
      <c r="B268" s="8"/>
      <c r="C268" s="8"/>
      <c r="D268" s="285"/>
      <c r="E268" s="8"/>
      <c r="F268" s="8"/>
      <c r="G268" s="8" t="s">
        <v>503</v>
      </c>
      <c r="H268" s="13">
        <v>2.99</v>
      </c>
      <c r="I268" s="13">
        <v>0.8</v>
      </c>
      <c r="J268" s="289" t="s">
        <v>24</v>
      </c>
      <c r="K268" s="289" t="s">
        <v>24</v>
      </c>
      <c r="L268" s="8"/>
      <c r="M268" s="280"/>
      <c r="N268" s="280"/>
    </row>
    <row r="269" spans="1:14">
      <c r="A269" s="9">
        <v>45379</v>
      </c>
      <c r="B269" s="8" t="s">
        <v>1849</v>
      </c>
      <c r="C269" s="8" t="s">
        <v>459</v>
      </c>
      <c r="D269" s="282">
        <v>10</v>
      </c>
      <c r="E269" s="8" t="s">
        <v>1066</v>
      </c>
      <c r="F269" s="8" t="s">
        <v>543</v>
      </c>
      <c r="G269" s="8" t="s">
        <v>1064</v>
      </c>
      <c r="H269" s="13">
        <v>1.08</v>
      </c>
      <c r="I269" s="13">
        <v>8.9</v>
      </c>
      <c r="J269" s="13" t="s">
        <v>1744</v>
      </c>
      <c r="K269" s="13">
        <v>2.53</v>
      </c>
      <c r="L269" s="8" t="s">
        <v>35</v>
      </c>
      <c r="M269" s="280"/>
      <c r="N269" s="280"/>
    </row>
    <row r="270" spans="1:14">
      <c r="A270" s="287"/>
      <c r="B270" s="8"/>
      <c r="C270" s="8"/>
      <c r="D270" s="285"/>
      <c r="E270" s="8"/>
      <c r="F270" s="8"/>
      <c r="G270" s="8" t="s">
        <v>1060</v>
      </c>
      <c r="H270" s="13">
        <v>1.08</v>
      </c>
      <c r="I270" s="13">
        <v>0.3</v>
      </c>
      <c r="J270" s="13" t="s">
        <v>1762</v>
      </c>
      <c r="K270" s="13">
        <v>2.75</v>
      </c>
      <c r="L270" s="8"/>
      <c r="M270" s="280"/>
      <c r="N270" s="280"/>
    </row>
    <row r="271" spans="1:14">
      <c r="A271" s="287"/>
      <c r="B271" s="8"/>
      <c r="C271" s="8"/>
      <c r="D271" s="285"/>
      <c r="E271" s="8"/>
      <c r="F271" s="8"/>
      <c r="G271" s="8" t="s">
        <v>503</v>
      </c>
      <c r="H271" s="13">
        <v>1.99</v>
      </c>
      <c r="I271" s="13">
        <v>0.8</v>
      </c>
      <c r="J271" s="289" t="s">
        <v>24</v>
      </c>
      <c r="K271" s="289" t="s">
        <v>24</v>
      </c>
      <c r="L271" s="8"/>
      <c r="M271" s="280"/>
      <c r="N271" s="280"/>
    </row>
    <row r="272" spans="1:14">
      <c r="A272" s="9">
        <v>45380</v>
      </c>
      <c r="B272" s="8" t="s">
        <v>1850</v>
      </c>
      <c r="C272" s="8" t="s">
        <v>462</v>
      </c>
      <c r="D272" s="282">
        <v>10</v>
      </c>
      <c r="E272" s="8" t="s">
        <v>1066</v>
      </c>
      <c r="F272" s="8" t="s">
        <v>1054</v>
      </c>
      <c r="G272" s="8" t="s">
        <v>1064</v>
      </c>
      <c r="H272" s="13">
        <v>1.99</v>
      </c>
      <c r="I272" s="13">
        <v>8.7</v>
      </c>
      <c r="J272" s="13" t="s">
        <v>1744</v>
      </c>
      <c r="K272" s="13">
        <v>2.75</v>
      </c>
      <c r="L272" s="8" t="s">
        <v>35</v>
      </c>
      <c r="M272" s="280"/>
      <c r="N272" s="280"/>
    </row>
    <row r="273" spans="1:14">
      <c r="A273" s="287"/>
      <c r="B273" s="8"/>
      <c r="C273" s="8"/>
      <c r="D273" s="285"/>
      <c r="E273" s="8"/>
      <c r="F273" s="8"/>
      <c r="G273" s="8" t="s">
        <v>1060</v>
      </c>
      <c r="H273" s="13">
        <v>2.08</v>
      </c>
      <c r="I273" s="13">
        <v>0.4</v>
      </c>
      <c r="J273" s="13" t="s">
        <v>1762</v>
      </c>
      <c r="K273" s="13">
        <v>2.9</v>
      </c>
      <c r="L273" s="8"/>
      <c r="M273" s="280"/>
      <c r="N273" s="280"/>
    </row>
    <row r="274" spans="1:14">
      <c r="A274" s="287"/>
      <c r="B274" s="8"/>
      <c r="C274" s="8"/>
      <c r="D274" s="285"/>
      <c r="E274" s="8"/>
      <c r="F274" s="8"/>
      <c r="G274" s="8" t="s">
        <v>503</v>
      </c>
      <c r="H274" s="13">
        <v>3</v>
      </c>
      <c r="I274" s="13">
        <v>0.9</v>
      </c>
      <c r="J274" s="289" t="s">
        <v>24</v>
      </c>
      <c r="K274" s="289" t="s">
        <v>24</v>
      </c>
      <c r="L274" s="8"/>
      <c r="M274" s="280"/>
      <c r="N274" s="280"/>
    </row>
    <row r="275" spans="1:14">
      <c r="A275" s="9">
        <v>45380</v>
      </c>
      <c r="B275" s="8" t="s">
        <v>1851</v>
      </c>
      <c r="C275" s="8" t="s">
        <v>459</v>
      </c>
      <c r="D275" s="282">
        <v>10</v>
      </c>
      <c r="E275" s="8" t="s">
        <v>477</v>
      </c>
      <c r="F275" s="8" t="s">
        <v>1091</v>
      </c>
      <c r="G275" s="8" t="s">
        <v>1058</v>
      </c>
      <c r="H275" s="13">
        <v>1</v>
      </c>
      <c r="I275" s="13">
        <v>8.9</v>
      </c>
      <c r="J275" s="13" t="s">
        <v>1744</v>
      </c>
      <c r="K275" s="13">
        <v>2.49</v>
      </c>
      <c r="L275" s="8" t="s">
        <v>35</v>
      </c>
      <c r="M275" s="280"/>
      <c r="N275" s="280"/>
    </row>
    <row r="276" spans="1:14">
      <c r="A276" s="287"/>
      <c r="B276" s="8"/>
      <c r="C276" s="8"/>
      <c r="D276" s="285"/>
      <c r="E276" s="8"/>
      <c r="F276" s="8"/>
      <c r="G276" s="8" t="s">
        <v>1847</v>
      </c>
      <c r="H276" s="13">
        <v>1</v>
      </c>
      <c r="I276" s="13">
        <v>0.3</v>
      </c>
      <c r="J276" s="13" t="s">
        <v>1762</v>
      </c>
      <c r="K276" s="13">
        <v>2.75</v>
      </c>
      <c r="L276" s="8"/>
      <c r="M276" s="280"/>
      <c r="N276" s="280"/>
    </row>
    <row r="277" spans="1:14">
      <c r="A277" s="287"/>
      <c r="B277" s="8"/>
      <c r="C277" s="8"/>
      <c r="D277" s="285"/>
      <c r="E277" s="8"/>
      <c r="F277" s="8"/>
      <c r="G277" s="8" t="s">
        <v>503</v>
      </c>
      <c r="H277" s="13">
        <v>3</v>
      </c>
      <c r="I277" s="13">
        <v>0.8</v>
      </c>
      <c r="J277" s="289" t="s">
        <v>24</v>
      </c>
      <c r="K277" s="286" t="s">
        <v>24</v>
      </c>
      <c r="L277" s="8"/>
      <c r="M277" s="280"/>
      <c r="N277" s="280"/>
    </row>
    <row r="278" spans="1:14">
      <c r="A278" s="9">
        <v>45380</v>
      </c>
      <c r="B278" s="8" t="s">
        <v>1852</v>
      </c>
      <c r="C278" s="8" t="s">
        <v>459</v>
      </c>
      <c r="D278" s="282">
        <v>10</v>
      </c>
      <c r="E278" s="8" t="s">
        <v>477</v>
      </c>
      <c r="F278" s="8" t="s">
        <v>1091</v>
      </c>
      <c r="G278" s="8" t="s">
        <v>1058</v>
      </c>
      <c r="H278" s="13">
        <v>1</v>
      </c>
      <c r="I278" s="13">
        <v>8.9</v>
      </c>
      <c r="J278" s="13" t="s">
        <v>1744</v>
      </c>
      <c r="K278" s="13">
        <v>2.49</v>
      </c>
      <c r="L278" s="8" t="s">
        <v>35</v>
      </c>
      <c r="M278" s="280"/>
      <c r="N278" s="280"/>
    </row>
    <row r="279" spans="1:14">
      <c r="A279" s="287"/>
      <c r="B279" s="8"/>
      <c r="C279" s="8"/>
      <c r="D279" s="285"/>
      <c r="E279" s="8"/>
      <c r="F279" s="8"/>
      <c r="G279" s="8" t="s">
        <v>1847</v>
      </c>
      <c r="H279" s="13">
        <v>1</v>
      </c>
      <c r="I279" s="13">
        <v>0.3</v>
      </c>
      <c r="J279" s="13" t="s">
        <v>1762</v>
      </c>
      <c r="K279" s="13">
        <v>2.75</v>
      </c>
      <c r="L279" s="8"/>
      <c r="M279" s="280"/>
      <c r="N279" s="280"/>
    </row>
    <row r="280" spans="1:14">
      <c r="A280" s="287"/>
      <c r="B280" s="8"/>
      <c r="C280" s="8"/>
      <c r="D280" s="285"/>
      <c r="E280" s="8"/>
      <c r="F280" s="8"/>
      <c r="G280" s="8" t="s">
        <v>503</v>
      </c>
      <c r="H280" s="13">
        <v>3</v>
      </c>
      <c r="I280" s="13">
        <v>0.8</v>
      </c>
      <c r="J280" s="289" t="s">
        <v>24</v>
      </c>
      <c r="K280" s="286" t="s">
        <v>24</v>
      </c>
      <c r="L280" s="8"/>
      <c r="M280" s="280"/>
      <c r="N280" s="280"/>
    </row>
    <row r="281" spans="1:14">
      <c r="A281" s="9">
        <v>45380</v>
      </c>
      <c r="B281" s="8" t="s">
        <v>1853</v>
      </c>
      <c r="C281" s="8" t="s">
        <v>462</v>
      </c>
      <c r="D281" s="282">
        <v>10</v>
      </c>
      <c r="E281" s="8" t="s">
        <v>477</v>
      </c>
      <c r="F281" s="8" t="s">
        <v>1054</v>
      </c>
      <c r="G281" s="8" t="s">
        <v>1064</v>
      </c>
      <c r="H281" s="13">
        <v>1.5</v>
      </c>
      <c r="I281" s="13">
        <v>8.7</v>
      </c>
      <c r="J281" s="13" t="s">
        <v>1744</v>
      </c>
      <c r="K281" s="13">
        <v>2.64</v>
      </c>
      <c r="L281" s="8" t="s">
        <v>35</v>
      </c>
      <c r="M281" s="280"/>
      <c r="N281" s="280"/>
    </row>
    <row r="282" spans="1:14">
      <c r="A282" s="287"/>
      <c r="B282" s="8"/>
      <c r="C282" s="8"/>
      <c r="D282" s="285"/>
      <c r="E282" s="8"/>
      <c r="F282" s="8"/>
      <c r="G282" s="8" t="s">
        <v>1060</v>
      </c>
      <c r="H282" s="13">
        <v>1.5</v>
      </c>
      <c r="I282" s="13">
        <v>0.4</v>
      </c>
      <c r="J282" s="13" t="s">
        <v>1762</v>
      </c>
      <c r="K282" s="13">
        <v>2.85</v>
      </c>
      <c r="L282" s="8"/>
      <c r="M282" s="280"/>
      <c r="N282" s="280"/>
    </row>
    <row r="283" spans="1:14">
      <c r="A283" s="287"/>
      <c r="B283" s="8"/>
      <c r="C283" s="8"/>
      <c r="D283" s="285"/>
      <c r="E283" s="8"/>
      <c r="F283" s="8"/>
      <c r="G283" s="8" t="s">
        <v>503</v>
      </c>
      <c r="H283" s="13">
        <v>1.5</v>
      </c>
      <c r="I283" s="13">
        <v>0.9</v>
      </c>
      <c r="J283" s="289" t="s">
        <v>24</v>
      </c>
      <c r="K283" s="286" t="s">
        <v>24</v>
      </c>
      <c r="L283" s="8"/>
      <c r="M283" s="280"/>
      <c r="N283" s="280"/>
    </row>
    <row r="284" spans="1:14">
      <c r="A284" s="9">
        <v>45384</v>
      </c>
      <c r="B284" s="8" t="s">
        <v>1854</v>
      </c>
      <c r="C284" s="8" t="s">
        <v>459</v>
      </c>
      <c r="D284" s="282">
        <v>3</v>
      </c>
      <c r="E284" s="8" t="s">
        <v>1754</v>
      </c>
      <c r="F284" s="8" t="s">
        <v>1768</v>
      </c>
      <c r="G284" s="8" t="s">
        <v>1064</v>
      </c>
      <c r="H284" s="13">
        <v>1.08</v>
      </c>
      <c r="I284" s="13">
        <v>2.6</v>
      </c>
      <c r="J284" s="13" t="s">
        <v>1744</v>
      </c>
      <c r="K284" s="13">
        <v>2.5</v>
      </c>
      <c r="L284" s="8" t="s">
        <v>27</v>
      </c>
      <c r="M284" s="280"/>
      <c r="N284" s="280"/>
    </row>
    <row r="285" spans="1:14">
      <c r="A285" s="287"/>
      <c r="B285" s="8"/>
      <c r="C285" s="8"/>
      <c r="D285" s="285"/>
      <c r="E285" s="8"/>
      <c r="F285" s="8"/>
      <c r="G285" s="8" t="s">
        <v>1060</v>
      </c>
      <c r="H285" s="13">
        <v>1.08</v>
      </c>
      <c r="I285" s="13">
        <v>0.16</v>
      </c>
      <c r="J285" s="13" t="s">
        <v>1762</v>
      </c>
      <c r="K285" s="13">
        <v>2.7</v>
      </c>
      <c r="L285" s="8"/>
      <c r="M285" s="280"/>
      <c r="N285" s="280"/>
    </row>
    <row r="286" spans="1:14">
      <c r="A286" s="287"/>
      <c r="B286" s="8"/>
      <c r="C286" s="8"/>
      <c r="D286" s="285"/>
      <c r="E286" s="8"/>
      <c r="F286" s="8"/>
      <c r="G286" s="8" t="s">
        <v>1086</v>
      </c>
      <c r="H286" s="13">
        <v>1.75</v>
      </c>
      <c r="I286" s="13">
        <v>0.09</v>
      </c>
      <c r="J286" s="289" t="s">
        <v>24</v>
      </c>
      <c r="K286" s="286" t="s">
        <v>24</v>
      </c>
      <c r="L286" s="8"/>
      <c r="M286" s="280"/>
      <c r="N286" s="280"/>
    </row>
    <row r="287" spans="1:14">
      <c r="A287" s="287"/>
      <c r="B287" s="8"/>
      <c r="C287" s="8"/>
      <c r="D287" s="285"/>
      <c r="E287" s="8"/>
      <c r="F287" s="8"/>
      <c r="G287" s="8" t="s">
        <v>1087</v>
      </c>
      <c r="H287" s="13">
        <v>1.75</v>
      </c>
      <c r="I287" s="13">
        <v>0.15</v>
      </c>
      <c r="J287" s="289" t="s">
        <v>24</v>
      </c>
      <c r="K287" s="289" t="s">
        <v>24</v>
      </c>
      <c r="L287" s="8"/>
      <c r="M287" s="280"/>
      <c r="N287" s="280"/>
    </row>
    <row r="288" spans="1:14">
      <c r="A288" s="9">
        <v>45385</v>
      </c>
      <c r="B288" s="8" t="s">
        <v>1855</v>
      </c>
      <c r="C288" s="8" t="s">
        <v>462</v>
      </c>
      <c r="D288" s="282">
        <v>4</v>
      </c>
      <c r="E288" s="8" t="s">
        <v>477</v>
      </c>
      <c r="F288" s="8" t="s">
        <v>523</v>
      </c>
      <c r="G288" s="8" t="s">
        <v>1064</v>
      </c>
      <c r="H288" s="13">
        <v>1.05</v>
      </c>
      <c r="I288" s="13">
        <v>3.56</v>
      </c>
      <c r="J288" s="13" t="s">
        <v>1744</v>
      </c>
      <c r="K288" s="13">
        <v>2.5</v>
      </c>
      <c r="L288" s="8" t="s">
        <v>112</v>
      </c>
      <c r="M288" s="280"/>
      <c r="N288" s="280"/>
    </row>
    <row r="289" spans="1:14">
      <c r="A289" s="287"/>
      <c r="B289" s="8"/>
      <c r="C289" s="8"/>
      <c r="D289" s="288"/>
      <c r="E289" s="8"/>
      <c r="F289" s="8"/>
      <c r="G289" s="8" t="s">
        <v>1060</v>
      </c>
      <c r="H289" s="13">
        <v>1.05</v>
      </c>
      <c r="I289" s="13">
        <v>0.24</v>
      </c>
      <c r="J289" s="13" t="s">
        <v>1762</v>
      </c>
      <c r="K289" s="13">
        <v>2.7</v>
      </c>
      <c r="L289" s="8"/>
      <c r="M289" s="280"/>
      <c r="N289" s="280"/>
    </row>
    <row r="290" spans="1:14">
      <c r="A290" s="287"/>
      <c r="B290" s="8"/>
      <c r="C290" s="8"/>
      <c r="D290" s="288"/>
      <c r="E290" s="8"/>
      <c r="F290" s="8"/>
      <c r="G290" s="8" t="s">
        <v>1086</v>
      </c>
      <c r="H290" s="13">
        <v>1.05</v>
      </c>
      <c r="I290" s="13">
        <v>0.08</v>
      </c>
      <c r="J290" s="289" t="s">
        <v>24</v>
      </c>
      <c r="K290" s="289" t="s">
        <v>24</v>
      </c>
      <c r="L290" s="8"/>
      <c r="M290" s="280"/>
      <c r="N290" s="280"/>
    </row>
    <row r="291" spans="1:14">
      <c r="A291" s="287"/>
      <c r="B291" s="8"/>
      <c r="C291" s="8"/>
      <c r="D291" s="288"/>
      <c r="E291" s="8"/>
      <c r="F291" s="8"/>
      <c r="G291" s="8" t="s">
        <v>1087</v>
      </c>
      <c r="H291" s="13">
        <v>1.05</v>
      </c>
      <c r="I291" s="13">
        <v>0.12</v>
      </c>
      <c r="J291" s="289" t="s">
        <v>24</v>
      </c>
      <c r="K291" s="289" t="s">
        <v>24</v>
      </c>
      <c r="L291" s="8"/>
      <c r="M291" s="280"/>
      <c r="N291" s="280"/>
    </row>
    <row r="292" spans="1:14">
      <c r="A292" s="9">
        <v>45391</v>
      </c>
      <c r="B292" s="8" t="s">
        <v>1856</v>
      </c>
      <c r="C292" s="8" t="s">
        <v>459</v>
      </c>
      <c r="D292" s="282">
        <v>5</v>
      </c>
      <c r="E292" s="8" t="s">
        <v>1776</v>
      </c>
      <c r="F292" s="8" t="s">
        <v>1779</v>
      </c>
      <c r="G292" s="8" t="s">
        <v>1064</v>
      </c>
      <c r="H292" s="13">
        <v>1.49</v>
      </c>
      <c r="I292" s="13">
        <v>4.23</v>
      </c>
      <c r="J292" s="13" t="s">
        <v>1744</v>
      </c>
      <c r="K292" s="13">
        <v>3.1</v>
      </c>
      <c r="L292" s="13">
        <v>360</v>
      </c>
      <c r="M292" s="280"/>
      <c r="N292" s="280"/>
    </row>
    <row r="293" spans="1:14">
      <c r="A293" s="287"/>
      <c r="B293" s="8"/>
      <c r="C293" s="8"/>
      <c r="D293" s="288"/>
      <c r="E293" s="8"/>
      <c r="F293" s="8"/>
      <c r="G293" s="8" t="s">
        <v>1060</v>
      </c>
      <c r="H293" s="13">
        <v>1.49</v>
      </c>
      <c r="I293" s="13">
        <v>0.22</v>
      </c>
      <c r="J293" s="13" t="s">
        <v>1762</v>
      </c>
      <c r="K293" s="13">
        <v>4.5</v>
      </c>
      <c r="L293" s="289"/>
      <c r="M293" s="280"/>
      <c r="N293" s="280"/>
    </row>
    <row r="294" spans="1:14">
      <c r="A294" s="287"/>
      <c r="B294" s="8"/>
      <c r="C294" s="8"/>
      <c r="D294" s="288"/>
      <c r="E294" s="8"/>
      <c r="F294" s="8"/>
      <c r="G294" s="8" t="s">
        <v>1061</v>
      </c>
      <c r="H294" s="13">
        <v>1.49</v>
      </c>
      <c r="I294" s="13">
        <v>0.18</v>
      </c>
      <c r="J294" s="13" t="s">
        <v>1746</v>
      </c>
      <c r="K294" s="13">
        <v>5</v>
      </c>
      <c r="L294" s="289"/>
      <c r="M294" s="280"/>
      <c r="N294" s="280"/>
    </row>
    <row r="295" spans="1:14">
      <c r="A295" s="287"/>
      <c r="B295" s="8"/>
      <c r="C295" s="8"/>
      <c r="D295" s="288"/>
      <c r="E295" s="8"/>
      <c r="F295" s="8"/>
      <c r="G295" s="8" t="s">
        <v>503</v>
      </c>
      <c r="H295" s="13">
        <v>1.49</v>
      </c>
      <c r="I295" s="13">
        <v>0.37</v>
      </c>
      <c r="J295" s="289" t="s">
        <v>24</v>
      </c>
      <c r="K295" s="289" t="s">
        <v>24</v>
      </c>
      <c r="L295" s="289"/>
      <c r="M295" s="280"/>
      <c r="N295" s="280"/>
    </row>
    <row r="296" spans="1:14">
      <c r="A296" s="9">
        <v>45392</v>
      </c>
      <c r="B296" s="8" t="s">
        <v>1857</v>
      </c>
      <c r="C296" s="8" t="s">
        <v>462</v>
      </c>
      <c r="D296" s="282">
        <v>3</v>
      </c>
      <c r="E296" s="8" t="s">
        <v>477</v>
      </c>
      <c r="F296" s="8" t="s">
        <v>1768</v>
      </c>
      <c r="G296" s="8" t="s">
        <v>1064</v>
      </c>
      <c r="H296" s="13">
        <v>2.04</v>
      </c>
      <c r="I296" s="13">
        <v>2.475</v>
      </c>
      <c r="J296" s="13" t="s">
        <v>1744</v>
      </c>
      <c r="K296" s="13">
        <v>2.64</v>
      </c>
      <c r="L296" s="8" t="s">
        <v>27</v>
      </c>
      <c r="M296" s="280"/>
      <c r="N296" s="280"/>
    </row>
    <row r="297" spans="1:14">
      <c r="A297" s="287"/>
      <c r="B297" s="8"/>
      <c r="C297" s="8"/>
      <c r="D297" s="288"/>
      <c r="E297" s="8"/>
      <c r="F297" s="8"/>
      <c r="G297" s="8" t="s">
        <v>1060</v>
      </c>
      <c r="H297" s="13">
        <v>2.04</v>
      </c>
      <c r="I297" s="13">
        <v>0.21</v>
      </c>
      <c r="J297" s="13" t="s">
        <v>1762</v>
      </c>
      <c r="K297" s="13">
        <v>2.74</v>
      </c>
      <c r="L297" s="8"/>
      <c r="M297" s="280"/>
      <c r="N297" s="280"/>
    </row>
    <row r="298" spans="1:14">
      <c r="A298" s="287"/>
      <c r="B298" s="8"/>
      <c r="C298" s="8"/>
      <c r="D298" s="288"/>
      <c r="E298" s="8"/>
      <c r="F298" s="8"/>
      <c r="G298" s="8" t="s">
        <v>1326</v>
      </c>
      <c r="H298" s="13">
        <v>2.04</v>
      </c>
      <c r="I298" s="13">
        <v>0.165</v>
      </c>
      <c r="J298" s="289" t="s">
        <v>24</v>
      </c>
      <c r="K298" s="289" t="s">
        <v>24</v>
      </c>
      <c r="L298" s="8"/>
      <c r="M298" s="280"/>
      <c r="N298" s="280"/>
    </row>
    <row r="299" spans="1:14">
      <c r="A299" s="287"/>
      <c r="B299" s="8"/>
      <c r="C299" s="8"/>
      <c r="D299" s="288"/>
      <c r="E299" s="8"/>
      <c r="F299" s="8"/>
      <c r="G299" s="8" t="s">
        <v>1327</v>
      </c>
      <c r="H299" s="13">
        <v>2.04</v>
      </c>
      <c r="I299" s="13">
        <v>0.15</v>
      </c>
      <c r="J299" s="289" t="s">
        <v>24</v>
      </c>
      <c r="K299" s="289" t="s">
        <v>24</v>
      </c>
      <c r="L299" s="8"/>
      <c r="M299" s="280"/>
      <c r="N299" s="280"/>
    </row>
    <row r="300" spans="1:14">
      <c r="A300" s="9">
        <v>45393</v>
      </c>
      <c r="B300" s="8" t="s">
        <v>1858</v>
      </c>
      <c r="C300" s="8" t="s">
        <v>462</v>
      </c>
      <c r="D300" s="282">
        <v>6</v>
      </c>
      <c r="E300" s="8" t="s">
        <v>486</v>
      </c>
      <c r="F300" s="8" t="s">
        <v>1091</v>
      </c>
      <c r="G300" s="8" t="s">
        <v>1064</v>
      </c>
      <c r="H300" s="13">
        <v>1.04</v>
      </c>
      <c r="I300" s="13">
        <v>5.02</v>
      </c>
      <c r="J300" s="13" t="s">
        <v>1744</v>
      </c>
      <c r="K300" s="13">
        <v>2.4</v>
      </c>
      <c r="L300" s="8" t="s">
        <v>27</v>
      </c>
      <c r="M300" s="280"/>
      <c r="N300" s="280"/>
    </row>
    <row r="301" spans="1:14">
      <c r="A301" s="287"/>
      <c r="B301" s="8"/>
      <c r="C301" s="8"/>
      <c r="D301" s="288"/>
      <c r="E301" s="8"/>
      <c r="F301" s="8"/>
      <c r="G301" s="8" t="s">
        <v>1060</v>
      </c>
      <c r="H301" s="13">
        <v>1.04</v>
      </c>
      <c r="I301" s="13">
        <v>0.35</v>
      </c>
      <c r="J301" s="13" t="s">
        <v>1762</v>
      </c>
      <c r="K301" s="13">
        <v>2.66</v>
      </c>
      <c r="L301" s="8"/>
      <c r="M301" s="280"/>
      <c r="N301" s="280"/>
    </row>
    <row r="302" spans="1:14">
      <c r="A302" s="287"/>
      <c r="B302" s="8"/>
      <c r="C302" s="8"/>
      <c r="D302" s="288"/>
      <c r="E302" s="8"/>
      <c r="F302" s="8"/>
      <c r="G302" s="8" t="s">
        <v>1326</v>
      </c>
      <c r="H302" s="13">
        <v>1.79</v>
      </c>
      <c r="I302" s="13">
        <v>0.33</v>
      </c>
      <c r="J302" s="289" t="s">
        <v>24</v>
      </c>
      <c r="K302" s="289" t="s">
        <v>24</v>
      </c>
      <c r="L302" s="8"/>
      <c r="M302" s="280"/>
      <c r="N302" s="280"/>
    </row>
    <row r="303" spans="1:14">
      <c r="A303" s="287"/>
      <c r="B303" s="8"/>
      <c r="C303" s="8"/>
      <c r="D303" s="288"/>
      <c r="E303" s="8"/>
      <c r="F303" s="8"/>
      <c r="G303" s="8" t="s">
        <v>1327</v>
      </c>
      <c r="H303" s="13">
        <v>1.79</v>
      </c>
      <c r="I303" s="13">
        <v>0.3</v>
      </c>
      <c r="J303" s="289" t="s">
        <v>24</v>
      </c>
      <c r="K303" s="289" t="s">
        <v>24</v>
      </c>
      <c r="L303" s="8"/>
      <c r="M303" s="280"/>
      <c r="N303" s="280"/>
    </row>
    <row r="304" spans="1:14">
      <c r="A304" s="9">
        <v>45394</v>
      </c>
      <c r="B304" s="8" t="s">
        <v>1859</v>
      </c>
      <c r="C304" s="8" t="s">
        <v>462</v>
      </c>
      <c r="D304" s="282">
        <v>5</v>
      </c>
      <c r="E304" s="8" t="s">
        <v>486</v>
      </c>
      <c r="F304" s="8" t="s">
        <v>1091</v>
      </c>
      <c r="G304" s="8" t="s">
        <v>1064</v>
      </c>
      <c r="H304" s="13">
        <v>1.54</v>
      </c>
      <c r="I304" s="13">
        <v>4.075</v>
      </c>
      <c r="J304" s="13" t="s">
        <v>1744</v>
      </c>
      <c r="K304" s="13">
        <v>2.6</v>
      </c>
      <c r="L304" s="8" t="s">
        <v>27</v>
      </c>
      <c r="M304" s="280"/>
      <c r="N304" s="280"/>
    </row>
    <row r="305" spans="1:14">
      <c r="A305" s="287"/>
      <c r="B305" s="8"/>
      <c r="C305" s="8"/>
      <c r="D305" s="288"/>
      <c r="E305" s="8"/>
      <c r="F305" s="8"/>
      <c r="G305" s="8" t="s">
        <v>1060</v>
      </c>
      <c r="H305" s="13">
        <v>2.04</v>
      </c>
      <c r="I305" s="13">
        <v>0.2</v>
      </c>
      <c r="J305" s="13" t="s">
        <v>1762</v>
      </c>
      <c r="K305" s="13">
        <v>2.75</v>
      </c>
      <c r="L305" s="8"/>
      <c r="M305" s="280"/>
      <c r="N305" s="280"/>
    </row>
    <row r="306" spans="1:14">
      <c r="A306" s="287"/>
      <c r="B306" s="8"/>
      <c r="C306" s="8"/>
      <c r="D306" s="288"/>
      <c r="E306" s="8"/>
      <c r="F306" s="8"/>
      <c r="G306" s="8" t="s">
        <v>1326</v>
      </c>
      <c r="H306" s="13">
        <v>3.04</v>
      </c>
      <c r="I306" s="13">
        <v>0.475</v>
      </c>
      <c r="J306" s="289" t="s">
        <v>24</v>
      </c>
      <c r="K306" s="289" t="s">
        <v>24</v>
      </c>
      <c r="L306" s="8"/>
      <c r="M306" s="280"/>
      <c r="N306" s="280"/>
    </row>
    <row r="307" spans="1:14">
      <c r="A307" s="287"/>
      <c r="B307" s="8"/>
      <c r="C307" s="8"/>
      <c r="D307" s="288"/>
      <c r="E307" s="8"/>
      <c r="F307" s="8"/>
      <c r="G307" s="8" t="s">
        <v>1327</v>
      </c>
      <c r="H307" s="13">
        <v>3.04</v>
      </c>
      <c r="I307" s="13">
        <v>0.25</v>
      </c>
      <c r="J307" s="289" t="s">
        <v>24</v>
      </c>
      <c r="K307" s="289" t="s">
        <v>24</v>
      </c>
      <c r="L307" s="8"/>
      <c r="M307" s="280"/>
      <c r="N307" s="280"/>
    </row>
    <row r="308" spans="1:14">
      <c r="A308" s="9">
        <v>45398</v>
      </c>
      <c r="B308" s="8" t="s">
        <v>1860</v>
      </c>
      <c r="C308" s="8" t="s">
        <v>462</v>
      </c>
      <c r="D308" s="282">
        <v>5</v>
      </c>
      <c r="E308" s="8" t="s">
        <v>1754</v>
      </c>
      <c r="F308" s="8" t="s">
        <v>460</v>
      </c>
      <c r="G308" s="8" t="s">
        <v>1064</v>
      </c>
      <c r="H308" s="13">
        <v>1.21</v>
      </c>
      <c r="I308" s="13">
        <v>4.16</v>
      </c>
      <c r="J308" s="13" t="s">
        <v>1744</v>
      </c>
      <c r="K308" s="13">
        <v>2.56</v>
      </c>
      <c r="L308" s="8" t="s">
        <v>27</v>
      </c>
      <c r="M308" s="280"/>
      <c r="N308" s="280"/>
    </row>
    <row r="309" spans="1:14">
      <c r="A309" s="287"/>
      <c r="B309" s="8"/>
      <c r="C309" s="8"/>
      <c r="D309" s="288"/>
      <c r="E309" s="8"/>
      <c r="F309" s="8"/>
      <c r="G309" s="8" t="s">
        <v>1060</v>
      </c>
      <c r="H309" s="13">
        <v>1.54</v>
      </c>
      <c r="I309" s="13">
        <v>0.19</v>
      </c>
      <c r="J309" s="13" t="s">
        <v>1762</v>
      </c>
      <c r="K309" s="13">
        <v>2.7</v>
      </c>
      <c r="L309" s="8"/>
      <c r="M309" s="280"/>
      <c r="N309" s="280"/>
    </row>
    <row r="310" spans="1:14">
      <c r="A310" s="287"/>
      <c r="B310" s="8"/>
      <c r="C310" s="8"/>
      <c r="D310" s="288"/>
      <c r="E310" s="8"/>
      <c r="F310" s="8"/>
      <c r="G310" s="8" t="s">
        <v>1326</v>
      </c>
      <c r="H310" s="13">
        <v>3.04</v>
      </c>
      <c r="I310" s="13">
        <v>0.4</v>
      </c>
      <c r="J310" s="289" t="s">
        <v>24</v>
      </c>
      <c r="K310" s="289" t="s">
        <v>24</v>
      </c>
      <c r="L310" s="8"/>
      <c r="M310" s="280"/>
      <c r="N310" s="280"/>
    </row>
    <row r="311" spans="1:14">
      <c r="A311" s="287"/>
      <c r="B311" s="8"/>
      <c r="C311" s="8"/>
      <c r="D311" s="288"/>
      <c r="E311" s="8"/>
      <c r="F311" s="8"/>
      <c r="G311" s="8" t="s">
        <v>1327</v>
      </c>
      <c r="H311" s="13">
        <v>3.04</v>
      </c>
      <c r="I311" s="13">
        <v>0.25</v>
      </c>
      <c r="J311" s="289" t="s">
        <v>24</v>
      </c>
      <c r="K311" s="289" t="s">
        <v>24</v>
      </c>
      <c r="L311" s="8"/>
      <c r="M311" s="280"/>
      <c r="N311" s="280"/>
    </row>
    <row r="312" spans="1:14">
      <c r="A312" s="9">
        <v>45393</v>
      </c>
      <c r="B312" s="8" t="s">
        <v>1861</v>
      </c>
      <c r="C312" s="8" t="s">
        <v>462</v>
      </c>
      <c r="D312" s="282">
        <v>10</v>
      </c>
      <c r="E312" s="8" t="s">
        <v>1066</v>
      </c>
      <c r="F312" s="8" t="s">
        <v>1054</v>
      </c>
      <c r="G312" s="8" t="s">
        <v>1064</v>
      </c>
      <c r="H312" s="13">
        <v>1.08</v>
      </c>
      <c r="I312" s="13">
        <v>8.9</v>
      </c>
      <c r="J312" s="13" t="s">
        <v>1744</v>
      </c>
      <c r="K312" s="13">
        <v>2.4</v>
      </c>
      <c r="L312" s="8" t="s">
        <v>35</v>
      </c>
      <c r="M312" s="280"/>
      <c r="N312" s="280"/>
    </row>
    <row r="313" spans="1:14">
      <c r="A313" s="287"/>
      <c r="B313" s="8"/>
      <c r="C313" s="8"/>
      <c r="D313" s="288"/>
      <c r="E313" s="8"/>
      <c r="F313" s="8"/>
      <c r="G313" s="8" t="s">
        <v>1060</v>
      </c>
      <c r="H313" s="13">
        <v>1.17</v>
      </c>
      <c r="I313" s="13">
        <v>0.3</v>
      </c>
      <c r="J313" s="13" t="s">
        <v>1762</v>
      </c>
      <c r="K313" s="13">
        <v>2.66</v>
      </c>
      <c r="L313" s="8"/>
      <c r="M313" s="280"/>
      <c r="N313" s="280"/>
    </row>
    <row r="314" spans="1:14">
      <c r="A314" s="287"/>
      <c r="B314" s="8"/>
      <c r="C314" s="8"/>
      <c r="D314" s="288"/>
      <c r="E314" s="8"/>
      <c r="F314" s="8"/>
      <c r="G314" s="8" t="s">
        <v>503</v>
      </c>
      <c r="H314" s="13">
        <v>1.84</v>
      </c>
      <c r="I314" s="13">
        <v>0.8</v>
      </c>
      <c r="J314" s="289" t="s">
        <v>24</v>
      </c>
      <c r="K314" s="289" t="s">
        <v>24</v>
      </c>
      <c r="L314" s="8"/>
      <c r="M314" s="280"/>
      <c r="N314" s="280"/>
    </row>
    <row r="315" spans="1:14">
      <c r="A315" s="9">
        <v>45399</v>
      </c>
      <c r="B315" s="8" t="s">
        <v>1862</v>
      </c>
      <c r="C315" s="8" t="s">
        <v>459</v>
      </c>
      <c r="D315" s="282">
        <v>10</v>
      </c>
      <c r="E315" s="8" t="s">
        <v>1057</v>
      </c>
      <c r="F315" s="8" t="s">
        <v>1751</v>
      </c>
      <c r="G315" s="8" t="s">
        <v>1058</v>
      </c>
      <c r="H315" s="13">
        <v>1.09</v>
      </c>
      <c r="I315" s="13">
        <v>7</v>
      </c>
      <c r="J315" s="13" t="s">
        <v>1744</v>
      </c>
      <c r="K315" s="13">
        <v>2.35</v>
      </c>
      <c r="L315" s="8" t="s">
        <v>41</v>
      </c>
      <c r="M315" s="280"/>
      <c r="N315" s="280"/>
    </row>
    <row r="316" spans="1:14">
      <c r="A316" s="287"/>
      <c r="B316" s="8"/>
      <c r="C316" s="8"/>
      <c r="D316" s="288"/>
      <c r="E316" s="8"/>
      <c r="F316" s="8"/>
      <c r="G316" s="8" t="s">
        <v>1059</v>
      </c>
      <c r="H316" s="13">
        <v>1.21</v>
      </c>
      <c r="I316" s="13">
        <v>1.4</v>
      </c>
      <c r="J316" s="13" t="s">
        <v>1744</v>
      </c>
      <c r="K316" s="13">
        <v>2.5</v>
      </c>
      <c r="L316" s="8"/>
      <c r="M316" s="280"/>
      <c r="N316" s="280"/>
    </row>
    <row r="317" spans="1:14">
      <c r="A317" s="287"/>
      <c r="B317" s="8"/>
      <c r="C317" s="8"/>
      <c r="D317" s="288"/>
      <c r="E317" s="8"/>
      <c r="F317" s="8"/>
      <c r="G317" s="8" t="s">
        <v>1060</v>
      </c>
      <c r="H317" s="13">
        <v>1.26</v>
      </c>
      <c r="I317" s="13">
        <v>0.55</v>
      </c>
      <c r="J317" s="13" t="s">
        <v>1762</v>
      </c>
      <c r="K317" s="13">
        <v>2.68</v>
      </c>
      <c r="L317" s="8"/>
      <c r="M317" s="280"/>
      <c r="N317" s="280"/>
    </row>
    <row r="318" spans="1:14">
      <c r="A318" s="287"/>
      <c r="B318" s="8"/>
      <c r="C318" s="8"/>
      <c r="D318" s="288"/>
      <c r="E318" s="8"/>
      <c r="F318" s="8"/>
      <c r="G318" s="8" t="s">
        <v>1061</v>
      </c>
      <c r="H318" s="13">
        <v>1.34</v>
      </c>
      <c r="I318" s="13">
        <v>0.55</v>
      </c>
      <c r="J318" s="13" t="s">
        <v>1782</v>
      </c>
      <c r="K318" s="13">
        <v>5.2</v>
      </c>
      <c r="L318" s="8"/>
      <c r="M318" s="280"/>
      <c r="N318" s="280"/>
    </row>
    <row r="319" spans="1:14">
      <c r="A319" s="287"/>
      <c r="B319" s="8"/>
      <c r="C319" s="8"/>
      <c r="D319" s="288"/>
      <c r="E319" s="8"/>
      <c r="F319" s="8"/>
      <c r="G319" s="8" t="s">
        <v>503</v>
      </c>
      <c r="H319" s="13">
        <v>1.76</v>
      </c>
      <c r="I319" s="13">
        <v>0.5</v>
      </c>
      <c r="J319" s="289" t="s">
        <v>24</v>
      </c>
      <c r="K319" s="289" t="s">
        <v>24</v>
      </c>
      <c r="L319" s="8"/>
      <c r="M319" s="280"/>
      <c r="N319" s="280"/>
    </row>
    <row r="320" spans="1:14">
      <c r="A320" s="9">
        <v>45400</v>
      </c>
      <c r="B320" s="8" t="s">
        <v>1863</v>
      </c>
      <c r="C320" s="8" t="s">
        <v>462</v>
      </c>
      <c r="D320" s="282">
        <v>5</v>
      </c>
      <c r="E320" s="8" t="s">
        <v>486</v>
      </c>
      <c r="F320" s="8" t="s">
        <v>1768</v>
      </c>
      <c r="G320" s="8" t="s">
        <v>1064</v>
      </c>
      <c r="H320" s="13">
        <v>1.54</v>
      </c>
      <c r="I320" s="13">
        <v>4.18</v>
      </c>
      <c r="J320" s="13" t="s">
        <v>1744</v>
      </c>
      <c r="K320" s="13">
        <v>2.5</v>
      </c>
      <c r="L320" s="8" t="s">
        <v>27</v>
      </c>
      <c r="M320" s="280"/>
      <c r="N320" s="280"/>
    </row>
    <row r="321" spans="1:14">
      <c r="A321" s="287"/>
      <c r="B321" s="8"/>
      <c r="C321" s="8"/>
      <c r="D321" s="288"/>
      <c r="E321" s="8"/>
      <c r="F321" s="8"/>
      <c r="G321" s="8" t="s">
        <v>1060</v>
      </c>
      <c r="H321" s="13">
        <v>2.04</v>
      </c>
      <c r="I321" s="13">
        <v>0.18</v>
      </c>
      <c r="J321" s="13" t="s">
        <v>1762</v>
      </c>
      <c r="K321" s="13">
        <v>2.7</v>
      </c>
      <c r="L321" s="8"/>
      <c r="M321" s="280"/>
      <c r="N321" s="280"/>
    </row>
    <row r="322" spans="1:14">
      <c r="A322" s="287"/>
      <c r="B322" s="8"/>
      <c r="C322" s="8"/>
      <c r="D322" s="288"/>
      <c r="E322" s="8"/>
      <c r="F322" s="8"/>
      <c r="G322" s="8" t="s">
        <v>1326</v>
      </c>
      <c r="H322" s="13">
        <v>3.04</v>
      </c>
      <c r="I322" s="13">
        <v>0.39</v>
      </c>
      <c r="J322" s="289" t="s">
        <v>24</v>
      </c>
      <c r="K322" s="289" t="s">
        <v>24</v>
      </c>
      <c r="L322" s="8"/>
      <c r="M322" s="280"/>
      <c r="N322" s="280"/>
    </row>
    <row r="323" spans="1:14">
      <c r="A323" s="287"/>
      <c r="B323" s="8"/>
      <c r="C323" s="8"/>
      <c r="D323" s="288"/>
      <c r="E323" s="8"/>
      <c r="F323" s="8"/>
      <c r="G323" s="8" t="s">
        <v>1327</v>
      </c>
      <c r="H323" s="13">
        <v>3.04</v>
      </c>
      <c r="I323" s="13">
        <v>0.25</v>
      </c>
      <c r="J323" s="289" t="s">
        <v>24</v>
      </c>
      <c r="K323" s="289" t="s">
        <v>24</v>
      </c>
      <c r="L323" s="8"/>
      <c r="M323" s="280"/>
      <c r="N323" s="280"/>
    </row>
    <row r="324" spans="1:14">
      <c r="A324" s="9">
        <v>45407</v>
      </c>
      <c r="B324" s="8" t="s">
        <v>1833</v>
      </c>
      <c r="C324" s="8" t="s">
        <v>462</v>
      </c>
      <c r="D324" s="282">
        <v>10</v>
      </c>
      <c r="E324" s="8" t="s">
        <v>1109</v>
      </c>
      <c r="F324" s="8" t="s">
        <v>482</v>
      </c>
      <c r="G324" s="8" t="s">
        <v>1064</v>
      </c>
      <c r="H324" s="13">
        <v>1.93</v>
      </c>
      <c r="I324" s="13">
        <v>8.25</v>
      </c>
      <c r="J324" s="13" t="s">
        <v>1744</v>
      </c>
      <c r="K324" s="13">
        <v>2.65</v>
      </c>
      <c r="L324" s="8" t="s">
        <v>27</v>
      </c>
      <c r="M324" s="280"/>
      <c r="N324" s="280"/>
    </row>
    <row r="325" spans="1:14">
      <c r="A325" s="287"/>
      <c r="B325" s="8"/>
      <c r="C325" s="8"/>
      <c r="D325" s="288"/>
      <c r="E325" s="8"/>
      <c r="F325" s="8"/>
      <c r="G325" s="8" t="s">
        <v>1060</v>
      </c>
      <c r="H325" s="13">
        <v>1.93</v>
      </c>
      <c r="I325" s="13">
        <v>0.8</v>
      </c>
      <c r="J325" s="13" t="s">
        <v>1762</v>
      </c>
      <c r="K325" s="13">
        <v>2.75</v>
      </c>
      <c r="L325" s="8"/>
      <c r="M325" s="280"/>
      <c r="N325" s="280"/>
    </row>
    <row r="326" spans="1:14">
      <c r="A326" s="287"/>
      <c r="B326" s="8"/>
      <c r="C326" s="8"/>
      <c r="D326" s="288"/>
      <c r="E326" s="8"/>
      <c r="F326" s="8"/>
      <c r="G326" s="8" t="s">
        <v>503</v>
      </c>
      <c r="H326" s="13">
        <v>1.93</v>
      </c>
      <c r="I326" s="13">
        <v>0.95</v>
      </c>
      <c r="J326" s="289" t="s">
        <v>24</v>
      </c>
      <c r="K326" s="289" t="s">
        <v>24</v>
      </c>
      <c r="L326" s="8"/>
      <c r="M326" s="280"/>
      <c r="N326" s="280"/>
    </row>
    <row r="327" spans="1:14">
      <c r="A327" s="9">
        <v>45407</v>
      </c>
      <c r="B327" s="8" t="s">
        <v>1864</v>
      </c>
      <c r="C327" s="8" t="s">
        <v>462</v>
      </c>
      <c r="D327" s="282">
        <v>10</v>
      </c>
      <c r="E327" s="8" t="s">
        <v>1057</v>
      </c>
      <c r="F327" s="8" t="s">
        <v>1751</v>
      </c>
      <c r="G327" s="8" t="s">
        <v>1058</v>
      </c>
      <c r="H327" s="13">
        <v>1.09</v>
      </c>
      <c r="I327" s="13">
        <v>7</v>
      </c>
      <c r="J327" s="13" t="s">
        <v>1744</v>
      </c>
      <c r="K327" s="13">
        <v>2.3</v>
      </c>
      <c r="L327" s="8" t="s">
        <v>41</v>
      </c>
      <c r="M327" s="280"/>
      <c r="N327" s="280"/>
    </row>
    <row r="328" spans="1:14">
      <c r="A328" s="287"/>
      <c r="B328" s="8"/>
      <c r="C328" s="8"/>
      <c r="D328" s="288"/>
      <c r="E328" s="8"/>
      <c r="F328" s="8"/>
      <c r="G328" s="8" t="s">
        <v>1059</v>
      </c>
      <c r="H328" s="13">
        <v>1.26</v>
      </c>
      <c r="I328" s="13">
        <v>1.55</v>
      </c>
      <c r="J328" s="13" t="s">
        <v>1744</v>
      </c>
      <c r="K328" s="13">
        <v>2.4</v>
      </c>
      <c r="L328" s="8"/>
      <c r="M328" s="280"/>
      <c r="N328" s="280"/>
    </row>
    <row r="329" spans="1:14">
      <c r="A329" s="287"/>
      <c r="B329" s="8"/>
      <c r="C329" s="8"/>
      <c r="D329" s="288"/>
      <c r="E329" s="8"/>
      <c r="F329" s="8"/>
      <c r="G329" s="8" t="s">
        <v>1060</v>
      </c>
      <c r="H329" s="13">
        <v>1.3</v>
      </c>
      <c r="I329" s="13">
        <v>0.5</v>
      </c>
      <c r="J329" s="13" t="s">
        <v>1762</v>
      </c>
      <c r="K329" s="13">
        <v>2.5</v>
      </c>
      <c r="L329" s="8"/>
      <c r="M329" s="280"/>
      <c r="N329" s="280"/>
    </row>
    <row r="330" spans="1:14">
      <c r="A330" s="287"/>
      <c r="B330" s="8"/>
      <c r="C330" s="8"/>
      <c r="D330" s="288"/>
      <c r="E330" s="8"/>
      <c r="F330" s="8"/>
      <c r="G330" s="8" t="s">
        <v>1061</v>
      </c>
      <c r="H330" s="13">
        <v>1.38</v>
      </c>
      <c r="I330" s="13">
        <v>0.45</v>
      </c>
      <c r="J330" s="13" t="s">
        <v>1782</v>
      </c>
      <c r="K330" s="13">
        <v>5</v>
      </c>
      <c r="L330" s="8"/>
      <c r="M330" s="280"/>
      <c r="N330" s="280"/>
    </row>
    <row r="331" spans="1:14">
      <c r="A331" s="287"/>
      <c r="B331" s="8"/>
      <c r="C331" s="8"/>
      <c r="D331" s="288"/>
      <c r="E331" s="8"/>
      <c r="F331" s="8"/>
      <c r="G331" s="8" t="s">
        <v>503</v>
      </c>
      <c r="H331" s="13">
        <v>1.76</v>
      </c>
      <c r="I331" s="13">
        <v>0.5</v>
      </c>
      <c r="J331" s="289" t="s">
        <v>24</v>
      </c>
      <c r="K331" s="289" t="s">
        <v>24</v>
      </c>
      <c r="L331" s="8"/>
      <c r="M331" s="280"/>
      <c r="N331" s="280"/>
    </row>
    <row r="332" spans="1:14">
      <c r="A332" s="9">
        <v>45408</v>
      </c>
      <c r="B332" s="8" t="s">
        <v>1865</v>
      </c>
      <c r="C332" s="8" t="s">
        <v>462</v>
      </c>
      <c r="D332" s="282">
        <v>10</v>
      </c>
      <c r="E332" s="8" t="s">
        <v>1057</v>
      </c>
      <c r="F332" s="8" t="s">
        <v>1751</v>
      </c>
      <c r="G332" s="8" t="s">
        <v>1058</v>
      </c>
      <c r="H332" s="13">
        <v>1.09</v>
      </c>
      <c r="I332" s="13">
        <v>7</v>
      </c>
      <c r="J332" s="13" t="s">
        <v>1744</v>
      </c>
      <c r="K332" s="13">
        <v>2.3</v>
      </c>
      <c r="L332" s="8" t="s">
        <v>41</v>
      </c>
      <c r="M332" s="280"/>
      <c r="N332" s="280"/>
    </row>
    <row r="333" spans="1:14">
      <c r="A333" s="287"/>
      <c r="B333" s="8"/>
      <c r="C333" s="8"/>
      <c r="D333" s="288"/>
      <c r="E333" s="8"/>
      <c r="F333" s="8"/>
      <c r="G333" s="8" t="s">
        <v>1059</v>
      </c>
      <c r="H333" s="13">
        <v>1.27</v>
      </c>
      <c r="I333" s="13">
        <v>1.55</v>
      </c>
      <c r="J333" s="13" t="s">
        <v>1744</v>
      </c>
      <c r="K333" s="13">
        <v>2.4</v>
      </c>
      <c r="L333" s="8"/>
      <c r="M333" s="280"/>
      <c r="N333" s="280"/>
    </row>
    <row r="334" spans="1:14">
      <c r="A334" s="287"/>
      <c r="B334" s="8"/>
      <c r="C334" s="8"/>
      <c r="D334" s="288"/>
      <c r="E334" s="8"/>
      <c r="F334" s="8"/>
      <c r="G334" s="8" t="s">
        <v>1060</v>
      </c>
      <c r="H334" s="13">
        <v>1.3</v>
      </c>
      <c r="I334" s="13">
        <v>0.5</v>
      </c>
      <c r="J334" s="13" t="s">
        <v>1762</v>
      </c>
      <c r="K334" s="13">
        <v>2.5</v>
      </c>
      <c r="L334" s="8"/>
      <c r="M334" s="280"/>
      <c r="N334" s="280"/>
    </row>
    <row r="335" spans="1:14">
      <c r="A335" s="287"/>
      <c r="B335" s="8"/>
      <c r="C335" s="8"/>
      <c r="D335" s="288"/>
      <c r="E335" s="8"/>
      <c r="F335" s="8"/>
      <c r="G335" s="8" t="s">
        <v>1061</v>
      </c>
      <c r="H335" s="13">
        <v>1.39</v>
      </c>
      <c r="I335" s="13">
        <v>0.45</v>
      </c>
      <c r="J335" s="13" t="s">
        <v>1782</v>
      </c>
      <c r="K335" s="13">
        <v>5</v>
      </c>
      <c r="L335" s="8"/>
      <c r="M335" s="280"/>
      <c r="N335" s="280"/>
    </row>
    <row r="336" spans="1:14">
      <c r="A336" s="287"/>
      <c r="B336" s="8"/>
      <c r="C336" s="8"/>
      <c r="D336" s="288"/>
      <c r="E336" s="8"/>
      <c r="F336" s="8"/>
      <c r="G336" s="8" t="s">
        <v>503</v>
      </c>
      <c r="H336" s="13">
        <v>1.76</v>
      </c>
      <c r="I336" s="13">
        <v>0.5</v>
      </c>
      <c r="J336" s="289" t="s">
        <v>24</v>
      </c>
      <c r="K336" s="289" t="s">
        <v>24</v>
      </c>
      <c r="L336" s="8"/>
      <c r="M336" s="280"/>
      <c r="N336" s="280"/>
    </row>
    <row r="337" spans="1:14">
      <c r="A337" s="9">
        <v>45405</v>
      </c>
      <c r="B337" s="8" t="s">
        <v>1866</v>
      </c>
      <c r="C337" s="8" t="s">
        <v>462</v>
      </c>
      <c r="D337" s="282">
        <v>10</v>
      </c>
      <c r="E337" s="8" t="s">
        <v>1743</v>
      </c>
      <c r="F337" s="8" t="s">
        <v>460</v>
      </c>
      <c r="G337" s="8" t="s">
        <v>1064</v>
      </c>
      <c r="H337" s="13">
        <v>1.51</v>
      </c>
      <c r="I337" s="13">
        <v>8.34</v>
      </c>
      <c r="J337" s="13" t="s">
        <v>1744</v>
      </c>
      <c r="K337" s="13">
        <v>2.5</v>
      </c>
      <c r="L337" s="13">
        <v>360</v>
      </c>
      <c r="M337" s="280"/>
      <c r="N337" s="280"/>
    </row>
    <row r="338" spans="1:14">
      <c r="A338" s="287"/>
      <c r="B338" s="8"/>
      <c r="C338" s="8"/>
      <c r="D338" s="288"/>
      <c r="E338" s="8"/>
      <c r="F338" s="8"/>
      <c r="G338" s="8" t="s">
        <v>1060</v>
      </c>
      <c r="H338" s="13">
        <v>1.51</v>
      </c>
      <c r="I338" s="13">
        <v>0.5</v>
      </c>
      <c r="J338" s="13" t="s">
        <v>1762</v>
      </c>
      <c r="K338" s="13">
        <v>4</v>
      </c>
      <c r="L338" s="289"/>
      <c r="M338" s="280"/>
      <c r="N338" s="280"/>
    </row>
    <row r="339" spans="1:14">
      <c r="A339" s="287"/>
      <c r="B339" s="8"/>
      <c r="C339" s="8"/>
      <c r="D339" s="288"/>
      <c r="E339" s="8"/>
      <c r="F339" s="8"/>
      <c r="G339" s="8" t="s">
        <v>1061</v>
      </c>
      <c r="H339" s="13">
        <v>1.51</v>
      </c>
      <c r="I339" s="13">
        <v>0.4</v>
      </c>
      <c r="J339" s="13" t="s">
        <v>1746</v>
      </c>
      <c r="K339" s="13">
        <v>5</v>
      </c>
      <c r="L339" s="289"/>
      <c r="M339" s="280"/>
      <c r="N339" s="280"/>
    </row>
    <row r="340" spans="1:14">
      <c r="A340" s="287"/>
      <c r="B340" s="8"/>
      <c r="C340" s="8"/>
      <c r="D340" s="288"/>
      <c r="E340" s="8"/>
      <c r="F340" s="8"/>
      <c r="G340" s="8" t="s">
        <v>503</v>
      </c>
      <c r="H340" s="13">
        <v>1.51</v>
      </c>
      <c r="I340" s="13">
        <v>0.76</v>
      </c>
      <c r="J340" s="289" t="s">
        <v>24</v>
      </c>
      <c r="K340" s="289" t="s">
        <v>24</v>
      </c>
      <c r="L340" s="289"/>
      <c r="M340" s="280"/>
      <c r="N340" s="280"/>
    </row>
    <row r="341" spans="1:14">
      <c r="A341" s="9">
        <v>45405</v>
      </c>
      <c r="B341" s="8" t="s">
        <v>1867</v>
      </c>
      <c r="C341" s="8" t="s">
        <v>459</v>
      </c>
      <c r="D341" s="282">
        <v>3</v>
      </c>
      <c r="E341" s="8" t="s">
        <v>1136</v>
      </c>
      <c r="F341" s="8" t="s">
        <v>1768</v>
      </c>
      <c r="G341" s="8" t="s">
        <v>1064</v>
      </c>
      <c r="H341" s="13">
        <v>1.02</v>
      </c>
      <c r="I341" s="13">
        <v>2.6</v>
      </c>
      <c r="J341" s="13" t="s">
        <v>1744</v>
      </c>
      <c r="K341" s="13">
        <v>2.32</v>
      </c>
      <c r="L341" s="8" t="s">
        <v>27</v>
      </c>
      <c r="M341" s="280"/>
      <c r="N341" s="280"/>
    </row>
    <row r="342" spans="1:14">
      <c r="A342" s="287"/>
      <c r="B342" s="8"/>
      <c r="C342" s="8"/>
      <c r="D342" s="288"/>
      <c r="E342" s="8"/>
      <c r="F342" s="8"/>
      <c r="G342" s="8" t="s">
        <v>1060</v>
      </c>
      <c r="H342" s="13">
        <v>1.02</v>
      </c>
      <c r="I342" s="13">
        <v>0.16</v>
      </c>
      <c r="J342" s="13" t="s">
        <v>1762</v>
      </c>
      <c r="K342" s="13">
        <v>2.6</v>
      </c>
      <c r="L342" s="8"/>
      <c r="M342" s="280"/>
      <c r="N342" s="280"/>
    </row>
    <row r="343" spans="1:14">
      <c r="A343" s="287"/>
      <c r="B343" s="8"/>
      <c r="C343" s="8"/>
      <c r="D343" s="288"/>
      <c r="E343" s="8"/>
      <c r="F343" s="8"/>
      <c r="G343" s="8" t="s">
        <v>1326</v>
      </c>
      <c r="H343" s="13">
        <v>1.52</v>
      </c>
      <c r="I343" s="13">
        <v>0.09</v>
      </c>
      <c r="J343" s="289" t="s">
        <v>24</v>
      </c>
      <c r="K343" s="289" t="s">
        <v>24</v>
      </c>
      <c r="L343" s="8"/>
      <c r="M343" s="280"/>
      <c r="N343" s="280"/>
    </row>
    <row r="344" spans="1:14">
      <c r="A344" s="287"/>
      <c r="B344" s="8"/>
      <c r="C344" s="8"/>
      <c r="D344" s="288"/>
      <c r="E344" s="8"/>
      <c r="F344" s="8"/>
      <c r="G344" s="8" t="s">
        <v>1327</v>
      </c>
      <c r="H344" s="13">
        <v>1.52</v>
      </c>
      <c r="I344" s="13">
        <v>0.15</v>
      </c>
      <c r="J344" s="289" t="s">
        <v>24</v>
      </c>
      <c r="K344" s="289" t="s">
        <v>24</v>
      </c>
      <c r="L344" s="8"/>
      <c r="M344" s="280"/>
      <c r="N344" s="280"/>
    </row>
    <row r="345" spans="1:14">
      <c r="A345" s="9">
        <v>45401</v>
      </c>
      <c r="B345" s="8" t="s">
        <v>1868</v>
      </c>
      <c r="C345" s="8" t="s">
        <v>462</v>
      </c>
      <c r="D345" s="282">
        <v>5</v>
      </c>
      <c r="E345" s="8" t="s">
        <v>477</v>
      </c>
      <c r="F345" s="8" t="s">
        <v>1869</v>
      </c>
      <c r="G345" s="8" t="s">
        <v>1058</v>
      </c>
      <c r="H345" s="13">
        <v>1.07</v>
      </c>
      <c r="I345" s="13">
        <v>3.6</v>
      </c>
      <c r="J345" s="13" t="s">
        <v>1870</v>
      </c>
      <c r="K345" s="13">
        <v>2.35</v>
      </c>
      <c r="L345" s="8" t="s">
        <v>41</v>
      </c>
      <c r="M345" s="280"/>
      <c r="N345" s="280"/>
    </row>
    <row r="346" spans="1:14">
      <c r="A346" s="287"/>
      <c r="B346" s="8"/>
      <c r="C346" s="8"/>
      <c r="D346" s="288"/>
      <c r="E346" s="8"/>
      <c r="F346" s="8"/>
      <c r="G346" s="8" t="s">
        <v>1059</v>
      </c>
      <c r="H346" s="13">
        <v>1.21</v>
      </c>
      <c r="I346" s="13">
        <v>0.75</v>
      </c>
      <c r="J346" s="13" t="s">
        <v>1870</v>
      </c>
      <c r="K346" s="13">
        <v>2.41</v>
      </c>
      <c r="L346" s="8"/>
      <c r="M346" s="280"/>
      <c r="N346" s="280"/>
    </row>
    <row r="347" spans="1:14">
      <c r="A347" s="287"/>
      <c r="B347" s="8"/>
      <c r="C347" s="8"/>
      <c r="D347" s="288"/>
      <c r="E347" s="8"/>
      <c r="F347" s="8"/>
      <c r="G347" s="8" t="s">
        <v>1060</v>
      </c>
      <c r="H347" s="13">
        <v>1.28</v>
      </c>
      <c r="I347" s="13">
        <v>0.2</v>
      </c>
      <c r="J347" s="13" t="s">
        <v>1762</v>
      </c>
      <c r="K347" s="13">
        <v>2.6</v>
      </c>
      <c r="L347" s="8"/>
      <c r="M347" s="280"/>
      <c r="N347" s="280"/>
    </row>
    <row r="348" spans="1:14">
      <c r="A348" s="287"/>
      <c r="B348" s="8"/>
      <c r="C348" s="8"/>
      <c r="D348" s="288"/>
      <c r="E348" s="8"/>
      <c r="F348" s="8"/>
      <c r="G348" s="8" t="s">
        <v>1061</v>
      </c>
      <c r="H348" s="13">
        <v>1.33</v>
      </c>
      <c r="I348" s="13">
        <v>0.2</v>
      </c>
      <c r="J348" s="13" t="s">
        <v>1822</v>
      </c>
      <c r="K348" s="13">
        <v>5</v>
      </c>
      <c r="L348" s="8"/>
      <c r="M348" s="280"/>
      <c r="N348" s="280"/>
    </row>
    <row r="349" spans="1:14">
      <c r="A349" s="287"/>
      <c r="B349" s="8"/>
      <c r="C349" s="8"/>
      <c r="D349" s="288"/>
      <c r="E349" s="8"/>
      <c r="F349" s="8"/>
      <c r="G349" s="8" t="s">
        <v>503</v>
      </c>
      <c r="H349" s="13">
        <v>1.75</v>
      </c>
      <c r="I349" s="13">
        <v>0.25</v>
      </c>
      <c r="J349" s="289" t="s">
        <v>24</v>
      </c>
      <c r="K349" s="289" t="s">
        <v>24</v>
      </c>
      <c r="L349" s="8"/>
      <c r="M349" s="280"/>
      <c r="N349" s="280"/>
    </row>
    <row r="350" spans="1:14">
      <c r="A350" s="9">
        <v>45408</v>
      </c>
      <c r="B350" s="8" t="s">
        <v>1871</v>
      </c>
      <c r="C350" s="8" t="s">
        <v>462</v>
      </c>
      <c r="D350" s="282">
        <v>10</v>
      </c>
      <c r="E350" s="8" t="s">
        <v>1872</v>
      </c>
      <c r="F350" s="8" t="s">
        <v>460</v>
      </c>
      <c r="G350" s="8" t="s">
        <v>1064</v>
      </c>
      <c r="H350" s="13">
        <v>1.5</v>
      </c>
      <c r="I350" s="13">
        <v>8.46</v>
      </c>
      <c r="J350" s="13" t="s">
        <v>1744</v>
      </c>
      <c r="K350" s="13">
        <v>2.35</v>
      </c>
      <c r="L350" s="8" t="s">
        <v>27</v>
      </c>
      <c r="M350" s="280"/>
      <c r="N350" s="280"/>
    </row>
    <row r="351" spans="1:14">
      <c r="A351" s="287"/>
      <c r="B351" s="8"/>
      <c r="C351" s="8"/>
      <c r="D351" s="288"/>
      <c r="E351" s="8"/>
      <c r="F351" s="8"/>
      <c r="G351" s="8" t="s">
        <v>1060</v>
      </c>
      <c r="H351" s="13">
        <v>1.67</v>
      </c>
      <c r="I351" s="13">
        <v>0.46</v>
      </c>
      <c r="J351" s="13" t="s">
        <v>1762</v>
      </c>
      <c r="K351" s="13">
        <v>2.62</v>
      </c>
      <c r="L351" s="8"/>
      <c r="M351" s="280"/>
      <c r="N351" s="280"/>
    </row>
    <row r="352" spans="1:14">
      <c r="A352" s="287"/>
      <c r="B352" s="8"/>
      <c r="C352" s="8"/>
      <c r="D352" s="288"/>
      <c r="E352" s="8"/>
      <c r="F352" s="8"/>
      <c r="G352" s="8" t="s">
        <v>503</v>
      </c>
      <c r="H352" s="13">
        <v>3</v>
      </c>
      <c r="I352" s="13">
        <v>1.08</v>
      </c>
      <c r="J352" s="289" t="s">
        <v>24</v>
      </c>
      <c r="K352" s="289" t="s">
        <v>24</v>
      </c>
      <c r="L352" s="8"/>
      <c r="M352" s="280"/>
      <c r="N352" s="280"/>
    </row>
    <row r="353" spans="1:14">
      <c r="A353" s="9">
        <v>45408</v>
      </c>
      <c r="B353" s="8" t="s">
        <v>1873</v>
      </c>
      <c r="C353" s="8" t="s">
        <v>462</v>
      </c>
      <c r="D353" s="282">
        <v>8</v>
      </c>
      <c r="E353" s="8" t="s">
        <v>1874</v>
      </c>
      <c r="F353" s="8" t="s">
        <v>482</v>
      </c>
      <c r="G353" s="8" t="s">
        <v>1064</v>
      </c>
      <c r="H353" s="13">
        <v>1.5</v>
      </c>
      <c r="I353" s="13">
        <v>6.96</v>
      </c>
      <c r="J353" s="13" t="s">
        <v>1744</v>
      </c>
      <c r="K353" s="13">
        <v>2.5</v>
      </c>
      <c r="L353" s="13">
        <v>360</v>
      </c>
      <c r="M353" s="280"/>
      <c r="N353" s="280"/>
    </row>
    <row r="354" spans="1:14">
      <c r="A354" s="287"/>
      <c r="B354" s="8"/>
      <c r="C354" s="8"/>
      <c r="D354" s="288"/>
      <c r="E354" s="8"/>
      <c r="F354" s="8"/>
      <c r="G354" s="8" t="s">
        <v>1060</v>
      </c>
      <c r="H354" s="13">
        <v>1.5</v>
      </c>
      <c r="I354" s="13">
        <v>0.32</v>
      </c>
      <c r="J354" s="13" t="s">
        <v>1762</v>
      </c>
      <c r="K354" s="13">
        <v>4</v>
      </c>
      <c r="L354" s="289"/>
      <c r="M354" s="280"/>
      <c r="N354" s="280"/>
    </row>
    <row r="355" spans="1:14">
      <c r="A355" s="287"/>
      <c r="B355" s="8"/>
      <c r="C355" s="8"/>
      <c r="D355" s="288"/>
      <c r="E355" s="8"/>
      <c r="F355" s="8"/>
      <c r="G355" s="8" t="s">
        <v>1061</v>
      </c>
      <c r="H355" s="13">
        <v>1.5</v>
      </c>
      <c r="I355" s="13">
        <v>0.32</v>
      </c>
      <c r="J355" s="13" t="s">
        <v>1875</v>
      </c>
      <c r="K355" s="13">
        <v>5</v>
      </c>
      <c r="L355" s="289"/>
      <c r="M355" s="280"/>
      <c r="N355" s="280"/>
    </row>
    <row r="356" spans="1:14">
      <c r="A356" s="287"/>
      <c r="B356" s="8"/>
      <c r="C356" s="8"/>
      <c r="D356" s="288"/>
      <c r="E356" s="8"/>
      <c r="F356" s="8"/>
      <c r="G356" s="8" t="s">
        <v>503</v>
      </c>
      <c r="H356" s="13">
        <v>1.5</v>
      </c>
      <c r="I356" s="13">
        <v>0.4</v>
      </c>
      <c r="J356" s="289" t="s">
        <v>24</v>
      </c>
      <c r="K356" s="289" t="s">
        <v>24</v>
      </c>
      <c r="L356" s="289"/>
      <c r="M356" s="280"/>
      <c r="N356" s="280"/>
    </row>
    <row r="357" spans="1:14">
      <c r="A357" s="9">
        <v>45420</v>
      </c>
      <c r="B357" s="8" t="s">
        <v>1876</v>
      </c>
      <c r="C357" s="8" t="s">
        <v>462</v>
      </c>
      <c r="D357" s="282">
        <v>3.5</v>
      </c>
      <c r="E357" s="8" t="s">
        <v>1045</v>
      </c>
      <c r="F357" s="8" t="s">
        <v>1779</v>
      </c>
      <c r="G357" s="8" t="s">
        <v>1064</v>
      </c>
      <c r="H357" s="13">
        <v>1.5</v>
      </c>
      <c r="I357" s="13">
        <v>2.8</v>
      </c>
      <c r="J357" s="8" t="s">
        <v>1844</v>
      </c>
      <c r="K357" s="13">
        <v>3.8</v>
      </c>
      <c r="L357" s="8" t="s">
        <v>123</v>
      </c>
      <c r="M357" s="280"/>
      <c r="N357" s="280"/>
    </row>
    <row r="358" spans="1:14">
      <c r="A358" s="287"/>
      <c r="B358" s="8"/>
      <c r="C358" s="8"/>
      <c r="D358" s="288"/>
      <c r="E358" s="8"/>
      <c r="F358" s="8"/>
      <c r="G358" s="8" t="s">
        <v>1060</v>
      </c>
      <c r="H358" s="13">
        <v>1.5</v>
      </c>
      <c r="I358" s="13">
        <v>0.455</v>
      </c>
      <c r="J358" s="8" t="s">
        <v>1844</v>
      </c>
      <c r="K358" s="13">
        <v>5.4</v>
      </c>
      <c r="L358" s="8"/>
      <c r="M358" s="280"/>
      <c r="N358" s="280"/>
    </row>
    <row r="359" spans="1:14">
      <c r="A359" s="287"/>
      <c r="B359" s="8"/>
      <c r="C359" s="8"/>
      <c r="D359" s="288"/>
      <c r="E359" s="8"/>
      <c r="F359" s="8"/>
      <c r="G359" s="8" t="s">
        <v>503</v>
      </c>
      <c r="H359" s="13">
        <v>1.5</v>
      </c>
      <c r="I359" s="13">
        <v>0.245</v>
      </c>
      <c r="J359" s="289" t="s">
        <v>24</v>
      </c>
      <c r="K359" s="13">
        <v>5</v>
      </c>
      <c r="L359" s="8"/>
      <c r="M359" s="280"/>
      <c r="N359" s="280"/>
    </row>
    <row r="360" spans="1:14">
      <c r="A360" s="9">
        <v>45421</v>
      </c>
      <c r="B360" s="8" t="s">
        <v>1877</v>
      </c>
      <c r="C360" s="8" t="s">
        <v>462</v>
      </c>
      <c r="D360" s="282">
        <v>10</v>
      </c>
      <c r="E360" s="8" t="s">
        <v>1066</v>
      </c>
      <c r="F360" s="8" t="s">
        <v>1054</v>
      </c>
      <c r="G360" s="8" t="s">
        <v>1064</v>
      </c>
      <c r="H360" s="13">
        <v>1</v>
      </c>
      <c r="I360" s="13">
        <v>8.9</v>
      </c>
      <c r="J360" s="13" t="s">
        <v>1744</v>
      </c>
      <c r="K360" s="13">
        <v>2.3</v>
      </c>
      <c r="L360" s="8" t="s">
        <v>35</v>
      </c>
      <c r="M360" s="280"/>
      <c r="N360" s="280"/>
    </row>
    <row r="361" spans="1:14">
      <c r="A361" s="287"/>
      <c r="B361" s="8"/>
      <c r="C361" s="8"/>
      <c r="D361" s="288"/>
      <c r="E361" s="8"/>
      <c r="F361" s="8"/>
      <c r="G361" s="8" t="s">
        <v>1060</v>
      </c>
      <c r="H361" s="13">
        <v>1.08</v>
      </c>
      <c r="I361" s="13">
        <v>0.3</v>
      </c>
      <c r="J361" s="13" t="s">
        <v>1762</v>
      </c>
      <c r="K361" s="13">
        <v>2.5</v>
      </c>
      <c r="L361" s="8"/>
      <c r="M361" s="280"/>
      <c r="N361" s="280"/>
    </row>
    <row r="362" spans="1:14">
      <c r="A362" s="287"/>
      <c r="B362" s="8"/>
      <c r="C362" s="8"/>
      <c r="D362" s="288"/>
      <c r="E362" s="8"/>
      <c r="F362" s="8"/>
      <c r="G362" s="8" t="s">
        <v>503</v>
      </c>
      <c r="H362" s="13">
        <v>1.83</v>
      </c>
      <c r="I362" s="13">
        <v>0.8</v>
      </c>
      <c r="J362" s="289" t="s">
        <v>24</v>
      </c>
      <c r="K362" s="289" t="s">
        <v>24</v>
      </c>
      <c r="L362" s="8"/>
      <c r="M362" s="280"/>
      <c r="N362" s="280"/>
    </row>
    <row r="363" spans="1:14">
      <c r="A363" s="9">
        <v>45436</v>
      </c>
      <c r="B363" s="8" t="s">
        <v>1878</v>
      </c>
      <c r="C363" s="8" t="s">
        <v>462</v>
      </c>
      <c r="D363" s="282">
        <v>10</v>
      </c>
      <c r="E363" s="8" t="s">
        <v>1079</v>
      </c>
      <c r="F363" s="8" t="s">
        <v>482</v>
      </c>
      <c r="G363" s="8" t="s">
        <v>1064</v>
      </c>
      <c r="H363" s="13">
        <v>1.99</v>
      </c>
      <c r="I363" s="13">
        <v>8.7</v>
      </c>
      <c r="J363" s="13" t="s">
        <v>1744</v>
      </c>
      <c r="K363" s="13">
        <v>2.29</v>
      </c>
      <c r="L363" s="8" t="s">
        <v>35</v>
      </c>
      <c r="M363" s="280"/>
      <c r="N363" s="280"/>
    </row>
    <row r="364" spans="1:14">
      <c r="A364" s="287"/>
      <c r="B364" s="8"/>
      <c r="C364" s="8"/>
      <c r="D364" s="288"/>
      <c r="E364" s="8"/>
      <c r="F364" s="8"/>
      <c r="G364" s="8" t="s">
        <v>1060</v>
      </c>
      <c r="H364" s="13">
        <v>1.99</v>
      </c>
      <c r="I364" s="13">
        <v>0.3</v>
      </c>
      <c r="J364" s="13" t="s">
        <v>1762</v>
      </c>
      <c r="K364" s="13">
        <v>2.5</v>
      </c>
      <c r="L364" s="8"/>
      <c r="M364" s="280"/>
      <c r="N364" s="280"/>
    </row>
    <row r="365" spans="1:14">
      <c r="A365" s="287"/>
      <c r="B365" s="8"/>
      <c r="C365" s="8"/>
      <c r="D365" s="288"/>
      <c r="E365" s="8"/>
      <c r="F365" s="8"/>
      <c r="G365" s="8" t="s">
        <v>1061</v>
      </c>
      <c r="H365" s="13">
        <v>1.99</v>
      </c>
      <c r="I365" s="13">
        <v>0.5</v>
      </c>
      <c r="J365" s="13" t="s">
        <v>1879</v>
      </c>
      <c r="K365" s="13">
        <v>4.4</v>
      </c>
      <c r="L365" s="8"/>
      <c r="M365" s="280"/>
      <c r="N365" s="280"/>
    </row>
    <row r="366" spans="1:14">
      <c r="A366" s="287"/>
      <c r="B366" s="8"/>
      <c r="C366" s="8"/>
      <c r="D366" s="288"/>
      <c r="E366" s="8"/>
      <c r="F366" s="8"/>
      <c r="G366" s="8" t="s">
        <v>503</v>
      </c>
      <c r="H366" s="13">
        <v>1.99</v>
      </c>
      <c r="I366" s="13">
        <v>0.5</v>
      </c>
      <c r="J366" s="289" t="s">
        <v>24</v>
      </c>
      <c r="K366" s="289" t="s">
        <v>24</v>
      </c>
      <c r="L366" s="8"/>
      <c r="M366" s="280"/>
      <c r="N366" s="280"/>
    </row>
    <row r="367" spans="1:14">
      <c r="A367" s="9">
        <v>45427</v>
      </c>
      <c r="B367" s="8" t="s">
        <v>1880</v>
      </c>
      <c r="C367" s="8" t="s">
        <v>459</v>
      </c>
      <c r="D367" s="282">
        <v>4</v>
      </c>
      <c r="E367" s="8" t="s">
        <v>477</v>
      </c>
      <c r="F367" s="8" t="s">
        <v>487</v>
      </c>
      <c r="G367" s="8" t="s">
        <v>1064</v>
      </c>
      <c r="H367" s="13">
        <v>1.05</v>
      </c>
      <c r="I367" s="13">
        <v>3.56</v>
      </c>
      <c r="J367" s="13" t="s">
        <v>1744</v>
      </c>
      <c r="K367" s="13">
        <v>2.27</v>
      </c>
      <c r="L367" s="8" t="s">
        <v>112</v>
      </c>
      <c r="M367" s="280"/>
      <c r="N367" s="280"/>
    </row>
    <row r="368" spans="1:14">
      <c r="A368" s="287"/>
      <c r="B368" s="8"/>
      <c r="C368" s="8"/>
      <c r="D368" s="288"/>
      <c r="E368" s="8"/>
      <c r="F368" s="8"/>
      <c r="G368" s="8" t="s">
        <v>1060</v>
      </c>
      <c r="H368" s="13">
        <v>1.05</v>
      </c>
      <c r="I368" s="13">
        <v>0.24</v>
      </c>
      <c r="J368" s="13" t="s">
        <v>1762</v>
      </c>
      <c r="K368" s="13">
        <v>2.48</v>
      </c>
      <c r="L368" s="8"/>
      <c r="M368" s="280"/>
      <c r="N368" s="280"/>
    </row>
    <row r="369" spans="1:14">
      <c r="A369" s="287"/>
      <c r="B369" s="8"/>
      <c r="C369" s="8"/>
      <c r="D369" s="288"/>
      <c r="E369" s="8"/>
      <c r="F369" s="8"/>
      <c r="G369" s="8" t="s">
        <v>503</v>
      </c>
      <c r="H369" s="13">
        <v>1.97</v>
      </c>
      <c r="I369" s="13">
        <v>0.08</v>
      </c>
      <c r="J369" s="289" t="s">
        <v>24</v>
      </c>
      <c r="K369" s="289" t="s">
        <v>24</v>
      </c>
      <c r="L369" s="8"/>
      <c r="M369" s="280"/>
      <c r="N369" s="280"/>
    </row>
    <row r="370" spans="1:14">
      <c r="A370" s="287"/>
      <c r="B370" s="8"/>
      <c r="C370" s="8"/>
      <c r="D370" s="288"/>
      <c r="E370" s="8"/>
      <c r="F370" s="8"/>
      <c r="G370" s="8" t="s">
        <v>503</v>
      </c>
      <c r="H370" s="13">
        <v>1.97</v>
      </c>
      <c r="I370" s="13">
        <v>0.12</v>
      </c>
      <c r="J370" s="289" t="s">
        <v>24</v>
      </c>
      <c r="K370" s="289" t="s">
        <v>24</v>
      </c>
      <c r="L370" s="8"/>
      <c r="M370" s="280"/>
      <c r="N370" s="280"/>
    </row>
    <row r="371" spans="1:14">
      <c r="A371" s="9">
        <v>45422</v>
      </c>
      <c r="B371" s="8" t="s">
        <v>1881</v>
      </c>
      <c r="C371" s="8" t="s">
        <v>462</v>
      </c>
      <c r="D371" s="282">
        <v>10</v>
      </c>
      <c r="E371" s="8" t="s">
        <v>1066</v>
      </c>
      <c r="F371" s="8" t="s">
        <v>1768</v>
      </c>
      <c r="G371" s="8" t="s">
        <v>1064</v>
      </c>
      <c r="H371" s="13">
        <v>1</v>
      </c>
      <c r="I371" s="13">
        <v>9</v>
      </c>
      <c r="J371" s="13" t="s">
        <v>1744</v>
      </c>
      <c r="K371" s="13">
        <v>2.27</v>
      </c>
      <c r="L371" s="8" t="s">
        <v>35</v>
      </c>
      <c r="M371" s="280"/>
      <c r="N371" s="280"/>
    </row>
    <row r="372" spans="1:14">
      <c r="A372" s="287"/>
      <c r="B372" s="8"/>
      <c r="C372" s="8"/>
      <c r="D372" s="288"/>
      <c r="E372" s="8"/>
      <c r="F372" s="8"/>
      <c r="G372" s="8" t="s">
        <v>1060</v>
      </c>
      <c r="H372" s="13">
        <v>1</v>
      </c>
      <c r="I372" s="13">
        <v>0.3</v>
      </c>
      <c r="J372" s="13" t="s">
        <v>1762</v>
      </c>
      <c r="K372" s="13">
        <v>2.5</v>
      </c>
      <c r="L372" s="8"/>
      <c r="M372" s="280"/>
      <c r="N372" s="280"/>
    </row>
    <row r="373" spans="1:14">
      <c r="A373" s="287"/>
      <c r="B373" s="8"/>
      <c r="C373" s="8"/>
      <c r="D373" s="288"/>
      <c r="E373" s="8"/>
      <c r="F373" s="8"/>
      <c r="G373" s="8" t="s">
        <v>503</v>
      </c>
      <c r="H373" s="13">
        <v>2.75</v>
      </c>
      <c r="I373" s="13">
        <v>0.7</v>
      </c>
      <c r="J373" s="289" t="s">
        <v>24</v>
      </c>
      <c r="K373" s="289" t="s">
        <v>24</v>
      </c>
      <c r="L373" s="8"/>
      <c r="M373" s="280"/>
      <c r="N373" s="280"/>
    </row>
    <row r="374" spans="1:14">
      <c r="A374" s="9">
        <v>45428</v>
      </c>
      <c r="B374" s="8" t="s">
        <v>1882</v>
      </c>
      <c r="C374" s="8" t="s">
        <v>462</v>
      </c>
      <c r="D374" s="282">
        <v>10</v>
      </c>
      <c r="E374" s="8" t="s">
        <v>1066</v>
      </c>
      <c r="F374" s="8" t="s">
        <v>1168</v>
      </c>
      <c r="G374" s="8" t="s">
        <v>1064</v>
      </c>
      <c r="H374" s="13">
        <v>0.92</v>
      </c>
      <c r="I374" s="13">
        <v>9</v>
      </c>
      <c r="J374" s="13" t="s">
        <v>1744</v>
      </c>
      <c r="K374" s="13">
        <v>2.24</v>
      </c>
      <c r="L374" s="8" t="s">
        <v>35</v>
      </c>
      <c r="M374" s="280"/>
      <c r="N374" s="280"/>
    </row>
    <row r="375" spans="1:14">
      <c r="A375" s="287"/>
      <c r="B375" s="8"/>
      <c r="C375" s="8"/>
      <c r="D375" s="288"/>
      <c r="E375" s="8"/>
      <c r="F375" s="8"/>
      <c r="G375" s="8" t="s">
        <v>1060</v>
      </c>
      <c r="H375" s="13">
        <v>0.92</v>
      </c>
      <c r="I375" s="13">
        <v>0.3</v>
      </c>
      <c r="J375" s="13" t="s">
        <v>1762</v>
      </c>
      <c r="K375" s="13">
        <v>2.49</v>
      </c>
      <c r="L375" s="8"/>
      <c r="M375" s="280"/>
      <c r="N375" s="280"/>
    </row>
    <row r="376" spans="1:14">
      <c r="A376" s="287"/>
      <c r="B376" s="8"/>
      <c r="C376" s="8"/>
      <c r="D376" s="288"/>
      <c r="E376" s="8"/>
      <c r="F376" s="8"/>
      <c r="G376" s="8" t="s">
        <v>503</v>
      </c>
      <c r="H376" s="13">
        <v>2.75</v>
      </c>
      <c r="I376" s="13">
        <v>0.7</v>
      </c>
      <c r="J376" s="289" t="s">
        <v>24</v>
      </c>
      <c r="K376" s="289" t="s">
        <v>24</v>
      </c>
      <c r="L376" s="8"/>
      <c r="M376" s="280"/>
      <c r="N376" s="280"/>
    </row>
    <row r="377" spans="1:14">
      <c r="A377" s="9">
        <v>45428</v>
      </c>
      <c r="B377" s="8" t="s">
        <v>1883</v>
      </c>
      <c r="C377" s="8" t="s">
        <v>462</v>
      </c>
      <c r="D377" s="282">
        <v>3</v>
      </c>
      <c r="E377" s="8" t="s">
        <v>486</v>
      </c>
      <c r="F377" s="8" t="s">
        <v>1091</v>
      </c>
      <c r="G377" s="8" t="s">
        <v>1064</v>
      </c>
      <c r="H377" s="13">
        <v>1.03</v>
      </c>
      <c r="I377" s="13">
        <v>2.51</v>
      </c>
      <c r="J377" s="13" t="s">
        <v>1744</v>
      </c>
      <c r="K377" s="13">
        <v>2.3</v>
      </c>
      <c r="L377" s="8" t="s">
        <v>27</v>
      </c>
      <c r="M377" s="280"/>
      <c r="N377" s="280"/>
    </row>
    <row r="378" spans="1:14">
      <c r="A378" s="287"/>
      <c r="B378" s="8"/>
      <c r="C378" s="8"/>
      <c r="D378" s="288"/>
      <c r="E378" s="8"/>
      <c r="F378" s="8"/>
      <c r="G378" s="8" t="s">
        <v>1060</v>
      </c>
      <c r="H378" s="13">
        <v>1.03</v>
      </c>
      <c r="I378" s="13">
        <v>0.17</v>
      </c>
      <c r="J378" s="13" t="s">
        <v>505</v>
      </c>
      <c r="K378" s="13">
        <v>2.5</v>
      </c>
      <c r="L378" s="8"/>
      <c r="M378" s="280"/>
      <c r="N378" s="280"/>
    </row>
    <row r="379" spans="1:14">
      <c r="A379" s="287"/>
      <c r="B379" s="8"/>
      <c r="C379" s="8"/>
      <c r="D379" s="288"/>
      <c r="E379" s="8"/>
      <c r="F379" s="8"/>
      <c r="G379" s="8" t="s">
        <v>1086</v>
      </c>
      <c r="H379" s="13">
        <v>1.78</v>
      </c>
      <c r="I379" s="13">
        <v>0.17</v>
      </c>
      <c r="J379" s="289" t="s">
        <v>24</v>
      </c>
      <c r="K379" s="289" t="s">
        <v>24</v>
      </c>
      <c r="L379" s="8"/>
      <c r="M379" s="280"/>
      <c r="N379" s="280"/>
    </row>
    <row r="380" spans="1:14">
      <c r="A380" s="287"/>
      <c r="B380" s="8"/>
      <c r="C380" s="8"/>
      <c r="D380" s="288"/>
      <c r="E380" s="8"/>
      <c r="F380" s="8"/>
      <c r="G380" s="8" t="s">
        <v>1087</v>
      </c>
      <c r="H380" s="13">
        <v>1.78</v>
      </c>
      <c r="I380" s="13">
        <v>0.15</v>
      </c>
      <c r="J380" s="289" t="s">
        <v>24</v>
      </c>
      <c r="K380" s="289" t="s">
        <v>24</v>
      </c>
      <c r="L380" s="8"/>
      <c r="M380" s="280"/>
      <c r="N380" s="280"/>
    </row>
    <row r="381" spans="1:14">
      <c r="A381" s="9">
        <v>45429</v>
      </c>
      <c r="B381" s="8" t="s">
        <v>1884</v>
      </c>
      <c r="C381" s="8" t="s">
        <v>462</v>
      </c>
      <c r="D381" s="282">
        <v>4</v>
      </c>
      <c r="E381" s="8" t="s">
        <v>1754</v>
      </c>
      <c r="F381" s="8" t="s">
        <v>460</v>
      </c>
      <c r="G381" s="8" t="s">
        <v>1064</v>
      </c>
      <c r="H381" s="13">
        <v>1.52</v>
      </c>
      <c r="I381" s="13">
        <v>3.33</v>
      </c>
      <c r="J381" s="13" t="s">
        <v>1744</v>
      </c>
      <c r="K381" s="13">
        <v>2.47</v>
      </c>
      <c r="L381" s="8" t="s">
        <v>27</v>
      </c>
      <c r="M381" s="280"/>
      <c r="N381" s="280"/>
    </row>
    <row r="382" spans="1:14">
      <c r="A382" s="287"/>
      <c r="B382" s="8"/>
      <c r="C382" s="8"/>
      <c r="D382" s="288"/>
      <c r="E382" s="8"/>
      <c r="F382" s="8"/>
      <c r="G382" s="8" t="s">
        <v>1060</v>
      </c>
      <c r="H382" s="13">
        <v>1.86</v>
      </c>
      <c r="I382" s="13">
        <v>0.15</v>
      </c>
      <c r="J382" s="13" t="s">
        <v>1762</v>
      </c>
      <c r="K382" s="13">
        <v>2.5</v>
      </c>
      <c r="L382" s="8"/>
      <c r="M382" s="280"/>
      <c r="N382" s="280"/>
    </row>
    <row r="383" spans="1:14">
      <c r="A383" s="287"/>
      <c r="B383" s="8"/>
      <c r="C383" s="8"/>
      <c r="D383" s="288"/>
      <c r="E383" s="8"/>
      <c r="F383" s="8"/>
      <c r="G383" s="8" t="s">
        <v>1086</v>
      </c>
      <c r="H383" s="13">
        <v>3.02</v>
      </c>
      <c r="I383" s="13">
        <v>0.32</v>
      </c>
      <c r="J383" s="289" t="s">
        <v>24</v>
      </c>
      <c r="K383" s="289" t="s">
        <v>24</v>
      </c>
      <c r="L383" s="8"/>
      <c r="M383" s="280"/>
      <c r="N383" s="280"/>
    </row>
    <row r="384" spans="1:14">
      <c r="A384" s="287"/>
      <c r="B384" s="8"/>
      <c r="C384" s="8"/>
      <c r="D384" s="288"/>
      <c r="E384" s="8"/>
      <c r="F384" s="8"/>
      <c r="G384" s="8" t="s">
        <v>1087</v>
      </c>
      <c r="H384" s="13">
        <v>3.02</v>
      </c>
      <c r="I384" s="13">
        <v>0.2</v>
      </c>
      <c r="J384" s="289" t="s">
        <v>24</v>
      </c>
      <c r="K384" s="289" t="s">
        <v>24</v>
      </c>
      <c r="L384" s="8"/>
      <c r="M384" s="280"/>
      <c r="N384" s="280"/>
    </row>
    <row r="385" spans="1:14">
      <c r="A385" s="9">
        <v>45428</v>
      </c>
      <c r="B385" s="8" t="s">
        <v>1885</v>
      </c>
      <c r="C385" s="8" t="s">
        <v>462</v>
      </c>
      <c r="D385" s="282">
        <v>4</v>
      </c>
      <c r="E385" s="8" t="s">
        <v>486</v>
      </c>
      <c r="F385" s="8" t="s">
        <v>1768</v>
      </c>
      <c r="G385" s="8" t="s">
        <v>1064</v>
      </c>
      <c r="H385" s="13">
        <v>1.53</v>
      </c>
      <c r="I385" s="13">
        <v>3.26</v>
      </c>
      <c r="J385" s="13" t="s">
        <v>1870</v>
      </c>
      <c r="K385" s="13">
        <v>2.4</v>
      </c>
      <c r="L385" s="8" t="s">
        <v>27</v>
      </c>
      <c r="M385" s="280"/>
      <c r="N385" s="280"/>
    </row>
    <row r="386" spans="1:14">
      <c r="A386" s="287"/>
      <c r="B386" s="8"/>
      <c r="C386" s="8"/>
      <c r="D386" s="288"/>
      <c r="E386" s="8"/>
      <c r="F386" s="8"/>
      <c r="G386" s="8" t="s">
        <v>1060</v>
      </c>
      <c r="H386" s="13">
        <v>2.03</v>
      </c>
      <c r="I386" s="13">
        <v>0.16</v>
      </c>
      <c r="J386" s="13" t="s">
        <v>1762</v>
      </c>
      <c r="K386" s="13">
        <v>2.6</v>
      </c>
      <c r="L386" s="8"/>
      <c r="M386" s="280"/>
      <c r="N386" s="280"/>
    </row>
    <row r="387" spans="1:14">
      <c r="A387" s="287"/>
      <c r="B387" s="8"/>
      <c r="C387" s="8"/>
      <c r="D387" s="288"/>
      <c r="E387" s="8"/>
      <c r="F387" s="8"/>
      <c r="G387" s="8" t="s">
        <v>1086</v>
      </c>
      <c r="H387" s="13">
        <v>3.03</v>
      </c>
      <c r="I387" s="13">
        <v>0.38</v>
      </c>
      <c r="J387" s="289" t="s">
        <v>24</v>
      </c>
      <c r="K387" s="289" t="s">
        <v>24</v>
      </c>
      <c r="L387" s="8"/>
      <c r="M387" s="280"/>
      <c r="N387" s="280"/>
    </row>
    <row r="388" spans="1:14">
      <c r="A388" s="287"/>
      <c r="B388" s="8"/>
      <c r="C388" s="8"/>
      <c r="D388" s="288"/>
      <c r="E388" s="8"/>
      <c r="F388" s="8"/>
      <c r="G388" s="8" t="s">
        <v>1087</v>
      </c>
      <c r="H388" s="13">
        <v>3.03</v>
      </c>
      <c r="I388" s="13">
        <v>0.2</v>
      </c>
      <c r="J388" s="289" t="s">
        <v>24</v>
      </c>
      <c r="K388" s="289" t="s">
        <v>24</v>
      </c>
      <c r="L388" s="8"/>
      <c r="M388" s="280"/>
      <c r="N388" s="280"/>
    </row>
    <row r="389" spans="1:14">
      <c r="A389" s="9">
        <v>45439</v>
      </c>
      <c r="B389" s="8" t="s">
        <v>1886</v>
      </c>
      <c r="C389" s="8" t="s">
        <v>459</v>
      </c>
      <c r="D389" s="282">
        <v>5.6</v>
      </c>
      <c r="E389" s="8" t="s">
        <v>477</v>
      </c>
      <c r="F389" s="8" t="s">
        <v>490</v>
      </c>
      <c r="G389" s="8" t="s">
        <v>1058</v>
      </c>
      <c r="H389" s="13">
        <v>0.97</v>
      </c>
      <c r="I389" s="13">
        <v>1.68</v>
      </c>
      <c r="J389" s="13" t="s">
        <v>1744</v>
      </c>
      <c r="K389" s="13">
        <v>2.65</v>
      </c>
      <c r="L389" s="8" t="s">
        <v>1082</v>
      </c>
      <c r="M389" s="280"/>
      <c r="N389" s="280"/>
    </row>
    <row r="390" spans="1:14">
      <c r="A390" s="287"/>
      <c r="B390" s="8"/>
      <c r="C390" s="8"/>
      <c r="D390" s="288"/>
      <c r="E390" s="8"/>
      <c r="F390" s="8"/>
      <c r="G390" s="8" t="s">
        <v>1059</v>
      </c>
      <c r="H390" s="13">
        <v>1.97</v>
      </c>
      <c r="I390" s="13">
        <v>2.24</v>
      </c>
      <c r="J390" s="13" t="s">
        <v>1744</v>
      </c>
      <c r="K390" s="13">
        <v>3.2</v>
      </c>
      <c r="L390" s="8"/>
      <c r="M390" s="280"/>
      <c r="N390" s="280"/>
    </row>
    <row r="391" spans="1:14">
      <c r="A391" s="287"/>
      <c r="B391" s="8"/>
      <c r="C391" s="8"/>
      <c r="D391" s="288"/>
      <c r="E391" s="8"/>
      <c r="F391" s="8"/>
      <c r="G391" s="8" t="s">
        <v>1099</v>
      </c>
      <c r="H391" s="13">
        <v>2.97</v>
      </c>
      <c r="I391" s="13">
        <v>1.6</v>
      </c>
      <c r="J391" s="13" t="s">
        <v>1744</v>
      </c>
      <c r="K391" s="13">
        <v>4.7</v>
      </c>
      <c r="L391" s="8"/>
      <c r="M391" s="280"/>
      <c r="N391" s="280"/>
    </row>
    <row r="392" spans="1:14">
      <c r="A392" s="287"/>
      <c r="B392" s="8"/>
      <c r="C392" s="8"/>
      <c r="D392" s="288"/>
      <c r="E392" s="8"/>
      <c r="F392" s="8"/>
      <c r="G392" s="8" t="s">
        <v>503</v>
      </c>
      <c r="H392" s="13">
        <v>3.24</v>
      </c>
      <c r="I392" s="13">
        <v>0.08</v>
      </c>
      <c r="J392" s="289" t="s">
        <v>24</v>
      </c>
      <c r="K392" s="289" t="s">
        <v>24</v>
      </c>
      <c r="L392" s="8"/>
      <c r="M392" s="280"/>
      <c r="N392" s="280"/>
    </row>
    <row r="393" spans="1:14">
      <c r="A393" s="9">
        <v>45429</v>
      </c>
      <c r="B393" s="8" t="s">
        <v>1887</v>
      </c>
      <c r="C393" s="8" t="s">
        <v>462</v>
      </c>
      <c r="D393" s="282">
        <v>10</v>
      </c>
      <c r="E393" s="8" t="s">
        <v>1066</v>
      </c>
      <c r="F393" s="8" t="s">
        <v>1768</v>
      </c>
      <c r="G393" s="8" t="s">
        <v>1064</v>
      </c>
      <c r="H393" s="13">
        <v>0.92</v>
      </c>
      <c r="I393" s="13">
        <v>9</v>
      </c>
      <c r="J393" s="13" t="s">
        <v>1744</v>
      </c>
      <c r="K393" s="13">
        <v>2.26</v>
      </c>
      <c r="L393" s="8" t="s">
        <v>35</v>
      </c>
      <c r="M393" s="280"/>
      <c r="N393" s="280"/>
    </row>
    <row r="394" spans="1:14">
      <c r="A394" s="287"/>
      <c r="B394" s="8"/>
      <c r="C394" s="8"/>
      <c r="D394" s="288"/>
      <c r="E394" s="8"/>
      <c r="F394" s="8"/>
      <c r="G394" s="8" t="s">
        <v>1060</v>
      </c>
      <c r="H394" s="13">
        <v>0.92</v>
      </c>
      <c r="I394" s="13">
        <v>0.3</v>
      </c>
      <c r="J394" s="13" t="s">
        <v>1762</v>
      </c>
      <c r="K394" s="13">
        <v>2.49</v>
      </c>
      <c r="L394" s="8"/>
      <c r="M394" s="280"/>
      <c r="N394" s="280"/>
    </row>
    <row r="395" spans="1:14">
      <c r="A395" s="287"/>
      <c r="B395" s="8"/>
      <c r="C395" s="8"/>
      <c r="D395" s="288"/>
      <c r="E395" s="8"/>
      <c r="F395" s="8"/>
      <c r="G395" s="8" t="s">
        <v>503</v>
      </c>
      <c r="H395" s="13">
        <v>2.75</v>
      </c>
      <c r="I395" s="13">
        <v>0.7</v>
      </c>
      <c r="J395" s="289" t="s">
        <v>24</v>
      </c>
      <c r="K395" s="289" t="s">
        <v>24</v>
      </c>
      <c r="L395" s="8"/>
      <c r="M395" s="280"/>
      <c r="N395" s="280"/>
    </row>
    <row r="396" spans="1:14">
      <c r="A396" s="9">
        <v>45433</v>
      </c>
      <c r="B396" s="8" t="s">
        <v>1888</v>
      </c>
      <c r="C396" s="8" t="s">
        <v>459</v>
      </c>
      <c r="D396" s="282">
        <v>10</v>
      </c>
      <c r="E396" s="8" t="s">
        <v>1066</v>
      </c>
      <c r="F396" s="8" t="s">
        <v>482</v>
      </c>
      <c r="G396" s="8" t="s">
        <v>1064</v>
      </c>
      <c r="H396" s="13">
        <v>1</v>
      </c>
      <c r="I396" s="13">
        <v>9</v>
      </c>
      <c r="J396" s="13" t="s">
        <v>1744</v>
      </c>
      <c r="K396" s="13">
        <v>2.25</v>
      </c>
      <c r="L396" s="8" t="s">
        <v>35</v>
      </c>
      <c r="M396" s="280"/>
      <c r="N396" s="280"/>
    </row>
    <row r="397" spans="1:14">
      <c r="A397" s="287"/>
      <c r="B397" s="8"/>
      <c r="C397" s="8"/>
      <c r="D397" s="288"/>
      <c r="E397" s="8"/>
      <c r="F397" s="8"/>
      <c r="G397" s="8" t="s">
        <v>1060</v>
      </c>
      <c r="H397" s="13">
        <v>1</v>
      </c>
      <c r="I397" s="13">
        <v>0.3</v>
      </c>
      <c r="J397" s="13" t="s">
        <v>1762</v>
      </c>
      <c r="K397" s="13">
        <v>2.47</v>
      </c>
      <c r="L397" s="8"/>
      <c r="M397" s="280"/>
      <c r="N397" s="280"/>
    </row>
    <row r="398" spans="1:14">
      <c r="A398" s="287"/>
      <c r="B398" s="8"/>
      <c r="C398" s="8"/>
      <c r="D398" s="288"/>
      <c r="E398" s="8"/>
      <c r="F398" s="8"/>
      <c r="G398" s="8" t="s">
        <v>503</v>
      </c>
      <c r="H398" s="13">
        <v>2.92</v>
      </c>
      <c r="I398" s="13">
        <v>0.7</v>
      </c>
      <c r="J398" s="289" t="s">
        <v>24</v>
      </c>
      <c r="K398" s="289" t="s">
        <v>24</v>
      </c>
      <c r="L398" s="8"/>
      <c r="M398" s="280"/>
      <c r="N398" s="280"/>
    </row>
    <row r="399" spans="1:14">
      <c r="A399" s="9">
        <v>45434</v>
      </c>
      <c r="B399" s="8" t="s">
        <v>1889</v>
      </c>
      <c r="C399" s="8" t="s">
        <v>459</v>
      </c>
      <c r="D399" s="282">
        <v>10</v>
      </c>
      <c r="E399" s="8" t="s">
        <v>1066</v>
      </c>
      <c r="F399" s="8" t="s">
        <v>482</v>
      </c>
      <c r="G399" s="8" t="s">
        <v>1064</v>
      </c>
      <c r="H399" s="13">
        <v>1</v>
      </c>
      <c r="I399" s="13">
        <v>9</v>
      </c>
      <c r="J399" s="13" t="s">
        <v>1744</v>
      </c>
      <c r="K399" s="13">
        <v>2.25</v>
      </c>
      <c r="L399" s="8" t="s">
        <v>35</v>
      </c>
      <c r="M399" s="280"/>
      <c r="N399" s="280"/>
    </row>
    <row r="400" spans="1:14">
      <c r="A400" s="287"/>
      <c r="B400" s="8"/>
      <c r="C400" s="8"/>
      <c r="D400" s="288"/>
      <c r="E400" s="8"/>
      <c r="F400" s="8"/>
      <c r="G400" s="8" t="s">
        <v>1060</v>
      </c>
      <c r="H400" s="13">
        <v>1</v>
      </c>
      <c r="I400" s="13">
        <v>0.3</v>
      </c>
      <c r="J400" s="13" t="s">
        <v>1762</v>
      </c>
      <c r="K400" s="13">
        <v>2.47</v>
      </c>
      <c r="L400" s="8"/>
      <c r="M400" s="280"/>
      <c r="N400" s="280"/>
    </row>
    <row r="401" spans="1:14">
      <c r="A401" s="287"/>
      <c r="B401" s="8"/>
      <c r="C401" s="8"/>
      <c r="D401" s="288"/>
      <c r="E401" s="8"/>
      <c r="F401" s="8"/>
      <c r="G401" s="8" t="s">
        <v>503</v>
      </c>
      <c r="H401" s="13">
        <v>2.92</v>
      </c>
      <c r="I401" s="13">
        <v>0.7</v>
      </c>
      <c r="J401" s="289" t="s">
        <v>24</v>
      </c>
      <c r="K401" s="289" t="s">
        <v>24</v>
      </c>
      <c r="L401" s="8"/>
      <c r="M401" s="280"/>
      <c r="N401" s="280"/>
    </row>
    <row r="402" spans="1:14">
      <c r="A402" s="9">
        <v>45434</v>
      </c>
      <c r="B402" s="8" t="s">
        <v>1890</v>
      </c>
      <c r="C402" s="8" t="s">
        <v>459</v>
      </c>
      <c r="D402" s="282">
        <v>7</v>
      </c>
      <c r="E402" s="8" t="s">
        <v>486</v>
      </c>
      <c r="F402" s="8" t="s">
        <v>1751</v>
      </c>
      <c r="G402" s="8" t="s">
        <v>1058</v>
      </c>
      <c r="H402" s="13">
        <v>0.98</v>
      </c>
      <c r="I402" s="13">
        <v>2.1</v>
      </c>
      <c r="J402" s="13" t="s">
        <v>1744</v>
      </c>
      <c r="K402" s="13">
        <v>2.7</v>
      </c>
      <c r="L402" s="8" t="s">
        <v>1082</v>
      </c>
      <c r="M402" s="280"/>
      <c r="N402" s="280"/>
    </row>
    <row r="403" spans="1:14">
      <c r="A403" s="287"/>
      <c r="B403" s="8"/>
      <c r="C403" s="8"/>
      <c r="D403" s="288"/>
      <c r="E403" s="8"/>
      <c r="F403" s="8"/>
      <c r="G403" s="8" t="s">
        <v>1059</v>
      </c>
      <c r="H403" s="13">
        <v>1.98</v>
      </c>
      <c r="I403" s="13">
        <v>2.8</v>
      </c>
      <c r="J403" s="13" t="s">
        <v>1744</v>
      </c>
      <c r="K403" s="13">
        <v>3.3</v>
      </c>
      <c r="L403" s="8"/>
      <c r="M403" s="280"/>
      <c r="N403" s="280"/>
    </row>
    <row r="404" spans="1:14">
      <c r="A404" s="287"/>
      <c r="B404" s="8"/>
      <c r="C404" s="8"/>
      <c r="D404" s="288"/>
      <c r="E404" s="8"/>
      <c r="F404" s="8"/>
      <c r="G404" s="8" t="s">
        <v>1099</v>
      </c>
      <c r="H404" s="13">
        <v>2.98</v>
      </c>
      <c r="I404" s="13">
        <v>1.995</v>
      </c>
      <c r="J404" s="13" t="s">
        <v>1744</v>
      </c>
      <c r="K404" s="13">
        <v>4.7</v>
      </c>
      <c r="L404" s="8"/>
      <c r="M404" s="280"/>
      <c r="N404" s="280"/>
    </row>
    <row r="405" spans="1:14">
      <c r="A405" s="287"/>
      <c r="B405" s="8"/>
      <c r="C405" s="8"/>
      <c r="D405" s="288"/>
      <c r="E405" s="8"/>
      <c r="F405" s="8"/>
      <c r="G405" s="8" t="s">
        <v>503</v>
      </c>
      <c r="H405" s="13">
        <v>2.98</v>
      </c>
      <c r="I405" s="13">
        <v>0.105</v>
      </c>
      <c r="J405" s="289" t="s">
        <v>24</v>
      </c>
      <c r="K405" s="289" t="s">
        <v>24</v>
      </c>
      <c r="L405" s="8"/>
      <c r="M405" s="280"/>
      <c r="N405" s="280"/>
    </row>
    <row r="406" spans="1:14">
      <c r="A406" s="9">
        <v>45433</v>
      </c>
      <c r="B406" s="8" t="s">
        <v>1891</v>
      </c>
      <c r="C406" s="8" t="s">
        <v>459</v>
      </c>
      <c r="D406" s="282">
        <v>3</v>
      </c>
      <c r="E406" s="8" t="s">
        <v>1136</v>
      </c>
      <c r="F406" s="8" t="s">
        <v>1768</v>
      </c>
      <c r="G406" s="8" t="s">
        <v>1064</v>
      </c>
      <c r="H406" s="13">
        <v>1.02</v>
      </c>
      <c r="I406" s="13">
        <v>2.6</v>
      </c>
      <c r="J406" s="13" t="s">
        <v>1870</v>
      </c>
      <c r="K406" s="13">
        <v>2.28</v>
      </c>
      <c r="L406" s="8" t="s">
        <v>27</v>
      </c>
      <c r="M406" s="280"/>
      <c r="N406" s="280"/>
    </row>
    <row r="407" spans="1:14">
      <c r="A407" s="287"/>
      <c r="B407" s="8"/>
      <c r="C407" s="8"/>
      <c r="D407" s="288"/>
      <c r="E407" s="8"/>
      <c r="F407" s="8"/>
      <c r="G407" s="8" t="s">
        <v>1060</v>
      </c>
      <c r="H407" s="13">
        <v>1.02</v>
      </c>
      <c r="I407" s="13">
        <v>0.16</v>
      </c>
      <c r="J407" s="13" t="s">
        <v>1762</v>
      </c>
      <c r="K407" s="13">
        <v>2.45</v>
      </c>
      <c r="L407" s="8"/>
      <c r="M407" s="280"/>
      <c r="N407" s="280"/>
    </row>
    <row r="408" spans="1:14">
      <c r="A408" s="287"/>
      <c r="B408" s="8"/>
      <c r="C408" s="8"/>
      <c r="D408" s="288"/>
      <c r="E408" s="8"/>
      <c r="F408" s="8"/>
      <c r="G408" s="8" t="s">
        <v>1086</v>
      </c>
      <c r="H408" s="13">
        <v>1.6</v>
      </c>
      <c r="I408" s="13">
        <v>0.09</v>
      </c>
      <c r="J408" s="289" t="s">
        <v>24</v>
      </c>
      <c r="K408" s="289" t="s">
        <v>24</v>
      </c>
      <c r="L408" s="8"/>
      <c r="M408" s="280"/>
      <c r="N408" s="280"/>
    </row>
    <row r="409" spans="1:14">
      <c r="A409" s="287"/>
      <c r="B409" s="8"/>
      <c r="C409" s="8"/>
      <c r="D409" s="288"/>
      <c r="E409" s="8"/>
      <c r="F409" s="8"/>
      <c r="G409" s="8" t="s">
        <v>1087</v>
      </c>
      <c r="H409" s="13">
        <v>1.6</v>
      </c>
      <c r="I409" s="13">
        <v>0.15</v>
      </c>
      <c r="J409" s="289" t="s">
        <v>24</v>
      </c>
      <c r="K409" s="289" t="s">
        <v>24</v>
      </c>
      <c r="L409" s="8"/>
      <c r="M409" s="280"/>
      <c r="N409" s="280"/>
    </row>
    <row r="410" spans="1:14">
      <c r="A410" s="9">
        <v>45441</v>
      </c>
      <c r="B410" s="8" t="s">
        <v>1892</v>
      </c>
      <c r="C410" s="8" t="s">
        <v>462</v>
      </c>
      <c r="D410" s="282">
        <v>10</v>
      </c>
      <c r="E410" s="8" t="s">
        <v>1057</v>
      </c>
      <c r="F410" s="8" t="s">
        <v>1751</v>
      </c>
      <c r="G410" s="8" t="s">
        <v>1058</v>
      </c>
      <c r="H410" s="13">
        <v>1.08</v>
      </c>
      <c r="I410" s="13">
        <v>7</v>
      </c>
      <c r="J410" s="13" t="s">
        <v>1744</v>
      </c>
      <c r="K410" s="13">
        <v>2.19</v>
      </c>
      <c r="L410" s="8" t="s">
        <v>41</v>
      </c>
      <c r="M410" s="280"/>
      <c r="N410" s="280"/>
    </row>
    <row r="411" spans="1:14">
      <c r="A411" s="287"/>
      <c r="B411" s="8"/>
      <c r="C411" s="8"/>
      <c r="D411" s="288"/>
      <c r="E411" s="8"/>
      <c r="F411" s="8"/>
      <c r="G411" s="8" t="s">
        <v>1059</v>
      </c>
      <c r="H411" s="13">
        <v>1.25</v>
      </c>
      <c r="I411" s="13">
        <v>1.55</v>
      </c>
      <c r="J411" s="13" t="s">
        <v>1744</v>
      </c>
      <c r="K411" s="13">
        <v>2.29</v>
      </c>
      <c r="L411" s="8"/>
      <c r="M411" s="280"/>
      <c r="N411" s="280"/>
    </row>
    <row r="412" spans="1:14">
      <c r="A412" s="287"/>
      <c r="B412" s="8"/>
      <c r="C412" s="8"/>
      <c r="D412" s="288"/>
      <c r="E412" s="8"/>
      <c r="F412" s="8"/>
      <c r="G412" s="8" t="s">
        <v>1060</v>
      </c>
      <c r="H412" s="13">
        <v>1.33</v>
      </c>
      <c r="I412" s="13">
        <v>0.5</v>
      </c>
      <c r="J412" s="13" t="s">
        <v>1762</v>
      </c>
      <c r="K412" s="13">
        <v>2.49</v>
      </c>
      <c r="L412" s="8"/>
      <c r="M412" s="280"/>
      <c r="N412" s="280"/>
    </row>
    <row r="413" spans="1:14">
      <c r="A413" s="287"/>
      <c r="B413" s="8"/>
      <c r="C413" s="8"/>
      <c r="D413" s="288"/>
      <c r="E413" s="8"/>
      <c r="F413" s="8"/>
      <c r="G413" s="8" t="s">
        <v>1061</v>
      </c>
      <c r="H413" s="13">
        <v>1.38</v>
      </c>
      <c r="I413" s="13">
        <v>0.45</v>
      </c>
      <c r="J413" s="13" t="s">
        <v>1782</v>
      </c>
      <c r="K413" s="13">
        <v>4.9</v>
      </c>
      <c r="L413" s="8"/>
      <c r="M413" s="280"/>
      <c r="N413" s="280"/>
    </row>
    <row r="414" spans="1:14">
      <c r="A414" s="287"/>
      <c r="B414" s="8"/>
      <c r="C414" s="8"/>
      <c r="D414" s="288"/>
      <c r="E414" s="8"/>
      <c r="F414" s="8"/>
      <c r="G414" s="8" t="s">
        <v>503</v>
      </c>
      <c r="H414" s="13">
        <v>1.75</v>
      </c>
      <c r="I414" s="13">
        <v>0.5</v>
      </c>
      <c r="J414" s="289" t="s">
        <v>24</v>
      </c>
      <c r="K414" s="289" t="s">
        <v>24</v>
      </c>
      <c r="L414" s="8"/>
      <c r="M414" s="280"/>
      <c r="N414" s="280"/>
    </row>
    <row r="415" spans="1:14">
      <c r="A415" s="9">
        <v>45436</v>
      </c>
      <c r="B415" s="8" t="s">
        <v>1893</v>
      </c>
      <c r="C415" s="8" t="s">
        <v>462</v>
      </c>
      <c r="D415" s="282">
        <v>1.67</v>
      </c>
      <c r="E415" s="8" t="s">
        <v>492</v>
      </c>
      <c r="F415" s="8" t="s">
        <v>1779</v>
      </c>
      <c r="G415" s="8" t="s">
        <v>1064</v>
      </c>
      <c r="H415" s="13">
        <v>1.04</v>
      </c>
      <c r="I415" s="13">
        <v>1.49</v>
      </c>
      <c r="J415" s="13" t="s">
        <v>1744</v>
      </c>
      <c r="K415" s="13">
        <v>3</v>
      </c>
      <c r="L415" s="8" t="s">
        <v>1842</v>
      </c>
      <c r="M415" s="280"/>
      <c r="N415" s="280"/>
    </row>
    <row r="416" spans="1:14">
      <c r="A416" s="287"/>
      <c r="B416" s="8"/>
      <c r="C416" s="8"/>
      <c r="D416" s="288"/>
      <c r="E416" s="8"/>
      <c r="F416" s="8"/>
      <c r="G416" s="8" t="s">
        <v>1060</v>
      </c>
      <c r="H416" s="13">
        <v>1.04</v>
      </c>
      <c r="I416" s="13">
        <v>0.09</v>
      </c>
      <c r="J416" s="13" t="s">
        <v>1762</v>
      </c>
      <c r="K416" s="13">
        <v>4.5</v>
      </c>
      <c r="L416" s="8"/>
      <c r="M416" s="280"/>
      <c r="N416" s="280"/>
    </row>
    <row r="417" spans="1:14">
      <c r="A417" s="287"/>
      <c r="B417" s="8"/>
      <c r="C417" s="8"/>
      <c r="D417" s="288"/>
      <c r="E417" s="8"/>
      <c r="F417" s="8"/>
      <c r="G417" s="8" t="s">
        <v>503</v>
      </c>
      <c r="H417" s="13">
        <v>1.04</v>
      </c>
      <c r="I417" s="13">
        <v>0.09</v>
      </c>
      <c r="J417" s="289" t="s">
        <v>24</v>
      </c>
      <c r="K417" s="289" t="s">
        <v>24</v>
      </c>
      <c r="L417" s="8"/>
      <c r="M417" s="280"/>
      <c r="N417" s="280"/>
    </row>
    <row r="418" spans="1:14">
      <c r="A418" s="9">
        <v>45436</v>
      </c>
      <c r="B418" s="8" t="s">
        <v>1894</v>
      </c>
      <c r="C418" s="8" t="s">
        <v>462</v>
      </c>
      <c r="D418" s="282">
        <v>5</v>
      </c>
      <c r="E418" s="8" t="s">
        <v>486</v>
      </c>
      <c r="F418" s="8" t="s">
        <v>1091</v>
      </c>
      <c r="G418" s="8" t="s">
        <v>1064</v>
      </c>
      <c r="H418" s="13">
        <v>1.01</v>
      </c>
      <c r="I418" s="13">
        <v>4.18</v>
      </c>
      <c r="J418" s="13" t="s">
        <v>1744</v>
      </c>
      <c r="K418" s="13">
        <v>2.28</v>
      </c>
      <c r="L418" s="8" t="s">
        <v>27</v>
      </c>
      <c r="M418" s="280"/>
      <c r="N418" s="280"/>
    </row>
    <row r="419" spans="1:14">
      <c r="A419" s="287"/>
      <c r="B419" s="8"/>
      <c r="C419" s="8"/>
      <c r="D419" s="288"/>
      <c r="E419" s="8"/>
      <c r="F419" s="8"/>
      <c r="G419" s="8" t="s">
        <v>1060</v>
      </c>
      <c r="H419" s="13">
        <v>1.01</v>
      </c>
      <c r="I419" s="13">
        <v>0.29</v>
      </c>
      <c r="J419" s="13" t="s">
        <v>1762</v>
      </c>
      <c r="K419" s="13">
        <v>2.45</v>
      </c>
      <c r="L419" s="8"/>
      <c r="M419" s="280"/>
      <c r="N419" s="280"/>
    </row>
    <row r="420" spans="1:14">
      <c r="A420" s="287"/>
      <c r="B420" s="8"/>
      <c r="C420" s="8"/>
      <c r="D420" s="288"/>
      <c r="E420" s="8"/>
      <c r="F420" s="8"/>
      <c r="G420" s="8" t="s">
        <v>1086</v>
      </c>
      <c r="H420" s="13">
        <v>1.76</v>
      </c>
      <c r="I420" s="13">
        <v>0.28</v>
      </c>
      <c r="J420" s="289" t="s">
        <v>24</v>
      </c>
      <c r="K420" s="289" t="s">
        <v>24</v>
      </c>
      <c r="L420" s="8"/>
      <c r="M420" s="280"/>
      <c r="N420" s="280"/>
    </row>
    <row r="421" spans="1:14">
      <c r="A421" s="287"/>
      <c r="B421" s="8"/>
      <c r="C421" s="8"/>
      <c r="D421" s="288"/>
      <c r="E421" s="8"/>
      <c r="F421" s="8"/>
      <c r="G421" s="8" t="s">
        <v>1087</v>
      </c>
      <c r="H421" s="13">
        <v>1.76</v>
      </c>
      <c r="I421" s="13">
        <v>0.25</v>
      </c>
      <c r="J421" s="289" t="s">
        <v>24</v>
      </c>
      <c r="K421" s="289" t="s">
        <v>24</v>
      </c>
      <c r="L421" s="8"/>
      <c r="M421" s="280"/>
      <c r="N421" s="280"/>
    </row>
    <row r="422" spans="1:14">
      <c r="A422" s="9">
        <v>45440</v>
      </c>
      <c r="B422" s="8" t="s">
        <v>1895</v>
      </c>
      <c r="C422" s="8" t="s">
        <v>462</v>
      </c>
      <c r="D422" s="282">
        <v>5</v>
      </c>
      <c r="E422" s="8" t="s">
        <v>1776</v>
      </c>
      <c r="F422" s="8" t="s">
        <v>482</v>
      </c>
      <c r="G422" s="8" t="s">
        <v>1064</v>
      </c>
      <c r="H422" s="13">
        <v>1.99</v>
      </c>
      <c r="I422" s="13">
        <v>4.17</v>
      </c>
      <c r="J422" s="13" t="s">
        <v>1744</v>
      </c>
      <c r="K422" s="13">
        <v>2.6</v>
      </c>
      <c r="L422" s="13">
        <v>360</v>
      </c>
      <c r="M422" s="280"/>
      <c r="N422" s="280"/>
    </row>
    <row r="423" spans="1:14">
      <c r="A423" s="287"/>
      <c r="B423" s="8"/>
      <c r="C423" s="8"/>
      <c r="D423" s="288"/>
      <c r="E423" s="8"/>
      <c r="F423" s="8"/>
      <c r="G423" s="8" t="s">
        <v>1060</v>
      </c>
      <c r="H423" s="13">
        <v>1.99</v>
      </c>
      <c r="I423" s="13">
        <v>0.28</v>
      </c>
      <c r="J423" s="13" t="s">
        <v>1762</v>
      </c>
      <c r="K423" s="13">
        <v>3.3</v>
      </c>
      <c r="L423" s="289"/>
      <c r="M423" s="280"/>
      <c r="N423" s="280"/>
    </row>
    <row r="424" spans="1:14">
      <c r="A424" s="287"/>
      <c r="B424" s="8"/>
      <c r="C424" s="8"/>
      <c r="D424" s="288"/>
      <c r="E424" s="8"/>
      <c r="F424" s="8"/>
      <c r="G424" s="8" t="s">
        <v>1061</v>
      </c>
      <c r="H424" s="13">
        <v>1.99</v>
      </c>
      <c r="I424" s="13">
        <v>0.18</v>
      </c>
      <c r="J424" s="13" t="s">
        <v>1746</v>
      </c>
      <c r="K424" s="13">
        <v>5</v>
      </c>
      <c r="L424" s="289"/>
      <c r="M424" s="280"/>
      <c r="N424" s="280"/>
    </row>
    <row r="425" spans="1:14">
      <c r="A425" s="287"/>
      <c r="B425" s="8"/>
      <c r="C425" s="8"/>
      <c r="D425" s="288"/>
      <c r="E425" s="8"/>
      <c r="F425" s="8"/>
      <c r="G425" s="8" t="s">
        <v>503</v>
      </c>
      <c r="H425" s="13">
        <v>1.99</v>
      </c>
      <c r="I425" s="13">
        <v>0.37</v>
      </c>
      <c r="J425" s="289" t="s">
        <v>24</v>
      </c>
      <c r="K425" s="289" t="s">
        <v>24</v>
      </c>
      <c r="L425" s="289"/>
      <c r="M425" s="280"/>
      <c r="N425" s="280"/>
    </row>
    <row r="426" spans="1:14">
      <c r="A426" s="9">
        <v>45442</v>
      </c>
      <c r="B426" s="8" t="s">
        <v>1896</v>
      </c>
      <c r="C426" s="8" t="s">
        <v>462</v>
      </c>
      <c r="D426" s="282">
        <v>3</v>
      </c>
      <c r="E426" s="8" t="s">
        <v>477</v>
      </c>
      <c r="F426" s="8" t="s">
        <v>1768</v>
      </c>
      <c r="G426" s="8" t="s">
        <v>1064</v>
      </c>
      <c r="H426" s="13">
        <v>2</v>
      </c>
      <c r="I426" s="13">
        <v>2.475</v>
      </c>
      <c r="J426" s="13" t="s">
        <v>1744</v>
      </c>
      <c r="K426" s="13">
        <v>2.3</v>
      </c>
      <c r="L426" s="8" t="s">
        <v>27</v>
      </c>
      <c r="M426" s="280"/>
      <c r="N426" s="280"/>
    </row>
    <row r="427" spans="1:14">
      <c r="A427" s="287"/>
      <c r="B427" s="8"/>
      <c r="C427" s="8"/>
      <c r="D427" s="288"/>
      <c r="E427" s="8"/>
      <c r="F427" s="8"/>
      <c r="G427" s="8" t="s">
        <v>1060</v>
      </c>
      <c r="H427" s="13">
        <v>2</v>
      </c>
      <c r="I427" s="13">
        <v>0.21</v>
      </c>
      <c r="J427" s="13" t="s">
        <v>1762</v>
      </c>
      <c r="K427" s="13">
        <v>2.5</v>
      </c>
      <c r="L427" s="8"/>
      <c r="M427" s="280"/>
      <c r="N427" s="280"/>
    </row>
    <row r="428" spans="1:14">
      <c r="A428" s="287"/>
      <c r="B428" s="8"/>
      <c r="C428" s="8"/>
      <c r="D428" s="288"/>
      <c r="E428" s="8"/>
      <c r="F428" s="8"/>
      <c r="G428" s="8" t="s">
        <v>1086</v>
      </c>
      <c r="H428" s="13">
        <v>2</v>
      </c>
      <c r="I428" s="13">
        <v>0.165</v>
      </c>
      <c r="J428" s="289" t="s">
        <v>24</v>
      </c>
      <c r="K428" s="289" t="s">
        <v>24</v>
      </c>
      <c r="L428" s="8"/>
      <c r="M428" s="280"/>
      <c r="N428" s="280"/>
    </row>
    <row r="429" spans="1:14">
      <c r="A429" s="287"/>
      <c r="B429" s="8"/>
      <c r="C429" s="8"/>
      <c r="D429" s="288"/>
      <c r="E429" s="8"/>
      <c r="F429" s="8"/>
      <c r="G429" s="8" t="s">
        <v>1087</v>
      </c>
      <c r="H429" s="13">
        <v>2</v>
      </c>
      <c r="I429" s="13">
        <v>0.15</v>
      </c>
      <c r="J429" s="289" t="s">
        <v>24</v>
      </c>
      <c r="K429" s="289" t="s">
        <v>24</v>
      </c>
      <c r="L429" s="8"/>
      <c r="M429" s="280"/>
      <c r="N429" s="280"/>
    </row>
    <row r="430" spans="1:14">
      <c r="A430" s="9">
        <v>45442</v>
      </c>
      <c r="B430" s="8" t="s">
        <v>1897</v>
      </c>
      <c r="C430" s="8" t="s">
        <v>459</v>
      </c>
      <c r="D430" s="282">
        <v>8</v>
      </c>
      <c r="E430" s="8" t="s">
        <v>1743</v>
      </c>
      <c r="F430" s="8" t="s">
        <v>1751</v>
      </c>
      <c r="G430" s="8" t="s">
        <v>1064</v>
      </c>
      <c r="H430" s="13">
        <v>2.02</v>
      </c>
      <c r="I430" s="13">
        <v>6.77</v>
      </c>
      <c r="J430" s="13" t="s">
        <v>1744</v>
      </c>
      <c r="K430" s="13">
        <v>2.6</v>
      </c>
      <c r="L430" s="13">
        <v>360</v>
      </c>
      <c r="M430" s="280"/>
      <c r="N430" s="280"/>
    </row>
    <row r="431" spans="1:14">
      <c r="A431" s="287"/>
      <c r="B431" s="8"/>
      <c r="C431" s="8"/>
      <c r="D431" s="288"/>
      <c r="E431" s="8"/>
      <c r="F431" s="8"/>
      <c r="G431" s="8" t="s">
        <v>1060</v>
      </c>
      <c r="H431" s="13">
        <v>2.02</v>
      </c>
      <c r="I431" s="13">
        <v>0.35</v>
      </c>
      <c r="J431" s="13" t="s">
        <v>1762</v>
      </c>
      <c r="K431" s="13">
        <v>3.3</v>
      </c>
      <c r="L431" s="289"/>
      <c r="M431" s="280"/>
      <c r="N431" s="280"/>
    </row>
    <row r="432" spans="1:14">
      <c r="A432" s="287"/>
      <c r="B432" s="8"/>
      <c r="C432" s="8"/>
      <c r="D432" s="288"/>
      <c r="E432" s="8"/>
      <c r="F432" s="8"/>
      <c r="G432" s="8" t="s">
        <v>1061</v>
      </c>
      <c r="H432" s="13">
        <v>2.02</v>
      </c>
      <c r="I432" s="13">
        <v>0.38</v>
      </c>
      <c r="J432" s="13" t="s">
        <v>1746</v>
      </c>
      <c r="K432" s="13">
        <v>5</v>
      </c>
      <c r="L432" s="289"/>
      <c r="M432" s="280"/>
      <c r="N432" s="280"/>
    </row>
    <row r="433" spans="1:14">
      <c r="A433" s="287"/>
      <c r="B433" s="8"/>
      <c r="C433" s="8"/>
      <c r="D433" s="288"/>
      <c r="E433" s="8"/>
      <c r="F433" s="8"/>
      <c r="G433" s="8" t="s">
        <v>503</v>
      </c>
      <c r="H433" s="13">
        <v>2.02</v>
      </c>
      <c r="I433" s="13">
        <v>0.5</v>
      </c>
      <c r="J433" s="289" t="s">
        <v>24</v>
      </c>
      <c r="K433" s="289" t="s">
        <v>24</v>
      </c>
      <c r="L433" s="289"/>
      <c r="M433" s="280"/>
      <c r="N433" s="280"/>
    </row>
    <row r="434" spans="1:14">
      <c r="A434" s="9">
        <v>45441</v>
      </c>
      <c r="B434" s="8" t="s">
        <v>1898</v>
      </c>
      <c r="C434" s="8" t="s">
        <v>459</v>
      </c>
      <c r="D434" s="282">
        <v>3.92</v>
      </c>
      <c r="E434" s="8" t="s">
        <v>1139</v>
      </c>
      <c r="F434" s="8" t="s">
        <v>460</v>
      </c>
      <c r="G434" s="8" t="s">
        <v>1899</v>
      </c>
      <c r="H434" s="13">
        <v>1</v>
      </c>
      <c r="I434" s="13">
        <v>1.25</v>
      </c>
      <c r="J434" s="13" t="s">
        <v>1744</v>
      </c>
      <c r="K434" s="13">
        <v>2.19</v>
      </c>
      <c r="L434" s="8" t="s">
        <v>435</v>
      </c>
      <c r="M434" s="280"/>
      <c r="N434" s="280"/>
    </row>
    <row r="435" spans="1:14">
      <c r="A435" s="287"/>
      <c r="B435" s="8"/>
      <c r="C435" s="8"/>
      <c r="D435" s="288"/>
      <c r="E435" s="8"/>
      <c r="F435" s="8"/>
      <c r="G435" s="8" t="s">
        <v>1900</v>
      </c>
      <c r="H435" s="13">
        <v>1.92</v>
      </c>
      <c r="I435" s="13">
        <v>1.36</v>
      </c>
      <c r="J435" s="13" t="s">
        <v>1744</v>
      </c>
      <c r="K435" s="13">
        <v>2.4</v>
      </c>
      <c r="L435" s="8"/>
      <c r="M435" s="280"/>
      <c r="N435" s="280"/>
    </row>
    <row r="436" spans="1:14">
      <c r="A436" s="287"/>
      <c r="B436" s="8"/>
      <c r="C436" s="8"/>
      <c r="D436" s="288"/>
      <c r="E436" s="8"/>
      <c r="F436" s="8"/>
      <c r="G436" s="8" t="s">
        <v>1901</v>
      </c>
      <c r="H436" s="13">
        <v>2.76</v>
      </c>
      <c r="I436" s="13">
        <v>1.19</v>
      </c>
      <c r="J436" s="13" t="s">
        <v>1744</v>
      </c>
      <c r="K436" s="13">
        <v>2.6</v>
      </c>
      <c r="L436" s="8"/>
      <c r="M436" s="280"/>
      <c r="N436" s="280"/>
    </row>
    <row r="437" spans="1:14">
      <c r="A437" s="287"/>
      <c r="B437" s="8"/>
      <c r="C437" s="8"/>
      <c r="D437" s="288"/>
      <c r="E437" s="8"/>
      <c r="F437" s="8"/>
      <c r="G437" s="8" t="s">
        <v>503</v>
      </c>
      <c r="H437" s="13">
        <v>2.92</v>
      </c>
      <c r="I437" s="13">
        <v>0.12</v>
      </c>
      <c r="J437" s="289" t="s">
        <v>24</v>
      </c>
      <c r="K437" s="289" t="s">
        <v>24</v>
      </c>
      <c r="L437" s="8"/>
      <c r="M437" s="280"/>
      <c r="N437" s="280"/>
    </row>
    <row r="438" spans="1:14">
      <c r="A438" s="9">
        <v>45447</v>
      </c>
      <c r="B438" s="8" t="s">
        <v>1902</v>
      </c>
      <c r="C438" s="8" t="s">
        <v>459</v>
      </c>
      <c r="D438" s="282">
        <v>10</v>
      </c>
      <c r="E438" s="8" t="s">
        <v>477</v>
      </c>
      <c r="F438" s="8" t="s">
        <v>482</v>
      </c>
      <c r="G438" s="8" t="s">
        <v>1064</v>
      </c>
      <c r="H438" s="13">
        <v>1.01</v>
      </c>
      <c r="I438" s="13">
        <v>9</v>
      </c>
      <c r="J438" s="13" t="s">
        <v>1744</v>
      </c>
      <c r="K438" s="13">
        <v>2.22</v>
      </c>
      <c r="L438" s="8" t="s">
        <v>35</v>
      </c>
      <c r="M438" s="280"/>
      <c r="N438" s="280"/>
    </row>
    <row r="439" spans="1:14">
      <c r="A439" s="287"/>
      <c r="B439" s="8"/>
      <c r="C439" s="8"/>
      <c r="D439" s="288"/>
      <c r="E439" s="8"/>
      <c r="F439" s="8"/>
      <c r="G439" s="8" t="s">
        <v>1060</v>
      </c>
      <c r="H439" s="13">
        <v>1.01</v>
      </c>
      <c r="I439" s="13">
        <v>0.7</v>
      </c>
      <c r="J439" s="13" t="s">
        <v>1762</v>
      </c>
      <c r="K439" s="13">
        <v>2.44</v>
      </c>
      <c r="L439" s="8"/>
      <c r="M439" s="280"/>
      <c r="N439" s="280"/>
    </row>
    <row r="440" spans="1:14">
      <c r="A440" s="287"/>
      <c r="B440" s="8"/>
      <c r="C440" s="8"/>
      <c r="D440" s="288"/>
      <c r="E440" s="8"/>
      <c r="F440" s="8"/>
      <c r="G440" s="8" t="s">
        <v>503</v>
      </c>
      <c r="H440" s="13">
        <v>2.93</v>
      </c>
      <c r="I440" s="13">
        <v>0.3</v>
      </c>
      <c r="J440" s="289" t="s">
        <v>24</v>
      </c>
      <c r="K440" s="289" t="s">
        <v>24</v>
      </c>
      <c r="L440" s="8"/>
      <c r="M440" s="280"/>
      <c r="N440" s="280"/>
    </row>
    <row r="441" spans="1:14">
      <c r="A441" s="9">
        <v>45442</v>
      </c>
      <c r="B441" s="8" t="s">
        <v>1903</v>
      </c>
      <c r="C441" s="8" t="s">
        <v>459</v>
      </c>
      <c r="D441" s="282">
        <v>5</v>
      </c>
      <c r="E441" s="8" t="s">
        <v>1754</v>
      </c>
      <c r="F441" s="8" t="s">
        <v>1779</v>
      </c>
      <c r="G441" s="8" t="s">
        <v>1064</v>
      </c>
      <c r="H441" s="13">
        <v>1.81</v>
      </c>
      <c r="I441" s="13">
        <v>4.2</v>
      </c>
      <c r="J441" s="13" t="s">
        <v>1744</v>
      </c>
      <c r="K441" s="13">
        <v>3.3</v>
      </c>
      <c r="L441" s="8" t="s">
        <v>70</v>
      </c>
      <c r="M441" s="280"/>
      <c r="N441" s="280"/>
    </row>
    <row r="442" spans="1:14">
      <c r="A442" s="287"/>
      <c r="B442" s="8"/>
      <c r="C442" s="8"/>
      <c r="D442" s="288"/>
      <c r="E442" s="8"/>
      <c r="F442" s="8"/>
      <c r="G442" s="8" t="s">
        <v>1060</v>
      </c>
      <c r="H442" s="13">
        <v>1.89</v>
      </c>
      <c r="I442" s="13">
        <v>0.2</v>
      </c>
      <c r="J442" s="13" t="s">
        <v>1762</v>
      </c>
      <c r="K442" s="13">
        <v>4</v>
      </c>
      <c r="L442" s="8"/>
      <c r="M442" s="280"/>
      <c r="N442" s="280"/>
    </row>
    <row r="443" spans="1:14">
      <c r="A443" s="287"/>
      <c r="B443" s="8"/>
      <c r="C443" s="8"/>
      <c r="D443" s="288"/>
      <c r="E443" s="8"/>
      <c r="F443" s="8"/>
      <c r="G443" s="8" t="s">
        <v>503</v>
      </c>
      <c r="H443" s="13">
        <v>1.89</v>
      </c>
      <c r="I443" s="13">
        <v>0.6</v>
      </c>
      <c r="J443" s="289" t="s">
        <v>24</v>
      </c>
      <c r="K443" s="289" t="s">
        <v>24</v>
      </c>
      <c r="L443" s="8"/>
      <c r="M443" s="280"/>
      <c r="N443" s="280"/>
    </row>
    <row r="444" spans="1:14">
      <c r="A444" s="9">
        <v>45442</v>
      </c>
      <c r="B444" s="8" t="s">
        <v>1904</v>
      </c>
      <c r="C444" s="8" t="s">
        <v>462</v>
      </c>
      <c r="D444" s="282">
        <v>4</v>
      </c>
      <c r="E444" s="8" t="s">
        <v>477</v>
      </c>
      <c r="F444" s="8" t="s">
        <v>523</v>
      </c>
      <c r="G444" s="8" t="s">
        <v>1064</v>
      </c>
      <c r="H444" s="13">
        <v>1.04</v>
      </c>
      <c r="I444" s="13">
        <v>3.58</v>
      </c>
      <c r="J444" s="13" t="s">
        <v>1744</v>
      </c>
      <c r="K444" s="13">
        <v>2.23</v>
      </c>
      <c r="L444" s="8" t="s">
        <v>112</v>
      </c>
      <c r="M444" s="280"/>
      <c r="N444" s="280"/>
    </row>
    <row r="445" spans="1:14">
      <c r="A445" s="287"/>
      <c r="B445" s="8"/>
      <c r="C445" s="8"/>
      <c r="D445" s="288"/>
      <c r="E445" s="8"/>
      <c r="F445" s="8"/>
      <c r="G445" s="8" t="s">
        <v>1060</v>
      </c>
      <c r="H445" s="13">
        <v>1.04</v>
      </c>
      <c r="I445" s="13">
        <v>0.22</v>
      </c>
      <c r="J445" s="13" t="s">
        <v>1762</v>
      </c>
      <c r="K445" s="13">
        <v>2.4</v>
      </c>
      <c r="L445" s="8"/>
      <c r="M445" s="280"/>
      <c r="N445" s="280"/>
    </row>
    <row r="446" spans="1:14">
      <c r="A446" s="287"/>
      <c r="B446" s="8"/>
      <c r="C446" s="8"/>
      <c r="D446" s="288"/>
      <c r="E446" s="8"/>
      <c r="F446" s="8"/>
      <c r="G446" s="8" t="s">
        <v>503</v>
      </c>
      <c r="H446" s="13">
        <v>2.62</v>
      </c>
      <c r="I446" s="13">
        <v>0.08</v>
      </c>
      <c r="J446" s="289" t="s">
        <v>24</v>
      </c>
      <c r="K446" s="289" t="s">
        <v>24</v>
      </c>
      <c r="L446" s="8"/>
      <c r="M446" s="280"/>
      <c r="N446" s="280"/>
    </row>
    <row r="447" spans="1:14">
      <c r="A447" s="287"/>
      <c r="B447" s="8"/>
      <c r="C447" s="8"/>
      <c r="D447" s="288"/>
      <c r="E447" s="8"/>
      <c r="F447" s="8"/>
      <c r="G447" s="8" t="s">
        <v>503</v>
      </c>
      <c r="H447" s="13">
        <v>2.62</v>
      </c>
      <c r="I447" s="13">
        <v>0.12</v>
      </c>
      <c r="J447" s="289" t="s">
        <v>24</v>
      </c>
      <c r="K447" s="289" t="s">
        <v>24</v>
      </c>
      <c r="L447" s="8"/>
      <c r="M447" s="280"/>
      <c r="N447" s="280"/>
    </row>
    <row r="448" spans="1:14">
      <c r="A448" s="9">
        <v>45443</v>
      </c>
      <c r="B448" s="8" t="s">
        <v>1905</v>
      </c>
      <c r="C448" s="8" t="s">
        <v>459</v>
      </c>
      <c r="D448" s="282">
        <v>4</v>
      </c>
      <c r="E448" s="8" t="s">
        <v>1754</v>
      </c>
      <c r="F448" s="8" t="s">
        <v>543</v>
      </c>
      <c r="G448" s="8" t="s">
        <v>1064</v>
      </c>
      <c r="H448" s="13">
        <v>1.81</v>
      </c>
      <c r="I448" s="13">
        <v>3.36</v>
      </c>
      <c r="J448" s="13" t="s">
        <v>1744</v>
      </c>
      <c r="K448" s="13">
        <v>2.6</v>
      </c>
      <c r="L448" s="8" t="s">
        <v>70</v>
      </c>
      <c r="M448" s="280"/>
      <c r="N448" s="280"/>
    </row>
    <row r="449" spans="1:14">
      <c r="A449" s="287"/>
      <c r="B449" s="8"/>
      <c r="C449" s="8"/>
      <c r="D449" s="288"/>
      <c r="E449" s="8"/>
      <c r="F449" s="8"/>
      <c r="G449" s="8" t="s">
        <v>1060</v>
      </c>
      <c r="H449" s="13">
        <v>1.89</v>
      </c>
      <c r="I449" s="13">
        <v>0.16</v>
      </c>
      <c r="J449" s="13" t="s">
        <v>1762</v>
      </c>
      <c r="K449" s="13">
        <v>4</v>
      </c>
      <c r="L449" s="8"/>
      <c r="M449" s="280"/>
      <c r="N449" s="280"/>
    </row>
    <row r="450" spans="1:14">
      <c r="A450" s="287"/>
      <c r="B450" s="8"/>
      <c r="C450" s="8"/>
      <c r="D450" s="288"/>
      <c r="E450" s="8"/>
      <c r="F450" s="8"/>
      <c r="G450" s="8" t="s">
        <v>503</v>
      </c>
      <c r="H450" s="13">
        <v>2.65</v>
      </c>
      <c r="I450" s="13">
        <v>0.48</v>
      </c>
      <c r="J450" s="289" t="s">
        <v>24</v>
      </c>
      <c r="K450" s="289" t="s">
        <v>24</v>
      </c>
      <c r="L450" s="8"/>
      <c r="M450" s="280"/>
      <c r="N450" s="280"/>
    </row>
    <row r="451" spans="1:14">
      <c r="A451" s="9">
        <v>45449</v>
      </c>
      <c r="B451" s="8" t="s">
        <v>1906</v>
      </c>
      <c r="C451" s="8" t="s">
        <v>462</v>
      </c>
      <c r="D451" s="282">
        <v>20</v>
      </c>
      <c r="E451" s="8" t="s">
        <v>1252</v>
      </c>
      <c r="F451" s="8" t="s">
        <v>1096</v>
      </c>
      <c r="G451" s="8" t="s">
        <v>1064</v>
      </c>
      <c r="H451" s="13">
        <v>1.01</v>
      </c>
      <c r="I451" s="13">
        <v>18</v>
      </c>
      <c r="J451" s="13" t="s">
        <v>1744</v>
      </c>
      <c r="K451" s="13">
        <v>2.24</v>
      </c>
      <c r="L451" s="8" t="s">
        <v>1907</v>
      </c>
      <c r="M451" s="280"/>
      <c r="N451" s="280"/>
    </row>
    <row r="452" spans="1:14">
      <c r="A452" s="287"/>
      <c r="B452" s="8"/>
      <c r="C452" s="8"/>
      <c r="D452" s="288"/>
      <c r="E452" s="8"/>
      <c r="F452" s="8"/>
      <c r="G452" s="8" t="s">
        <v>1060</v>
      </c>
      <c r="H452" s="13">
        <v>1.01</v>
      </c>
      <c r="I452" s="13">
        <v>1.6</v>
      </c>
      <c r="J452" s="13" t="s">
        <v>505</v>
      </c>
      <c r="K452" s="13">
        <v>10.5</v>
      </c>
      <c r="L452" s="8"/>
      <c r="M452" s="280"/>
      <c r="N452" s="280"/>
    </row>
    <row r="453" spans="1:14">
      <c r="A453" s="287"/>
      <c r="B453" s="8"/>
      <c r="C453" s="8"/>
      <c r="D453" s="288"/>
      <c r="E453" s="8"/>
      <c r="F453" s="8"/>
      <c r="G453" s="8" t="s">
        <v>503</v>
      </c>
      <c r="H453" s="13">
        <v>1.01</v>
      </c>
      <c r="I453" s="13">
        <v>0.4</v>
      </c>
      <c r="J453" s="13" t="s">
        <v>1746</v>
      </c>
      <c r="K453" s="289" t="s">
        <v>24</v>
      </c>
      <c r="L453" s="8"/>
      <c r="M453" s="280"/>
      <c r="N453" s="280"/>
    </row>
    <row r="454" spans="1:14">
      <c r="A454" s="9">
        <v>45443</v>
      </c>
      <c r="B454" s="8" t="s">
        <v>1908</v>
      </c>
      <c r="C454" s="8" t="s">
        <v>459</v>
      </c>
      <c r="D454" s="282">
        <v>5.8</v>
      </c>
      <c r="E454" s="8" t="s">
        <v>1743</v>
      </c>
      <c r="F454" s="8" t="s">
        <v>1768</v>
      </c>
      <c r="G454" s="8" t="s">
        <v>1058</v>
      </c>
      <c r="H454" s="13">
        <v>0.96</v>
      </c>
      <c r="I454" s="13">
        <v>1.74</v>
      </c>
      <c r="J454" s="13" t="s">
        <v>1744</v>
      </c>
      <c r="K454" s="13">
        <v>2.5</v>
      </c>
      <c r="L454" s="8" t="s">
        <v>1082</v>
      </c>
      <c r="M454" s="280"/>
      <c r="N454" s="280"/>
    </row>
    <row r="455" spans="1:14">
      <c r="A455" s="287"/>
      <c r="B455" s="8"/>
      <c r="C455" s="8"/>
      <c r="D455" s="288"/>
      <c r="E455" s="8"/>
      <c r="F455" s="8"/>
      <c r="G455" s="8" t="s">
        <v>1059</v>
      </c>
      <c r="H455" s="13">
        <v>1.96</v>
      </c>
      <c r="I455" s="13">
        <v>2.32</v>
      </c>
      <c r="J455" s="13" t="s">
        <v>1744</v>
      </c>
      <c r="K455" s="13">
        <v>3.2</v>
      </c>
      <c r="L455" s="8"/>
      <c r="M455" s="280"/>
      <c r="N455" s="280"/>
    </row>
    <row r="456" spans="1:14">
      <c r="A456" s="287"/>
      <c r="B456" s="8"/>
      <c r="C456" s="8"/>
      <c r="D456" s="288"/>
      <c r="E456" s="8"/>
      <c r="F456" s="8"/>
      <c r="G456" s="8" t="s">
        <v>1099</v>
      </c>
      <c r="H456" s="13">
        <v>2.96</v>
      </c>
      <c r="I456" s="13">
        <v>1.653</v>
      </c>
      <c r="J456" s="13" t="s">
        <v>1744</v>
      </c>
      <c r="K456" s="13">
        <v>4.7</v>
      </c>
      <c r="L456" s="8"/>
      <c r="M456" s="280"/>
      <c r="N456" s="280"/>
    </row>
    <row r="457" spans="1:14">
      <c r="A457" s="287"/>
      <c r="B457" s="8"/>
      <c r="C457" s="8"/>
      <c r="D457" s="288"/>
      <c r="E457" s="8"/>
      <c r="F457" s="8"/>
      <c r="G457" s="8" t="s">
        <v>503</v>
      </c>
      <c r="H457" s="13">
        <v>3.04</v>
      </c>
      <c r="I457" s="13">
        <v>0.087</v>
      </c>
      <c r="J457" s="289" t="s">
        <v>24</v>
      </c>
      <c r="K457" s="289" t="s">
        <v>24</v>
      </c>
      <c r="L457" s="8"/>
      <c r="M457" s="280"/>
      <c r="N457" s="280"/>
    </row>
    <row r="458" spans="1:14">
      <c r="A458" s="9">
        <v>45443</v>
      </c>
      <c r="B458" s="8" t="s">
        <v>1909</v>
      </c>
      <c r="C458" s="8" t="s">
        <v>462</v>
      </c>
      <c r="D458" s="282">
        <v>5</v>
      </c>
      <c r="E458" s="8" t="s">
        <v>486</v>
      </c>
      <c r="F458" s="8" t="s">
        <v>1153</v>
      </c>
      <c r="G458" s="8" t="s">
        <v>1058</v>
      </c>
      <c r="H458" s="13">
        <v>0.96</v>
      </c>
      <c r="I458" s="13">
        <v>1.5</v>
      </c>
      <c r="J458" s="13" t="s">
        <v>1744</v>
      </c>
      <c r="K458" s="13">
        <v>2.5</v>
      </c>
      <c r="L458" s="8" t="s">
        <v>1082</v>
      </c>
      <c r="M458" s="280"/>
      <c r="N458" s="280"/>
    </row>
    <row r="459" spans="1:14">
      <c r="A459" s="287"/>
      <c r="B459" s="8"/>
      <c r="C459" s="8"/>
      <c r="D459" s="288"/>
      <c r="E459" s="8"/>
      <c r="F459" s="8"/>
      <c r="G459" s="8" t="s">
        <v>1059</v>
      </c>
      <c r="H459" s="13">
        <v>1.96</v>
      </c>
      <c r="I459" s="13">
        <v>2</v>
      </c>
      <c r="J459" s="13" t="s">
        <v>1744</v>
      </c>
      <c r="K459" s="13">
        <v>3.2</v>
      </c>
      <c r="L459" s="8"/>
      <c r="M459" s="280"/>
      <c r="N459" s="280"/>
    </row>
    <row r="460" spans="1:14">
      <c r="A460" s="287"/>
      <c r="B460" s="8"/>
      <c r="C460" s="8"/>
      <c r="D460" s="288"/>
      <c r="E460" s="8"/>
      <c r="F460" s="8"/>
      <c r="G460" s="8" t="s">
        <v>1099</v>
      </c>
      <c r="H460" s="13">
        <v>2.96</v>
      </c>
      <c r="I460" s="13">
        <v>1.425</v>
      </c>
      <c r="J460" s="13" t="s">
        <v>1744</v>
      </c>
      <c r="K460" s="13">
        <v>4.7</v>
      </c>
      <c r="L460" s="8"/>
      <c r="M460" s="280"/>
      <c r="N460" s="280"/>
    </row>
    <row r="461" spans="1:14">
      <c r="A461" s="287"/>
      <c r="B461" s="8"/>
      <c r="C461" s="8"/>
      <c r="D461" s="288"/>
      <c r="E461" s="8"/>
      <c r="F461" s="8"/>
      <c r="G461" s="8" t="s">
        <v>503</v>
      </c>
      <c r="H461" s="13">
        <v>3</v>
      </c>
      <c r="I461" s="13">
        <v>0.075</v>
      </c>
      <c r="J461" s="289" t="s">
        <v>24</v>
      </c>
      <c r="K461" s="289" t="s">
        <v>24</v>
      </c>
      <c r="L461" s="8"/>
      <c r="M461" s="280"/>
      <c r="N461" s="280"/>
    </row>
    <row r="462" spans="1:14">
      <c r="A462" s="9">
        <v>45443</v>
      </c>
      <c r="B462" s="8" t="s">
        <v>1910</v>
      </c>
      <c r="C462" s="8" t="s">
        <v>462</v>
      </c>
      <c r="D462" s="282">
        <v>10</v>
      </c>
      <c r="E462" s="8" t="s">
        <v>1066</v>
      </c>
      <c r="F462" s="8" t="s">
        <v>523</v>
      </c>
      <c r="G462" s="8" t="s">
        <v>1058</v>
      </c>
      <c r="H462" s="13">
        <v>1</v>
      </c>
      <c r="I462" s="13">
        <v>9</v>
      </c>
      <c r="J462" s="13" t="s">
        <v>1744</v>
      </c>
      <c r="K462" s="13">
        <v>2.24</v>
      </c>
      <c r="L462" s="8" t="s">
        <v>35</v>
      </c>
      <c r="M462" s="280"/>
      <c r="N462" s="280"/>
    </row>
    <row r="463" spans="1:14">
      <c r="A463" s="287"/>
      <c r="B463" s="8"/>
      <c r="C463" s="8"/>
      <c r="D463" s="288"/>
      <c r="E463" s="8"/>
      <c r="F463" s="8"/>
      <c r="G463" s="8" t="s">
        <v>1847</v>
      </c>
      <c r="H463" s="13">
        <v>1</v>
      </c>
      <c r="I463" s="13">
        <v>0.3</v>
      </c>
      <c r="J463" s="13" t="s">
        <v>505</v>
      </c>
      <c r="K463" s="13">
        <v>2.45</v>
      </c>
      <c r="L463" s="8"/>
      <c r="M463" s="280"/>
      <c r="N463" s="280"/>
    </row>
    <row r="464" spans="1:14">
      <c r="A464" s="287"/>
      <c r="B464" s="8"/>
      <c r="C464" s="8"/>
      <c r="D464" s="288"/>
      <c r="E464" s="8"/>
      <c r="F464" s="8"/>
      <c r="G464" s="8" t="s">
        <v>503</v>
      </c>
      <c r="H464" s="13">
        <v>2.92</v>
      </c>
      <c r="I464" s="13">
        <v>0.7</v>
      </c>
      <c r="J464" s="289" t="s">
        <v>24</v>
      </c>
      <c r="K464" s="289" t="s">
        <v>24</v>
      </c>
      <c r="L464" s="8"/>
      <c r="M464" s="280"/>
      <c r="N464" s="280"/>
    </row>
    <row r="465" spans="1:14">
      <c r="A465" s="9">
        <v>45448</v>
      </c>
      <c r="B465" s="8" t="s">
        <v>1911</v>
      </c>
      <c r="C465" s="8" t="s">
        <v>462</v>
      </c>
      <c r="D465" s="282">
        <v>8</v>
      </c>
      <c r="E465" s="8" t="s">
        <v>486</v>
      </c>
      <c r="F465" s="8" t="s">
        <v>474</v>
      </c>
      <c r="G465" s="8" t="s">
        <v>1058</v>
      </c>
      <c r="H465" s="13">
        <v>0.96</v>
      </c>
      <c r="I465" s="13">
        <v>2.4</v>
      </c>
      <c r="J465" s="13" t="s">
        <v>1744</v>
      </c>
      <c r="K465" s="13">
        <v>2.5</v>
      </c>
      <c r="L465" s="8" t="s">
        <v>1082</v>
      </c>
      <c r="M465" s="280"/>
      <c r="N465" s="280"/>
    </row>
    <row r="466" spans="1:14">
      <c r="A466" s="287"/>
      <c r="B466" s="8"/>
      <c r="C466" s="8"/>
      <c r="D466" s="288"/>
      <c r="E466" s="8"/>
      <c r="F466" s="8"/>
      <c r="G466" s="8" t="s">
        <v>1059</v>
      </c>
      <c r="H466" s="13">
        <v>1.96</v>
      </c>
      <c r="I466" s="13">
        <v>3.2</v>
      </c>
      <c r="J466" s="13" t="s">
        <v>1744</v>
      </c>
      <c r="K466" s="13">
        <v>3.1</v>
      </c>
      <c r="L466" s="8"/>
      <c r="M466" s="280"/>
      <c r="N466" s="280"/>
    </row>
    <row r="467" spans="1:14">
      <c r="A467" s="287"/>
      <c r="B467" s="8"/>
      <c r="C467" s="8"/>
      <c r="D467" s="288"/>
      <c r="E467" s="8"/>
      <c r="F467" s="8"/>
      <c r="G467" s="8" t="s">
        <v>1099</v>
      </c>
      <c r="H467" s="13">
        <v>2.96</v>
      </c>
      <c r="I467" s="13">
        <v>2.28</v>
      </c>
      <c r="J467" s="13" t="s">
        <v>1744</v>
      </c>
      <c r="K467" s="13">
        <v>4.7</v>
      </c>
      <c r="L467" s="8"/>
      <c r="M467" s="280"/>
      <c r="N467" s="280"/>
    </row>
    <row r="468" spans="1:14">
      <c r="A468" s="287"/>
      <c r="B468" s="8"/>
      <c r="C468" s="8"/>
      <c r="D468" s="288"/>
      <c r="E468" s="8"/>
      <c r="F468" s="8"/>
      <c r="G468" s="8" t="s">
        <v>503</v>
      </c>
      <c r="H468" s="13">
        <v>2.96</v>
      </c>
      <c r="I468" s="13">
        <v>0.12</v>
      </c>
      <c r="J468" s="289" t="s">
        <v>24</v>
      </c>
      <c r="K468" s="289" t="s">
        <v>24</v>
      </c>
      <c r="L468" s="8"/>
      <c r="M468" s="280"/>
      <c r="N468" s="280"/>
    </row>
    <row r="469" spans="1:14">
      <c r="A469" s="9">
        <v>45455</v>
      </c>
      <c r="B469" s="8" t="s">
        <v>1912</v>
      </c>
      <c r="C469" s="8" t="s">
        <v>459</v>
      </c>
      <c r="D469" s="282">
        <v>10</v>
      </c>
      <c r="E469" s="8" t="s">
        <v>1057</v>
      </c>
      <c r="F469" s="8" t="s">
        <v>482</v>
      </c>
      <c r="G469" s="8" t="s">
        <v>1058</v>
      </c>
      <c r="H469" s="13">
        <v>1.09</v>
      </c>
      <c r="I469" s="13">
        <v>7.2</v>
      </c>
      <c r="J469" s="13" t="s">
        <v>1744</v>
      </c>
      <c r="K469" s="13">
        <v>2.18</v>
      </c>
      <c r="L469" s="8" t="s">
        <v>41</v>
      </c>
      <c r="M469" s="280"/>
      <c r="N469" s="280"/>
    </row>
    <row r="470" spans="1:14">
      <c r="A470" s="287"/>
      <c r="B470" s="8"/>
      <c r="C470" s="8"/>
      <c r="D470" s="288"/>
      <c r="E470" s="8"/>
      <c r="F470" s="8"/>
      <c r="G470" s="8" t="s">
        <v>1059</v>
      </c>
      <c r="H470" s="13">
        <v>1.26</v>
      </c>
      <c r="I470" s="13">
        <v>1.35</v>
      </c>
      <c r="J470" s="13" t="s">
        <v>1744</v>
      </c>
      <c r="K470" s="13">
        <v>2.25</v>
      </c>
      <c r="L470" s="8"/>
      <c r="M470" s="280"/>
      <c r="N470" s="280"/>
    </row>
    <row r="471" spans="1:14">
      <c r="A471" s="287"/>
      <c r="B471" s="8"/>
      <c r="C471" s="8"/>
      <c r="D471" s="288"/>
      <c r="E471" s="8"/>
      <c r="F471" s="8"/>
      <c r="G471" s="8" t="s">
        <v>1060</v>
      </c>
      <c r="H471" s="13">
        <v>1.34</v>
      </c>
      <c r="I471" s="13">
        <v>0.5</v>
      </c>
      <c r="J471" s="13" t="s">
        <v>1762</v>
      </c>
      <c r="K471" s="13">
        <v>2.34</v>
      </c>
      <c r="L471" s="8"/>
      <c r="M471" s="280"/>
      <c r="N471" s="280"/>
    </row>
    <row r="472" spans="1:14">
      <c r="A472" s="287"/>
      <c r="B472" s="8"/>
      <c r="C472" s="8"/>
      <c r="D472" s="288"/>
      <c r="E472" s="8"/>
      <c r="F472" s="8"/>
      <c r="G472" s="8" t="s">
        <v>1061</v>
      </c>
      <c r="H472" s="13">
        <v>1.43</v>
      </c>
      <c r="I472" s="13">
        <v>0.45</v>
      </c>
      <c r="J472" s="13" t="s">
        <v>1782</v>
      </c>
      <c r="K472" s="13">
        <v>4.9</v>
      </c>
      <c r="L472" s="8"/>
      <c r="M472" s="280"/>
      <c r="N472" s="280"/>
    </row>
    <row r="473" spans="1:14">
      <c r="A473" s="287"/>
      <c r="B473" s="8"/>
      <c r="C473" s="8"/>
      <c r="D473" s="288"/>
      <c r="E473" s="8"/>
      <c r="F473" s="8"/>
      <c r="G473" s="8" t="s">
        <v>503</v>
      </c>
      <c r="H473" s="13">
        <v>1.76</v>
      </c>
      <c r="I473" s="13">
        <v>0.5</v>
      </c>
      <c r="J473" s="289" t="s">
        <v>24</v>
      </c>
      <c r="K473" s="289" t="s">
        <v>24</v>
      </c>
      <c r="L473" s="8"/>
      <c r="M473" s="280"/>
      <c r="N473" s="280"/>
    </row>
    <row r="474" spans="1:14">
      <c r="A474" s="9">
        <v>45455</v>
      </c>
      <c r="B474" s="8" t="s">
        <v>1913</v>
      </c>
      <c r="C474" s="8" t="s">
        <v>459</v>
      </c>
      <c r="D474" s="282">
        <v>10</v>
      </c>
      <c r="E474" s="8" t="s">
        <v>1079</v>
      </c>
      <c r="F474" s="8" t="s">
        <v>1768</v>
      </c>
      <c r="G474" s="8" t="s">
        <v>1064</v>
      </c>
      <c r="H474" s="13">
        <v>2.01</v>
      </c>
      <c r="I474" s="13">
        <v>8.7</v>
      </c>
      <c r="J474" s="13" t="s">
        <v>1744</v>
      </c>
      <c r="K474" s="13">
        <v>2.26</v>
      </c>
      <c r="L474" s="8" t="s">
        <v>35</v>
      </c>
      <c r="M474" s="280"/>
      <c r="N474" s="280"/>
    </row>
    <row r="475" spans="1:14">
      <c r="A475" s="287"/>
      <c r="B475" s="8"/>
      <c r="C475" s="8"/>
      <c r="D475" s="288"/>
      <c r="E475" s="8"/>
      <c r="F475" s="8"/>
      <c r="G475" s="8" t="s">
        <v>1060</v>
      </c>
      <c r="H475" s="13">
        <v>2.01</v>
      </c>
      <c r="I475" s="13">
        <v>0.4</v>
      </c>
      <c r="J475" s="13" t="s">
        <v>1762</v>
      </c>
      <c r="K475" s="13">
        <v>2.4</v>
      </c>
      <c r="L475" s="8"/>
      <c r="M475" s="280"/>
      <c r="N475" s="280"/>
    </row>
    <row r="476" spans="1:14">
      <c r="A476" s="287"/>
      <c r="B476" s="8"/>
      <c r="C476" s="8"/>
      <c r="D476" s="288"/>
      <c r="E476" s="8"/>
      <c r="F476" s="8"/>
      <c r="G476" s="8" t="s">
        <v>503</v>
      </c>
      <c r="H476" s="13">
        <v>2.01</v>
      </c>
      <c r="I476" s="13">
        <v>0.9</v>
      </c>
      <c r="J476" s="289" t="s">
        <v>24</v>
      </c>
      <c r="K476" s="289" t="s">
        <v>24</v>
      </c>
      <c r="L476" s="8"/>
      <c r="M476" s="280"/>
      <c r="N476" s="280"/>
    </row>
    <row r="477" spans="1:14">
      <c r="A477" s="9">
        <v>45450</v>
      </c>
      <c r="B477" s="8" t="s">
        <v>1914</v>
      </c>
      <c r="C477" s="8" t="s">
        <v>459</v>
      </c>
      <c r="D477" s="282">
        <v>10</v>
      </c>
      <c r="E477" s="8" t="s">
        <v>477</v>
      </c>
      <c r="F477" s="8" t="s">
        <v>1768</v>
      </c>
      <c r="G477" s="8" t="s">
        <v>1064</v>
      </c>
      <c r="H477" s="13">
        <v>0.59</v>
      </c>
      <c r="I477" s="13">
        <v>9</v>
      </c>
      <c r="J477" s="13" t="s">
        <v>1744</v>
      </c>
      <c r="K477" s="13">
        <v>2.15</v>
      </c>
      <c r="L477" s="8" t="s">
        <v>35</v>
      </c>
      <c r="M477" s="280"/>
      <c r="N477" s="280"/>
    </row>
    <row r="478" spans="1:14">
      <c r="A478" s="287"/>
      <c r="B478" s="8"/>
      <c r="C478" s="8"/>
      <c r="D478" s="288"/>
      <c r="E478" s="8"/>
      <c r="F478" s="8"/>
      <c r="G478" s="8" t="s">
        <v>1060</v>
      </c>
      <c r="H478" s="13">
        <v>0.59</v>
      </c>
      <c r="I478" s="13">
        <v>0.5</v>
      </c>
      <c r="J478" s="13" t="s">
        <v>1762</v>
      </c>
      <c r="K478" s="13">
        <v>2.32</v>
      </c>
      <c r="L478" s="8"/>
      <c r="M478" s="280"/>
      <c r="N478" s="280"/>
    </row>
    <row r="479" spans="1:14">
      <c r="A479" s="287"/>
      <c r="B479" s="8"/>
      <c r="C479" s="8"/>
      <c r="D479" s="288"/>
      <c r="E479" s="8"/>
      <c r="F479" s="8"/>
      <c r="G479" s="8" t="s">
        <v>503</v>
      </c>
      <c r="H479" s="13">
        <v>1.42</v>
      </c>
      <c r="I479" s="13">
        <v>0.5</v>
      </c>
      <c r="J479" s="289" t="s">
        <v>24</v>
      </c>
      <c r="K479" s="289" t="s">
        <v>24</v>
      </c>
      <c r="L479" s="8"/>
      <c r="M479" s="280"/>
      <c r="N479" s="280"/>
    </row>
    <row r="480" spans="1:14">
      <c r="A480" s="9">
        <v>45455</v>
      </c>
      <c r="B480" s="8" t="s">
        <v>1915</v>
      </c>
      <c r="C480" s="8" t="s">
        <v>459</v>
      </c>
      <c r="D480" s="282">
        <v>10</v>
      </c>
      <c r="E480" s="8" t="s">
        <v>477</v>
      </c>
      <c r="F480" s="8" t="s">
        <v>1768</v>
      </c>
      <c r="G480" s="8" t="s">
        <v>1064</v>
      </c>
      <c r="H480" s="13">
        <v>0.59</v>
      </c>
      <c r="I480" s="13">
        <v>9</v>
      </c>
      <c r="J480" s="13" t="s">
        <v>1744</v>
      </c>
      <c r="K480" s="13">
        <v>2.13</v>
      </c>
      <c r="L480" s="8" t="s">
        <v>35</v>
      </c>
      <c r="M480" s="280"/>
      <c r="N480" s="280"/>
    </row>
    <row r="481" spans="1:14">
      <c r="A481" s="287"/>
      <c r="B481" s="8"/>
      <c r="C481" s="8"/>
      <c r="D481" s="288"/>
      <c r="E481" s="8"/>
      <c r="F481" s="8"/>
      <c r="G481" s="8" t="s">
        <v>1060</v>
      </c>
      <c r="H481" s="13">
        <v>0.59</v>
      </c>
      <c r="I481" s="13">
        <v>0.5</v>
      </c>
      <c r="J481" s="13" t="s">
        <v>1762</v>
      </c>
      <c r="K481" s="13">
        <v>2.29</v>
      </c>
      <c r="L481" s="8"/>
      <c r="M481" s="280"/>
      <c r="N481" s="280"/>
    </row>
    <row r="482" spans="1:14">
      <c r="A482" s="287"/>
      <c r="B482" s="8"/>
      <c r="C482" s="8"/>
      <c r="D482" s="288"/>
      <c r="E482" s="8"/>
      <c r="F482" s="8"/>
      <c r="G482" s="8" t="s">
        <v>503</v>
      </c>
      <c r="H482" s="13">
        <v>1.43</v>
      </c>
      <c r="I482" s="13">
        <v>0.5</v>
      </c>
      <c r="J482" s="289" t="s">
        <v>24</v>
      </c>
      <c r="K482" s="289" t="s">
        <v>24</v>
      </c>
      <c r="L482" s="8"/>
      <c r="M482" s="280"/>
      <c r="N482" s="280"/>
    </row>
    <row r="483" spans="1:14">
      <c r="A483" s="9">
        <v>45449</v>
      </c>
      <c r="B483" s="8" t="s">
        <v>1916</v>
      </c>
      <c r="C483" s="8" t="s">
        <v>459</v>
      </c>
      <c r="D483" s="282">
        <v>10</v>
      </c>
      <c r="E483" s="8" t="s">
        <v>1066</v>
      </c>
      <c r="F483" s="8" t="s">
        <v>482</v>
      </c>
      <c r="G483" s="8" t="s">
        <v>1064</v>
      </c>
      <c r="H483" s="13">
        <v>1</v>
      </c>
      <c r="I483" s="13">
        <v>9</v>
      </c>
      <c r="J483" s="13" t="s">
        <v>1744</v>
      </c>
      <c r="K483" s="13">
        <v>2.24</v>
      </c>
      <c r="L483" s="8" t="s">
        <v>35</v>
      </c>
      <c r="M483" s="280"/>
      <c r="N483" s="280"/>
    </row>
    <row r="484" spans="1:14">
      <c r="A484" s="287"/>
      <c r="B484" s="8"/>
      <c r="C484" s="8"/>
      <c r="D484" s="288"/>
      <c r="E484" s="8"/>
      <c r="F484" s="8"/>
      <c r="G484" s="8" t="s">
        <v>1060</v>
      </c>
      <c r="H484" s="13">
        <v>1</v>
      </c>
      <c r="I484" s="13">
        <v>0.3</v>
      </c>
      <c r="J484" s="13" t="s">
        <v>1762</v>
      </c>
      <c r="K484" s="13">
        <v>2.4</v>
      </c>
      <c r="L484" s="8"/>
      <c r="M484" s="280"/>
      <c r="N484" s="280"/>
    </row>
    <row r="485" spans="1:14">
      <c r="A485" s="287"/>
      <c r="B485" s="8"/>
      <c r="C485" s="8"/>
      <c r="D485" s="288"/>
      <c r="E485" s="8"/>
      <c r="F485" s="8"/>
      <c r="G485" s="8" t="s">
        <v>503</v>
      </c>
      <c r="H485" s="13">
        <v>2.92</v>
      </c>
      <c r="I485" s="13">
        <v>0.7</v>
      </c>
      <c r="J485" s="289" t="s">
        <v>24</v>
      </c>
      <c r="K485" s="289" t="s">
        <v>24</v>
      </c>
      <c r="L485" s="8"/>
      <c r="M485" s="280"/>
      <c r="N485" s="280"/>
    </row>
    <row r="486" spans="1:14">
      <c r="A486" s="9">
        <v>45455</v>
      </c>
      <c r="B486" s="8" t="s">
        <v>1917</v>
      </c>
      <c r="C486" s="8" t="s">
        <v>459</v>
      </c>
      <c r="D486" s="282">
        <v>10</v>
      </c>
      <c r="E486" s="8" t="s">
        <v>1057</v>
      </c>
      <c r="F486" s="8" t="s">
        <v>1751</v>
      </c>
      <c r="G486" s="8" t="s">
        <v>1058</v>
      </c>
      <c r="H486" s="13">
        <v>1.09</v>
      </c>
      <c r="I486" s="13">
        <v>7</v>
      </c>
      <c r="J486" s="13" t="s">
        <v>1744</v>
      </c>
      <c r="K486" s="13">
        <v>2.18</v>
      </c>
      <c r="L486" s="8" t="s">
        <v>41</v>
      </c>
      <c r="M486" s="280"/>
      <c r="N486" s="280"/>
    </row>
    <row r="487" spans="1:14">
      <c r="A487" s="287"/>
      <c r="B487" s="8"/>
      <c r="C487" s="8"/>
      <c r="D487" s="288"/>
      <c r="E487" s="8"/>
      <c r="F487" s="8"/>
      <c r="G487" s="8" t="s">
        <v>1059</v>
      </c>
      <c r="H487" s="13">
        <v>1.26</v>
      </c>
      <c r="I487" s="13">
        <v>1.55</v>
      </c>
      <c r="J487" s="13" t="s">
        <v>1744</v>
      </c>
      <c r="K487" s="13">
        <v>2.25</v>
      </c>
      <c r="L487" s="8"/>
      <c r="M487" s="280"/>
      <c r="N487" s="280"/>
    </row>
    <row r="488" spans="1:14">
      <c r="A488" s="287"/>
      <c r="B488" s="8"/>
      <c r="C488" s="8"/>
      <c r="D488" s="288"/>
      <c r="E488" s="8"/>
      <c r="F488" s="8"/>
      <c r="G488" s="8" t="s">
        <v>1060</v>
      </c>
      <c r="H488" s="13">
        <v>1.39</v>
      </c>
      <c r="I488" s="13">
        <v>0.5</v>
      </c>
      <c r="J488" s="13" t="s">
        <v>1762</v>
      </c>
      <c r="K488" s="13">
        <v>2.35</v>
      </c>
      <c r="L488" s="8"/>
      <c r="M488" s="280"/>
      <c r="N488" s="280"/>
    </row>
    <row r="489" spans="1:14">
      <c r="A489" s="287"/>
      <c r="B489" s="8"/>
      <c r="C489" s="8"/>
      <c r="D489" s="288"/>
      <c r="E489" s="8"/>
      <c r="F489" s="8"/>
      <c r="G489" s="8" t="s">
        <v>1061</v>
      </c>
      <c r="H489" s="13">
        <v>1.43</v>
      </c>
      <c r="I489" s="13">
        <v>0.45</v>
      </c>
      <c r="J489" s="13" t="s">
        <v>1782</v>
      </c>
      <c r="K489" s="13">
        <v>4.9</v>
      </c>
      <c r="L489" s="8"/>
      <c r="M489" s="280"/>
      <c r="N489" s="280"/>
    </row>
    <row r="490" spans="1:14">
      <c r="A490" s="287"/>
      <c r="B490" s="8"/>
      <c r="C490" s="8"/>
      <c r="D490" s="288"/>
      <c r="E490" s="8"/>
      <c r="F490" s="8"/>
      <c r="G490" s="8" t="s">
        <v>503</v>
      </c>
      <c r="H490" s="13">
        <v>1.76</v>
      </c>
      <c r="I490" s="13">
        <v>0.5</v>
      </c>
      <c r="J490" s="289" t="s">
        <v>24</v>
      </c>
      <c r="K490" s="289" t="s">
        <v>24</v>
      </c>
      <c r="L490" s="8"/>
      <c r="M490" s="280"/>
      <c r="N490" s="280"/>
    </row>
    <row r="491" spans="1:14">
      <c r="A491" s="9">
        <v>45449</v>
      </c>
      <c r="B491" s="8" t="s">
        <v>1918</v>
      </c>
      <c r="C491" s="8" t="s">
        <v>462</v>
      </c>
      <c r="D491" s="282">
        <v>3</v>
      </c>
      <c r="E491" s="8" t="s">
        <v>1754</v>
      </c>
      <c r="F491" s="8" t="s">
        <v>460</v>
      </c>
      <c r="G491" s="8" t="s">
        <v>1064</v>
      </c>
      <c r="H491" s="13">
        <v>1.55</v>
      </c>
      <c r="I491" s="13">
        <v>2.47</v>
      </c>
      <c r="J491" s="13" t="s">
        <v>1744</v>
      </c>
      <c r="K491" s="13">
        <v>2.35</v>
      </c>
      <c r="L491" s="8" t="s">
        <v>27</v>
      </c>
      <c r="M491" s="280"/>
      <c r="N491" s="280"/>
    </row>
    <row r="492" spans="1:14">
      <c r="A492" s="287"/>
      <c r="B492" s="8"/>
      <c r="C492" s="8"/>
      <c r="D492" s="288"/>
      <c r="E492" s="8"/>
      <c r="F492" s="8"/>
      <c r="G492" s="8" t="s">
        <v>1060</v>
      </c>
      <c r="H492" s="13">
        <v>1.05</v>
      </c>
      <c r="I492" s="13">
        <v>0.11</v>
      </c>
      <c r="J492" s="13" t="s">
        <v>1762</v>
      </c>
      <c r="K492" s="13">
        <v>2.4</v>
      </c>
      <c r="L492" s="8"/>
      <c r="M492" s="280"/>
      <c r="N492" s="280"/>
    </row>
    <row r="493" spans="1:14">
      <c r="A493" s="287"/>
      <c r="B493" s="8"/>
      <c r="C493" s="8"/>
      <c r="D493" s="288"/>
      <c r="E493" s="8"/>
      <c r="F493" s="8"/>
      <c r="G493" s="8" t="s">
        <v>1086</v>
      </c>
      <c r="H493" s="13">
        <v>3.06</v>
      </c>
      <c r="I493" s="13">
        <v>0.27</v>
      </c>
      <c r="J493" s="289" t="s">
        <v>24</v>
      </c>
      <c r="K493" s="289" t="s">
        <v>24</v>
      </c>
      <c r="L493" s="8"/>
      <c r="M493" s="280"/>
      <c r="N493" s="280"/>
    </row>
    <row r="494" spans="1:14">
      <c r="A494" s="287"/>
      <c r="B494" s="8"/>
      <c r="C494" s="8"/>
      <c r="D494" s="288"/>
      <c r="E494" s="8"/>
      <c r="F494" s="8"/>
      <c r="G494" s="8" t="s">
        <v>1087</v>
      </c>
      <c r="H494" s="13">
        <v>3.06</v>
      </c>
      <c r="I494" s="13">
        <v>0.15</v>
      </c>
      <c r="J494" s="289" t="s">
        <v>24</v>
      </c>
      <c r="K494" s="289" t="s">
        <v>24</v>
      </c>
      <c r="L494" s="8"/>
      <c r="M494" s="280"/>
      <c r="N494" s="280"/>
    </row>
    <row r="495" spans="1:14">
      <c r="A495" s="9">
        <v>45463</v>
      </c>
      <c r="B495" s="8" t="s">
        <v>1919</v>
      </c>
      <c r="C495" s="8" t="s">
        <v>462</v>
      </c>
      <c r="D495" s="282">
        <v>3</v>
      </c>
      <c r="E495" s="8" t="s">
        <v>1754</v>
      </c>
      <c r="F495" s="8" t="s">
        <v>460</v>
      </c>
      <c r="G495" s="8" t="s">
        <v>1064</v>
      </c>
      <c r="H495" s="13">
        <v>1.01</v>
      </c>
      <c r="I495" s="13">
        <v>2.51</v>
      </c>
      <c r="J495" s="13" t="s">
        <v>1744</v>
      </c>
      <c r="K495" s="13">
        <v>2.29</v>
      </c>
      <c r="L495" s="8" t="s">
        <v>27</v>
      </c>
      <c r="M495" s="280"/>
      <c r="N495" s="280"/>
    </row>
    <row r="496" spans="1:14">
      <c r="A496" s="287"/>
      <c r="B496" s="8"/>
      <c r="C496" s="8"/>
      <c r="D496" s="288"/>
      <c r="E496" s="8"/>
      <c r="F496" s="8"/>
      <c r="G496" s="8" t="s">
        <v>1060</v>
      </c>
      <c r="H496" s="13">
        <v>1.01</v>
      </c>
      <c r="I496" s="13">
        <v>0.18</v>
      </c>
      <c r="J496" s="13" t="s">
        <v>1762</v>
      </c>
      <c r="K496" s="13">
        <v>2.3</v>
      </c>
      <c r="L496" s="8"/>
      <c r="M496" s="280"/>
      <c r="N496" s="280"/>
    </row>
    <row r="497" spans="1:14">
      <c r="A497" s="287"/>
      <c r="B497" s="8"/>
      <c r="C497" s="8"/>
      <c r="D497" s="288"/>
      <c r="E497" s="8"/>
      <c r="F497" s="8"/>
      <c r="G497" s="8" t="s">
        <v>1086</v>
      </c>
      <c r="H497" s="13">
        <v>1.51</v>
      </c>
      <c r="I497" s="13">
        <v>0.16</v>
      </c>
      <c r="J497" s="289" t="s">
        <v>24</v>
      </c>
      <c r="K497" s="289" t="s">
        <v>24</v>
      </c>
      <c r="L497" s="8"/>
      <c r="M497" s="280"/>
      <c r="N497" s="280"/>
    </row>
    <row r="498" spans="1:14">
      <c r="A498" s="287"/>
      <c r="B498" s="8"/>
      <c r="C498" s="8"/>
      <c r="D498" s="288"/>
      <c r="E498" s="8"/>
      <c r="F498" s="8"/>
      <c r="G498" s="8" t="s">
        <v>1087</v>
      </c>
      <c r="H498" s="13">
        <v>1.51</v>
      </c>
      <c r="I498" s="13">
        <v>0.15</v>
      </c>
      <c r="J498" s="289" t="s">
        <v>24</v>
      </c>
      <c r="K498" s="289" t="s">
        <v>24</v>
      </c>
      <c r="L498" s="8"/>
      <c r="M498" s="280"/>
      <c r="N498" s="280"/>
    </row>
    <row r="499" spans="1:14">
      <c r="A499" s="9">
        <v>45461</v>
      </c>
      <c r="B499" s="8" t="s">
        <v>1920</v>
      </c>
      <c r="C499" s="8" t="s">
        <v>462</v>
      </c>
      <c r="D499" s="282">
        <v>5</v>
      </c>
      <c r="E499" s="8" t="s">
        <v>1079</v>
      </c>
      <c r="F499" s="8" t="s">
        <v>1768</v>
      </c>
      <c r="G499" s="8" t="s">
        <v>1064</v>
      </c>
      <c r="H499" s="13">
        <v>1.01</v>
      </c>
      <c r="I499" s="13">
        <v>4.15</v>
      </c>
      <c r="J499" s="13" t="s">
        <v>1744</v>
      </c>
      <c r="K499" s="13">
        <v>2.2</v>
      </c>
      <c r="L499" s="8" t="s">
        <v>35</v>
      </c>
      <c r="M499" s="280"/>
      <c r="N499" s="280"/>
    </row>
    <row r="500" spans="1:14">
      <c r="A500" s="287"/>
      <c r="B500" s="8"/>
      <c r="C500" s="8"/>
      <c r="D500" s="288"/>
      <c r="E500" s="8"/>
      <c r="F500" s="8"/>
      <c r="G500" s="8" t="s">
        <v>1060</v>
      </c>
      <c r="H500" s="13">
        <v>1.01</v>
      </c>
      <c r="I500" s="13">
        <v>0.2</v>
      </c>
      <c r="J500" s="13" t="s">
        <v>1762</v>
      </c>
      <c r="K500" s="13">
        <v>2.29</v>
      </c>
      <c r="L500" s="8"/>
      <c r="M500" s="280"/>
      <c r="N500" s="280"/>
    </row>
    <row r="501" spans="1:14">
      <c r="A501" s="287"/>
      <c r="B501" s="8"/>
      <c r="C501" s="8"/>
      <c r="D501" s="288"/>
      <c r="E501" s="8"/>
      <c r="F501" s="8"/>
      <c r="G501" s="8" t="s">
        <v>503</v>
      </c>
      <c r="H501" s="13">
        <v>1.01</v>
      </c>
      <c r="I501" s="13">
        <v>0.65</v>
      </c>
      <c r="J501" s="289" t="s">
        <v>24</v>
      </c>
      <c r="K501" s="289" t="s">
        <v>24</v>
      </c>
      <c r="L501" s="8"/>
      <c r="M501" s="280"/>
      <c r="N501" s="280"/>
    </row>
    <row r="502" spans="1:14">
      <c r="A502" s="9">
        <v>45461</v>
      </c>
      <c r="B502" s="8" t="s">
        <v>1921</v>
      </c>
      <c r="C502" s="8" t="s">
        <v>462</v>
      </c>
      <c r="D502" s="282">
        <v>5</v>
      </c>
      <c r="E502" s="8" t="s">
        <v>477</v>
      </c>
      <c r="F502" s="8" t="s">
        <v>523</v>
      </c>
      <c r="G502" s="8" t="s">
        <v>1064</v>
      </c>
      <c r="H502" s="13">
        <v>0.98</v>
      </c>
      <c r="I502" s="13">
        <v>4.47</v>
      </c>
      <c r="J502" s="13" t="s">
        <v>1744</v>
      </c>
      <c r="K502" s="13">
        <v>2.13</v>
      </c>
      <c r="L502" s="8" t="s">
        <v>112</v>
      </c>
      <c r="M502" s="280"/>
      <c r="N502" s="280"/>
    </row>
    <row r="503" spans="1:14">
      <c r="A503" s="287"/>
      <c r="B503" s="8"/>
      <c r="C503" s="8"/>
      <c r="D503" s="288"/>
      <c r="E503" s="8"/>
      <c r="F503" s="8"/>
      <c r="G503" s="8" t="s">
        <v>1060</v>
      </c>
      <c r="H503" s="13">
        <v>0.98</v>
      </c>
      <c r="I503" s="13">
        <v>0.28</v>
      </c>
      <c r="J503" s="13" t="s">
        <v>1762</v>
      </c>
      <c r="K503" s="13">
        <v>2.33</v>
      </c>
      <c r="L503" s="8"/>
      <c r="M503" s="280"/>
      <c r="N503" s="280"/>
    </row>
    <row r="504" spans="1:14">
      <c r="A504" s="287"/>
      <c r="B504" s="8"/>
      <c r="C504" s="8"/>
      <c r="D504" s="288"/>
      <c r="E504" s="8"/>
      <c r="F504" s="8"/>
      <c r="G504" s="8" t="s">
        <v>1086</v>
      </c>
      <c r="H504" s="13">
        <v>2.85</v>
      </c>
      <c r="I504" s="13">
        <v>0.1</v>
      </c>
      <c r="J504" s="289" t="s">
        <v>24</v>
      </c>
      <c r="K504" s="289" t="s">
        <v>24</v>
      </c>
      <c r="L504" s="8"/>
      <c r="M504" s="280"/>
      <c r="N504" s="280"/>
    </row>
    <row r="505" spans="1:14">
      <c r="A505" s="287"/>
      <c r="B505" s="8"/>
      <c r="C505" s="8"/>
      <c r="D505" s="288"/>
      <c r="E505" s="8"/>
      <c r="F505" s="8"/>
      <c r="G505" s="8" t="s">
        <v>1087</v>
      </c>
      <c r="H505" s="13">
        <v>2.85</v>
      </c>
      <c r="I505" s="13">
        <v>0.15</v>
      </c>
      <c r="J505" s="289" t="s">
        <v>24</v>
      </c>
      <c r="K505" s="289" t="s">
        <v>24</v>
      </c>
      <c r="L505" s="8"/>
      <c r="M505" s="280"/>
      <c r="N505" s="280"/>
    </row>
    <row r="506" spans="1:14">
      <c r="A506" s="9">
        <v>45461</v>
      </c>
      <c r="B506" s="8" t="s">
        <v>1922</v>
      </c>
      <c r="C506" s="8" t="s">
        <v>459</v>
      </c>
      <c r="D506" s="282">
        <v>7.8</v>
      </c>
      <c r="E506" s="8" t="s">
        <v>486</v>
      </c>
      <c r="F506" s="8" t="s">
        <v>490</v>
      </c>
      <c r="G506" s="8" t="s">
        <v>1058</v>
      </c>
      <c r="H506" s="13">
        <v>1.01</v>
      </c>
      <c r="I506" s="13">
        <v>2.34</v>
      </c>
      <c r="J506" s="13" t="s">
        <v>1744</v>
      </c>
      <c r="K506" s="13">
        <v>2.5</v>
      </c>
      <c r="L506" s="8" t="s">
        <v>1082</v>
      </c>
      <c r="M506" s="280"/>
      <c r="N506" s="280"/>
    </row>
    <row r="507" spans="1:14">
      <c r="A507" s="287"/>
      <c r="B507" s="8"/>
      <c r="C507" s="8"/>
      <c r="D507" s="288"/>
      <c r="E507" s="8"/>
      <c r="F507" s="8"/>
      <c r="G507" s="8" t="s">
        <v>1059</v>
      </c>
      <c r="H507" s="13">
        <v>2</v>
      </c>
      <c r="I507" s="13">
        <v>3.12</v>
      </c>
      <c r="J507" s="13" t="s">
        <v>1744</v>
      </c>
      <c r="K507" s="13">
        <v>3</v>
      </c>
      <c r="L507" s="8"/>
      <c r="M507" s="280"/>
      <c r="N507" s="280"/>
    </row>
    <row r="508" spans="1:14">
      <c r="A508" s="287"/>
      <c r="B508" s="8"/>
      <c r="C508" s="8"/>
      <c r="D508" s="288"/>
      <c r="E508" s="8"/>
      <c r="F508" s="8"/>
      <c r="G508" s="8" t="s">
        <v>1099</v>
      </c>
      <c r="H508" s="13">
        <v>3</v>
      </c>
      <c r="I508" s="13">
        <v>2.223</v>
      </c>
      <c r="J508" s="13" t="s">
        <v>1744</v>
      </c>
      <c r="K508" s="13">
        <v>4.6</v>
      </c>
      <c r="L508" s="8"/>
      <c r="M508" s="280"/>
      <c r="N508" s="280"/>
    </row>
    <row r="509" spans="1:14">
      <c r="A509" s="287"/>
      <c r="B509" s="8"/>
      <c r="C509" s="8"/>
      <c r="D509" s="288"/>
      <c r="E509" s="8"/>
      <c r="F509" s="8"/>
      <c r="G509" s="8" t="s">
        <v>503</v>
      </c>
      <c r="H509" s="13">
        <v>3.27</v>
      </c>
      <c r="I509" s="13">
        <v>0.117</v>
      </c>
      <c r="J509" s="289" t="s">
        <v>24</v>
      </c>
      <c r="K509" s="289" t="s">
        <v>24</v>
      </c>
      <c r="L509" s="8"/>
      <c r="M509" s="280"/>
      <c r="N509" s="280"/>
    </row>
    <row r="510" spans="1:14">
      <c r="A510" s="9">
        <v>45468</v>
      </c>
      <c r="B510" s="8" t="s">
        <v>1923</v>
      </c>
      <c r="C510" s="8" t="s">
        <v>459</v>
      </c>
      <c r="D510" s="282">
        <v>10</v>
      </c>
      <c r="E510" s="8" t="s">
        <v>1066</v>
      </c>
      <c r="F510" s="8" t="s">
        <v>1768</v>
      </c>
      <c r="G510" s="8" t="s">
        <v>1064</v>
      </c>
      <c r="H510" s="13">
        <v>0.51</v>
      </c>
      <c r="I510" s="13">
        <v>9</v>
      </c>
      <c r="J510" s="13" t="s">
        <v>1744</v>
      </c>
      <c r="K510" s="13">
        <v>2.07</v>
      </c>
      <c r="L510" s="8" t="s">
        <v>35</v>
      </c>
      <c r="M510" s="280"/>
      <c r="N510" s="280"/>
    </row>
    <row r="511" spans="1:14">
      <c r="A511" s="287"/>
      <c r="B511" s="8"/>
      <c r="C511" s="8"/>
      <c r="D511" s="288"/>
      <c r="E511" s="8"/>
      <c r="F511" s="8"/>
      <c r="G511" s="8" t="s">
        <v>1060</v>
      </c>
      <c r="H511" s="13">
        <v>0.59</v>
      </c>
      <c r="I511" s="13">
        <v>0.5</v>
      </c>
      <c r="J511" s="13" t="s">
        <v>1762</v>
      </c>
      <c r="K511" s="13">
        <v>2.29</v>
      </c>
      <c r="L511" s="8"/>
      <c r="M511" s="280"/>
      <c r="N511" s="280"/>
    </row>
    <row r="512" spans="1:14">
      <c r="A512" s="287"/>
      <c r="B512" s="8"/>
      <c r="C512" s="8"/>
      <c r="D512" s="288"/>
      <c r="E512" s="8"/>
      <c r="F512" s="8"/>
      <c r="G512" s="8" t="s">
        <v>503</v>
      </c>
      <c r="H512" s="13">
        <v>1.34</v>
      </c>
      <c r="I512" s="13">
        <v>0.5</v>
      </c>
      <c r="J512" s="289" t="s">
        <v>24</v>
      </c>
      <c r="K512" s="289" t="s">
        <v>24</v>
      </c>
      <c r="L512" s="8"/>
      <c r="M512" s="280"/>
      <c r="N512" s="280"/>
    </row>
    <row r="513" spans="1:14">
      <c r="A513" s="9">
        <v>45464</v>
      </c>
      <c r="B513" s="8" t="s">
        <v>1924</v>
      </c>
      <c r="C513" s="8" t="s">
        <v>462</v>
      </c>
      <c r="D513" s="282">
        <v>3.5</v>
      </c>
      <c r="E513" s="8" t="s">
        <v>1754</v>
      </c>
      <c r="F513" s="8" t="s">
        <v>474</v>
      </c>
      <c r="G513" s="8" t="s">
        <v>1058</v>
      </c>
      <c r="H513" s="13">
        <v>1</v>
      </c>
      <c r="I513" s="13">
        <v>1.05</v>
      </c>
      <c r="J513" s="13" t="s">
        <v>1744</v>
      </c>
      <c r="K513" s="13">
        <v>2.5</v>
      </c>
      <c r="L513" s="8" t="s">
        <v>1082</v>
      </c>
      <c r="M513" s="280"/>
      <c r="N513" s="280"/>
    </row>
    <row r="514" spans="1:14">
      <c r="A514" s="287"/>
      <c r="B514" s="8"/>
      <c r="C514" s="8"/>
      <c r="D514" s="288"/>
      <c r="E514" s="8"/>
      <c r="F514" s="8"/>
      <c r="G514" s="8" t="s">
        <v>1059</v>
      </c>
      <c r="H514" s="13">
        <v>1.99</v>
      </c>
      <c r="I514" s="13">
        <v>1.4</v>
      </c>
      <c r="J514" s="13" t="s">
        <v>1744</v>
      </c>
      <c r="K514" s="13">
        <v>3</v>
      </c>
      <c r="L514" s="8"/>
      <c r="M514" s="280"/>
      <c r="N514" s="280"/>
    </row>
    <row r="515" spans="1:14">
      <c r="A515" s="287"/>
      <c r="B515" s="8"/>
      <c r="C515" s="8"/>
      <c r="D515" s="288"/>
      <c r="E515" s="8"/>
      <c r="F515" s="8"/>
      <c r="G515" s="8" t="s">
        <v>1099</v>
      </c>
      <c r="H515" s="13">
        <v>2.99</v>
      </c>
      <c r="I515" s="13">
        <v>0.9975</v>
      </c>
      <c r="J515" s="13" t="s">
        <v>1744</v>
      </c>
      <c r="K515" s="13">
        <v>4.6</v>
      </c>
      <c r="L515" s="8"/>
      <c r="M515" s="280"/>
      <c r="N515" s="280"/>
    </row>
    <row r="516" spans="1:14">
      <c r="A516" s="287"/>
      <c r="B516" s="8"/>
      <c r="C516" s="8"/>
      <c r="D516" s="288"/>
      <c r="E516" s="8"/>
      <c r="F516" s="8"/>
      <c r="G516" s="8" t="s">
        <v>503</v>
      </c>
      <c r="H516" s="13">
        <v>2.99</v>
      </c>
      <c r="I516" s="13">
        <v>0.0525</v>
      </c>
      <c r="J516" s="289" t="s">
        <v>24</v>
      </c>
      <c r="K516" s="289" t="s">
        <v>24</v>
      </c>
      <c r="L516" s="8"/>
      <c r="M516" s="280"/>
      <c r="N516" s="280"/>
    </row>
    <row r="517" spans="1:14">
      <c r="A517" s="9">
        <v>45463</v>
      </c>
      <c r="B517" s="8" t="s">
        <v>1925</v>
      </c>
      <c r="C517" s="8" t="s">
        <v>462</v>
      </c>
      <c r="D517" s="282">
        <v>10</v>
      </c>
      <c r="E517" s="8" t="s">
        <v>1109</v>
      </c>
      <c r="F517" s="8" t="s">
        <v>482</v>
      </c>
      <c r="G517" s="8" t="s">
        <v>1058</v>
      </c>
      <c r="H517" s="13">
        <v>1.93</v>
      </c>
      <c r="I517" s="13">
        <v>8.25</v>
      </c>
      <c r="J517" s="13" t="s">
        <v>1744</v>
      </c>
      <c r="K517" s="13">
        <v>2.18</v>
      </c>
      <c r="L517" s="8" t="s">
        <v>27</v>
      </c>
      <c r="M517" s="280"/>
      <c r="N517" s="280"/>
    </row>
    <row r="518" spans="1:14">
      <c r="A518" s="287"/>
      <c r="B518" s="8"/>
      <c r="C518" s="8"/>
      <c r="D518" s="288"/>
      <c r="E518" s="8"/>
      <c r="F518" s="8"/>
      <c r="G518" s="8" t="s">
        <v>1059</v>
      </c>
      <c r="H518" s="13">
        <v>1.93</v>
      </c>
      <c r="I518" s="13">
        <v>0.8</v>
      </c>
      <c r="J518" s="13" t="s">
        <v>1762</v>
      </c>
      <c r="K518" s="13">
        <v>2.3</v>
      </c>
      <c r="L518" s="8"/>
      <c r="M518" s="280"/>
      <c r="N518" s="280"/>
    </row>
    <row r="519" spans="1:14">
      <c r="A519" s="287"/>
      <c r="B519" s="8"/>
      <c r="C519" s="8"/>
      <c r="D519" s="288"/>
      <c r="E519" s="8"/>
      <c r="F519" s="8"/>
      <c r="G519" s="8" t="s">
        <v>503</v>
      </c>
      <c r="H519" s="13">
        <v>2.01</v>
      </c>
      <c r="I519" s="13">
        <v>0.95</v>
      </c>
      <c r="J519" s="289" t="s">
        <v>24</v>
      </c>
      <c r="K519" s="289" t="s">
        <v>24</v>
      </c>
      <c r="L519" s="8"/>
      <c r="M519" s="280"/>
      <c r="N519" s="280"/>
    </row>
    <row r="520" spans="1:14">
      <c r="A520" s="9">
        <v>45464</v>
      </c>
      <c r="B520" s="8" t="s">
        <v>1926</v>
      </c>
      <c r="C520" s="8" t="s">
        <v>462</v>
      </c>
      <c r="D520" s="282">
        <v>10</v>
      </c>
      <c r="E520" s="8" t="s">
        <v>1109</v>
      </c>
      <c r="F520" s="8" t="s">
        <v>460</v>
      </c>
      <c r="G520" s="8" t="s">
        <v>1064</v>
      </c>
      <c r="H520" s="13">
        <v>1.52</v>
      </c>
      <c r="I520" s="13">
        <v>8.46</v>
      </c>
      <c r="J520" s="13" t="s">
        <v>1744</v>
      </c>
      <c r="K520" s="13">
        <v>2.22</v>
      </c>
      <c r="L520" s="8" t="s">
        <v>27</v>
      </c>
      <c r="M520" s="280"/>
      <c r="N520" s="280"/>
    </row>
    <row r="521" spans="1:14">
      <c r="A521" s="287"/>
      <c r="B521" s="8"/>
      <c r="C521" s="8"/>
      <c r="D521" s="288"/>
      <c r="E521" s="8"/>
      <c r="F521" s="8"/>
      <c r="G521" s="8" t="s">
        <v>1060</v>
      </c>
      <c r="H521" s="13">
        <v>1.68</v>
      </c>
      <c r="I521" s="13">
        <v>0.464</v>
      </c>
      <c r="J521" s="13" t="s">
        <v>1762</v>
      </c>
      <c r="K521" s="13">
        <v>2.3</v>
      </c>
      <c r="L521" s="8"/>
      <c r="M521" s="280"/>
      <c r="N521" s="280"/>
    </row>
    <row r="522" spans="1:14">
      <c r="A522" s="287"/>
      <c r="B522" s="8"/>
      <c r="C522" s="8"/>
      <c r="D522" s="288"/>
      <c r="E522" s="8"/>
      <c r="F522" s="8"/>
      <c r="G522" s="8" t="s">
        <v>503</v>
      </c>
      <c r="H522" s="13">
        <v>3.02</v>
      </c>
      <c r="I522" s="13">
        <v>1.076</v>
      </c>
      <c r="J522" s="289" t="s">
        <v>24</v>
      </c>
      <c r="K522" s="289" t="s">
        <v>24</v>
      </c>
      <c r="L522" s="8"/>
      <c r="M522" s="280"/>
      <c r="N522" s="280"/>
    </row>
    <row r="523" spans="1:14">
      <c r="A523" s="9">
        <v>45464</v>
      </c>
      <c r="B523" s="8" t="s">
        <v>1927</v>
      </c>
      <c r="C523" s="8" t="s">
        <v>462</v>
      </c>
      <c r="D523" s="282">
        <v>5</v>
      </c>
      <c r="E523" s="8" t="s">
        <v>1776</v>
      </c>
      <c r="F523" s="8" t="s">
        <v>482</v>
      </c>
      <c r="G523" s="8" t="s">
        <v>1064</v>
      </c>
      <c r="H523" s="13">
        <v>2</v>
      </c>
      <c r="I523" s="13">
        <v>4.17</v>
      </c>
      <c r="J523" s="13" t="s">
        <v>1744</v>
      </c>
      <c r="K523" s="13">
        <v>2.5</v>
      </c>
      <c r="L523" s="13">
        <v>360</v>
      </c>
      <c r="M523" s="280"/>
      <c r="N523" s="280"/>
    </row>
    <row r="524" spans="1:14">
      <c r="A524" s="287"/>
      <c r="B524" s="8"/>
      <c r="C524" s="8"/>
      <c r="D524" s="288"/>
      <c r="E524" s="8"/>
      <c r="F524" s="8"/>
      <c r="G524" s="8" t="s">
        <v>1060</v>
      </c>
      <c r="H524" s="13">
        <v>2</v>
      </c>
      <c r="I524" s="13">
        <v>0.28</v>
      </c>
      <c r="J524" s="13" t="s">
        <v>1762</v>
      </c>
      <c r="K524" s="13">
        <v>3</v>
      </c>
      <c r="L524" s="289"/>
      <c r="M524" s="280"/>
      <c r="N524" s="280"/>
    </row>
    <row r="525" spans="1:14">
      <c r="A525" s="287"/>
      <c r="B525" s="8"/>
      <c r="C525" s="8"/>
      <c r="D525" s="288"/>
      <c r="E525" s="8"/>
      <c r="F525" s="8"/>
      <c r="G525" s="8" t="s">
        <v>1061</v>
      </c>
      <c r="H525" s="13">
        <v>2</v>
      </c>
      <c r="I525" s="13">
        <v>0.18</v>
      </c>
      <c r="J525" s="13" t="s">
        <v>1746</v>
      </c>
      <c r="K525" s="13">
        <v>5</v>
      </c>
      <c r="L525" s="289"/>
      <c r="M525" s="280"/>
      <c r="N525" s="280"/>
    </row>
    <row r="526" spans="1:14">
      <c r="A526" s="287"/>
      <c r="B526" s="8"/>
      <c r="C526" s="8"/>
      <c r="D526" s="288"/>
      <c r="E526" s="8"/>
      <c r="F526" s="8"/>
      <c r="G526" s="8" t="s">
        <v>503</v>
      </c>
      <c r="H526" s="13">
        <v>2</v>
      </c>
      <c r="I526" s="13">
        <v>0.37</v>
      </c>
      <c r="J526" s="289" t="s">
        <v>24</v>
      </c>
      <c r="K526" s="289" t="s">
        <v>24</v>
      </c>
      <c r="L526" s="289"/>
      <c r="M526" s="280"/>
      <c r="N526" s="280"/>
    </row>
    <row r="527" spans="1:14">
      <c r="A527" s="9">
        <v>45470</v>
      </c>
      <c r="B527" s="8" t="s">
        <v>1928</v>
      </c>
      <c r="C527" s="8" t="s">
        <v>459</v>
      </c>
      <c r="D527" s="282">
        <v>10</v>
      </c>
      <c r="E527" s="8" t="s">
        <v>1066</v>
      </c>
      <c r="F527" s="8" t="s">
        <v>482</v>
      </c>
      <c r="G527" s="8" t="s">
        <v>1064</v>
      </c>
      <c r="H527" s="13">
        <v>1.01</v>
      </c>
      <c r="I527" s="13">
        <v>9</v>
      </c>
      <c r="J527" s="13" t="s">
        <v>1744</v>
      </c>
      <c r="K527" s="13">
        <v>2.15</v>
      </c>
      <c r="L527" s="8" t="s">
        <v>35</v>
      </c>
      <c r="M527" s="280"/>
      <c r="N527" s="280"/>
    </row>
    <row r="528" spans="1:14">
      <c r="A528" s="287"/>
      <c r="B528" s="8"/>
      <c r="C528" s="8"/>
      <c r="D528" s="288"/>
      <c r="E528" s="8"/>
      <c r="F528" s="8"/>
      <c r="G528" s="8" t="s">
        <v>1060</v>
      </c>
      <c r="H528" s="13">
        <v>1.01</v>
      </c>
      <c r="I528" s="13">
        <v>0.3</v>
      </c>
      <c r="J528" s="13" t="s">
        <v>1762</v>
      </c>
      <c r="K528" s="13">
        <v>2.34</v>
      </c>
      <c r="L528" s="8"/>
      <c r="M528" s="280"/>
      <c r="N528" s="280"/>
    </row>
    <row r="529" spans="1:14">
      <c r="A529" s="287"/>
      <c r="B529" s="8"/>
      <c r="C529" s="8"/>
      <c r="D529" s="288"/>
      <c r="E529" s="8"/>
      <c r="F529" s="8"/>
      <c r="G529" s="8" t="s">
        <v>503</v>
      </c>
      <c r="H529" s="13">
        <v>2.93</v>
      </c>
      <c r="I529" s="13">
        <v>0.7</v>
      </c>
      <c r="J529" s="289" t="s">
        <v>24</v>
      </c>
      <c r="K529" s="289" t="s">
        <v>24</v>
      </c>
      <c r="L529" s="8"/>
      <c r="M529" s="280"/>
      <c r="N529" s="280"/>
    </row>
    <row r="530" spans="1:14">
      <c r="A530" s="9">
        <v>45468</v>
      </c>
      <c r="B530" s="8" t="s">
        <v>1929</v>
      </c>
      <c r="C530" s="8" t="s">
        <v>462</v>
      </c>
      <c r="D530" s="282">
        <v>7.2</v>
      </c>
      <c r="E530" s="8" t="s">
        <v>477</v>
      </c>
      <c r="F530" s="8" t="s">
        <v>460</v>
      </c>
      <c r="G530" s="8" t="s">
        <v>1058</v>
      </c>
      <c r="H530" s="13">
        <v>0.82</v>
      </c>
      <c r="I530" s="13">
        <v>2.16</v>
      </c>
      <c r="J530" s="13" t="s">
        <v>1744</v>
      </c>
      <c r="K530" s="13">
        <v>2.5</v>
      </c>
      <c r="L530" s="8" t="s">
        <v>1082</v>
      </c>
      <c r="M530" s="280"/>
      <c r="N530" s="280"/>
    </row>
    <row r="531" spans="1:14">
      <c r="A531" s="287"/>
      <c r="B531" s="8"/>
      <c r="C531" s="8"/>
      <c r="D531" s="288"/>
      <c r="E531" s="8"/>
      <c r="F531" s="8"/>
      <c r="G531" s="8" t="s">
        <v>1059</v>
      </c>
      <c r="H531" s="13">
        <v>2.24</v>
      </c>
      <c r="I531" s="13">
        <v>2.88</v>
      </c>
      <c r="J531" s="13" t="s">
        <v>1744</v>
      </c>
      <c r="K531" s="13">
        <v>3</v>
      </c>
      <c r="L531" s="8"/>
      <c r="M531" s="280"/>
      <c r="N531" s="280"/>
    </row>
    <row r="532" spans="1:14">
      <c r="A532" s="287"/>
      <c r="B532" s="8"/>
      <c r="C532" s="8"/>
      <c r="D532" s="288"/>
      <c r="E532" s="8"/>
      <c r="F532" s="8"/>
      <c r="G532" s="8" t="s">
        <v>1099</v>
      </c>
      <c r="H532" s="13">
        <v>2.99</v>
      </c>
      <c r="I532" s="13">
        <v>2.052</v>
      </c>
      <c r="J532" s="13" t="s">
        <v>1744</v>
      </c>
      <c r="K532" s="13">
        <v>4.6</v>
      </c>
      <c r="L532" s="8"/>
      <c r="M532" s="280"/>
      <c r="N532" s="280"/>
    </row>
    <row r="533" spans="1:14">
      <c r="A533" s="287"/>
      <c r="B533" s="8"/>
      <c r="C533" s="8"/>
      <c r="D533" s="288"/>
      <c r="E533" s="8"/>
      <c r="F533" s="8"/>
      <c r="G533" s="8" t="s">
        <v>503</v>
      </c>
      <c r="H533" s="13">
        <v>3.32</v>
      </c>
      <c r="I533" s="13">
        <v>0.108</v>
      </c>
      <c r="J533" s="289" t="s">
        <v>24</v>
      </c>
      <c r="K533" s="289" t="s">
        <v>24</v>
      </c>
      <c r="L533" s="8"/>
      <c r="M533" s="280"/>
      <c r="N533" s="280"/>
    </row>
    <row r="534" spans="1:14">
      <c r="A534" s="9">
        <v>45468</v>
      </c>
      <c r="B534" s="8" t="s">
        <v>1930</v>
      </c>
      <c r="C534" s="8" t="s">
        <v>459</v>
      </c>
      <c r="D534" s="282">
        <v>10</v>
      </c>
      <c r="E534" s="8" t="s">
        <v>477</v>
      </c>
      <c r="F534" s="8" t="s">
        <v>1768</v>
      </c>
      <c r="G534" s="8" t="s">
        <v>1064</v>
      </c>
      <c r="H534" s="13">
        <v>1.51</v>
      </c>
      <c r="I534" s="13">
        <v>8.2</v>
      </c>
      <c r="J534" s="13" t="s">
        <v>1744</v>
      </c>
      <c r="K534" s="13">
        <v>2.3</v>
      </c>
      <c r="L534" s="8" t="s">
        <v>35</v>
      </c>
      <c r="M534" s="280"/>
      <c r="N534" s="280"/>
    </row>
    <row r="535" spans="1:14">
      <c r="A535" s="287"/>
      <c r="B535" s="8"/>
      <c r="C535" s="8"/>
      <c r="D535" s="288"/>
      <c r="E535" s="8"/>
      <c r="F535" s="8"/>
      <c r="G535" s="8" t="s">
        <v>1060</v>
      </c>
      <c r="H535" s="13">
        <v>1.51</v>
      </c>
      <c r="I535" s="13">
        <v>0.4</v>
      </c>
      <c r="J535" s="13" t="s">
        <v>1762</v>
      </c>
      <c r="K535" s="13">
        <v>2.35</v>
      </c>
      <c r="L535" s="8"/>
      <c r="M535" s="280"/>
      <c r="N535" s="280"/>
    </row>
    <row r="536" spans="1:14">
      <c r="A536" s="287"/>
      <c r="B536" s="8"/>
      <c r="C536" s="8"/>
      <c r="D536" s="288"/>
      <c r="E536" s="8"/>
      <c r="F536" s="8"/>
      <c r="G536" s="8" t="s">
        <v>1061</v>
      </c>
      <c r="H536" s="13">
        <v>2.01</v>
      </c>
      <c r="I536" s="13">
        <v>0.35</v>
      </c>
      <c r="J536" s="13" t="s">
        <v>1746</v>
      </c>
      <c r="K536" s="13">
        <v>4.2</v>
      </c>
      <c r="L536" s="8"/>
      <c r="M536" s="280"/>
      <c r="N536" s="280"/>
    </row>
    <row r="537" spans="1:14">
      <c r="A537" s="287"/>
      <c r="B537" s="8"/>
      <c r="C537" s="8"/>
      <c r="D537" s="288"/>
      <c r="E537" s="8"/>
      <c r="F537" s="8"/>
      <c r="G537" s="8" t="s">
        <v>503</v>
      </c>
      <c r="H537" s="13">
        <v>2.01</v>
      </c>
      <c r="I537" s="13">
        <v>1.05</v>
      </c>
      <c r="J537" s="289" t="s">
        <v>24</v>
      </c>
      <c r="K537" s="289" t="s">
        <v>24</v>
      </c>
      <c r="L537" s="8"/>
      <c r="M537" s="280"/>
      <c r="N537" s="280"/>
    </row>
    <row r="538" spans="1:14">
      <c r="A538" s="9">
        <v>45468</v>
      </c>
      <c r="B538" s="8" t="s">
        <v>1931</v>
      </c>
      <c r="C538" s="8" t="s">
        <v>462</v>
      </c>
      <c r="D538" s="282">
        <v>10</v>
      </c>
      <c r="E538" s="8" t="s">
        <v>1066</v>
      </c>
      <c r="F538" s="8" t="s">
        <v>523</v>
      </c>
      <c r="G538" s="8" t="s">
        <v>1064</v>
      </c>
      <c r="H538" s="13">
        <v>1.09</v>
      </c>
      <c r="I538" s="13">
        <v>9</v>
      </c>
      <c r="J538" s="13" t="s">
        <v>1744</v>
      </c>
      <c r="K538" s="13">
        <v>2.13</v>
      </c>
      <c r="L538" s="8" t="s">
        <v>35</v>
      </c>
      <c r="M538" s="280"/>
      <c r="N538" s="280"/>
    </row>
    <row r="539" spans="1:14">
      <c r="A539" s="287"/>
      <c r="B539" s="8"/>
      <c r="C539" s="8"/>
      <c r="D539" s="288"/>
      <c r="E539" s="8"/>
      <c r="F539" s="8"/>
      <c r="G539" s="8" t="s">
        <v>1060</v>
      </c>
      <c r="H539" s="13">
        <v>1.09</v>
      </c>
      <c r="I539" s="13">
        <v>0.3</v>
      </c>
      <c r="J539" s="13" t="s">
        <v>1762</v>
      </c>
      <c r="K539" s="13">
        <v>2.29</v>
      </c>
      <c r="L539" s="8"/>
      <c r="M539" s="280"/>
      <c r="N539" s="280"/>
    </row>
    <row r="540" spans="1:14">
      <c r="A540" s="287"/>
      <c r="B540" s="8"/>
      <c r="C540" s="8"/>
      <c r="D540" s="288"/>
      <c r="E540" s="8"/>
      <c r="F540" s="8"/>
      <c r="G540" s="8" t="s">
        <v>503</v>
      </c>
      <c r="H540" s="13">
        <v>3.01</v>
      </c>
      <c r="I540" s="13">
        <v>0.7</v>
      </c>
      <c r="J540" s="289" t="s">
        <v>24</v>
      </c>
      <c r="K540" s="289" t="s">
        <v>24</v>
      </c>
      <c r="L540" s="8"/>
      <c r="M540" s="280"/>
      <c r="N540" s="280"/>
    </row>
    <row r="541" spans="1:14">
      <c r="A541" s="9">
        <v>45468</v>
      </c>
      <c r="B541" s="8" t="s">
        <v>1932</v>
      </c>
      <c r="C541" s="8" t="s">
        <v>462</v>
      </c>
      <c r="D541" s="282">
        <v>10</v>
      </c>
      <c r="E541" s="8" t="s">
        <v>1079</v>
      </c>
      <c r="F541" s="8" t="s">
        <v>482</v>
      </c>
      <c r="G541" s="8" t="s">
        <v>1064</v>
      </c>
      <c r="H541" s="13">
        <v>2.01</v>
      </c>
      <c r="I541" s="13">
        <v>8.2</v>
      </c>
      <c r="J541" s="13" t="s">
        <v>1744</v>
      </c>
      <c r="K541" s="13">
        <v>2.3</v>
      </c>
      <c r="L541" s="8" t="s">
        <v>35</v>
      </c>
      <c r="M541" s="280"/>
      <c r="N541" s="280"/>
    </row>
    <row r="542" spans="1:14">
      <c r="A542" s="287"/>
      <c r="B542" s="8"/>
      <c r="C542" s="8"/>
      <c r="D542" s="288"/>
      <c r="E542" s="8"/>
      <c r="F542" s="8"/>
      <c r="G542" s="8" t="s">
        <v>1060</v>
      </c>
      <c r="H542" s="13">
        <v>2.01</v>
      </c>
      <c r="I542" s="13">
        <v>0.4</v>
      </c>
      <c r="J542" s="13" t="s">
        <v>1762</v>
      </c>
      <c r="K542" s="13">
        <v>2.35</v>
      </c>
      <c r="L542" s="8"/>
      <c r="M542" s="280"/>
      <c r="N542" s="280"/>
    </row>
    <row r="543" spans="1:14">
      <c r="A543" s="287"/>
      <c r="B543" s="8"/>
      <c r="C543" s="8"/>
      <c r="D543" s="288"/>
      <c r="E543" s="8"/>
      <c r="F543" s="8"/>
      <c r="G543" s="8" t="s">
        <v>503</v>
      </c>
      <c r="H543" s="13">
        <v>2.01</v>
      </c>
      <c r="I543" s="13">
        <v>1.4</v>
      </c>
      <c r="J543" s="289" t="s">
        <v>24</v>
      </c>
      <c r="K543" s="289" t="s">
        <v>24</v>
      </c>
      <c r="L543" s="8"/>
      <c r="M543" s="280"/>
      <c r="N543" s="280"/>
    </row>
    <row r="544" spans="1:14">
      <c r="A544" s="9">
        <v>45469</v>
      </c>
      <c r="B544" s="8" t="s">
        <v>1933</v>
      </c>
      <c r="C544" s="8" t="s">
        <v>462</v>
      </c>
      <c r="D544" s="282">
        <v>4</v>
      </c>
      <c r="E544" s="8" t="s">
        <v>486</v>
      </c>
      <c r="F544" s="8" t="s">
        <v>1768</v>
      </c>
      <c r="G544" s="8" t="s">
        <v>1064</v>
      </c>
      <c r="H544" s="13">
        <v>1.01</v>
      </c>
      <c r="I544" s="13">
        <v>3.35</v>
      </c>
      <c r="J544" s="13" t="s">
        <v>1744</v>
      </c>
      <c r="K544" s="13">
        <v>2.15</v>
      </c>
      <c r="L544" s="8" t="s">
        <v>27</v>
      </c>
      <c r="M544" s="280"/>
      <c r="N544" s="280"/>
    </row>
    <row r="545" spans="1:14">
      <c r="A545" s="287"/>
      <c r="B545" s="8"/>
      <c r="C545" s="8"/>
      <c r="D545" s="288"/>
      <c r="E545" s="8"/>
      <c r="F545" s="8"/>
      <c r="G545" s="8" t="s">
        <v>1060</v>
      </c>
      <c r="H545" s="13">
        <v>1.01</v>
      </c>
      <c r="I545" s="13">
        <v>0.23</v>
      </c>
      <c r="J545" s="13" t="s">
        <v>1762</v>
      </c>
      <c r="K545" s="13">
        <v>2.3</v>
      </c>
      <c r="L545" s="8"/>
      <c r="M545" s="280"/>
      <c r="N545" s="280"/>
    </row>
    <row r="546" spans="1:14">
      <c r="A546" s="287"/>
      <c r="B546" s="8"/>
      <c r="C546" s="8"/>
      <c r="D546" s="288"/>
      <c r="E546" s="8"/>
      <c r="F546" s="8"/>
      <c r="G546" s="8" t="s">
        <v>1061</v>
      </c>
      <c r="H546" s="13">
        <v>1.52</v>
      </c>
      <c r="I546" s="13">
        <v>0.22</v>
      </c>
      <c r="J546" s="289" t="s">
        <v>24</v>
      </c>
      <c r="K546" s="289" t="s">
        <v>24</v>
      </c>
      <c r="L546" s="8"/>
      <c r="M546" s="280"/>
      <c r="N546" s="280"/>
    </row>
    <row r="547" spans="1:14">
      <c r="A547" s="287"/>
      <c r="B547" s="8"/>
      <c r="C547" s="8"/>
      <c r="D547" s="288"/>
      <c r="E547" s="8"/>
      <c r="F547" s="8"/>
      <c r="G547" s="8" t="s">
        <v>503</v>
      </c>
      <c r="H547" s="13">
        <v>1.52</v>
      </c>
      <c r="I547" s="13">
        <v>0.2</v>
      </c>
      <c r="J547" s="289" t="s">
        <v>24</v>
      </c>
      <c r="K547" s="289" t="s">
        <v>24</v>
      </c>
      <c r="L547" s="8"/>
      <c r="M547" s="280"/>
      <c r="N547" s="280"/>
    </row>
    <row r="548" spans="1:14">
      <c r="A548" s="9">
        <v>45469</v>
      </c>
      <c r="B548" s="8" t="s">
        <v>1934</v>
      </c>
      <c r="C548" s="8" t="s">
        <v>462</v>
      </c>
      <c r="D548" s="282">
        <v>3</v>
      </c>
      <c r="E548" s="8" t="s">
        <v>1767</v>
      </c>
      <c r="F548" s="8" t="s">
        <v>1768</v>
      </c>
      <c r="G548" s="8" t="s">
        <v>531</v>
      </c>
      <c r="H548" s="13">
        <v>2.9</v>
      </c>
      <c r="I548" s="13">
        <v>2.85</v>
      </c>
      <c r="J548" s="13" t="s">
        <v>1744</v>
      </c>
      <c r="K548" s="13">
        <v>2.25</v>
      </c>
      <c r="L548" s="8" t="s">
        <v>1769</v>
      </c>
      <c r="M548" s="280"/>
      <c r="N548" s="280"/>
    </row>
    <row r="549" spans="1:14">
      <c r="A549" s="287"/>
      <c r="B549" s="8"/>
      <c r="C549" s="8"/>
      <c r="D549" s="288"/>
      <c r="E549" s="8"/>
      <c r="F549" s="8"/>
      <c r="G549" s="8" t="s">
        <v>503</v>
      </c>
      <c r="H549" s="13">
        <v>2.9</v>
      </c>
      <c r="I549" s="13">
        <v>0.15</v>
      </c>
      <c r="J549" s="289" t="s">
        <v>24</v>
      </c>
      <c r="K549" s="289" t="s">
        <v>24</v>
      </c>
      <c r="L549" s="8"/>
      <c r="M549" s="280"/>
      <c r="N549" s="280"/>
    </row>
    <row r="550" spans="1:14">
      <c r="A550" s="9">
        <v>45470</v>
      </c>
      <c r="B550" s="8" t="s">
        <v>1935</v>
      </c>
      <c r="C550" s="8" t="s">
        <v>459</v>
      </c>
      <c r="D550" s="282">
        <v>5</v>
      </c>
      <c r="E550" s="8" t="s">
        <v>1344</v>
      </c>
      <c r="F550" s="8" t="s">
        <v>474</v>
      </c>
      <c r="G550" s="8" t="s">
        <v>1064</v>
      </c>
      <c r="H550" s="13">
        <v>1</v>
      </c>
      <c r="I550" s="13">
        <v>4.4</v>
      </c>
      <c r="J550" s="13" t="s">
        <v>1744</v>
      </c>
      <c r="K550" s="13">
        <v>2.15</v>
      </c>
      <c r="L550" s="8" t="s">
        <v>41</v>
      </c>
      <c r="M550" s="280"/>
      <c r="N550" s="280"/>
    </row>
    <row r="551" spans="1:14">
      <c r="A551" s="287"/>
      <c r="B551" s="8"/>
      <c r="C551" s="8"/>
      <c r="D551" s="288"/>
      <c r="E551" s="8"/>
      <c r="F551" s="8"/>
      <c r="G551" s="8" t="s">
        <v>1060</v>
      </c>
      <c r="H551" s="13">
        <v>1</v>
      </c>
      <c r="I551" s="13">
        <v>0.17</v>
      </c>
      <c r="J551" s="13" t="s">
        <v>1762</v>
      </c>
      <c r="K551" s="13">
        <v>2.34</v>
      </c>
      <c r="L551" s="8"/>
      <c r="M551" s="280"/>
      <c r="N551" s="280"/>
    </row>
    <row r="552" spans="1:14">
      <c r="A552" s="287"/>
      <c r="B552" s="8"/>
      <c r="C552" s="8"/>
      <c r="D552" s="288"/>
      <c r="E552" s="8"/>
      <c r="F552" s="8"/>
      <c r="G552" s="8" t="s">
        <v>1061</v>
      </c>
      <c r="H552" s="13">
        <v>1</v>
      </c>
      <c r="I552" s="13">
        <v>0.18</v>
      </c>
      <c r="J552" s="13" t="s">
        <v>505</v>
      </c>
      <c r="K552" s="13">
        <v>4.9</v>
      </c>
      <c r="L552" s="8"/>
      <c r="M552" s="280"/>
      <c r="N552" s="280"/>
    </row>
    <row r="553" spans="1:14">
      <c r="A553" s="287"/>
      <c r="B553" s="8"/>
      <c r="C553" s="8"/>
      <c r="D553" s="288"/>
      <c r="E553" s="8"/>
      <c r="F553" s="8"/>
      <c r="G553" s="8" t="s">
        <v>503</v>
      </c>
      <c r="H553" s="13">
        <v>2.75</v>
      </c>
      <c r="I553" s="13">
        <v>0.25</v>
      </c>
      <c r="J553" s="289" t="s">
        <v>24</v>
      </c>
      <c r="K553" s="289" t="s">
        <v>24</v>
      </c>
      <c r="L553" s="8"/>
      <c r="M553" s="280"/>
      <c r="N553" s="280"/>
    </row>
    <row r="554" spans="1:14">
      <c r="A554" s="9">
        <v>45471</v>
      </c>
      <c r="B554" s="278" t="s">
        <v>1936</v>
      </c>
      <c r="C554" s="278" t="s">
        <v>459</v>
      </c>
      <c r="D554" s="282">
        <v>10</v>
      </c>
      <c r="E554" s="278" t="s">
        <v>477</v>
      </c>
      <c r="F554" s="278" t="s">
        <v>482</v>
      </c>
      <c r="G554" s="8" t="s">
        <v>1064</v>
      </c>
      <c r="H554" s="13">
        <v>1</v>
      </c>
      <c r="I554" s="13">
        <v>9</v>
      </c>
      <c r="J554" s="13" t="s">
        <v>1744</v>
      </c>
      <c r="K554" s="13">
        <v>2.12</v>
      </c>
      <c r="L554" s="278" t="s">
        <v>35</v>
      </c>
      <c r="M554" s="280"/>
      <c r="N554" s="280"/>
    </row>
    <row r="555" spans="1:14">
      <c r="A555" s="287"/>
      <c r="B555" s="278"/>
      <c r="C555" s="278"/>
      <c r="D555" s="288"/>
      <c r="E555" s="278"/>
      <c r="F555" s="278"/>
      <c r="G555" s="8" t="s">
        <v>1060</v>
      </c>
      <c r="H555" s="13">
        <v>1</v>
      </c>
      <c r="I555" s="13">
        <v>0.3</v>
      </c>
      <c r="J555" s="13" t="s">
        <v>1762</v>
      </c>
      <c r="K555" s="13">
        <v>2.3</v>
      </c>
      <c r="L555" s="278"/>
      <c r="M555" s="280"/>
      <c r="N555" s="280"/>
    </row>
    <row r="556" spans="1:14">
      <c r="A556" s="287"/>
      <c r="B556" s="278"/>
      <c r="C556" s="278"/>
      <c r="D556" s="288"/>
      <c r="E556" s="278"/>
      <c r="F556" s="278"/>
      <c r="G556" s="8" t="s">
        <v>503</v>
      </c>
      <c r="H556" s="13">
        <v>2.83</v>
      </c>
      <c r="I556" s="13">
        <v>0.7</v>
      </c>
      <c r="J556" s="289" t="s">
        <v>24</v>
      </c>
      <c r="K556" s="289" t="s">
        <v>24</v>
      </c>
      <c r="L556" s="278"/>
      <c r="M556" s="280"/>
      <c r="N556" s="280"/>
    </row>
    <row r="557" spans="1:14">
      <c r="A557" s="9">
        <v>45471</v>
      </c>
      <c r="B557" s="278" t="s">
        <v>1937</v>
      </c>
      <c r="C557" s="278" t="s">
        <v>462</v>
      </c>
      <c r="D557" s="282">
        <v>1.17</v>
      </c>
      <c r="E557" s="278" t="s">
        <v>492</v>
      </c>
      <c r="F557" s="278" t="s">
        <v>1938</v>
      </c>
      <c r="G557" s="8" t="s">
        <v>1064</v>
      </c>
      <c r="H557" s="13">
        <v>0.94</v>
      </c>
      <c r="I557" s="13">
        <v>1.06</v>
      </c>
      <c r="J557" s="13" t="s">
        <v>1744</v>
      </c>
      <c r="K557" s="13">
        <v>2.9</v>
      </c>
      <c r="L557" s="278" t="s">
        <v>1842</v>
      </c>
      <c r="M557" s="280"/>
      <c r="N557" s="280"/>
    </row>
    <row r="558" spans="1:14">
      <c r="A558" s="287"/>
      <c r="B558" s="278"/>
      <c r="C558" s="278"/>
      <c r="D558" s="288"/>
      <c r="E558" s="278"/>
      <c r="F558" s="278"/>
      <c r="G558" s="8" t="s">
        <v>1060</v>
      </c>
      <c r="H558" s="13">
        <v>0.94</v>
      </c>
      <c r="I558" s="13">
        <v>0.04</v>
      </c>
      <c r="J558" s="13" t="s">
        <v>1762</v>
      </c>
      <c r="K558" s="13">
        <v>4.5</v>
      </c>
      <c r="L558" s="278"/>
      <c r="M558" s="280"/>
      <c r="N558" s="280"/>
    </row>
    <row r="559" spans="1:14">
      <c r="A559" s="287"/>
      <c r="B559" s="278"/>
      <c r="C559" s="278"/>
      <c r="D559" s="288"/>
      <c r="E559" s="278"/>
      <c r="F559" s="278"/>
      <c r="G559" s="8" t="s">
        <v>503</v>
      </c>
      <c r="H559" s="13">
        <v>0.94</v>
      </c>
      <c r="I559" s="13">
        <v>0.07</v>
      </c>
      <c r="J559" s="289" t="s">
        <v>24</v>
      </c>
      <c r="K559" s="289" t="s">
        <v>24</v>
      </c>
      <c r="L559" s="278"/>
      <c r="M559" s="280"/>
      <c r="N559" s="280"/>
    </row>
    <row r="560" spans="1:14">
      <c r="A560" s="9">
        <v>45471</v>
      </c>
      <c r="B560" s="8" t="s">
        <v>1939</v>
      </c>
      <c r="C560" s="8" t="s">
        <v>459</v>
      </c>
      <c r="D560" s="282">
        <v>4</v>
      </c>
      <c r="E560" s="8" t="s">
        <v>1754</v>
      </c>
      <c r="F560" s="8" t="s">
        <v>487</v>
      </c>
      <c r="G560" s="8" t="s">
        <v>1064</v>
      </c>
      <c r="H560" s="13">
        <v>1.82</v>
      </c>
      <c r="I560" s="13">
        <v>3.12</v>
      </c>
      <c r="J560" s="13" t="s">
        <v>1744</v>
      </c>
      <c r="K560" s="13">
        <v>2.3</v>
      </c>
      <c r="L560" s="8" t="s">
        <v>70</v>
      </c>
      <c r="M560" s="280"/>
      <c r="N560" s="280"/>
    </row>
    <row r="561" spans="1:14">
      <c r="A561" s="287"/>
      <c r="B561" s="8"/>
      <c r="C561" s="8"/>
      <c r="D561" s="288"/>
      <c r="E561" s="8"/>
      <c r="F561" s="8"/>
      <c r="G561" s="8" t="s">
        <v>1060</v>
      </c>
      <c r="H561" s="13">
        <v>1.9</v>
      </c>
      <c r="I561" s="13">
        <v>0.28</v>
      </c>
      <c r="J561" s="13" t="s">
        <v>1762</v>
      </c>
      <c r="K561" s="13">
        <v>3.8</v>
      </c>
      <c r="L561" s="8"/>
      <c r="M561" s="280"/>
      <c r="N561" s="280"/>
    </row>
    <row r="562" spans="1:14">
      <c r="A562" s="287"/>
      <c r="B562" s="8"/>
      <c r="C562" s="8"/>
      <c r="D562" s="288"/>
      <c r="E562" s="8"/>
      <c r="F562" s="8"/>
      <c r="G562" s="8" t="s">
        <v>503</v>
      </c>
      <c r="H562" s="13">
        <v>2.65</v>
      </c>
      <c r="I562" s="13">
        <v>0.6</v>
      </c>
      <c r="J562" s="289" t="s">
        <v>24</v>
      </c>
      <c r="K562" s="289" t="s">
        <v>24</v>
      </c>
      <c r="L562" s="8"/>
      <c r="M562" s="280"/>
      <c r="N562" s="280"/>
    </row>
    <row r="563" spans="1:14">
      <c r="A563" s="9">
        <v>45471</v>
      </c>
      <c r="B563" s="8" t="s">
        <v>1940</v>
      </c>
      <c r="C563" s="8" t="s">
        <v>459</v>
      </c>
      <c r="D563" s="282">
        <v>10</v>
      </c>
      <c r="E563" s="8" t="s">
        <v>477</v>
      </c>
      <c r="F563" s="8" t="s">
        <v>482</v>
      </c>
      <c r="G563" s="8" t="s">
        <v>1064</v>
      </c>
      <c r="H563" s="13">
        <v>1</v>
      </c>
      <c r="I563" s="13">
        <v>9</v>
      </c>
      <c r="J563" s="13" t="s">
        <v>1744</v>
      </c>
      <c r="K563" s="13">
        <v>2.12</v>
      </c>
      <c r="L563" s="8" t="s">
        <v>35</v>
      </c>
      <c r="M563" s="280"/>
      <c r="N563" s="280"/>
    </row>
    <row r="564" spans="1:14">
      <c r="A564" s="287"/>
      <c r="B564" s="8"/>
      <c r="C564" s="8"/>
      <c r="D564" s="288"/>
      <c r="E564" s="8"/>
      <c r="F564" s="8"/>
      <c r="G564" s="8" t="s">
        <v>1060</v>
      </c>
      <c r="H564" s="13">
        <v>1</v>
      </c>
      <c r="I564" s="13">
        <v>0.3</v>
      </c>
      <c r="J564" s="13" t="s">
        <v>1762</v>
      </c>
      <c r="K564" s="13">
        <v>2.3</v>
      </c>
      <c r="L564" s="8"/>
      <c r="M564" s="280"/>
      <c r="N564" s="280"/>
    </row>
    <row r="565" spans="1:14">
      <c r="A565" s="287"/>
      <c r="B565" s="8"/>
      <c r="C565" s="8"/>
      <c r="D565" s="288"/>
      <c r="E565" s="8"/>
      <c r="F565" s="8"/>
      <c r="G565" s="8" t="s">
        <v>503</v>
      </c>
      <c r="H565" s="13">
        <v>2.85</v>
      </c>
      <c r="I565" s="13">
        <v>0.7</v>
      </c>
      <c r="J565" s="289" t="s">
        <v>24</v>
      </c>
      <c r="K565" s="289" t="s">
        <v>24</v>
      </c>
      <c r="L565" s="8"/>
      <c r="M565" s="280"/>
      <c r="N565" s="280"/>
    </row>
    <row r="566" spans="1:14">
      <c r="A566" s="9">
        <v>45471</v>
      </c>
      <c r="B566" s="8" t="s">
        <v>1941</v>
      </c>
      <c r="C566" s="8" t="s">
        <v>462</v>
      </c>
      <c r="D566" s="282">
        <v>5</v>
      </c>
      <c r="E566" s="8" t="s">
        <v>1776</v>
      </c>
      <c r="F566" s="8" t="s">
        <v>482</v>
      </c>
      <c r="G566" s="8" t="s">
        <v>1064</v>
      </c>
      <c r="H566" s="13">
        <v>2</v>
      </c>
      <c r="I566" s="13">
        <v>4.23</v>
      </c>
      <c r="J566" s="13" t="s">
        <v>1744</v>
      </c>
      <c r="K566" s="13">
        <v>2.5</v>
      </c>
      <c r="L566" s="13">
        <v>360</v>
      </c>
      <c r="M566" s="280"/>
      <c r="N566" s="280"/>
    </row>
    <row r="567" spans="1:14">
      <c r="A567" s="287"/>
      <c r="B567" s="8"/>
      <c r="C567" s="8"/>
      <c r="D567" s="288"/>
      <c r="E567" s="8"/>
      <c r="F567" s="8"/>
      <c r="G567" s="8" t="s">
        <v>1060</v>
      </c>
      <c r="H567" s="13">
        <v>2</v>
      </c>
      <c r="I567" s="13">
        <v>0.22</v>
      </c>
      <c r="J567" s="13" t="s">
        <v>1762</v>
      </c>
      <c r="K567" s="13">
        <v>3</v>
      </c>
      <c r="L567" s="289"/>
      <c r="M567" s="280"/>
      <c r="N567" s="280"/>
    </row>
    <row r="568" spans="1:14">
      <c r="A568" s="287"/>
      <c r="B568" s="8"/>
      <c r="C568" s="8"/>
      <c r="D568" s="288"/>
      <c r="E568" s="8"/>
      <c r="F568" s="8"/>
      <c r="G568" s="8" t="s">
        <v>1061</v>
      </c>
      <c r="H568" s="13">
        <v>2</v>
      </c>
      <c r="I568" s="13">
        <v>0.18</v>
      </c>
      <c r="J568" s="13" t="s">
        <v>1746</v>
      </c>
      <c r="K568" s="13">
        <v>5</v>
      </c>
      <c r="L568" s="289"/>
      <c r="M568" s="280"/>
      <c r="N568" s="280"/>
    </row>
    <row r="569" spans="1:14">
      <c r="A569" s="287"/>
      <c r="B569" s="8"/>
      <c r="C569" s="8"/>
      <c r="D569" s="288"/>
      <c r="E569" s="8"/>
      <c r="F569" s="8"/>
      <c r="G569" s="8" t="s">
        <v>503</v>
      </c>
      <c r="H569" s="13">
        <v>2</v>
      </c>
      <c r="I569" s="13">
        <v>0.37</v>
      </c>
      <c r="J569" s="289" t="s">
        <v>24</v>
      </c>
      <c r="K569" s="289" t="s">
        <v>24</v>
      </c>
      <c r="L569" s="289"/>
      <c r="M569" s="280"/>
      <c r="N569" s="280"/>
    </row>
    <row r="570" spans="1:14">
      <c r="A570" s="9">
        <v>45469</v>
      </c>
      <c r="B570" s="8" t="s">
        <v>1942</v>
      </c>
      <c r="C570" s="8" t="s">
        <v>459</v>
      </c>
      <c r="D570" s="282">
        <v>5</v>
      </c>
      <c r="E570" s="8" t="s">
        <v>1754</v>
      </c>
      <c r="F570" s="8" t="s">
        <v>1779</v>
      </c>
      <c r="G570" s="8" t="s">
        <v>531</v>
      </c>
      <c r="H570" s="13">
        <v>1.99</v>
      </c>
      <c r="I570" s="13">
        <v>4.5</v>
      </c>
      <c r="J570" s="13" t="s">
        <v>1744</v>
      </c>
      <c r="K570" s="13">
        <v>2.24</v>
      </c>
      <c r="L570" s="8" t="s">
        <v>35</v>
      </c>
      <c r="M570" s="280"/>
      <c r="N570" s="280"/>
    </row>
    <row r="571" spans="1:14">
      <c r="A571" s="287"/>
      <c r="B571" s="8"/>
      <c r="C571" s="8"/>
      <c r="D571" s="288"/>
      <c r="E571" s="8"/>
      <c r="F571" s="8"/>
      <c r="G571" s="8" t="s">
        <v>503</v>
      </c>
      <c r="H571" s="13">
        <v>1.99</v>
      </c>
      <c r="I571" s="13">
        <v>0.5</v>
      </c>
      <c r="J571" s="289" t="s">
        <v>24</v>
      </c>
      <c r="K571" s="289" t="s">
        <v>24</v>
      </c>
      <c r="L571" s="8"/>
      <c r="M571" s="280"/>
      <c r="N571" s="280"/>
    </row>
    <row r="572" spans="1:14">
      <c r="A572" s="9">
        <v>45470</v>
      </c>
      <c r="B572" s="8" t="s">
        <v>1943</v>
      </c>
      <c r="C572" s="8" t="s">
        <v>459</v>
      </c>
      <c r="D572" s="282">
        <v>4</v>
      </c>
      <c r="E572" s="8" t="s">
        <v>1754</v>
      </c>
      <c r="F572" s="8" t="s">
        <v>490</v>
      </c>
      <c r="G572" s="8" t="s">
        <v>1058</v>
      </c>
      <c r="H572" s="13">
        <v>0.97</v>
      </c>
      <c r="I572" s="13">
        <v>1.2</v>
      </c>
      <c r="J572" s="13" t="s">
        <v>1744</v>
      </c>
      <c r="K572" s="13">
        <v>2.5</v>
      </c>
      <c r="L572" s="8" t="s">
        <v>1082</v>
      </c>
      <c r="M572" s="280"/>
      <c r="N572" s="280"/>
    </row>
    <row r="573" spans="1:14">
      <c r="A573" s="287"/>
      <c r="B573" s="8"/>
      <c r="C573" s="8"/>
      <c r="D573" s="288"/>
      <c r="E573" s="8"/>
      <c r="F573" s="8"/>
      <c r="G573" s="8" t="s">
        <v>1059</v>
      </c>
      <c r="H573" s="13">
        <v>1.96</v>
      </c>
      <c r="I573" s="13">
        <v>1.6</v>
      </c>
      <c r="J573" s="13" t="s">
        <v>1744</v>
      </c>
      <c r="K573" s="13">
        <v>3</v>
      </c>
      <c r="L573" s="8"/>
      <c r="M573" s="280"/>
      <c r="N573" s="280"/>
    </row>
    <row r="574" spans="1:14">
      <c r="A574" s="287"/>
      <c r="B574" s="8"/>
      <c r="C574" s="8"/>
      <c r="D574" s="288"/>
      <c r="E574" s="8"/>
      <c r="F574" s="8"/>
      <c r="G574" s="8" t="s">
        <v>1099</v>
      </c>
      <c r="H574" s="13">
        <v>2.96</v>
      </c>
      <c r="I574" s="13">
        <v>1.14</v>
      </c>
      <c r="J574" s="13" t="s">
        <v>1744</v>
      </c>
      <c r="K574" s="13">
        <v>4.6</v>
      </c>
      <c r="L574" s="8"/>
      <c r="M574" s="280"/>
      <c r="N574" s="280"/>
    </row>
    <row r="575" spans="1:14">
      <c r="A575" s="287"/>
      <c r="B575" s="8"/>
      <c r="C575" s="8"/>
      <c r="D575" s="288"/>
      <c r="E575" s="8"/>
      <c r="F575" s="8"/>
      <c r="G575" s="8" t="s">
        <v>503</v>
      </c>
      <c r="H575" s="13">
        <v>3.25</v>
      </c>
      <c r="I575" s="13">
        <v>0.06</v>
      </c>
      <c r="J575" s="289" t="s">
        <v>24</v>
      </c>
      <c r="K575" s="289" t="s">
        <v>24</v>
      </c>
      <c r="L575" s="8"/>
      <c r="M575" s="280"/>
      <c r="N575" s="280"/>
    </row>
    <row r="576" spans="1:14">
      <c r="A576" s="9">
        <v>45471</v>
      </c>
      <c r="B576" s="8" t="s">
        <v>1944</v>
      </c>
      <c r="C576" s="8" t="s">
        <v>459</v>
      </c>
      <c r="D576" s="282">
        <v>8</v>
      </c>
      <c r="E576" s="8" t="s">
        <v>477</v>
      </c>
      <c r="F576" s="8" t="s">
        <v>474</v>
      </c>
      <c r="G576" s="8" t="s">
        <v>1058</v>
      </c>
      <c r="H576" s="13">
        <v>0.97</v>
      </c>
      <c r="I576" s="13">
        <v>2.4</v>
      </c>
      <c r="J576" s="13" t="s">
        <v>1744</v>
      </c>
      <c r="K576" s="13">
        <v>2.5</v>
      </c>
      <c r="L576" s="8" t="s">
        <v>1082</v>
      </c>
      <c r="M576" s="280"/>
      <c r="N576" s="280"/>
    </row>
    <row r="577" spans="1:14">
      <c r="A577" s="287"/>
      <c r="B577" s="8"/>
      <c r="C577" s="8"/>
      <c r="D577" s="288"/>
      <c r="E577" s="8"/>
      <c r="F577" s="8"/>
      <c r="G577" s="8" t="s">
        <v>1059</v>
      </c>
      <c r="H577" s="13">
        <v>1.96</v>
      </c>
      <c r="I577" s="13">
        <v>3.2</v>
      </c>
      <c r="J577" s="13" t="s">
        <v>1744</v>
      </c>
      <c r="K577" s="13">
        <v>3</v>
      </c>
      <c r="L577" s="8"/>
      <c r="M577" s="280"/>
      <c r="N577" s="280"/>
    </row>
    <row r="578" spans="1:14">
      <c r="A578" s="287"/>
      <c r="B578" s="8"/>
      <c r="C578" s="8"/>
      <c r="D578" s="288"/>
      <c r="E578" s="8"/>
      <c r="F578" s="8"/>
      <c r="G578" s="8" t="s">
        <v>1099</v>
      </c>
      <c r="H578" s="13">
        <v>2.96</v>
      </c>
      <c r="I578" s="13">
        <v>2.28</v>
      </c>
      <c r="J578" s="13" t="s">
        <v>1744</v>
      </c>
      <c r="K578" s="13">
        <v>4.6</v>
      </c>
      <c r="L578" s="8"/>
      <c r="M578" s="280"/>
      <c r="N578" s="280"/>
    </row>
    <row r="579" spans="1:14">
      <c r="A579" s="287"/>
      <c r="B579" s="8"/>
      <c r="C579" s="8"/>
      <c r="D579" s="288"/>
      <c r="E579" s="8"/>
      <c r="F579" s="8"/>
      <c r="G579" s="8" t="s">
        <v>503</v>
      </c>
      <c r="H579" s="13">
        <v>2.96</v>
      </c>
      <c r="I579" s="13">
        <v>0.12</v>
      </c>
      <c r="J579" s="289" t="s">
        <v>24</v>
      </c>
      <c r="K579" s="289" t="s">
        <v>24</v>
      </c>
      <c r="L579" s="8"/>
      <c r="M579" s="280"/>
      <c r="N579" s="280"/>
    </row>
    <row r="580" spans="1:14">
      <c r="A580" s="9">
        <v>45471</v>
      </c>
      <c r="B580" s="8" t="s">
        <v>1945</v>
      </c>
      <c r="C580" s="8" t="s">
        <v>462</v>
      </c>
      <c r="D580" s="282">
        <v>5</v>
      </c>
      <c r="E580" s="8" t="s">
        <v>1277</v>
      </c>
      <c r="F580" s="8" t="s">
        <v>487</v>
      </c>
      <c r="G580" s="8" t="s">
        <v>1064</v>
      </c>
      <c r="H580" s="13">
        <v>1.42</v>
      </c>
      <c r="I580" s="13">
        <v>4.2</v>
      </c>
      <c r="J580" s="13" t="s">
        <v>1744</v>
      </c>
      <c r="K580" s="13">
        <v>2.18</v>
      </c>
      <c r="L580" s="8" t="s">
        <v>355</v>
      </c>
      <c r="M580" s="280"/>
      <c r="N580" s="280"/>
    </row>
    <row r="581" spans="1:14">
      <c r="A581" s="287"/>
      <c r="B581" s="8"/>
      <c r="C581" s="8"/>
      <c r="D581" s="288"/>
      <c r="E581" s="8"/>
      <c r="F581" s="8"/>
      <c r="G581" s="8" t="s">
        <v>1060</v>
      </c>
      <c r="H581" s="13">
        <v>2</v>
      </c>
      <c r="I581" s="13">
        <v>0.25</v>
      </c>
      <c r="J581" s="13" t="s">
        <v>1762</v>
      </c>
      <c r="K581" s="13">
        <v>2.26</v>
      </c>
      <c r="L581" s="8"/>
      <c r="M581" s="280"/>
      <c r="N581" s="280"/>
    </row>
    <row r="582" spans="1:14">
      <c r="A582" s="287"/>
      <c r="B582" s="8"/>
      <c r="C582" s="8"/>
      <c r="D582" s="288"/>
      <c r="E582" s="8"/>
      <c r="F582" s="8"/>
      <c r="G582" s="8" t="s">
        <v>1061</v>
      </c>
      <c r="H582" s="13">
        <v>2</v>
      </c>
      <c r="I582" s="13">
        <v>0.2</v>
      </c>
      <c r="J582" s="13" t="s">
        <v>1782</v>
      </c>
      <c r="K582" s="13">
        <v>3.5</v>
      </c>
      <c r="L582" s="8"/>
      <c r="M582" s="280"/>
      <c r="N582" s="280"/>
    </row>
    <row r="583" spans="1:14">
      <c r="A583" s="287"/>
      <c r="B583" s="8"/>
      <c r="C583" s="8"/>
      <c r="D583" s="288"/>
      <c r="E583" s="8"/>
      <c r="F583" s="8"/>
      <c r="G583" s="8" t="s">
        <v>503</v>
      </c>
      <c r="H583" s="13">
        <v>2</v>
      </c>
      <c r="I583" s="13">
        <v>0.35</v>
      </c>
      <c r="J583" s="289" t="s">
        <v>24</v>
      </c>
      <c r="K583" s="289" t="s">
        <v>24</v>
      </c>
      <c r="L583" s="8"/>
      <c r="M583" s="280"/>
      <c r="N583" s="280"/>
    </row>
    <row r="584" spans="1:14">
      <c r="A584" s="9">
        <v>45470</v>
      </c>
      <c r="B584" s="8" t="s">
        <v>1946</v>
      </c>
      <c r="C584" s="8" t="s">
        <v>459</v>
      </c>
      <c r="D584" s="282">
        <v>10</v>
      </c>
      <c r="E584" s="8" t="s">
        <v>1066</v>
      </c>
      <c r="F584" s="8" t="s">
        <v>1768</v>
      </c>
      <c r="G584" s="8" t="s">
        <v>1064</v>
      </c>
      <c r="H584" s="13">
        <v>0.5</v>
      </c>
      <c r="I584" s="13">
        <v>9</v>
      </c>
      <c r="J584" s="13" t="s">
        <v>1744</v>
      </c>
      <c r="K584" s="13">
        <v>2.06</v>
      </c>
      <c r="L584" s="8" t="s">
        <v>35</v>
      </c>
      <c r="M584" s="280"/>
      <c r="N584" s="280"/>
    </row>
    <row r="585" spans="1:14">
      <c r="A585" s="287"/>
      <c r="B585" s="8"/>
      <c r="C585" s="8"/>
      <c r="D585" s="288"/>
      <c r="E585" s="8"/>
      <c r="F585" s="8"/>
      <c r="G585" s="8" t="s">
        <v>1060</v>
      </c>
      <c r="H585" s="13">
        <v>0.58</v>
      </c>
      <c r="I585" s="13">
        <v>0.5</v>
      </c>
      <c r="J585" s="13" t="s">
        <v>1762</v>
      </c>
      <c r="K585" s="13">
        <v>2.3</v>
      </c>
      <c r="L585" s="8"/>
      <c r="M585" s="280"/>
      <c r="N585" s="280"/>
    </row>
    <row r="586" spans="1:14">
      <c r="A586" s="287"/>
      <c r="B586" s="8"/>
      <c r="C586" s="8"/>
      <c r="D586" s="288"/>
      <c r="E586" s="8"/>
      <c r="F586" s="8"/>
      <c r="G586" s="8" t="s">
        <v>503</v>
      </c>
      <c r="H586" s="13">
        <v>1.33</v>
      </c>
      <c r="I586" s="13">
        <v>0.5</v>
      </c>
      <c r="J586" s="289" t="s">
        <v>24</v>
      </c>
      <c r="K586" s="289" t="s">
        <v>24</v>
      </c>
      <c r="L586" s="8"/>
      <c r="M586" s="280"/>
      <c r="N586" s="280"/>
    </row>
    <row r="587" spans="1:14">
      <c r="A587" s="9">
        <v>45470</v>
      </c>
      <c r="B587" s="8" t="s">
        <v>1947</v>
      </c>
      <c r="C587" s="8" t="s">
        <v>462</v>
      </c>
      <c r="D587" s="282">
        <v>3</v>
      </c>
      <c r="E587" s="8" t="s">
        <v>1754</v>
      </c>
      <c r="F587" s="8" t="s">
        <v>1768</v>
      </c>
      <c r="G587" s="8" t="s">
        <v>1064</v>
      </c>
      <c r="H587" s="13">
        <v>1.07</v>
      </c>
      <c r="I587" s="13">
        <v>2.58</v>
      </c>
      <c r="J587" s="13" t="s">
        <v>1744</v>
      </c>
      <c r="K587" s="13">
        <v>2.28</v>
      </c>
      <c r="L587" s="8" t="s">
        <v>35</v>
      </c>
      <c r="M587" s="280"/>
      <c r="N587" s="280"/>
    </row>
    <row r="588" spans="1:14">
      <c r="A588" s="287"/>
      <c r="B588" s="8"/>
      <c r="C588" s="8"/>
      <c r="D588" s="288"/>
      <c r="E588" s="8"/>
      <c r="F588" s="8"/>
      <c r="G588" s="8" t="s">
        <v>1060</v>
      </c>
      <c r="H588" s="13">
        <v>1.07</v>
      </c>
      <c r="I588" s="13">
        <v>0.12</v>
      </c>
      <c r="J588" s="13" t="s">
        <v>1762</v>
      </c>
      <c r="K588" s="13">
        <v>2.38</v>
      </c>
      <c r="L588" s="8"/>
      <c r="M588" s="280"/>
      <c r="N588" s="280"/>
    </row>
    <row r="589" spans="1:14">
      <c r="A589" s="287"/>
      <c r="B589" s="8"/>
      <c r="C589" s="8"/>
      <c r="D589" s="288"/>
      <c r="E589" s="8"/>
      <c r="F589" s="8"/>
      <c r="G589" s="8" t="s">
        <v>503</v>
      </c>
      <c r="H589" s="13">
        <v>1.07</v>
      </c>
      <c r="I589" s="13">
        <v>0.3</v>
      </c>
      <c r="J589" s="289" t="s">
        <v>24</v>
      </c>
      <c r="K589" s="289" t="s">
        <v>24</v>
      </c>
      <c r="L589" s="8"/>
      <c r="M589" s="280"/>
      <c r="N589" s="280"/>
    </row>
    <row r="590" spans="1:14">
      <c r="A590" s="9">
        <v>45470</v>
      </c>
      <c r="B590" s="8" t="s">
        <v>1948</v>
      </c>
      <c r="C590" s="8" t="s">
        <v>459</v>
      </c>
      <c r="D590" s="282">
        <v>6</v>
      </c>
      <c r="E590" s="8" t="s">
        <v>477</v>
      </c>
      <c r="F590" s="8" t="s">
        <v>487</v>
      </c>
      <c r="G590" s="8" t="s">
        <v>1064</v>
      </c>
      <c r="H590" s="13">
        <v>0.96</v>
      </c>
      <c r="I590" s="13">
        <v>5.37</v>
      </c>
      <c r="J590" s="13" t="s">
        <v>1744</v>
      </c>
      <c r="K590" s="13">
        <v>2.15</v>
      </c>
      <c r="L590" s="8" t="s">
        <v>112</v>
      </c>
      <c r="M590" s="280"/>
      <c r="N590" s="280"/>
    </row>
    <row r="591" spans="1:14">
      <c r="A591" s="287"/>
      <c r="B591" s="8"/>
      <c r="C591" s="8"/>
      <c r="D591" s="288"/>
      <c r="E591" s="8"/>
      <c r="F591" s="8"/>
      <c r="G591" s="8" t="s">
        <v>1060</v>
      </c>
      <c r="H591" s="13">
        <v>0.96</v>
      </c>
      <c r="I591" s="13">
        <v>0.33</v>
      </c>
      <c r="J591" s="13" t="s">
        <v>1762</v>
      </c>
      <c r="K591" s="13">
        <v>2.3</v>
      </c>
      <c r="L591" s="8"/>
      <c r="M591" s="280"/>
      <c r="N591" s="280"/>
    </row>
    <row r="592" spans="1:14">
      <c r="A592" s="287"/>
      <c r="B592" s="8"/>
      <c r="C592" s="8"/>
      <c r="D592" s="288"/>
      <c r="E592" s="8"/>
      <c r="F592" s="8"/>
      <c r="G592" s="8" t="s">
        <v>1086</v>
      </c>
      <c r="H592" s="13">
        <v>0.96</v>
      </c>
      <c r="I592" s="13">
        <v>0.12</v>
      </c>
      <c r="J592" s="289" t="s">
        <v>24</v>
      </c>
      <c r="K592" s="289" t="s">
        <v>24</v>
      </c>
      <c r="L592" s="8"/>
      <c r="M592" s="280"/>
      <c r="N592" s="280"/>
    </row>
    <row r="593" spans="1:14">
      <c r="A593" s="287"/>
      <c r="B593" s="8"/>
      <c r="C593" s="8"/>
      <c r="D593" s="288"/>
      <c r="E593" s="8"/>
      <c r="F593" s="8"/>
      <c r="G593" s="8" t="s">
        <v>1087</v>
      </c>
      <c r="H593" s="13">
        <v>0.96</v>
      </c>
      <c r="I593" s="13">
        <v>0.18</v>
      </c>
      <c r="J593" s="289" t="s">
        <v>24</v>
      </c>
      <c r="K593" s="289" t="s">
        <v>24</v>
      </c>
      <c r="L593" s="8"/>
      <c r="M593" s="280"/>
      <c r="N593" s="280"/>
    </row>
    <row r="594" spans="1:14">
      <c r="A594" s="9">
        <v>45477</v>
      </c>
      <c r="B594" s="8" t="s">
        <v>1949</v>
      </c>
      <c r="C594" s="8" t="s">
        <v>459</v>
      </c>
      <c r="D594" s="282">
        <v>3</v>
      </c>
      <c r="E594" s="8" t="s">
        <v>1136</v>
      </c>
      <c r="F594" s="8" t="s">
        <v>1768</v>
      </c>
      <c r="G594" s="8" t="s">
        <v>1064</v>
      </c>
      <c r="H594" s="13">
        <v>1.08</v>
      </c>
      <c r="I594" s="13">
        <v>2.6</v>
      </c>
      <c r="J594" s="13" t="s">
        <v>1870</v>
      </c>
      <c r="K594" s="13">
        <v>2.1</v>
      </c>
      <c r="L594" s="8" t="s">
        <v>27</v>
      </c>
      <c r="M594" s="280"/>
      <c r="N594" s="280"/>
    </row>
    <row r="595" spans="1:14">
      <c r="A595" s="287"/>
      <c r="B595" s="8"/>
      <c r="C595" s="8"/>
      <c r="D595" s="288"/>
      <c r="E595" s="8"/>
      <c r="F595" s="8"/>
      <c r="G595" s="8" t="s">
        <v>1060</v>
      </c>
      <c r="H595" s="13">
        <v>1.08</v>
      </c>
      <c r="I595" s="13">
        <v>0.16</v>
      </c>
      <c r="J595" s="13" t="s">
        <v>1762</v>
      </c>
      <c r="K595" s="13">
        <v>2.2</v>
      </c>
      <c r="L595" s="8"/>
      <c r="M595" s="280"/>
      <c r="N595" s="280"/>
    </row>
    <row r="596" spans="1:14">
      <c r="A596" s="287"/>
      <c r="B596" s="8"/>
      <c r="C596" s="8"/>
      <c r="D596" s="288"/>
      <c r="E596" s="8"/>
      <c r="F596" s="8"/>
      <c r="G596" s="8" t="s">
        <v>1086</v>
      </c>
      <c r="H596" s="13">
        <v>1.66</v>
      </c>
      <c r="I596" s="13">
        <v>0.09</v>
      </c>
      <c r="J596" s="289" t="s">
        <v>24</v>
      </c>
      <c r="K596" s="289" t="s">
        <v>24</v>
      </c>
      <c r="L596" s="8"/>
      <c r="M596" s="280"/>
      <c r="N596" s="280"/>
    </row>
    <row r="597" spans="1:14">
      <c r="A597" s="287"/>
      <c r="B597" s="8"/>
      <c r="C597" s="8"/>
      <c r="D597" s="288"/>
      <c r="E597" s="8"/>
      <c r="F597" s="8"/>
      <c r="G597" s="8" t="s">
        <v>1087</v>
      </c>
      <c r="H597" s="13">
        <v>1.66</v>
      </c>
      <c r="I597" s="13">
        <v>0.15</v>
      </c>
      <c r="J597" s="289" t="s">
        <v>24</v>
      </c>
      <c r="K597" s="289" t="s">
        <v>24</v>
      </c>
      <c r="L597" s="8"/>
      <c r="M597" s="280"/>
      <c r="N597" s="280"/>
    </row>
    <row r="598" spans="1:14">
      <c r="A598" s="9">
        <v>45477</v>
      </c>
      <c r="B598" s="8" t="s">
        <v>1950</v>
      </c>
      <c r="C598" s="8" t="s">
        <v>462</v>
      </c>
      <c r="D598" s="282">
        <v>6</v>
      </c>
      <c r="E598" s="8" t="s">
        <v>477</v>
      </c>
      <c r="F598" s="8" t="s">
        <v>523</v>
      </c>
      <c r="G598" s="8" t="s">
        <v>1064</v>
      </c>
      <c r="H598" s="13">
        <v>1.04</v>
      </c>
      <c r="I598" s="13">
        <v>5.37</v>
      </c>
      <c r="J598" s="13" t="s">
        <v>1744</v>
      </c>
      <c r="K598" s="13">
        <v>2.1</v>
      </c>
      <c r="L598" s="8" t="s">
        <v>112</v>
      </c>
      <c r="M598" s="280"/>
      <c r="N598" s="280"/>
    </row>
    <row r="599" spans="1:14">
      <c r="A599" s="287"/>
      <c r="B599" s="8"/>
      <c r="C599" s="8"/>
      <c r="D599" s="288"/>
      <c r="E599" s="8"/>
      <c r="F599" s="8"/>
      <c r="G599" s="8" t="s">
        <v>1060</v>
      </c>
      <c r="H599" s="13">
        <v>1.04</v>
      </c>
      <c r="I599" s="13">
        <v>0.33</v>
      </c>
      <c r="J599" s="13" t="s">
        <v>1762</v>
      </c>
      <c r="K599" s="13">
        <v>2.3</v>
      </c>
      <c r="L599" s="8"/>
      <c r="M599" s="280"/>
      <c r="N599" s="280"/>
    </row>
    <row r="600" spans="1:14">
      <c r="A600" s="287"/>
      <c r="B600" s="8"/>
      <c r="C600" s="8"/>
      <c r="D600" s="288"/>
      <c r="E600" s="8"/>
      <c r="F600" s="8"/>
      <c r="G600" s="8" t="s">
        <v>1086</v>
      </c>
      <c r="H600" s="13">
        <v>3.04</v>
      </c>
      <c r="I600" s="13">
        <v>0.12</v>
      </c>
      <c r="J600" s="289" t="s">
        <v>24</v>
      </c>
      <c r="K600" s="289" t="s">
        <v>24</v>
      </c>
      <c r="L600" s="8"/>
      <c r="M600" s="280"/>
      <c r="N600" s="280"/>
    </row>
    <row r="601" spans="1:14">
      <c r="A601" s="287"/>
      <c r="B601" s="8"/>
      <c r="C601" s="8"/>
      <c r="D601" s="288"/>
      <c r="E601" s="8"/>
      <c r="F601" s="8"/>
      <c r="G601" s="8" t="s">
        <v>1087</v>
      </c>
      <c r="H601" s="13">
        <v>3.04</v>
      </c>
      <c r="I601" s="13">
        <v>0.18</v>
      </c>
      <c r="J601" s="289" t="s">
        <v>24</v>
      </c>
      <c r="K601" s="289" t="s">
        <v>24</v>
      </c>
      <c r="L601" s="8"/>
      <c r="M601" s="280"/>
      <c r="N601" s="280"/>
    </row>
    <row r="602" spans="1:14">
      <c r="A602" s="9">
        <v>45483</v>
      </c>
      <c r="B602" s="278" t="s">
        <v>1951</v>
      </c>
      <c r="C602" s="278" t="s">
        <v>459</v>
      </c>
      <c r="D602" s="282">
        <v>5</v>
      </c>
      <c r="E602" s="278" t="s">
        <v>1205</v>
      </c>
      <c r="F602" s="278" t="s">
        <v>474</v>
      </c>
      <c r="G602" s="8" t="s">
        <v>1058</v>
      </c>
      <c r="H602" s="13">
        <v>1.08</v>
      </c>
      <c r="I602" s="13">
        <v>3.5</v>
      </c>
      <c r="J602" s="13" t="s">
        <v>1744</v>
      </c>
      <c r="K602" s="13">
        <v>2.1</v>
      </c>
      <c r="L602" s="278" t="s">
        <v>41</v>
      </c>
      <c r="M602" s="280"/>
      <c r="N602" s="280"/>
    </row>
    <row r="603" spans="1:14">
      <c r="A603" s="287"/>
      <c r="B603" s="278"/>
      <c r="C603" s="278"/>
      <c r="D603" s="288"/>
      <c r="E603" s="278"/>
      <c r="F603" s="278"/>
      <c r="G603" s="8" t="s">
        <v>1059</v>
      </c>
      <c r="H603" s="13">
        <v>1.21</v>
      </c>
      <c r="I603" s="13">
        <v>0.77</v>
      </c>
      <c r="J603" s="13" t="s">
        <v>1744</v>
      </c>
      <c r="K603" s="13">
        <v>2.15</v>
      </c>
      <c r="L603" s="278"/>
      <c r="M603" s="280"/>
      <c r="N603" s="280"/>
    </row>
    <row r="604" spans="1:14">
      <c r="A604" s="287"/>
      <c r="B604" s="278"/>
      <c r="C604" s="278"/>
      <c r="D604" s="288"/>
      <c r="E604" s="278"/>
      <c r="F604" s="278"/>
      <c r="G604" s="8" t="s">
        <v>1060</v>
      </c>
      <c r="H604" s="13">
        <v>1.25</v>
      </c>
      <c r="I604" s="13">
        <v>0.25</v>
      </c>
      <c r="J604" s="13" t="s">
        <v>1762</v>
      </c>
      <c r="K604" s="13">
        <v>2.3</v>
      </c>
      <c r="L604" s="278"/>
      <c r="M604" s="280"/>
      <c r="N604" s="280"/>
    </row>
    <row r="605" spans="1:14">
      <c r="A605" s="287"/>
      <c r="B605" s="278"/>
      <c r="C605" s="278"/>
      <c r="D605" s="288"/>
      <c r="E605" s="278"/>
      <c r="F605" s="278"/>
      <c r="G605" s="8" t="s">
        <v>1061</v>
      </c>
      <c r="H605" s="13">
        <v>1.33</v>
      </c>
      <c r="I605" s="13">
        <v>0.23</v>
      </c>
      <c r="J605" s="13" t="s">
        <v>1782</v>
      </c>
      <c r="K605" s="13">
        <v>4.9</v>
      </c>
      <c r="L605" s="278"/>
      <c r="M605" s="280"/>
      <c r="N605" s="280"/>
    </row>
    <row r="606" spans="1:14">
      <c r="A606" s="287"/>
      <c r="B606" s="278"/>
      <c r="C606" s="278"/>
      <c r="D606" s="288"/>
      <c r="E606" s="278"/>
      <c r="F606" s="278"/>
      <c r="G606" s="8" t="s">
        <v>503</v>
      </c>
      <c r="H606" s="13">
        <v>1.75</v>
      </c>
      <c r="I606" s="13">
        <v>0.25</v>
      </c>
      <c r="J606" s="289" t="s">
        <v>24</v>
      </c>
      <c r="K606" s="289" t="s">
        <v>24</v>
      </c>
      <c r="L606" s="278"/>
      <c r="M606" s="280"/>
      <c r="N606" s="280"/>
    </row>
    <row r="607" spans="1:14">
      <c r="A607" s="9">
        <v>45478</v>
      </c>
      <c r="B607" s="278" t="s">
        <v>1952</v>
      </c>
      <c r="C607" s="278" t="s">
        <v>462</v>
      </c>
      <c r="D607" s="282">
        <v>8</v>
      </c>
      <c r="E607" s="278" t="s">
        <v>486</v>
      </c>
      <c r="F607" s="278" t="s">
        <v>1153</v>
      </c>
      <c r="G607" s="8" t="s">
        <v>1058</v>
      </c>
      <c r="H607" s="13">
        <v>1</v>
      </c>
      <c r="I607" s="13">
        <v>2.4</v>
      </c>
      <c r="J607" s="13" t="s">
        <v>1744</v>
      </c>
      <c r="K607" s="13">
        <v>2.5</v>
      </c>
      <c r="L607" s="278" t="s">
        <v>1082</v>
      </c>
      <c r="M607" s="280"/>
      <c r="N607" s="280"/>
    </row>
    <row r="608" spans="1:14">
      <c r="A608" s="287"/>
      <c r="B608" s="278"/>
      <c r="C608" s="278"/>
      <c r="D608" s="288"/>
      <c r="E608" s="278"/>
      <c r="F608" s="278"/>
      <c r="G608" s="8" t="s">
        <v>1059</v>
      </c>
      <c r="H608" s="13">
        <v>2</v>
      </c>
      <c r="I608" s="13">
        <v>3.2</v>
      </c>
      <c r="J608" s="13" t="s">
        <v>1744</v>
      </c>
      <c r="K608" s="13">
        <v>3</v>
      </c>
      <c r="L608" s="278"/>
      <c r="M608" s="280"/>
      <c r="N608" s="280"/>
    </row>
    <row r="609" spans="1:14">
      <c r="A609" s="287"/>
      <c r="B609" s="278"/>
      <c r="C609" s="278"/>
      <c r="D609" s="288"/>
      <c r="E609" s="278"/>
      <c r="F609" s="278"/>
      <c r="G609" s="8" t="s">
        <v>1099</v>
      </c>
      <c r="H609" s="13">
        <v>3</v>
      </c>
      <c r="I609" s="13">
        <v>2.28</v>
      </c>
      <c r="J609" s="13" t="s">
        <v>1744</v>
      </c>
      <c r="K609" s="13">
        <v>4.5</v>
      </c>
      <c r="L609" s="278"/>
      <c r="M609" s="280"/>
      <c r="N609" s="280"/>
    </row>
    <row r="610" spans="1:14">
      <c r="A610" s="287"/>
      <c r="B610" s="278"/>
      <c r="C610" s="278"/>
      <c r="D610" s="288"/>
      <c r="E610" s="278"/>
      <c r="F610" s="278"/>
      <c r="G610" s="8" t="s">
        <v>503</v>
      </c>
      <c r="H610" s="13">
        <v>3</v>
      </c>
      <c r="I610" s="13">
        <v>0.12</v>
      </c>
      <c r="J610" s="289" t="s">
        <v>24</v>
      </c>
      <c r="K610" s="289" t="s">
        <v>24</v>
      </c>
      <c r="L610" s="278"/>
      <c r="M610" s="280"/>
      <c r="N610" s="280"/>
    </row>
    <row r="611" spans="1:14">
      <c r="A611" s="9">
        <v>45478</v>
      </c>
      <c r="B611" s="8" t="s">
        <v>1953</v>
      </c>
      <c r="C611" s="8" t="s">
        <v>462</v>
      </c>
      <c r="D611" s="282">
        <v>4.59</v>
      </c>
      <c r="E611" s="8" t="s">
        <v>1954</v>
      </c>
      <c r="F611" s="8" t="s">
        <v>523</v>
      </c>
      <c r="G611" s="8" t="s">
        <v>1058</v>
      </c>
      <c r="H611" s="13">
        <v>0.82</v>
      </c>
      <c r="I611" s="13">
        <v>3.1</v>
      </c>
      <c r="J611" s="13" t="s">
        <v>1744</v>
      </c>
      <c r="K611" s="13">
        <v>2.2</v>
      </c>
      <c r="L611" s="8" t="s">
        <v>1955</v>
      </c>
      <c r="M611" s="280"/>
      <c r="N611" s="280"/>
    </row>
    <row r="612" spans="1:14">
      <c r="A612" s="287"/>
      <c r="B612" s="8"/>
      <c r="C612" s="8"/>
      <c r="D612" s="288"/>
      <c r="E612" s="8"/>
      <c r="F612" s="8"/>
      <c r="G612" s="8" t="s">
        <v>1059</v>
      </c>
      <c r="H612" s="13">
        <v>1.57</v>
      </c>
      <c r="I612" s="13">
        <v>1.26</v>
      </c>
      <c r="J612" s="13" t="s">
        <v>1744</v>
      </c>
      <c r="K612" s="13">
        <v>2.3</v>
      </c>
      <c r="L612" s="8"/>
      <c r="M612" s="280"/>
      <c r="N612" s="280"/>
    </row>
    <row r="613" spans="1:14">
      <c r="A613" s="287"/>
      <c r="B613" s="8"/>
      <c r="C613" s="8"/>
      <c r="D613" s="288"/>
      <c r="E613" s="8"/>
      <c r="F613" s="8"/>
      <c r="G613" s="8" t="s">
        <v>503</v>
      </c>
      <c r="H613" s="13">
        <v>2.07</v>
      </c>
      <c r="I613" s="13">
        <v>0.23</v>
      </c>
      <c r="J613" s="289" t="s">
        <v>24</v>
      </c>
      <c r="K613" s="289" t="s">
        <v>24</v>
      </c>
      <c r="L613" s="8"/>
      <c r="M613" s="280"/>
      <c r="N613" s="280"/>
    </row>
    <row r="614" spans="1:14">
      <c r="A614" s="9">
        <v>45477</v>
      </c>
      <c r="B614" s="8" t="s">
        <v>1956</v>
      </c>
      <c r="C614" s="8" t="s">
        <v>462</v>
      </c>
      <c r="D614" s="282">
        <v>5.124</v>
      </c>
      <c r="E614" s="8" t="s">
        <v>486</v>
      </c>
      <c r="F614" s="8" t="s">
        <v>460</v>
      </c>
      <c r="G614" s="8" t="s">
        <v>1058</v>
      </c>
      <c r="H614" s="13">
        <v>0.97</v>
      </c>
      <c r="I614" s="13">
        <v>1.61</v>
      </c>
      <c r="J614" s="13" t="s">
        <v>1744</v>
      </c>
      <c r="K614" s="13">
        <v>2.09</v>
      </c>
      <c r="L614" s="8" t="s">
        <v>435</v>
      </c>
      <c r="M614" s="280"/>
      <c r="N614" s="280"/>
    </row>
    <row r="615" spans="1:14">
      <c r="A615" s="287"/>
      <c r="B615" s="8"/>
      <c r="C615" s="8"/>
      <c r="D615" s="288"/>
      <c r="E615" s="8"/>
      <c r="F615" s="8"/>
      <c r="G615" s="8" t="s">
        <v>1059</v>
      </c>
      <c r="H615" s="13">
        <v>1.97</v>
      </c>
      <c r="I615" s="13">
        <v>1.75</v>
      </c>
      <c r="J615" s="13" t="s">
        <v>1744</v>
      </c>
      <c r="K615" s="13">
        <v>2.35</v>
      </c>
      <c r="L615" s="8"/>
      <c r="M615" s="280"/>
      <c r="N615" s="280"/>
    </row>
    <row r="616" spans="1:14">
      <c r="A616" s="287"/>
      <c r="B616" s="8"/>
      <c r="C616" s="8"/>
      <c r="D616" s="288"/>
      <c r="E616" s="8"/>
      <c r="F616" s="8"/>
      <c r="G616" s="8" t="s">
        <v>1099</v>
      </c>
      <c r="H616" s="13">
        <v>2.8</v>
      </c>
      <c r="I616" s="13">
        <v>1.61</v>
      </c>
      <c r="J616" s="13" t="s">
        <v>1744</v>
      </c>
      <c r="K616" s="13">
        <v>2.5</v>
      </c>
      <c r="L616" s="8"/>
      <c r="M616" s="280"/>
      <c r="N616" s="280"/>
    </row>
    <row r="617" spans="1:14">
      <c r="A617" s="287"/>
      <c r="B617" s="8"/>
      <c r="C617" s="8"/>
      <c r="D617" s="288"/>
      <c r="E617" s="8"/>
      <c r="F617" s="8"/>
      <c r="G617" s="8" t="s">
        <v>503</v>
      </c>
      <c r="H617" s="13">
        <v>2.89</v>
      </c>
      <c r="I617" s="13">
        <v>0.154</v>
      </c>
      <c r="J617" s="289" t="s">
        <v>24</v>
      </c>
      <c r="K617" s="289" t="s">
        <v>24</v>
      </c>
      <c r="L617" s="8"/>
      <c r="M617" s="280"/>
      <c r="N617" s="280"/>
    </row>
    <row r="618" spans="1:14">
      <c r="A618" s="9">
        <v>45485</v>
      </c>
      <c r="B618" s="278" t="s">
        <v>1957</v>
      </c>
      <c r="C618" s="278" t="s">
        <v>462</v>
      </c>
      <c r="D618" s="282">
        <v>2.165</v>
      </c>
      <c r="E618" s="278" t="s">
        <v>1069</v>
      </c>
      <c r="F618" s="278" t="s">
        <v>1070</v>
      </c>
      <c r="G618" s="278" t="s">
        <v>1958</v>
      </c>
      <c r="H618" s="13">
        <v>0.92</v>
      </c>
      <c r="I618" s="13">
        <v>1.1</v>
      </c>
      <c r="J618" s="13" t="s">
        <v>1744</v>
      </c>
      <c r="K618" s="13">
        <v>2.05</v>
      </c>
      <c r="L618" s="278" t="s">
        <v>1071</v>
      </c>
      <c r="M618" s="280"/>
      <c r="N618" s="280"/>
    </row>
    <row r="619" spans="1:14">
      <c r="A619" s="287"/>
      <c r="B619" s="278"/>
      <c r="C619" s="278"/>
      <c r="D619" s="288"/>
      <c r="E619" s="278"/>
      <c r="F619" s="278"/>
      <c r="G619" s="278" t="s">
        <v>1959</v>
      </c>
      <c r="H619" s="13">
        <v>2.42</v>
      </c>
      <c r="I619" s="13">
        <v>0.9</v>
      </c>
      <c r="J619" s="13" t="s">
        <v>1744</v>
      </c>
      <c r="K619" s="13">
        <v>2.23</v>
      </c>
      <c r="L619" s="278"/>
      <c r="M619" s="280"/>
      <c r="N619" s="280"/>
    </row>
    <row r="620" spans="1:14">
      <c r="A620" s="287"/>
      <c r="B620" s="278"/>
      <c r="C620" s="278"/>
      <c r="D620" s="288"/>
      <c r="E620" s="278"/>
      <c r="F620" s="278"/>
      <c r="G620" s="278" t="s">
        <v>503</v>
      </c>
      <c r="H620" s="13">
        <v>2.66</v>
      </c>
      <c r="I620" s="13">
        <v>0.165</v>
      </c>
      <c r="J620" s="289" t="s">
        <v>24</v>
      </c>
      <c r="K620" s="289" t="s">
        <v>24</v>
      </c>
      <c r="L620" s="278"/>
      <c r="M620" s="280"/>
      <c r="N620" s="280"/>
    </row>
    <row r="621" spans="1:14">
      <c r="A621" s="9">
        <v>45485</v>
      </c>
      <c r="B621" s="278" t="s">
        <v>1960</v>
      </c>
      <c r="C621" s="278" t="s">
        <v>462</v>
      </c>
      <c r="D621" s="282">
        <v>5</v>
      </c>
      <c r="E621" s="278" t="s">
        <v>486</v>
      </c>
      <c r="F621" s="278" t="s">
        <v>1961</v>
      </c>
      <c r="G621" s="278" t="s">
        <v>1962</v>
      </c>
      <c r="H621" s="13">
        <v>1.04</v>
      </c>
      <c r="I621" s="13">
        <v>4.19</v>
      </c>
      <c r="J621" s="13" t="s">
        <v>1744</v>
      </c>
      <c r="K621" s="13">
        <v>2.08</v>
      </c>
      <c r="L621" s="278" t="s">
        <v>27</v>
      </c>
      <c r="M621" s="280"/>
      <c r="N621" s="280"/>
    </row>
    <row r="622" spans="1:14">
      <c r="A622" s="287"/>
      <c r="B622" s="278"/>
      <c r="C622" s="278"/>
      <c r="D622" s="288"/>
      <c r="E622" s="278"/>
      <c r="F622" s="278"/>
      <c r="G622" s="278" t="s">
        <v>1963</v>
      </c>
      <c r="H622" s="13">
        <v>1.04</v>
      </c>
      <c r="I622" s="13">
        <v>0.29</v>
      </c>
      <c r="J622" s="13" t="s">
        <v>1762</v>
      </c>
      <c r="K622" s="13">
        <v>2.2</v>
      </c>
      <c r="L622" s="278"/>
      <c r="M622" s="280"/>
      <c r="N622" s="280"/>
    </row>
    <row r="623" spans="1:14">
      <c r="A623" s="287"/>
      <c r="B623" s="278"/>
      <c r="C623" s="278"/>
      <c r="D623" s="288"/>
      <c r="E623" s="278"/>
      <c r="F623" s="278"/>
      <c r="G623" s="278" t="s">
        <v>1964</v>
      </c>
      <c r="H623" s="13">
        <v>1.54</v>
      </c>
      <c r="I623" s="13">
        <v>0.27</v>
      </c>
      <c r="J623" s="289" t="s">
        <v>24</v>
      </c>
      <c r="K623" s="289" t="s">
        <v>24</v>
      </c>
      <c r="L623" s="278"/>
      <c r="M623" s="280"/>
      <c r="N623" s="280"/>
    </row>
    <row r="624" spans="1:14">
      <c r="A624" s="287"/>
      <c r="B624" s="278"/>
      <c r="C624" s="278"/>
      <c r="D624" s="288"/>
      <c r="E624" s="278"/>
      <c r="F624" s="278"/>
      <c r="G624" s="278" t="s">
        <v>1965</v>
      </c>
      <c r="H624" s="13">
        <v>1.54</v>
      </c>
      <c r="I624" s="13">
        <v>0.25</v>
      </c>
      <c r="J624" s="289" t="s">
        <v>24</v>
      </c>
      <c r="K624" s="289" t="s">
        <v>24</v>
      </c>
      <c r="L624" s="278"/>
      <c r="M624" s="280"/>
      <c r="N624" s="280"/>
    </row>
    <row r="625" spans="1:14">
      <c r="A625" s="9">
        <v>45485</v>
      </c>
      <c r="B625" s="278" t="s">
        <v>1966</v>
      </c>
      <c r="C625" s="278" t="s">
        <v>459</v>
      </c>
      <c r="D625" s="282">
        <v>2.51</v>
      </c>
      <c r="E625" s="278" t="s">
        <v>1764</v>
      </c>
      <c r="F625" s="278" t="s">
        <v>1967</v>
      </c>
      <c r="G625" s="278" t="s">
        <v>1962</v>
      </c>
      <c r="H625" s="13">
        <v>1</v>
      </c>
      <c r="I625" s="13">
        <v>2.5</v>
      </c>
      <c r="J625" s="13" t="s">
        <v>1744</v>
      </c>
      <c r="K625" s="13">
        <v>2.3</v>
      </c>
      <c r="L625" s="278" t="s">
        <v>1765</v>
      </c>
      <c r="M625" s="280"/>
      <c r="N625" s="280"/>
    </row>
    <row r="626" spans="1:14">
      <c r="A626" s="287"/>
      <c r="B626" s="278"/>
      <c r="C626" s="278"/>
      <c r="D626" s="288"/>
      <c r="E626" s="278"/>
      <c r="F626" s="278"/>
      <c r="G626" s="278" t="s">
        <v>503</v>
      </c>
      <c r="H626" s="13">
        <v>1</v>
      </c>
      <c r="I626" s="13">
        <v>0.01</v>
      </c>
      <c r="J626" s="289" t="s">
        <v>24</v>
      </c>
      <c r="K626" s="289" t="s">
        <v>24</v>
      </c>
      <c r="L626" s="278"/>
      <c r="M626" s="280"/>
      <c r="N626" s="280"/>
    </row>
    <row r="627" spans="1:14">
      <c r="A627" s="9">
        <v>45484</v>
      </c>
      <c r="B627" s="278" t="s">
        <v>1968</v>
      </c>
      <c r="C627" s="278" t="s">
        <v>462</v>
      </c>
      <c r="D627" s="282">
        <v>20</v>
      </c>
      <c r="E627" s="278" t="s">
        <v>1066</v>
      </c>
      <c r="F627" s="278" t="s">
        <v>1961</v>
      </c>
      <c r="G627" s="278" t="s">
        <v>1962</v>
      </c>
      <c r="H627" s="13">
        <v>0.5</v>
      </c>
      <c r="I627" s="13">
        <v>18</v>
      </c>
      <c r="J627" s="13" t="s">
        <v>1744</v>
      </c>
      <c r="K627" s="13">
        <v>2</v>
      </c>
      <c r="L627" s="278" t="s">
        <v>35</v>
      </c>
      <c r="M627" s="280"/>
      <c r="N627" s="280"/>
    </row>
    <row r="628" spans="1:14">
      <c r="A628" s="287"/>
      <c r="B628" s="278"/>
      <c r="C628" s="278"/>
      <c r="D628" s="288"/>
      <c r="E628" s="278"/>
      <c r="F628" s="278"/>
      <c r="G628" s="278" t="s">
        <v>1963</v>
      </c>
      <c r="H628" s="13">
        <v>0.58</v>
      </c>
      <c r="I628" s="13">
        <v>1</v>
      </c>
      <c r="J628" s="13" t="s">
        <v>1762</v>
      </c>
      <c r="K628" s="13">
        <v>2.2</v>
      </c>
      <c r="L628" s="278"/>
      <c r="M628" s="280"/>
      <c r="N628" s="280"/>
    </row>
    <row r="629" spans="1:14">
      <c r="A629" s="287"/>
      <c r="B629" s="278"/>
      <c r="C629" s="278"/>
      <c r="D629" s="288"/>
      <c r="E629" s="278"/>
      <c r="F629" s="278"/>
      <c r="G629" s="278" t="s">
        <v>503</v>
      </c>
      <c r="H629" s="13">
        <v>1.33</v>
      </c>
      <c r="I629" s="13">
        <v>1</v>
      </c>
      <c r="J629" s="289" t="s">
        <v>24</v>
      </c>
      <c r="K629" s="289" t="s">
        <v>24</v>
      </c>
      <c r="L629" s="278"/>
      <c r="M629" s="280"/>
      <c r="N629" s="280"/>
    </row>
    <row r="630" spans="1:14">
      <c r="A630" s="9">
        <v>45490</v>
      </c>
      <c r="B630" s="278" t="s">
        <v>1969</v>
      </c>
      <c r="C630" s="278" t="s">
        <v>459</v>
      </c>
      <c r="D630" s="282">
        <v>5</v>
      </c>
      <c r="E630" s="278" t="s">
        <v>1754</v>
      </c>
      <c r="F630" s="278" t="s">
        <v>1938</v>
      </c>
      <c r="G630" s="278" t="s">
        <v>1962</v>
      </c>
      <c r="H630" s="13">
        <v>0.83</v>
      </c>
      <c r="I630" s="13">
        <v>3.9</v>
      </c>
      <c r="J630" s="13" t="s">
        <v>1744</v>
      </c>
      <c r="K630" s="13">
        <v>2.3</v>
      </c>
      <c r="L630" s="278" t="s">
        <v>70</v>
      </c>
      <c r="M630" s="280"/>
      <c r="N630" s="280"/>
    </row>
    <row r="631" spans="1:14">
      <c r="A631" s="287"/>
      <c r="B631" s="278"/>
      <c r="C631" s="278"/>
      <c r="D631" s="288"/>
      <c r="E631" s="278"/>
      <c r="F631" s="278"/>
      <c r="G631" s="278" t="s">
        <v>1963</v>
      </c>
      <c r="H631" s="13">
        <v>0.91</v>
      </c>
      <c r="I631" s="13">
        <v>0.35</v>
      </c>
      <c r="J631" s="13" t="s">
        <v>1762</v>
      </c>
      <c r="K631" s="13">
        <v>3.8</v>
      </c>
      <c r="L631" s="278"/>
      <c r="M631" s="280"/>
      <c r="N631" s="280"/>
    </row>
    <row r="632" spans="1:14">
      <c r="A632" s="287"/>
      <c r="B632" s="278"/>
      <c r="C632" s="278"/>
      <c r="D632" s="288"/>
      <c r="E632" s="278"/>
      <c r="F632" s="278"/>
      <c r="G632" s="278" t="s">
        <v>503</v>
      </c>
      <c r="H632" s="13">
        <v>1.66</v>
      </c>
      <c r="I632" s="13">
        <v>0.75</v>
      </c>
      <c r="J632" s="289" t="s">
        <v>24</v>
      </c>
      <c r="K632" s="289" t="s">
        <v>24</v>
      </c>
      <c r="L632" s="278"/>
      <c r="M632" s="280"/>
      <c r="N632" s="280"/>
    </row>
    <row r="633" spans="1:14">
      <c r="A633" s="9">
        <v>45489</v>
      </c>
      <c r="B633" s="278" t="s">
        <v>1970</v>
      </c>
      <c r="C633" s="278" t="s">
        <v>459</v>
      </c>
      <c r="D633" s="282">
        <v>5</v>
      </c>
      <c r="E633" s="278" t="s">
        <v>477</v>
      </c>
      <c r="F633" s="278" t="s">
        <v>1971</v>
      </c>
      <c r="G633" s="278" t="s">
        <v>1958</v>
      </c>
      <c r="H633" s="13">
        <v>1.08</v>
      </c>
      <c r="I633" s="13">
        <v>3.5</v>
      </c>
      <c r="J633" s="13" t="s">
        <v>1744</v>
      </c>
      <c r="K633" s="13">
        <v>2.1</v>
      </c>
      <c r="L633" s="278" t="s">
        <v>41</v>
      </c>
      <c r="M633" s="280"/>
      <c r="N633" s="280"/>
    </row>
    <row r="634" spans="1:14">
      <c r="A634" s="287"/>
      <c r="B634" s="278"/>
      <c r="C634" s="278"/>
      <c r="D634" s="288"/>
      <c r="E634" s="278"/>
      <c r="F634" s="278"/>
      <c r="G634" s="278" t="s">
        <v>1959</v>
      </c>
      <c r="H634" s="13">
        <v>1.17</v>
      </c>
      <c r="I634" s="13">
        <v>0.7</v>
      </c>
      <c r="J634" s="13" t="s">
        <v>1744</v>
      </c>
      <c r="K634" s="13">
        <v>2.14</v>
      </c>
      <c r="L634" s="278"/>
      <c r="M634" s="280"/>
      <c r="N634" s="280"/>
    </row>
    <row r="635" spans="1:14">
      <c r="A635" s="287"/>
      <c r="B635" s="278"/>
      <c r="C635" s="278"/>
      <c r="D635" s="288"/>
      <c r="E635" s="278"/>
      <c r="F635" s="278"/>
      <c r="G635" s="278" t="s">
        <v>1963</v>
      </c>
      <c r="H635" s="13">
        <v>1.25</v>
      </c>
      <c r="I635" s="13">
        <v>0.27</v>
      </c>
      <c r="J635" s="13" t="s">
        <v>1762</v>
      </c>
      <c r="K635" s="13">
        <v>2.27</v>
      </c>
      <c r="L635" s="278"/>
      <c r="M635" s="280"/>
      <c r="N635" s="280"/>
    </row>
    <row r="636" spans="1:14">
      <c r="A636" s="287"/>
      <c r="B636" s="278"/>
      <c r="C636" s="278"/>
      <c r="D636" s="288"/>
      <c r="E636" s="278"/>
      <c r="F636" s="278"/>
      <c r="G636" s="278" t="s">
        <v>1972</v>
      </c>
      <c r="H636" s="13">
        <v>1.29</v>
      </c>
      <c r="I636" s="13">
        <v>0.28</v>
      </c>
      <c r="J636" s="13" t="s">
        <v>1782</v>
      </c>
      <c r="K636" s="13">
        <v>4.8</v>
      </c>
      <c r="L636" s="278"/>
      <c r="M636" s="280"/>
      <c r="N636" s="280"/>
    </row>
    <row r="637" spans="1:14">
      <c r="A637" s="287"/>
      <c r="B637" s="278"/>
      <c r="C637" s="278"/>
      <c r="D637" s="288"/>
      <c r="E637" s="278"/>
      <c r="F637" s="278"/>
      <c r="G637" s="278" t="s">
        <v>503</v>
      </c>
      <c r="H637" s="13">
        <v>1.75</v>
      </c>
      <c r="I637" s="13">
        <v>0.25</v>
      </c>
      <c r="J637" s="289" t="s">
        <v>24</v>
      </c>
      <c r="K637" s="289" t="s">
        <v>24</v>
      </c>
      <c r="L637" s="278"/>
      <c r="M637" s="280"/>
      <c r="N637" s="280"/>
    </row>
    <row r="638" spans="1:14">
      <c r="A638" s="9">
        <v>45489</v>
      </c>
      <c r="B638" s="278" t="s">
        <v>1973</v>
      </c>
      <c r="C638" s="278" t="s">
        <v>462</v>
      </c>
      <c r="D638" s="282">
        <v>3</v>
      </c>
      <c r="E638" s="278" t="s">
        <v>1754</v>
      </c>
      <c r="F638" s="278" t="s">
        <v>460</v>
      </c>
      <c r="G638" s="278" t="s">
        <v>1962</v>
      </c>
      <c r="H638" s="13">
        <v>1.04</v>
      </c>
      <c r="I638" s="13">
        <v>2.51</v>
      </c>
      <c r="J638" s="13" t="s">
        <v>1744</v>
      </c>
      <c r="K638" s="13">
        <v>2.1</v>
      </c>
      <c r="L638" s="278" t="s">
        <v>27</v>
      </c>
      <c r="M638" s="280"/>
      <c r="N638" s="280"/>
    </row>
    <row r="639" spans="1:14">
      <c r="A639" s="287"/>
      <c r="B639" s="278"/>
      <c r="C639" s="278"/>
      <c r="D639" s="288"/>
      <c r="E639" s="278"/>
      <c r="F639" s="278"/>
      <c r="G639" s="278" t="s">
        <v>1963</v>
      </c>
      <c r="H639" s="13">
        <v>1.04</v>
      </c>
      <c r="I639" s="13">
        <v>0.18</v>
      </c>
      <c r="J639" s="13" t="s">
        <v>1762</v>
      </c>
      <c r="K639" s="13">
        <v>2.23</v>
      </c>
      <c r="L639" s="278"/>
      <c r="M639" s="280"/>
      <c r="N639" s="280"/>
    </row>
    <row r="640" spans="1:14">
      <c r="A640" s="287"/>
      <c r="B640" s="278"/>
      <c r="C640" s="278"/>
      <c r="D640" s="288"/>
      <c r="E640" s="278"/>
      <c r="F640" s="278"/>
      <c r="G640" s="278" t="s">
        <v>1964</v>
      </c>
      <c r="H640" s="13">
        <v>1.54</v>
      </c>
      <c r="I640" s="13">
        <v>0.16</v>
      </c>
      <c r="J640" s="289" t="s">
        <v>24</v>
      </c>
      <c r="K640" s="289" t="s">
        <v>24</v>
      </c>
      <c r="L640" s="278"/>
      <c r="M640" s="280"/>
      <c r="N640" s="280"/>
    </row>
    <row r="641" spans="1:14">
      <c r="A641" s="287"/>
      <c r="B641" s="278"/>
      <c r="C641" s="278"/>
      <c r="D641" s="288"/>
      <c r="E641" s="278"/>
      <c r="F641" s="278"/>
      <c r="G641" s="278" t="s">
        <v>1965</v>
      </c>
      <c r="H641" s="13">
        <v>1.54</v>
      </c>
      <c r="I641" s="13">
        <v>0.15</v>
      </c>
      <c r="J641" s="289" t="s">
        <v>24</v>
      </c>
      <c r="K641" s="289" t="s">
        <v>24</v>
      </c>
      <c r="L641" s="278"/>
      <c r="M641" s="280"/>
      <c r="N641" s="280"/>
    </row>
    <row r="642" spans="1:14">
      <c r="A642" s="9">
        <v>45485</v>
      </c>
      <c r="B642" s="278" t="s">
        <v>1974</v>
      </c>
      <c r="C642" s="278" t="s">
        <v>462</v>
      </c>
      <c r="D642" s="282">
        <v>2.5</v>
      </c>
      <c r="E642" s="278" t="s">
        <v>1045</v>
      </c>
      <c r="F642" s="278" t="s">
        <v>1938</v>
      </c>
      <c r="G642" s="278" t="s">
        <v>1962</v>
      </c>
      <c r="H642" s="13">
        <v>1.5</v>
      </c>
      <c r="I642" s="13">
        <v>2.11</v>
      </c>
      <c r="J642" s="13" t="s">
        <v>1744</v>
      </c>
      <c r="K642" s="13">
        <v>2.8</v>
      </c>
      <c r="L642" s="278" t="s">
        <v>123</v>
      </c>
      <c r="M642" s="280"/>
      <c r="N642" s="280"/>
    </row>
    <row r="643" spans="1:14">
      <c r="A643" s="287"/>
      <c r="B643" s="278"/>
      <c r="C643" s="278"/>
      <c r="D643" s="288"/>
      <c r="E643" s="278"/>
      <c r="F643" s="278"/>
      <c r="G643" s="278" t="s">
        <v>1963</v>
      </c>
      <c r="H643" s="13">
        <v>1.5</v>
      </c>
      <c r="I643" s="13">
        <v>0.2</v>
      </c>
      <c r="J643" s="13" t="s">
        <v>1762</v>
      </c>
      <c r="K643" s="13">
        <v>3.5</v>
      </c>
      <c r="L643" s="278"/>
      <c r="M643" s="280"/>
      <c r="N643" s="280"/>
    </row>
    <row r="644" spans="1:14">
      <c r="A644" s="287"/>
      <c r="B644" s="278"/>
      <c r="C644" s="278"/>
      <c r="D644" s="288"/>
      <c r="E644" s="278"/>
      <c r="F644" s="278"/>
      <c r="G644" s="278" t="s">
        <v>1972</v>
      </c>
      <c r="H644" s="13">
        <v>1.5</v>
      </c>
      <c r="I644" s="13">
        <v>0.065</v>
      </c>
      <c r="J644" s="13" t="s">
        <v>505</v>
      </c>
      <c r="K644" s="13">
        <v>4</v>
      </c>
      <c r="L644" s="278"/>
      <c r="M644" s="280"/>
      <c r="N644" s="280"/>
    </row>
    <row r="645" spans="1:14">
      <c r="A645" s="287"/>
      <c r="B645" s="278"/>
      <c r="C645" s="278"/>
      <c r="D645" s="288"/>
      <c r="E645" s="278"/>
      <c r="F645" s="278"/>
      <c r="G645" s="278" t="s">
        <v>503</v>
      </c>
      <c r="H645" s="13">
        <v>1.5</v>
      </c>
      <c r="I645" s="13">
        <v>0.125</v>
      </c>
      <c r="J645" s="289" t="s">
        <v>24</v>
      </c>
      <c r="K645" s="289" t="s">
        <v>24</v>
      </c>
      <c r="L645" s="278"/>
      <c r="M645" s="280"/>
      <c r="N645" s="280"/>
    </row>
    <row r="646" spans="1:14">
      <c r="A646" s="9">
        <v>45484</v>
      </c>
      <c r="B646" s="8" t="s">
        <v>1975</v>
      </c>
      <c r="C646" s="8" t="s">
        <v>459</v>
      </c>
      <c r="D646" s="282">
        <v>5.1</v>
      </c>
      <c r="E646" s="8" t="s">
        <v>1743</v>
      </c>
      <c r="F646" s="8" t="s">
        <v>1768</v>
      </c>
      <c r="G646" s="8" t="s">
        <v>1058</v>
      </c>
      <c r="H646" s="13">
        <v>0.92</v>
      </c>
      <c r="I646" s="13">
        <v>1.53</v>
      </c>
      <c r="J646" s="13" t="s">
        <v>1744</v>
      </c>
      <c r="K646" s="13">
        <v>2.5</v>
      </c>
      <c r="L646" s="8" t="s">
        <v>1082</v>
      </c>
      <c r="M646" s="280"/>
      <c r="N646" s="280"/>
    </row>
    <row r="647" spans="1:14">
      <c r="A647" s="287"/>
      <c r="B647" s="8"/>
      <c r="C647" s="8"/>
      <c r="D647" s="288"/>
      <c r="E647" s="8"/>
      <c r="F647" s="8"/>
      <c r="G647" s="8" t="s">
        <v>1059</v>
      </c>
      <c r="H647" s="13">
        <v>0.92</v>
      </c>
      <c r="I647" s="13">
        <v>2.04</v>
      </c>
      <c r="J647" s="13" t="s">
        <v>1744</v>
      </c>
      <c r="K647" s="13">
        <v>3</v>
      </c>
      <c r="L647" s="8"/>
      <c r="M647" s="280"/>
      <c r="N647" s="280"/>
    </row>
    <row r="648" spans="1:14">
      <c r="A648" s="287"/>
      <c r="B648" s="8"/>
      <c r="C648" s="8"/>
      <c r="D648" s="288"/>
      <c r="E648" s="8"/>
      <c r="F648" s="8"/>
      <c r="G648" s="8" t="s">
        <v>1099</v>
      </c>
      <c r="H648" s="13">
        <v>0.92</v>
      </c>
      <c r="I648" s="13">
        <v>1.4535</v>
      </c>
      <c r="J648" s="13" t="s">
        <v>1744</v>
      </c>
      <c r="K648" s="13">
        <v>4.5</v>
      </c>
      <c r="L648" s="8"/>
      <c r="M648" s="280"/>
      <c r="N648" s="280"/>
    </row>
    <row r="649" spans="1:14">
      <c r="A649" s="287"/>
      <c r="B649" s="8"/>
      <c r="C649" s="8"/>
      <c r="D649" s="288"/>
      <c r="E649" s="8"/>
      <c r="F649" s="8"/>
      <c r="G649" s="8" t="s">
        <v>503</v>
      </c>
      <c r="H649" s="13">
        <v>1</v>
      </c>
      <c r="I649" s="13">
        <v>0.0765</v>
      </c>
      <c r="J649" s="289" t="s">
        <v>24</v>
      </c>
      <c r="K649" s="289" t="s">
        <v>24</v>
      </c>
      <c r="L649" s="8"/>
      <c r="M649" s="280"/>
      <c r="N649" s="280"/>
    </row>
    <row r="650" spans="1:14">
      <c r="A650" s="9">
        <v>45489</v>
      </c>
      <c r="B650" s="8" t="s">
        <v>1976</v>
      </c>
      <c r="C650" s="8" t="s">
        <v>462</v>
      </c>
      <c r="D650" s="282">
        <v>3</v>
      </c>
      <c r="E650" s="8" t="s">
        <v>1754</v>
      </c>
      <c r="F650" s="8" t="s">
        <v>460</v>
      </c>
      <c r="G650" s="8" t="s">
        <v>1064</v>
      </c>
      <c r="H650" s="13">
        <v>1.33</v>
      </c>
      <c r="I650" s="13">
        <v>2.52</v>
      </c>
      <c r="J650" s="13" t="s">
        <v>1744</v>
      </c>
      <c r="K650" s="13">
        <v>2.19</v>
      </c>
      <c r="L650" s="8" t="s">
        <v>27</v>
      </c>
      <c r="M650" s="280"/>
      <c r="N650" s="280"/>
    </row>
    <row r="651" spans="1:14">
      <c r="A651" s="287"/>
      <c r="B651" s="8"/>
      <c r="C651" s="8"/>
      <c r="D651" s="288"/>
      <c r="E651" s="8"/>
      <c r="F651" s="8"/>
      <c r="G651" s="8" t="s">
        <v>1060</v>
      </c>
      <c r="H651" s="13">
        <v>1.69</v>
      </c>
      <c r="I651" s="13">
        <v>0.15</v>
      </c>
      <c r="J651" s="13" t="s">
        <v>1762</v>
      </c>
      <c r="K651" s="13">
        <v>2.28</v>
      </c>
      <c r="L651" s="8"/>
      <c r="M651" s="280"/>
      <c r="N651" s="280"/>
    </row>
    <row r="652" spans="1:14">
      <c r="A652" s="287"/>
      <c r="B652" s="8"/>
      <c r="C652" s="8"/>
      <c r="D652" s="288"/>
      <c r="E652" s="8"/>
      <c r="F652" s="8"/>
      <c r="G652" s="8" t="s">
        <v>1086</v>
      </c>
      <c r="H652" s="13">
        <v>3.03</v>
      </c>
      <c r="I652" s="13">
        <v>0.18</v>
      </c>
      <c r="J652" s="289" t="s">
        <v>24</v>
      </c>
      <c r="K652" s="289" t="s">
        <v>24</v>
      </c>
      <c r="L652" s="8"/>
      <c r="M652" s="280"/>
      <c r="N652" s="280"/>
    </row>
    <row r="653" spans="1:14">
      <c r="A653" s="287"/>
      <c r="B653" s="8"/>
      <c r="C653" s="8"/>
      <c r="D653" s="288"/>
      <c r="E653" s="8"/>
      <c r="F653" s="8"/>
      <c r="G653" s="8" t="s">
        <v>1087</v>
      </c>
      <c r="H653" s="13">
        <v>3.03</v>
      </c>
      <c r="I653" s="13">
        <v>0.15</v>
      </c>
      <c r="J653" s="289" t="s">
        <v>24</v>
      </c>
      <c r="K653" s="289" t="s">
        <v>24</v>
      </c>
      <c r="L653" s="8"/>
      <c r="M653" s="280"/>
      <c r="N653" s="280"/>
    </row>
    <row r="654" spans="1:14">
      <c r="A654" s="9">
        <v>45484</v>
      </c>
      <c r="B654" s="8" t="s">
        <v>1977</v>
      </c>
      <c r="C654" s="8" t="s">
        <v>459</v>
      </c>
      <c r="D654" s="282">
        <v>10</v>
      </c>
      <c r="E654" s="8" t="s">
        <v>1079</v>
      </c>
      <c r="F654" s="8" t="s">
        <v>1768</v>
      </c>
      <c r="G654" s="8" t="s">
        <v>1064</v>
      </c>
      <c r="H654" s="13">
        <v>2</v>
      </c>
      <c r="I654" s="13">
        <v>8.7</v>
      </c>
      <c r="J654" s="13" t="s">
        <v>1744</v>
      </c>
      <c r="K654" s="13">
        <v>2.18</v>
      </c>
      <c r="L654" s="8" t="s">
        <v>35</v>
      </c>
      <c r="M654" s="280"/>
      <c r="N654" s="280"/>
    </row>
    <row r="655" spans="1:14">
      <c r="A655" s="287"/>
      <c r="B655" s="8"/>
      <c r="C655" s="8"/>
      <c r="D655" s="288"/>
      <c r="E655" s="8"/>
      <c r="F655" s="8"/>
      <c r="G655" s="8" t="s">
        <v>1060</v>
      </c>
      <c r="H655" s="13">
        <v>2</v>
      </c>
      <c r="I655" s="13">
        <v>0.3</v>
      </c>
      <c r="J655" s="13" t="s">
        <v>1762</v>
      </c>
      <c r="K655" s="13">
        <v>2.3</v>
      </c>
      <c r="L655" s="8"/>
      <c r="M655" s="280"/>
      <c r="N655" s="280"/>
    </row>
    <row r="656" spans="1:14">
      <c r="A656" s="287"/>
      <c r="B656" s="8"/>
      <c r="C656" s="8"/>
      <c r="D656" s="288"/>
      <c r="E656" s="8"/>
      <c r="F656" s="8"/>
      <c r="G656" s="8" t="s">
        <v>1061</v>
      </c>
      <c r="H656" s="13">
        <v>2</v>
      </c>
      <c r="I656" s="13">
        <v>0.5</v>
      </c>
      <c r="J656" s="13" t="s">
        <v>1879</v>
      </c>
      <c r="K656" s="13">
        <v>4</v>
      </c>
      <c r="L656" s="8"/>
      <c r="M656" s="280"/>
      <c r="N656" s="280"/>
    </row>
    <row r="657" spans="1:14">
      <c r="A657" s="287"/>
      <c r="B657" s="8"/>
      <c r="C657" s="8"/>
      <c r="D657" s="288"/>
      <c r="E657" s="8"/>
      <c r="F657" s="8"/>
      <c r="G657" s="8" t="s">
        <v>503</v>
      </c>
      <c r="H657" s="13">
        <v>2</v>
      </c>
      <c r="I657" s="13">
        <v>0.5</v>
      </c>
      <c r="J657" s="289" t="s">
        <v>24</v>
      </c>
      <c r="K657" s="289" t="s">
        <v>24</v>
      </c>
      <c r="L657" s="8"/>
      <c r="M657" s="280"/>
      <c r="N657" s="280"/>
    </row>
    <row r="658" spans="1:14">
      <c r="A658" s="9">
        <v>45489</v>
      </c>
      <c r="B658" s="8" t="s">
        <v>1978</v>
      </c>
      <c r="C658" s="8" t="s">
        <v>462</v>
      </c>
      <c r="D658" s="282">
        <v>8</v>
      </c>
      <c r="E658" s="8" t="s">
        <v>486</v>
      </c>
      <c r="F658" s="8" t="s">
        <v>1153</v>
      </c>
      <c r="G658" s="8" t="s">
        <v>1058</v>
      </c>
      <c r="H658" s="13">
        <v>1</v>
      </c>
      <c r="I658" s="13">
        <v>2.4</v>
      </c>
      <c r="J658" s="13" t="s">
        <v>1744</v>
      </c>
      <c r="K658" s="13">
        <v>2.5</v>
      </c>
      <c r="L658" s="8" t="s">
        <v>1082</v>
      </c>
      <c r="M658" s="280"/>
      <c r="N658" s="280"/>
    </row>
    <row r="659" spans="1:14">
      <c r="A659" s="287"/>
      <c r="B659" s="8"/>
      <c r="C659" s="8"/>
      <c r="D659" s="288"/>
      <c r="E659" s="8"/>
      <c r="F659" s="8"/>
      <c r="G659" s="8" t="s">
        <v>1059</v>
      </c>
      <c r="H659" s="13">
        <v>2</v>
      </c>
      <c r="I659" s="13">
        <v>3.2</v>
      </c>
      <c r="J659" s="13" t="s">
        <v>1744</v>
      </c>
      <c r="K659" s="13">
        <v>3</v>
      </c>
      <c r="L659" s="8"/>
      <c r="M659" s="280"/>
      <c r="N659" s="280"/>
    </row>
    <row r="660" spans="1:14">
      <c r="A660" s="287"/>
      <c r="B660" s="8"/>
      <c r="C660" s="8"/>
      <c r="D660" s="288"/>
      <c r="E660" s="8"/>
      <c r="F660" s="8"/>
      <c r="G660" s="8" t="s">
        <v>1099</v>
      </c>
      <c r="H660" s="13">
        <v>3</v>
      </c>
      <c r="I660" s="13">
        <v>2.28</v>
      </c>
      <c r="J660" s="13" t="s">
        <v>1744</v>
      </c>
      <c r="K660" s="13">
        <v>4.5</v>
      </c>
      <c r="L660" s="8"/>
      <c r="M660" s="280"/>
      <c r="N660" s="280"/>
    </row>
    <row r="661" spans="1:14">
      <c r="A661" s="287"/>
      <c r="B661" s="8"/>
      <c r="C661" s="8"/>
      <c r="D661" s="288"/>
      <c r="E661" s="8"/>
      <c r="F661" s="8"/>
      <c r="G661" s="8" t="s">
        <v>503</v>
      </c>
      <c r="H661" s="13">
        <v>3</v>
      </c>
      <c r="I661" s="13">
        <v>0.12</v>
      </c>
      <c r="J661" s="289" t="s">
        <v>24</v>
      </c>
      <c r="K661" s="289" t="s">
        <v>24</v>
      </c>
      <c r="L661" s="8"/>
      <c r="M661" s="280"/>
      <c r="N661" s="280"/>
    </row>
    <row r="662" spans="1:14">
      <c r="A662" s="9">
        <v>45488</v>
      </c>
      <c r="B662" s="278" t="s">
        <v>1979</v>
      </c>
      <c r="C662" s="278" t="s">
        <v>459</v>
      </c>
      <c r="D662" s="282">
        <v>1.15</v>
      </c>
      <c r="E662" s="278" t="s">
        <v>1764</v>
      </c>
      <c r="F662" s="278" t="s">
        <v>543</v>
      </c>
      <c r="G662" s="278" t="s">
        <v>531</v>
      </c>
      <c r="H662" s="13">
        <v>1</v>
      </c>
      <c r="I662" s="13">
        <v>1.14</v>
      </c>
      <c r="J662" s="13" t="s">
        <v>1744</v>
      </c>
      <c r="K662" s="13">
        <v>2.2</v>
      </c>
      <c r="L662" s="278" t="s">
        <v>1765</v>
      </c>
      <c r="M662" s="280"/>
      <c r="N662" s="280"/>
    </row>
    <row r="663" spans="1:14">
      <c r="A663" s="287"/>
      <c r="B663" s="278"/>
      <c r="C663" s="278"/>
      <c r="D663" s="288"/>
      <c r="E663" s="278"/>
      <c r="F663" s="278"/>
      <c r="G663" s="278" t="s">
        <v>503</v>
      </c>
      <c r="H663" s="13">
        <v>1</v>
      </c>
      <c r="I663" s="13">
        <v>0.01</v>
      </c>
      <c r="J663" s="289" t="s">
        <v>24</v>
      </c>
      <c r="K663" s="289" t="s">
        <v>24</v>
      </c>
      <c r="L663" s="278"/>
      <c r="M663" s="280"/>
      <c r="N663" s="280"/>
    </row>
    <row r="664" spans="1:14">
      <c r="A664" s="9">
        <v>45492</v>
      </c>
      <c r="B664" s="278" t="s">
        <v>1980</v>
      </c>
      <c r="C664" s="278" t="s">
        <v>462</v>
      </c>
      <c r="D664" s="282">
        <v>10</v>
      </c>
      <c r="E664" s="278" t="s">
        <v>1057</v>
      </c>
      <c r="F664" s="278" t="s">
        <v>474</v>
      </c>
      <c r="G664" s="278" t="s">
        <v>1958</v>
      </c>
      <c r="H664" s="13">
        <v>1.09</v>
      </c>
      <c r="I664" s="13">
        <v>7</v>
      </c>
      <c r="J664" s="13" t="s">
        <v>1744</v>
      </c>
      <c r="K664" s="13">
        <v>2.05</v>
      </c>
      <c r="L664" s="278" t="s">
        <v>41</v>
      </c>
      <c r="M664" s="280"/>
      <c r="N664" s="280"/>
    </row>
    <row r="665" spans="1:14">
      <c r="A665" s="9"/>
      <c r="B665" s="278"/>
      <c r="C665" s="278"/>
      <c r="D665" s="282"/>
      <c r="E665" s="278"/>
      <c r="F665" s="278"/>
      <c r="G665" s="278" t="s">
        <v>1959</v>
      </c>
      <c r="H665" s="13">
        <v>1.27</v>
      </c>
      <c r="I665" s="13">
        <v>1.55</v>
      </c>
      <c r="J665" s="13" t="s">
        <v>1744</v>
      </c>
      <c r="K665" s="13">
        <v>2.1</v>
      </c>
      <c r="L665" s="278"/>
      <c r="M665" s="280"/>
      <c r="N665" s="280"/>
    </row>
    <row r="666" spans="1:14">
      <c r="A666" s="9"/>
      <c r="B666" s="278"/>
      <c r="C666" s="278"/>
      <c r="D666" s="282"/>
      <c r="E666" s="278"/>
      <c r="F666" s="278"/>
      <c r="G666" s="278" t="s">
        <v>1963</v>
      </c>
      <c r="H666" s="13">
        <v>1.3</v>
      </c>
      <c r="I666" s="13">
        <v>0.5</v>
      </c>
      <c r="J666" s="13" t="s">
        <v>1049</v>
      </c>
      <c r="K666" s="13">
        <v>2.2</v>
      </c>
      <c r="L666" s="278"/>
      <c r="M666" s="280"/>
      <c r="N666" s="280"/>
    </row>
    <row r="667" spans="1:14">
      <c r="A667" s="9"/>
      <c r="B667" s="278"/>
      <c r="C667" s="278"/>
      <c r="D667" s="282"/>
      <c r="E667" s="278"/>
      <c r="F667" s="278"/>
      <c r="G667" s="278" t="s">
        <v>1972</v>
      </c>
      <c r="H667" s="13">
        <v>1.39</v>
      </c>
      <c r="I667" s="13">
        <v>0.45</v>
      </c>
      <c r="J667" s="13" t="s">
        <v>1981</v>
      </c>
      <c r="K667" s="13">
        <v>4.8</v>
      </c>
      <c r="L667" s="278"/>
      <c r="M667" s="280"/>
      <c r="N667" s="280"/>
    </row>
    <row r="668" spans="1:14">
      <c r="A668" s="9"/>
      <c r="B668" s="278"/>
      <c r="C668" s="278"/>
      <c r="D668" s="282"/>
      <c r="E668" s="278"/>
      <c r="F668" s="278"/>
      <c r="G668" s="278" t="s">
        <v>503</v>
      </c>
      <c r="H668" s="13">
        <v>1.76</v>
      </c>
      <c r="I668" s="13">
        <v>0.5</v>
      </c>
      <c r="J668" s="13" t="s">
        <v>24</v>
      </c>
      <c r="K668" s="13" t="s">
        <v>24</v>
      </c>
      <c r="L668" s="278"/>
      <c r="M668" s="280"/>
      <c r="N668" s="280"/>
    </row>
    <row r="669" spans="1:14">
      <c r="A669" s="9">
        <v>45492</v>
      </c>
      <c r="B669" s="278" t="s">
        <v>1982</v>
      </c>
      <c r="C669" s="278" t="s">
        <v>462</v>
      </c>
      <c r="D669" s="282">
        <v>10</v>
      </c>
      <c r="E669" s="278" t="s">
        <v>477</v>
      </c>
      <c r="F669" s="278" t="s">
        <v>1091</v>
      </c>
      <c r="G669" s="278" t="s">
        <v>1962</v>
      </c>
      <c r="H669" s="13">
        <v>1.09</v>
      </c>
      <c r="I669" s="13">
        <v>9</v>
      </c>
      <c r="J669" s="13" t="s">
        <v>1744</v>
      </c>
      <c r="K669" s="13">
        <v>2.07</v>
      </c>
      <c r="L669" s="278" t="s">
        <v>35</v>
      </c>
      <c r="M669" s="280"/>
      <c r="N669" s="280"/>
    </row>
    <row r="670" spans="1:14">
      <c r="A670" s="287"/>
      <c r="B670" s="278"/>
      <c r="C670" s="278"/>
      <c r="D670" s="288"/>
      <c r="E670" s="278"/>
      <c r="F670" s="278"/>
      <c r="G670" s="278" t="s">
        <v>1963</v>
      </c>
      <c r="H670" s="13">
        <v>1.09</v>
      </c>
      <c r="I670" s="13">
        <v>0.3</v>
      </c>
      <c r="J670" s="13" t="s">
        <v>1762</v>
      </c>
      <c r="K670" s="13">
        <v>2.18</v>
      </c>
      <c r="L670" s="278"/>
      <c r="M670" s="280"/>
      <c r="N670" s="280"/>
    </row>
    <row r="671" spans="1:14">
      <c r="A671" s="287"/>
      <c r="B671" s="278"/>
      <c r="C671" s="278"/>
      <c r="D671" s="288"/>
      <c r="E671" s="278"/>
      <c r="F671" s="278"/>
      <c r="G671" s="278" t="s">
        <v>503</v>
      </c>
      <c r="H671" s="13">
        <v>3.01</v>
      </c>
      <c r="I671" s="13">
        <v>0.7</v>
      </c>
      <c r="J671" s="289" t="s">
        <v>24</v>
      </c>
      <c r="K671" s="289" t="s">
        <v>24</v>
      </c>
      <c r="L671" s="278"/>
      <c r="M671" s="280"/>
      <c r="N671" s="280"/>
    </row>
    <row r="672" spans="1:14">
      <c r="A672" s="9">
        <v>45497</v>
      </c>
      <c r="B672" s="278" t="s">
        <v>1983</v>
      </c>
      <c r="C672" s="278" t="s">
        <v>462</v>
      </c>
      <c r="D672" s="282">
        <v>35</v>
      </c>
      <c r="E672" s="278" t="s">
        <v>1265</v>
      </c>
      <c r="F672" s="278" t="s">
        <v>1359</v>
      </c>
      <c r="G672" s="278" t="s">
        <v>1962</v>
      </c>
      <c r="H672" s="13">
        <v>1</v>
      </c>
      <c r="I672" s="13">
        <v>28</v>
      </c>
      <c r="J672" s="13" t="s">
        <v>1744</v>
      </c>
      <c r="K672" s="13">
        <v>2.07</v>
      </c>
      <c r="L672" s="278" t="s">
        <v>1984</v>
      </c>
      <c r="M672" s="280"/>
      <c r="N672" s="280"/>
    </row>
    <row r="673" spans="1:14">
      <c r="A673" s="287"/>
      <c r="B673" s="278"/>
      <c r="C673" s="278"/>
      <c r="D673" s="288"/>
      <c r="E673" s="278"/>
      <c r="F673" s="278"/>
      <c r="G673" s="278" t="s">
        <v>1963</v>
      </c>
      <c r="H673" s="13">
        <v>1</v>
      </c>
      <c r="I673" s="13">
        <v>5.25</v>
      </c>
      <c r="J673" s="13" t="s">
        <v>1762</v>
      </c>
      <c r="K673" s="289" t="s">
        <v>24</v>
      </c>
      <c r="L673" s="278"/>
      <c r="M673" s="280"/>
      <c r="N673" s="280"/>
    </row>
    <row r="674" spans="1:14">
      <c r="A674" s="287"/>
      <c r="B674" s="278"/>
      <c r="C674" s="278"/>
      <c r="D674" s="288"/>
      <c r="E674" s="278"/>
      <c r="F674" s="278"/>
      <c r="G674" s="278" t="s">
        <v>503</v>
      </c>
      <c r="H674" s="13">
        <v>1</v>
      </c>
      <c r="I674" s="13">
        <v>1.75</v>
      </c>
      <c r="J674" s="289" t="s">
        <v>24</v>
      </c>
      <c r="K674" s="289" t="s">
        <v>24</v>
      </c>
      <c r="L674" s="278"/>
      <c r="M674" s="280"/>
      <c r="N674" s="280"/>
    </row>
    <row r="675" spans="1:14">
      <c r="A675" s="9">
        <v>45496</v>
      </c>
      <c r="B675" s="278" t="s">
        <v>1985</v>
      </c>
      <c r="C675" s="278" t="s">
        <v>462</v>
      </c>
      <c r="D675" s="282">
        <v>5</v>
      </c>
      <c r="E675" s="278" t="s">
        <v>1109</v>
      </c>
      <c r="F675" s="278" t="s">
        <v>460</v>
      </c>
      <c r="G675" s="278" t="s">
        <v>1962</v>
      </c>
      <c r="H675" s="13">
        <v>1.94</v>
      </c>
      <c r="I675" s="13">
        <v>4.07</v>
      </c>
      <c r="J675" s="13" t="s">
        <v>1744</v>
      </c>
      <c r="K675" s="13">
        <v>2.15</v>
      </c>
      <c r="L675" s="278" t="s">
        <v>27</v>
      </c>
      <c r="M675" s="280"/>
      <c r="N675" s="280"/>
    </row>
    <row r="676" spans="1:14">
      <c r="A676" s="287"/>
      <c r="B676" s="278"/>
      <c r="C676" s="278"/>
      <c r="D676" s="288"/>
      <c r="E676" s="278"/>
      <c r="F676" s="278"/>
      <c r="G676" s="278" t="s">
        <v>1963</v>
      </c>
      <c r="H676" s="13">
        <v>1.94</v>
      </c>
      <c r="I676" s="13">
        <v>0.285</v>
      </c>
      <c r="J676" s="13" t="s">
        <v>1762</v>
      </c>
      <c r="K676" s="13">
        <v>2.25</v>
      </c>
      <c r="L676" s="278"/>
      <c r="M676" s="280"/>
      <c r="N676" s="280"/>
    </row>
    <row r="677" spans="1:14">
      <c r="A677" s="287"/>
      <c r="B677" s="278"/>
      <c r="C677" s="278"/>
      <c r="D677" s="288"/>
      <c r="E677" s="278"/>
      <c r="F677" s="278"/>
      <c r="G677" s="278" t="s">
        <v>503</v>
      </c>
      <c r="H677" s="13">
        <v>2.02</v>
      </c>
      <c r="I677" s="13">
        <v>0.645</v>
      </c>
      <c r="J677" s="289" t="s">
        <v>24</v>
      </c>
      <c r="K677" s="289" t="s">
        <v>24</v>
      </c>
      <c r="L677" s="278"/>
      <c r="M677" s="280"/>
      <c r="N677" s="280"/>
    </row>
    <row r="678" spans="1:14">
      <c r="A678" s="9">
        <v>45497</v>
      </c>
      <c r="B678" s="278" t="s">
        <v>1986</v>
      </c>
      <c r="C678" s="278" t="s">
        <v>462</v>
      </c>
      <c r="D678" s="282">
        <v>10</v>
      </c>
      <c r="E678" s="278" t="s">
        <v>1109</v>
      </c>
      <c r="F678" s="278" t="s">
        <v>460</v>
      </c>
      <c r="G678" s="278" t="s">
        <v>1962</v>
      </c>
      <c r="H678" s="13">
        <v>1.52</v>
      </c>
      <c r="I678" s="13">
        <v>8.506</v>
      </c>
      <c r="J678" s="13" t="s">
        <v>1744</v>
      </c>
      <c r="K678" s="13">
        <v>2.08</v>
      </c>
      <c r="L678" s="278" t="s">
        <v>27</v>
      </c>
      <c r="M678" s="280"/>
      <c r="N678" s="280"/>
    </row>
    <row r="679" spans="1:14">
      <c r="A679" s="287"/>
      <c r="B679" s="278"/>
      <c r="C679" s="278"/>
      <c r="D679" s="288"/>
      <c r="E679" s="278"/>
      <c r="F679" s="278"/>
      <c r="G679" s="278" t="s">
        <v>1963</v>
      </c>
      <c r="H679" s="13">
        <v>1.68</v>
      </c>
      <c r="I679" s="13">
        <v>0.464</v>
      </c>
      <c r="J679" s="13" t="s">
        <v>1762</v>
      </c>
      <c r="K679" s="13">
        <v>2.2</v>
      </c>
      <c r="L679" s="278"/>
      <c r="M679" s="280"/>
      <c r="N679" s="280"/>
    </row>
    <row r="680" spans="1:14">
      <c r="A680" s="287"/>
      <c r="B680" s="278"/>
      <c r="C680" s="278"/>
      <c r="D680" s="288"/>
      <c r="E680" s="278"/>
      <c r="F680" s="278"/>
      <c r="G680" s="278" t="s">
        <v>503</v>
      </c>
      <c r="H680" s="13">
        <v>3.02</v>
      </c>
      <c r="I680" s="13">
        <v>1.03</v>
      </c>
      <c r="J680" s="289" t="s">
        <v>24</v>
      </c>
      <c r="K680" s="289" t="s">
        <v>24</v>
      </c>
      <c r="L680" s="278"/>
      <c r="M680" s="280"/>
      <c r="N680" s="280"/>
    </row>
    <row r="681" spans="1:14">
      <c r="A681" s="9">
        <v>45496</v>
      </c>
      <c r="B681" s="278" t="s">
        <v>1987</v>
      </c>
      <c r="C681" s="278" t="s">
        <v>462</v>
      </c>
      <c r="D681" s="282">
        <v>10</v>
      </c>
      <c r="E681" s="278" t="s">
        <v>1066</v>
      </c>
      <c r="F681" s="278" t="s">
        <v>523</v>
      </c>
      <c r="G681" s="278" t="s">
        <v>1962</v>
      </c>
      <c r="H681" s="13">
        <v>0.67</v>
      </c>
      <c r="I681" s="13">
        <v>9</v>
      </c>
      <c r="J681" s="13" t="s">
        <v>1744</v>
      </c>
      <c r="K681" s="13">
        <v>2.03</v>
      </c>
      <c r="L681" s="278" t="s">
        <v>35</v>
      </c>
      <c r="M681" s="280"/>
      <c r="N681" s="280"/>
    </row>
    <row r="682" spans="1:14">
      <c r="A682" s="287"/>
      <c r="B682" s="278"/>
      <c r="C682" s="278"/>
      <c r="D682" s="288"/>
      <c r="E682" s="278"/>
      <c r="F682" s="278"/>
      <c r="G682" s="278" t="s">
        <v>1963</v>
      </c>
      <c r="H682" s="13">
        <v>0.76</v>
      </c>
      <c r="I682" s="13">
        <v>0.5</v>
      </c>
      <c r="J682" s="13" t="s">
        <v>1762</v>
      </c>
      <c r="K682" s="13">
        <v>2.2</v>
      </c>
      <c r="L682" s="278"/>
      <c r="M682" s="280"/>
      <c r="N682" s="280"/>
    </row>
    <row r="683" spans="1:14">
      <c r="A683" s="287"/>
      <c r="B683" s="278"/>
      <c r="C683" s="278"/>
      <c r="D683" s="288"/>
      <c r="E683" s="278"/>
      <c r="F683" s="278"/>
      <c r="G683" s="278" t="s">
        <v>503</v>
      </c>
      <c r="H683" s="13">
        <v>1.52</v>
      </c>
      <c r="I683" s="13">
        <v>0.5</v>
      </c>
      <c r="J683" s="289" t="s">
        <v>24</v>
      </c>
      <c r="K683" s="289" t="s">
        <v>24</v>
      </c>
      <c r="L683" s="278"/>
      <c r="M683" s="280"/>
      <c r="N683" s="280"/>
    </row>
    <row r="684" spans="1:14">
      <c r="A684" s="9">
        <v>45492</v>
      </c>
      <c r="B684" s="278" t="s">
        <v>1988</v>
      </c>
      <c r="C684" s="278" t="s">
        <v>459</v>
      </c>
      <c r="D684" s="282">
        <v>10</v>
      </c>
      <c r="E684" s="278" t="s">
        <v>1057</v>
      </c>
      <c r="F684" s="278" t="s">
        <v>474</v>
      </c>
      <c r="G684" s="278" t="s">
        <v>1958</v>
      </c>
      <c r="H684" s="13">
        <v>1.08</v>
      </c>
      <c r="I684" s="13">
        <v>7</v>
      </c>
      <c r="J684" s="13" t="s">
        <v>1744</v>
      </c>
      <c r="K684" s="13">
        <v>2.08</v>
      </c>
      <c r="L684" s="278" t="s">
        <v>41</v>
      </c>
      <c r="M684" s="280"/>
      <c r="N684" s="280"/>
    </row>
    <row r="685" spans="1:14">
      <c r="A685" s="287"/>
      <c r="B685" s="278"/>
      <c r="C685" s="278"/>
      <c r="D685" s="288"/>
      <c r="E685" s="278"/>
      <c r="F685" s="278"/>
      <c r="G685" s="278" t="s">
        <v>1959</v>
      </c>
      <c r="H685" s="13">
        <v>1.25</v>
      </c>
      <c r="I685" s="13">
        <v>1.55</v>
      </c>
      <c r="J685" s="13" t="s">
        <v>1744</v>
      </c>
      <c r="K685" s="13">
        <v>2.15</v>
      </c>
      <c r="L685" s="278"/>
      <c r="M685" s="280"/>
      <c r="N685" s="280"/>
    </row>
    <row r="686" spans="1:14">
      <c r="A686" s="287"/>
      <c r="B686" s="278"/>
      <c r="C686" s="278"/>
      <c r="D686" s="288"/>
      <c r="E686" s="278"/>
      <c r="F686" s="278"/>
      <c r="G686" s="278" t="s">
        <v>1963</v>
      </c>
      <c r="H686" s="13">
        <v>1.28</v>
      </c>
      <c r="I686" s="13">
        <v>0.5</v>
      </c>
      <c r="J686" s="13" t="s">
        <v>1762</v>
      </c>
      <c r="K686" s="13">
        <v>2.25</v>
      </c>
      <c r="L686" s="278"/>
      <c r="M686" s="280"/>
      <c r="N686" s="280"/>
    </row>
    <row r="687" spans="1:14">
      <c r="A687" s="287"/>
      <c r="B687" s="278"/>
      <c r="C687" s="278"/>
      <c r="D687" s="288"/>
      <c r="E687" s="278"/>
      <c r="F687" s="278"/>
      <c r="G687" s="278" t="s">
        <v>1972</v>
      </c>
      <c r="H687" s="13">
        <v>1.38</v>
      </c>
      <c r="I687" s="13">
        <v>0.45</v>
      </c>
      <c r="J687" s="13" t="s">
        <v>1782</v>
      </c>
      <c r="K687" s="13">
        <v>4.8</v>
      </c>
      <c r="L687" s="278"/>
      <c r="M687" s="280"/>
      <c r="N687" s="280"/>
    </row>
    <row r="688" spans="1:14">
      <c r="A688" s="287"/>
      <c r="B688" s="278"/>
      <c r="C688" s="278"/>
      <c r="D688" s="288"/>
      <c r="E688" s="278"/>
      <c r="F688" s="278"/>
      <c r="G688" s="278" t="s">
        <v>503</v>
      </c>
      <c r="H688" s="13">
        <v>1.75</v>
      </c>
      <c r="I688" s="13">
        <v>0.5</v>
      </c>
      <c r="J688" s="289" t="s">
        <v>24</v>
      </c>
      <c r="K688" s="289" t="s">
        <v>24</v>
      </c>
      <c r="L688" s="278"/>
      <c r="M688" s="280"/>
      <c r="N688" s="280"/>
    </row>
    <row r="689" spans="1:14">
      <c r="A689" s="9">
        <v>45497</v>
      </c>
      <c r="B689" s="278" t="s">
        <v>1989</v>
      </c>
      <c r="C689" s="278" t="s">
        <v>462</v>
      </c>
      <c r="D689" s="282">
        <v>10</v>
      </c>
      <c r="E689" s="278" t="s">
        <v>1057</v>
      </c>
      <c r="F689" s="278" t="s">
        <v>474</v>
      </c>
      <c r="G689" s="278" t="s">
        <v>1958</v>
      </c>
      <c r="H689" s="13">
        <v>1.09</v>
      </c>
      <c r="I689" s="13">
        <v>7</v>
      </c>
      <c r="J689" s="13" t="s">
        <v>1744</v>
      </c>
      <c r="K689" s="13">
        <v>2.09</v>
      </c>
      <c r="L689" s="278" t="s">
        <v>41</v>
      </c>
      <c r="M689" s="280"/>
      <c r="N689" s="280"/>
    </row>
    <row r="690" spans="1:14">
      <c r="A690" s="287"/>
      <c r="B690" s="278"/>
      <c r="C690" s="278"/>
      <c r="D690" s="288"/>
      <c r="E690" s="278"/>
      <c r="F690" s="278"/>
      <c r="G690" s="278" t="s">
        <v>1959</v>
      </c>
      <c r="H690" s="13">
        <v>1.26</v>
      </c>
      <c r="I690" s="13">
        <v>1.55</v>
      </c>
      <c r="J690" s="13" t="s">
        <v>1744</v>
      </c>
      <c r="K690" s="13">
        <v>2.14</v>
      </c>
      <c r="L690" s="278"/>
      <c r="M690" s="280"/>
      <c r="N690" s="280"/>
    </row>
    <row r="691" spans="1:14">
      <c r="A691" s="287"/>
      <c r="B691" s="278"/>
      <c r="C691" s="278"/>
      <c r="D691" s="288"/>
      <c r="E691" s="278"/>
      <c r="F691" s="278"/>
      <c r="G691" s="278" t="s">
        <v>1963</v>
      </c>
      <c r="H691" s="13">
        <v>1.3</v>
      </c>
      <c r="I691" s="13">
        <v>0.5</v>
      </c>
      <c r="J691" s="13" t="s">
        <v>1762</v>
      </c>
      <c r="K691" s="13">
        <v>2.2</v>
      </c>
      <c r="L691" s="278"/>
      <c r="M691" s="280"/>
      <c r="N691" s="280"/>
    </row>
    <row r="692" spans="1:14">
      <c r="A692" s="287"/>
      <c r="B692" s="278"/>
      <c r="C692" s="278"/>
      <c r="D692" s="288"/>
      <c r="E692" s="278"/>
      <c r="F692" s="278"/>
      <c r="G692" s="278" t="s">
        <v>1972</v>
      </c>
      <c r="H692" s="13">
        <v>1.39</v>
      </c>
      <c r="I692" s="13">
        <v>0.45</v>
      </c>
      <c r="J692" s="13" t="s">
        <v>1782</v>
      </c>
      <c r="K692" s="13">
        <v>4.8</v>
      </c>
      <c r="L692" s="278"/>
      <c r="M692" s="280"/>
      <c r="N692" s="280"/>
    </row>
    <row r="693" spans="1:14">
      <c r="A693" s="287"/>
      <c r="B693" s="278"/>
      <c r="C693" s="278"/>
      <c r="D693" s="288"/>
      <c r="E693" s="278"/>
      <c r="F693" s="278"/>
      <c r="G693" s="278" t="s">
        <v>503</v>
      </c>
      <c r="H693" s="13">
        <v>1.76</v>
      </c>
      <c r="I693" s="13">
        <v>0.5</v>
      </c>
      <c r="J693" s="289" t="s">
        <v>24</v>
      </c>
      <c r="K693" s="289" t="s">
        <v>24</v>
      </c>
      <c r="L693" s="278"/>
      <c r="M693" s="280"/>
      <c r="N693" s="280"/>
    </row>
    <row r="694" spans="1:14">
      <c r="A694" s="9">
        <v>45492</v>
      </c>
      <c r="B694" s="278" t="s">
        <v>1990</v>
      </c>
      <c r="C694" s="278" t="s">
        <v>459</v>
      </c>
      <c r="D694" s="282">
        <v>10</v>
      </c>
      <c r="E694" s="278" t="s">
        <v>477</v>
      </c>
      <c r="F694" s="278" t="s">
        <v>1971</v>
      </c>
      <c r="G694" s="278" t="s">
        <v>1962</v>
      </c>
      <c r="H694" s="13">
        <v>1.08</v>
      </c>
      <c r="I694" s="13">
        <v>9</v>
      </c>
      <c r="J694" s="13" t="s">
        <v>1744</v>
      </c>
      <c r="K694" s="13">
        <v>2.08</v>
      </c>
      <c r="L694" s="278" t="s">
        <v>35</v>
      </c>
      <c r="M694" s="280"/>
      <c r="N694" s="280"/>
    </row>
    <row r="695" spans="1:14">
      <c r="A695" s="287"/>
      <c r="B695" s="278"/>
      <c r="C695" s="278"/>
      <c r="D695" s="288"/>
      <c r="E695" s="278"/>
      <c r="F695" s="278"/>
      <c r="G695" s="278" t="s">
        <v>1963</v>
      </c>
      <c r="H695" s="13">
        <v>1.08</v>
      </c>
      <c r="I695" s="13">
        <v>0.3</v>
      </c>
      <c r="J695" s="13" t="s">
        <v>1762</v>
      </c>
      <c r="K695" s="13">
        <v>2.2</v>
      </c>
      <c r="L695" s="278"/>
      <c r="M695" s="280"/>
      <c r="N695" s="280"/>
    </row>
    <row r="696" spans="1:14">
      <c r="A696" s="287"/>
      <c r="B696" s="278"/>
      <c r="C696" s="278"/>
      <c r="D696" s="288"/>
      <c r="E696" s="278"/>
      <c r="F696" s="278"/>
      <c r="G696" s="278" t="s">
        <v>503</v>
      </c>
      <c r="H696" s="13">
        <v>3</v>
      </c>
      <c r="I696" s="13">
        <v>0.7</v>
      </c>
      <c r="J696" s="289" t="s">
        <v>24</v>
      </c>
      <c r="K696" s="289" t="s">
        <v>24</v>
      </c>
      <c r="L696" s="278"/>
      <c r="M696" s="280"/>
      <c r="N696" s="280"/>
    </row>
    <row r="697" spans="1:14">
      <c r="A697" s="9">
        <v>45492</v>
      </c>
      <c r="B697" s="278" t="s">
        <v>1991</v>
      </c>
      <c r="C697" s="278" t="s">
        <v>459</v>
      </c>
      <c r="D697" s="282">
        <v>8</v>
      </c>
      <c r="E697" s="278" t="s">
        <v>486</v>
      </c>
      <c r="F697" s="278" t="s">
        <v>543</v>
      </c>
      <c r="G697" s="278" t="s">
        <v>1962</v>
      </c>
      <c r="H697" s="13">
        <v>1.02</v>
      </c>
      <c r="I697" s="13">
        <v>7.6</v>
      </c>
      <c r="J697" s="13" t="s">
        <v>1744</v>
      </c>
      <c r="K697" s="13">
        <v>2.5</v>
      </c>
      <c r="L697" s="278" t="s">
        <v>1082</v>
      </c>
      <c r="M697" s="280"/>
      <c r="N697" s="280"/>
    </row>
    <row r="698" spans="1:14">
      <c r="A698" s="287"/>
      <c r="B698" s="278"/>
      <c r="C698" s="278"/>
      <c r="D698" s="288"/>
      <c r="E698" s="278"/>
      <c r="F698" s="278"/>
      <c r="G698" s="278" t="s">
        <v>503</v>
      </c>
      <c r="H698" s="13">
        <v>3</v>
      </c>
      <c r="I698" s="13">
        <v>0.4</v>
      </c>
      <c r="J698" s="289" t="s">
        <v>24</v>
      </c>
      <c r="K698" s="289" t="s">
        <v>24</v>
      </c>
      <c r="L698" s="278"/>
      <c r="M698" s="280"/>
      <c r="N698" s="280"/>
    </row>
    <row r="699" spans="1:14">
      <c r="A699" s="9">
        <v>45491</v>
      </c>
      <c r="B699" s="278" t="s">
        <v>1992</v>
      </c>
      <c r="C699" s="278" t="s">
        <v>459</v>
      </c>
      <c r="D699" s="282">
        <v>2</v>
      </c>
      <c r="E699" s="278" t="s">
        <v>1993</v>
      </c>
      <c r="F699" s="278" t="s">
        <v>1994</v>
      </c>
      <c r="G699" s="278" t="s">
        <v>1962</v>
      </c>
      <c r="H699" s="13">
        <v>1.86</v>
      </c>
      <c r="I699" s="13">
        <v>1.98</v>
      </c>
      <c r="J699" s="13" t="s">
        <v>1744</v>
      </c>
      <c r="K699" s="13">
        <v>2.39</v>
      </c>
      <c r="L699" s="278" t="s">
        <v>1995</v>
      </c>
      <c r="M699" s="280"/>
      <c r="N699" s="280"/>
    </row>
    <row r="700" spans="1:14">
      <c r="A700" s="287"/>
      <c r="B700" s="278"/>
      <c r="C700" s="278"/>
      <c r="D700" s="288"/>
      <c r="E700" s="278"/>
      <c r="F700" s="278"/>
      <c r="G700" s="278" t="s">
        <v>503</v>
      </c>
      <c r="H700" s="13">
        <v>1.86</v>
      </c>
      <c r="I700" s="13">
        <v>0.02</v>
      </c>
      <c r="J700" s="289" t="s">
        <v>24</v>
      </c>
      <c r="K700" s="289" t="s">
        <v>24</v>
      </c>
      <c r="L700" s="278"/>
      <c r="M700" s="280"/>
      <c r="N700" s="280"/>
    </row>
    <row r="701" spans="1:14">
      <c r="A701" s="9">
        <v>45491</v>
      </c>
      <c r="B701" s="278" t="s">
        <v>1996</v>
      </c>
      <c r="C701" s="278" t="s">
        <v>459</v>
      </c>
      <c r="D701" s="282">
        <v>6</v>
      </c>
      <c r="E701" s="278" t="s">
        <v>477</v>
      </c>
      <c r="F701" s="278" t="s">
        <v>487</v>
      </c>
      <c r="G701" s="278" t="s">
        <v>1962</v>
      </c>
      <c r="H701" s="13">
        <v>0.96</v>
      </c>
      <c r="I701" s="13">
        <v>5.37</v>
      </c>
      <c r="J701" s="13" t="s">
        <v>1744</v>
      </c>
      <c r="K701" s="13">
        <v>2.09</v>
      </c>
      <c r="L701" s="278" t="s">
        <v>112</v>
      </c>
      <c r="M701" s="280"/>
      <c r="N701" s="280"/>
    </row>
    <row r="702" spans="1:14">
      <c r="A702" s="287"/>
      <c r="B702" s="278"/>
      <c r="C702" s="278"/>
      <c r="D702" s="288"/>
      <c r="E702" s="278"/>
      <c r="F702" s="278"/>
      <c r="G702" s="278" t="s">
        <v>1963</v>
      </c>
      <c r="H702" s="13">
        <v>0.96</v>
      </c>
      <c r="I702" s="13">
        <v>0.33</v>
      </c>
      <c r="J702" s="13" t="s">
        <v>1762</v>
      </c>
      <c r="K702" s="13">
        <v>2.25</v>
      </c>
      <c r="L702" s="278"/>
      <c r="M702" s="280"/>
      <c r="N702" s="280"/>
    </row>
    <row r="703" spans="1:14">
      <c r="A703" s="287"/>
      <c r="B703" s="278"/>
      <c r="C703" s="278"/>
      <c r="D703" s="288"/>
      <c r="E703" s="278"/>
      <c r="F703" s="278"/>
      <c r="G703" s="278" t="s">
        <v>1964</v>
      </c>
      <c r="H703" s="13">
        <v>3.05</v>
      </c>
      <c r="I703" s="13">
        <v>0.12</v>
      </c>
      <c r="J703" s="289" t="s">
        <v>24</v>
      </c>
      <c r="K703" s="289" t="s">
        <v>24</v>
      </c>
      <c r="L703" s="278"/>
      <c r="M703" s="280"/>
      <c r="N703" s="280"/>
    </row>
    <row r="704" spans="1:14">
      <c r="A704" s="287"/>
      <c r="B704" s="278"/>
      <c r="C704" s="278"/>
      <c r="D704" s="288"/>
      <c r="E704" s="278"/>
      <c r="F704" s="278"/>
      <c r="G704" s="278" t="s">
        <v>1965</v>
      </c>
      <c r="H704" s="13">
        <v>3.05</v>
      </c>
      <c r="I704" s="13">
        <v>0.18</v>
      </c>
      <c r="J704" s="289" t="s">
        <v>24</v>
      </c>
      <c r="K704" s="289" t="s">
        <v>24</v>
      </c>
      <c r="L704" s="278"/>
      <c r="M704" s="280"/>
      <c r="N704" s="280"/>
    </row>
    <row r="705" spans="1:14">
      <c r="A705" s="9">
        <v>45491</v>
      </c>
      <c r="B705" s="278" t="s">
        <v>1997</v>
      </c>
      <c r="C705" s="278" t="s">
        <v>462</v>
      </c>
      <c r="D705" s="282">
        <v>10</v>
      </c>
      <c r="E705" s="278" t="s">
        <v>1066</v>
      </c>
      <c r="F705" s="278" t="s">
        <v>1961</v>
      </c>
      <c r="G705" s="278" t="s">
        <v>1962</v>
      </c>
      <c r="H705" s="13">
        <v>0.59</v>
      </c>
      <c r="I705" s="13">
        <v>9</v>
      </c>
      <c r="J705" s="13" t="s">
        <v>1744</v>
      </c>
      <c r="K705" s="13">
        <v>2.03</v>
      </c>
      <c r="L705" s="278" t="s">
        <v>35</v>
      </c>
      <c r="M705" s="280"/>
      <c r="N705" s="280"/>
    </row>
    <row r="706" spans="1:14">
      <c r="A706" s="287"/>
      <c r="B706" s="278"/>
      <c r="C706" s="278"/>
      <c r="D706" s="288"/>
      <c r="E706" s="278"/>
      <c r="F706" s="278"/>
      <c r="G706" s="278" t="s">
        <v>1963</v>
      </c>
      <c r="H706" s="13">
        <v>0.59</v>
      </c>
      <c r="I706" s="13">
        <v>0.5</v>
      </c>
      <c r="J706" s="13" t="s">
        <v>1762</v>
      </c>
      <c r="K706" s="13">
        <v>2.2</v>
      </c>
      <c r="L706" s="278"/>
      <c r="M706" s="280"/>
      <c r="N706" s="280"/>
    </row>
    <row r="707" spans="1:14">
      <c r="A707" s="287"/>
      <c r="B707" s="278"/>
      <c r="C707" s="278"/>
      <c r="D707" s="288"/>
      <c r="E707" s="278"/>
      <c r="F707" s="278"/>
      <c r="G707" s="278" t="s">
        <v>503</v>
      </c>
      <c r="H707" s="13">
        <v>1.42</v>
      </c>
      <c r="I707" s="13">
        <v>0.5</v>
      </c>
      <c r="J707" s="289" t="s">
        <v>24</v>
      </c>
      <c r="K707" s="289" t="s">
        <v>24</v>
      </c>
      <c r="L707" s="278"/>
      <c r="M707" s="280"/>
      <c r="N707" s="280"/>
    </row>
    <row r="708" spans="1:14">
      <c r="A708" s="9">
        <v>45492</v>
      </c>
      <c r="B708" s="278" t="s">
        <v>1998</v>
      </c>
      <c r="C708" s="278" t="s">
        <v>459</v>
      </c>
      <c r="D708" s="282">
        <v>7</v>
      </c>
      <c r="E708" s="278" t="s">
        <v>552</v>
      </c>
      <c r="F708" s="278" t="s">
        <v>474</v>
      </c>
      <c r="G708" s="278" t="s">
        <v>1962</v>
      </c>
      <c r="H708" s="13">
        <v>2</v>
      </c>
      <c r="I708" s="13">
        <v>5.85</v>
      </c>
      <c r="J708" s="13" t="s">
        <v>1744</v>
      </c>
      <c r="K708" s="13">
        <v>2.4</v>
      </c>
      <c r="L708" s="13">
        <v>360</v>
      </c>
      <c r="M708" s="280"/>
      <c r="N708" s="280"/>
    </row>
    <row r="709" spans="1:14">
      <c r="A709" s="287"/>
      <c r="B709" s="278"/>
      <c r="C709" s="278"/>
      <c r="D709" s="288"/>
      <c r="E709" s="278"/>
      <c r="F709" s="278"/>
      <c r="G709" s="278" t="s">
        <v>1963</v>
      </c>
      <c r="H709" s="13">
        <v>2</v>
      </c>
      <c r="I709" s="13">
        <v>0.32</v>
      </c>
      <c r="J709" s="13" t="s">
        <v>1762</v>
      </c>
      <c r="K709" s="13">
        <v>2.8</v>
      </c>
      <c r="L709" s="289"/>
      <c r="M709" s="280"/>
      <c r="N709" s="280"/>
    </row>
    <row r="710" spans="1:14">
      <c r="A710" s="287"/>
      <c r="B710" s="278"/>
      <c r="C710" s="278"/>
      <c r="D710" s="288"/>
      <c r="E710" s="278"/>
      <c r="F710" s="278"/>
      <c r="G710" s="278" t="s">
        <v>1972</v>
      </c>
      <c r="H710" s="13">
        <v>2</v>
      </c>
      <c r="I710" s="13">
        <v>0.31</v>
      </c>
      <c r="J710" s="13" t="s">
        <v>1746</v>
      </c>
      <c r="K710" s="13">
        <v>5</v>
      </c>
      <c r="L710" s="289"/>
      <c r="M710" s="280"/>
      <c r="N710" s="280"/>
    </row>
    <row r="711" spans="1:14">
      <c r="A711" s="287"/>
      <c r="B711" s="278"/>
      <c r="C711" s="278"/>
      <c r="D711" s="288"/>
      <c r="E711" s="278"/>
      <c r="F711" s="278"/>
      <c r="G711" s="278" t="s">
        <v>503</v>
      </c>
      <c r="H711" s="13">
        <v>2</v>
      </c>
      <c r="I711" s="13">
        <v>0.52</v>
      </c>
      <c r="J711" s="289" t="s">
        <v>24</v>
      </c>
      <c r="K711" s="289" t="s">
        <v>24</v>
      </c>
      <c r="L711" s="289"/>
      <c r="M711" s="280"/>
      <c r="N711" s="280"/>
    </row>
    <row r="712" spans="1:14">
      <c r="A712" s="9">
        <v>45505</v>
      </c>
      <c r="B712" s="8" t="s">
        <v>1999</v>
      </c>
      <c r="C712" s="8" t="s">
        <v>462</v>
      </c>
      <c r="D712" s="282">
        <v>5</v>
      </c>
      <c r="E712" s="8" t="s">
        <v>486</v>
      </c>
      <c r="F712" s="278" t="s">
        <v>1961</v>
      </c>
      <c r="G712" s="278" t="s">
        <v>1962</v>
      </c>
      <c r="H712" s="13">
        <v>1.01</v>
      </c>
      <c r="I712" s="13">
        <v>4.19</v>
      </c>
      <c r="J712" s="13" t="s">
        <v>1744</v>
      </c>
      <c r="K712" s="13">
        <v>2.04</v>
      </c>
      <c r="L712" s="278" t="s">
        <v>27</v>
      </c>
      <c r="M712" s="280"/>
      <c r="N712" s="280"/>
    </row>
    <row r="713" spans="1:14">
      <c r="A713" s="287"/>
      <c r="B713" s="8"/>
      <c r="C713" s="8"/>
      <c r="D713" s="288"/>
      <c r="E713" s="8"/>
      <c r="F713" s="278"/>
      <c r="G713" s="278" t="s">
        <v>1963</v>
      </c>
      <c r="H713" s="13">
        <v>1.01</v>
      </c>
      <c r="I713" s="13">
        <v>0.29</v>
      </c>
      <c r="J713" s="13" t="s">
        <v>1762</v>
      </c>
      <c r="K713" s="13">
        <v>2.15</v>
      </c>
      <c r="L713" s="278"/>
      <c r="M713" s="280"/>
      <c r="N713" s="280"/>
    </row>
    <row r="714" spans="1:14">
      <c r="A714" s="287"/>
      <c r="B714" s="8"/>
      <c r="C714" s="8"/>
      <c r="D714" s="288"/>
      <c r="E714" s="8"/>
      <c r="F714" s="278"/>
      <c r="G714" s="278" t="s">
        <v>1972</v>
      </c>
      <c r="H714" s="13">
        <v>1.52</v>
      </c>
      <c r="I714" s="13">
        <v>0.27</v>
      </c>
      <c r="J714" s="289" t="s">
        <v>24</v>
      </c>
      <c r="K714" s="289" t="s">
        <v>24</v>
      </c>
      <c r="L714" s="278"/>
      <c r="M714" s="280"/>
      <c r="N714" s="280"/>
    </row>
    <row r="715" spans="1:14">
      <c r="A715" s="287"/>
      <c r="B715" s="8"/>
      <c r="C715" s="8"/>
      <c r="D715" s="288"/>
      <c r="E715" s="8"/>
      <c r="F715" s="278"/>
      <c r="G715" s="278" t="s">
        <v>503</v>
      </c>
      <c r="H715" s="13">
        <v>1.52</v>
      </c>
      <c r="I715" s="13">
        <v>0.25</v>
      </c>
      <c r="J715" s="289" t="s">
        <v>24</v>
      </c>
      <c r="K715" s="289" t="s">
        <v>24</v>
      </c>
      <c r="L715" s="278"/>
      <c r="M715" s="280"/>
      <c r="N715" s="280"/>
    </row>
    <row r="716" spans="1:14">
      <c r="A716" s="9">
        <v>45504</v>
      </c>
      <c r="B716" s="278" t="s">
        <v>2000</v>
      </c>
      <c r="C716" s="278" t="s">
        <v>462</v>
      </c>
      <c r="D716" s="282">
        <v>5</v>
      </c>
      <c r="E716" s="278" t="s">
        <v>1079</v>
      </c>
      <c r="F716" s="278" t="s">
        <v>1961</v>
      </c>
      <c r="G716" s="278" t="s">
        <v>1962</v>
      </c>
      <c r="H716" s="13">
        <v>0.51</v>
      </c>
      <c r="I716" s="13">
        <v>4.35</v>
      </c>
      <c r="J716" s="13" t="s">
        <v>1744</v>
      </c>
      <c r="K716" s="13">
        <v>2.05</v>
      </c>
      <c r="L716" s="278" t="s">
        <v>35</v>
      </c>
      <c r="M716" s="280"/>
      <c r="N716" s="280"/>
    </row>
    <row r="717" spans="1:14">
      <c r="A717" s="287"/>
      <c r="B717" s="278"/>
      <c r="C717" s="278"/>
      <c r="D717" s="288"/>
      <c r="E717" s="278"/>
      <c r="F717" s="278"/>
      <c r="G717" s="278" t="s">
        <v>1963</v>
      </c>
      <c r="H717" s="13">
        <v>0.51</v>
      </c>
      <c r="I717" s="13">
        <v>0.2</v>
      </c>
      <c r="J717" s="13" t="s">
        <v>1762</v>
      </c>
      <c r="K717" s="13">
        <v>2.2</v>
      </c>
      <c r="L717" s="278"/>
      <c r="M717" s="280"/>
      <c r="N717" s="280"/>
    </row>
    <row r="718" spans="1:14">
      <c r="A718" s="287"/>
      <c r="B718" s="278"/>
      <c r="C718" s="278"/>
      <c r="D718" s="288"/>
      <c r="E718" s="278"/>
      <c r="F718" s="278"/>
      <c r="G718" s="278" t="s">
        <v>503</v>
      </c>
      <c r="H718" s="13">
        <v>0.51</v>
      </c>
      <c r="I718" s="13">
        <v>0.45</v>
      </c>
      <c r="J718" s="289" t="s">
        <v>24</v>
      </c>
      <c r="K718" s="289" t="s">
        <v>24</v>
      </c>
      <c r="L718" s="278"/>
      <c r="M718" s="280"/>
      <c r="N718" s="280"/>
    </row>
    <row r="719" spans="1:14">
      <c r="A719" s="9">
        <v>45504</v>
      </c>
      <c r="B719" s="278" t="s">
        <v>2001</v>
      </c>
      <c r="C719" s="278" t="s">
        <v>459</v>
      </c>
      <c r="D719" s="282">
        <v>4</v>
      </c>
      <c r="E719" s="278" t="s">
        <v>1754</v>
      </c>
      <c r="F719" s="278" t="s">
        <v>487</v>
      </c>
      <c r="G719" s="278" t="s">
        <v>1958</v>
      </c>
      <c r="H719" s="13">
        <v>1.82</v>
      </c>
      <c r="I719" s="13">
        <v>1</v>
      </c>
      <c r="J719" s="13" t="s">
        <v>1744</v>
      </c>
      <c r="K719" s="13">
        <v>3</v>
      </c>
      <c r="L719" s="278" t="s">
        <v>70</v>
      </c>
      <c r="M719" s="280"/>
      <c r="N719" s="280"/>
    </row>
    <row r="720" spans="1:14">
      <c r="A720" s="287"/>
      <c r="B720" s="278"/>
      <c r="C720" s="278"/>
      <c r="D720" s="288"/>
      <c r="E720" s="278"/>
      <c r="F720" s="278"/>
      <c r="G720" s="278" t="s">
        <v>1959</v>
      </c>
      <c r="H720" s="13">
        <v>1.82</v>
      </c>
      <c r="I720" s="13">
        <v>2.36</v>
      </c>
      <c r="J720" s="13" t="s">
        <v>1744</v>
      </c>
      <c r="K720" s="13">
        <v>3.2</v>
      </c>
      <c r="L720" s="278"/>
      <c r="M720" s="280"/>
      <c r="N720" s="280"/>
    </row>
    <row r="721" spans="1:14">
      <c r="A721" s="287"/>
      <c r="B721" s="278"/>
      <c r="C721" s="278"/>
      <c r="D721" s="288"/>
      <c r="E721" s="278"/>
      <c r="F721" s="278"/>
      <c r="G721" s="278" t="s">
        <v>1963</v>
      </c>
      <c r="H721" s="13">
        <v>1.91</v>
      </c>
      <c r="I721" s="13">
        <v>0.16</v>
      </c>
      <c r="J721" s="13" t="s">
        <v>1762</v>
      </c>
      <c r="K721" s="13">
        <v>3.8</v>
      </c>
      <c r="L721" s="278"/>
      <c r="M721" s="280"/>
      <c r="N721" s="280"/>
    </row>
    <row r="722" spans="1:14">
      <c r="A722" s="287"/>
      <c r="B722" s="278"/>
      <c r="C722" s="278"/>
      <c r="D722" s="288"/>
      <c r="E722" s="278"/>
      <c r="F722" s="278"/>
      <c r="G722" s="278" t="s">
        <v>503</v>
      </c>
      <c r="H722" s="13">
        <v>2.65</v>
      </c>
      <c r="I722" s="13">
        <v>0.48</v>
      </c>
      <c r="J722" s="289" t="s">
        <v>24</v>
      </c>
      <c r="K722" s="289" t="s">
        <v>24</v>
      </c>
      <c r="L722" s="278"/>
      <c r="M722" s="280"/>
      <c r="N722" s="280"/>
    </row>
    <row r="723" spans="1:14">
      <c r="A723" s="9">
        <v>45503</v>
      </c>
      <c r="B723" s="278" t="s">
        <v>2002</v>
      </c>
      <c r="C723" s="278" t="s">
        <v>462</v>
      </c>
      <c r="D723" s="282">
        <v>10</v>
      </c>
      <c r="E723" s="278" t="s">
        <v>1066</v>
      </c>
      <c r="F723" s="278" t="s">
        <v>523</v>
      </c>
      <c r="G723" s="278" t="s">
        <v>1962</v>
      </c>
      <c r="H723" s="13">
        <v>0.67</v>
      </c>
      <c r="I723" s="13">
        <v>9</v>
      </c>
      <c r="J723" s="13" t="s">
        <v>1744</v>
      </c>
      <c r="K723" s="13">
        <v>2.02</v>
      </c>
      <c r="L723" s="278" t="s">
        <v>35</v>
      </c>
      <c r="M723" s="280"/>
      <c r="N723" s="280"/>
    </row>
    <row r="724" spans="1:14">
      <c r="A724" s="287"/>
      <c r="B724" s="278"/>
      <c r="C724" s="278"/>
      <c r="D724" s="288"/>
      <c r="E724" s="278"/>
      <c r="F724" s="278"/>
      <c r="G724" s="278" t="s">
        <v>1963</v>
      </c>
      <c r="H724" s="13">
        <v>0.76</v>
      </c>
      <c r="I724" s="13">
        <v>0.5</v>
      </c>
      <c r="J724" s="13" t="s">
        <v>1762</v>
      </c>
      <c r="K724" s="13">
        <v>2.15</v>
      </c>
      <c r="L724" s="278"/>
      <c r="M724" s="280"/>
      <c r="N724" s="280"/>
    </row>
    <row r="725" spans="1:14">
      <c r="A725" s="287"/>
      <c r="B725" s="278"/>
      <c r="C725" s="278"/>
      <c r="D725" s="288"/>
      <c r="E725" s="278"/>
      <c r="F725" s="278"/>
      <c r="G725" s="278" t="s">
        <v>503</v>
      </c>
      <c r="H725" s="13">
        <v>1.52</v>
      </c>
      <c r="I725" s="13">
        <v>0.5</v>
      </c>
      <c r="J725" s="289" t="s">
        <v>24</v>
      </c>
      <c r="K725" s="289" t="s">
        <v>24</v>
      </c>
      <c r="L725" s="278"/>
      <c r="M725" s="280"/>
      <c r="N725" s="280"/>
    </row>
    <row r="726" spans="1:14">
      <c r="A726" s="9">
        <v>45499</v>
      </c>
      <c r="B726" s="278" t="s">
        <v>2003</v>
      </c>
      <c r="C726" s="278" t="s">
        <v>462</v>
      </c>
      <c r="D726" s="282">
        <v>10</v>
      </c>
      <c r="E726" s="278" t="s">
        <v>536</v>
      </c>
      <c r="F726" s="278" t="s">
        <v>1091</v>
      </c>
      <c r="G726" s="278" t="s">
        <v>1962</v>
      </c>
      <c r="H726" s="13">
        <v>0.5</v>
      </c>
      <c r="I726" s="13">
        <v>9</v>
      </c>
      <c r="J726" s="13" t="s">
        <v>1744</v>
      </c>
      <c r="K726" s="13">
        <v>2</v>
      </c>
      <c r="L726" s="278" t="s">
        <v>35</v>
      </c>
      <c r="M726" s="280"/>
      <c r="N726" s="280"/>
    </row>
    <row r="727" spans="1:14">
      <c r="A727" s="287"/>
      <c r="B727" s="278"/>
      <c r="C727" s="278"/>
      <c r="D727" s="288"/>
      <c r="E727" s="278"/>
      <c r="F727" s="278"/>
      <c r="G727" s="278" t="s">
        <v>1963</v>
      </c>
      <c r="H727" s="13">
        <v>0.59</v>
      </c>
      <c r="I727" s="13">
        <v>0.5</v>
      </c>
      <c r="J727" s="13" t="s">
        <v>1762</v>
      </c>
      <c r="K727" s="13">
        <v>2.15</v>
      </c>
      <c r="L727" s="278"/>
      <c r="M727" s="280"/>
      <c r="N727" s="280"/>
    </row>
    <row r="728" spans="1:14">
      <c r="A728" s="287"/>
      <c r="B728" s="278"/>
      <c r="C728" s="278"/>
      <c r="D728" s="288"/>
      <c r="E728" s="278"/>
      <c r="F728" s="278"/>
      <c r="G728" s="278" t="s">
        <v>503</v>
      </c>
      <c r="H728" s="13">
        <v>1.34</v>
      </c>
      <c r="I728" s="13">
        <v>0.5</v>
      </c>
      <c r="J728" s="289" t="s">
        <v>24</v>
      </c>
      <c r="K728" s="289" t="s">
        <v>24</v>
      </c>
      <c r="L728" s="278"/>
      <c r="M728" s="280"/>
      <c r="N728" s="280"/>
    </row>
    <row r="729" spans="1:14">
      <c r="A729" s="9">
        <v>45504</v>
      </c>
      <c r="B729" s="278" t="s">
        <v>2004</v>
      </c>
      <c r="C729" s="278" t="s">
        <v>459</v>
      </c>
      <c r="D729" s="282">
        <v>10</v>
      </c>
      <c r="E729" s="278" t="s">
        <v>477</v>
      </c>
      <c r="F729" s="278" t="s">
        <v>1971</v>
      </c>
      <c r="G729" s="278" t="s">
        <v>1962</v>
      </c>
      <c r="H729" s="13">
        <v>1.09</v>
      </c>
      <c r="I729" s="13">
        <v>9</v>
      </c>
      <c r="J729" s="13" t="s">
        <v>1744</v>
      </c>
      <c r="K729" s="13">
        <v>2.06</v>
      </c>
      <c r="L729" s="278" t="s">
        <v>35</v>
      </c>
      <c r="M729" s="280"/>
      <c r="N729" s="280"/>
    </row>
    <row r="730" spans="1:14">
      <c r="A730" s="287"/>
      <c r="B730" s="278"/>
      <c r="C730" s="278"/>
      <c r="D730" s="288"/>
      <c r="E730" s="278"/>
      <c r="F730" s="278"/>
      <c r="G730" s="278" t="s">
        <v>1963</v>
      </c>
      <c r="H730" s="13">
        <v>1.09</v>
      </c>
      <c r="I730" s="13">
        <v>0.3</v>
      </c>
      <c r="J730" s="13" t="s">
        <v>1762</v>
      </c>
      <c r="K730" s="13">
        <v>2.15</v>
      </c>
      <c r="L730" s="278"/>
      <c r="M730" s="280"/>
      <c r="N730" s="280"/>
    </row>
    <row r="731" spans="1:14">
      <c r="A731" s="287"/>
      <c r="B731" s="278"/>
      <c r="C731" s="278"/>
      <c r="D731" s="288"/>
      <c r="E731" s="278"/>
      <c r="F731" s="278"/>
      <c r="G731" s="278" t="s">
        <v>503</v>
      </c>
      <c r="H731" s="13">
        <v>3.01</v>
      </c>
      <c r="I731" s="13">
        <v>0.7</v>
      </c>
      <c r="J731" s="289" t="s">
        <v>24</v>
      </c>
      <c r="K731" s="289" t="s">
        <v>24</v>
      </c>
      <c r="L731" s="278"/>
      <c r="M731" s="280"/>
      <c r="N731" s="280"/>
    </row>
    <row r="732" spans="1:14">
      <c r="A732" s="9">
        <v>45510</v>
      </c>
      <c r="B732" s="278" t="s">
        <v>2005</v>
      </c>
      <c r="C732" s="278" t="s">
        <v>459</v>
      </c>
      <c r="D732" s="282">
        <v>10</v>
      </c>
      <c r="E732" s="278" t="s">
        <v>477</v>
      </c>
      <c r="F732" s="278" t="s">
        <v>482</v>
      </c>
      <c r="G732" s="278" t="s">
        <v>1962</v>
      </c>
      <c r="H732" s="13">
        <v>1.05</v>
      </c>
      <c r="I732" s="13">
        <v>9</v>
      </c>
      <c r="J732" s="13" t="s">
        <v>1744</v>
      </c>
      <c r="K732" s="13">
        <v>2.05</v>
      </c>
      <c r="L732" s="278" t="s">
        <v>35</v>
      </c>
      <c r="M732" s="280"/>
      <c r="N732" s="280"/>
    </row>
    <row r="733" spans="1:14">
      <c r="A733" s="287"/>
      <c r="B733" s="278"/>
      <c r="C733" s="278"/>
      <c r="D733" s="288"/>
      <c r="E733" s="278"/>
      <c r="F733" s="278"/>
      <c r="G733" s="278" t="s">
        <v>1963</v>
      </c>
      <c r="H733" s="13">
        <v>1.05</v>
      </c>
      <c r="I733" s="13">
        <v>0.3</v>
      </c>
      <c r="J733" s="13" t="s">
        <v>1762</v>
      </c>
      <c r="K733" s="13">
        <v>2.15</v>
      </c>
      <c r="L733" s="278"/>
      <c r="M733" s="280"/>
      <c r="N733" s="280"/>
    </row>
    <row r="734" spans="1:14">
      <c r="A734" s="287"/>
      <c r="B734" s="278"/>
      <c r="C734" s="278"/>
      <c r="D734" s="288"/>
      <c r="E734" s="278"/>
      <c r="F734" s="278"/>
      <c r="G734" s="278" t="s">
        <v>503</v>
      </c>
      <c r="H734" s="13">
        <v>2.97</v>
      </c>
      <c r="I734" s="13">
        <v>0.7</v>
      </c>
      <c r="J734" s="289" t="s">
        <v>24</v>
      </c>
      <c r="K734" s="289" t="s">
        <v>24</v>
      </c>
      <c r="L734" s="278"/>
      <c r="M734" s="280"/>
      <c r="N734" s="280"/>
    </row>
    <row r="735" spans="1:14">
      <c r="A735" s="9">
        <v>45503</v>
      </c>
      <c r="B735" s="278" t="s">
        <v>2006</v>
      </c>
      <c r="C735" s="278" t="s">
        <v>459</v>
      </c>
      <c r="D735" s="282">
        <v>8</v>
      </c>
      <c r="E735" s="278" t="s">
        <v>477</v>
      </c>
      <c r="F735" s="278" t="s">
        <v>490</v>
      </c>
      <c r="G735" s="278" t="s">
        <v>1958</v>
      </c>
      <c r="H735" s="13">
        <v>0.97</v>
      </c>
      <c r="I735" s="13">
        <v>2.4</v>
      </c>
      <c r="J735" s="13" t="s">
        <v>1744</v>
      </c>
      <c r="K735" s="13">
        <v>2.5</v>
      </c>
      <c r="L735" s="278" t="s">
        <v>1082</v>
      </c>
      <c r="M735" s="280"/>
      <c r="N735" s="280"/>
    </row>
    <row r="736" spans="1:14">
      <c r="A736" s="287"/>
      <c r="B736" s="278"/>
      <c r="C736" s="278"/>
      <c r="D736" s="288"/>
      <c r="E736" s="278"/>
      <c r="F736" s="278"/>
      <c r="G736" s="278" t="s">
        <v>1959</v>
      </c>
      <c r="H736" s="13">
        <v>1.97</v>
      </c>
      <c r="I736" s="13">
        <v>3.2</v>
      </c>
      <c r="J736" s="13" t="s">
        <v>1744</v>
      </c>
      <c r="K736" s="13">
        <v>3</v>
      </c>
      <c r="L736" s="278"/>
      <c r="M736" s="280"/>
      <c r="N736" s="280"/>
    </row>
    <row r="737" spans="1:14">
      <c r="A737" s="287"/>
      <c r="B737" s="278"/>
      <c r="C737" s="278"/>
      <c r="D737" s="288"/>
      <c r="E737" s="278"/>
      <c r="F737" s="278"/>
      <c r="G737" s="278" t="s">
        <v>2007</v>
      </c>
      <c r="H737" s="13">
        <v>2.97</v>
      </c>
      <c r="I737" s="13">
        <v>2.28</v>
      </c>
      <c r="J737" s="13" t="s">
        <v>1744</v>
      </c>
      <c r="K737" s="13">
        <v>4.5</v>
      </c>
      <c r="L737" s="278"/>
      <c r="M737" s="280"/>
      <c r="N737" s="280"/>
    </row>
    <row r="738" spans="1:14">
      <c r="A738" s="287"/>
      <c r="B738" s="278"/>
      <c r="C738" s="278"/>
      <c r="D738" s="288"/>
      <c r="E738" s="278"/>
      <c r="F738" s="278"/>
      <c r="G738" s="278" t="s">
        <v>503</v>
      </c>
      <c r="H738" s="13">
        <v>3.27</v>
      </c>
      <c r="I738" s="13">
        <v>0.12</v>
      </c>
      <c r="J738" s="289" t="s">
        <v>24</v>
      </c>
      <c r="K738" s="289" t="s">
        <v>24</v>
      </c>
      <c r="L738" s="278"/>
      <c r="M738" s="280"/>
      <c r="N738" s="280"/>
    </row>
    <row r="739" spans="1:14">
      <c r="A739" s="9">
        <v>45499</v>
      </c>
      <c r="B739" s="278" t="s">
        <v>2008</v>
      </c>
      <c r="C739" s="278" t="s">
        <v>462</v>
      </c>
      <c r="D739" s="282">
        <v>15</v>
      </c>
      <c r="E739" s="278" t="s">
        <v>1079</v>
      </c>
      <c r="F739" s="278" t="s">
        <v>1961</v>
      </c>
      <c r="G739" s="278" t="s">
        <v>1962</v>
      </c>
      <c r="H739" s="13">
        <v>1</v>
      </c>
      <c r="I739" s="13">
        <v>12.75</v>
      </c>
      <c r="J739" s="13" t="s">
        <v>1744</v>
      </c>
      <c r="K739" s="13">
        <v>2.12</v>
      </c>
      <c r="L739" s="278" t="s">
        <v>35</v>
      </c>
      <c r="M739" s="280"/>
      <c r="N739" s="280"/>
    </row>
    <row r="740" spans="1:14">
      <c r="A740" s="287"/>
      <c r="B740" s="278"/>
      <c r="C740" s="278"/>
      <c r="D740" s="288"/>
      <c r="E740" s="278"/>
      <c r="F740" s="278"/>
      <c r="G740" s="278" t="s">
        <v>1963</v>
      </c>
      <c r="H740" s="13">
        <v>1</v>
      </c>
      <c r="I740" s="13">
        <v>0.6</v>
      </c>
      <c r="J740" s="13" t="s">
        <v>1762</v>
      </c>
      <c r="K740" s="13">
        <v>2.2</v>
      </c>
      <c r="L740" s="278"/>
      <c r="M740" s="280"/>
      <c r="N740" s="280"/>
    </row>
    <row r="741" spans="1:14">
      <c r="A741" s="287"/>
      <c r="B741" s="278"/>
      <c r="C741" s="278"/>
      <c r="D741" s="288"/>
      <c r="E741" s="278"/>
      <c r="F741" s="278"/>
      <c r="G741" s="278" t="s">
        <v>503</v>
      </c>
      <c r="H741" s="13">
        <v>1</v>
      </c>
      <c r="I741" s="13">
        <v>1.65</v>
      </c>
      <c r="J741" s="289" t="s">
        <v>24</v>
      </c>
      <c r="K741" s="289" t="s">
        <v>24</v>
      </c>
      <c r="L741" s="278"/>
      <c r="M741" s="280"/>
      <c r="N741" s="280"/>
    </row>
    <row r="742" spans="1:14">
      <c r="A742" s="9">
        <v>45512</v>
      </c>
      <c r="B742" s="278" t="s">
        <v>2009</v>
      </c>
      <c r="C742" s="278" t="s">
        <v>462</v>
      </c>
      <c r="D742" s="282">
        <v>6</v>
      </c>
      <c r="E742" s="278" t="s">
        <v>477</v>
      </c>
      <c r="F742" s="278" t="s">
        <v>523</v>
      </c>
      <c r="G742" s="278" t="s">
        <v>1962</v>
      </c>
      <c r="H742" s="13">
        <v>1.05</v>
      </c>
      <c r="I742" s="13">
        <v>5.37</v>
      </c>
      <c r="J742" s="13" t="s">
        <v>1744</v>
      </c>
      <c r="K742" s="13">
        <v>1.98</v>
      </c>
      <c r="L742" s="278" t="s">
        <v>112</v>
      </c>
      <c r="M742" s="280"/>
      <c r="N742" s="280"/>
    </row>
    <row r="743" spans="1:14">
      <c r="A743" s="287"/>
      <c r="B743" s="278"/>
      <c r="C743" s="278"/>
      <c r="D743" s="288"/>
      <c r="E743" s="278"/>
      <c r="F743" s="278"/>
      <c r="G743" s="278" t="s">
        <v>1963</v>
      </c>
      <c r="H743" s="13">
        <v>1.05</v>
      </c>
      <c r="I743" s="13">
        <v>0.33</v>
      </c>
      <c r="J743" s="13" t="s">
        <v>1762</v>
      </c>
      <c r="K743" s="13">
        <v>2.15</v>
      </c>
      <c r="L743" s="278"/>
      <c r="M743" s="280"/>
      <c r="N743" s="280"/>
    </row>
    <row r="744" spans="1:14">
      <c r="A744" s="287"/>
      <c r="B744" s="278"/>
      <c r="C744" s="278"/>
      <c r="D744" s="288"/>
      <c r="E744" s="278"/>
      <c r="F744" s="278"/>
      <c r="G744" s="278" t="s">
        <v>1964</v>
      </c>
      <c r="H744" s="13">
        <v>1.05</v>
      </c>
      <c r="I744" s="13">
        <v>0.12</v>
      </c>
      <c r="J744" s="289" t="s">
        <v>24</v>
      </c>
      <c r="K744" s="289" t="s">
        <v>24</v>
      </c>
      <c r="L744" s="278"/>
      <c r="M744" s="280"/>
      <c r="N744" s="280"/>
    </row>
    <row r="745" spans="1:14">
      <c r="A745" s="287"/>
      <c r="B745" s="278"/>
      <c r="C745" s="278"/>
      <c r="D745" s="288"/>
      <c r="E745" s="278"/>
      <c r="F745" s="278"/>
      <c r="G745" s="278" t="s">
        <v>1965</v>
      </c>
      <c r="H745" s="13">
        <v>1.05</v>
      </c>
      <c r="I745" s="13">
        <v>0.18</v>
      </c>
      <c r="J745" s="289" t="s">
        <v>24</v>
      </c>
      <c r="K745" s="289" t="s">
        <v>24</v>
      </c>
      <c r="L745" s="278"/>
      <c r="M745" s="280"/>
      <c r="N745" s="280"/>
    </row>
    <row r="746" spans="1:14">
      <c r="A746" s="9">
        <v>45512</v>
      </c>
      <c r="B746" s="278" t="s">
        <v>2010</v>
      </c>
      <c r="C746" s="278" t="s">
        <v>462</v>
      </c>
      <c r="D746" s="282">
        <v>5</v>
      </c>
      <c r="E746" s="278" t="s">
        <v>486</v>
      </c>
      <c r="F746" s="278" t="s">
        <v>1961</v>
      </c>
      <c r="G746" s="278" t="s">
        <v>1962</v>
      </c>
      <c r="H746" s="13">
        <v>1.57</v>
      </c>
      <c r="I746" s="13">
        <v>4.075</v>
      </c>
      <c r="J746" s="13" t="s">
        <v>1744</v>
      </c>
      <c r="K746" s="13">
        <v>2.05</v>
      </c>
      <c r="L746" s="278" t="s">
        <v>27</v>
      </c>
      <c r="M746" s="280"/>
      <c r="N746" s="280"/>
    </row>
    <row r="747" spans="1:14">
      <c r="A747" s="287"/>
      <c r="B747" s="278"/>
      <c r="C747" s="278"/>
      <c r="D747" s="288"/>
      <c r="E747" s="278"/>
      <c r="F747" s="278"/>
      <c r="G747" s="278" t="s">
        <v>1963</v>
      </c>
      <c r="H747" s="13">
        <v>2.07</v>
      </c>
      <c r="I747" s="13">
        <v>0.2</v>
      </c>
      <c r="J747" s="13" t="s">
        <v>1762</v>
      </c>
      <c r="K747" s="13">
        <v>2.05</v>
      </c>
      <c r="L747" s="278"/>
      <c r="M747" s="280"/>
      <c r="N747" s="280"/>
    </row>
    <row r="748" spans="1:14">
      <c r="A748" s="287"/>
      <c r="B748" s="278"/>
      <c r="C748" s="278"/>
      <c r="D748" s="288"/>
      <c r="E748" s="278"/>
      <c r="F748" s="278"/>
      <c r="G748" s="278" t="s">
        <v>1964</v>
      </c>
      <c r="H748" s="13">
        <v>3.07</v>
      </c>
      <c r="I748" s="13">
        <v>0.475</v>
      </c>
      <c r="J748" s="289" t="s">
        <v>24</v>
      </c>
      <c r="K748" s="289" t="s">
        <v>24</v>
      </c>
      <c r="L748" s="278"/>
      <c r="M748" s="280"/>
      <c r="N748" s="280"/>
    </row>
    <row r="749" spans="1:14">
      <c r="A749" s="287"/>
      <c r="B749" s="278"/>
      <c r="C749" s="278"/>
      <c r="D749" s="288"/>
      <c r="E749" s="278"/>
      <c r="F749" s="278"/>
      <c r="G749" s="278" t="s">
        <v>1965</v>
      </c>
      <c r="H749" s="13">
        <v>3.07</v>
      </c>
      <c r="I749" s="13">
        <v>0.25</v>
      </c>
      <c r="J749" s="289" t="s">
        <v>24</v>
      </c>
      <c r="K749" s="289" t="s">
        <v>24</v>
      </c>
      <c r="L749" s="278"/>
      <c r="M749" s="280"/>
      <c r="N749" s="280"/>
    </row>
    <row r="750" spans="1:14">
      <c r="A750" s="9">
        <v>45511</v>
      </c>
      <c r="B750" s="278" t="s">
        <v>2011</v>
      </c>
      <c r="C750" s="278" t="s">
        <v>462</v>
      </c>
      <c r="D750" s="282">
        <v>10</v>
      </c>
      <c r="E750" s="278" t="s">
        <v>1066</v>
      </c>
      <c r="F750" s="278" t="s">
        <v>2012</v>
      </c>
      <c r="G750" s="278" t="s">
        <v>1962</v>
      </c>
      <c r="H750" s="13">
        <v>0.59</v>
      </c>
      <c r="I750" s="13">
        <v>9</v>
      </c>
      <c r="J750" s="13" t="s">
        <v>1744</v>
      </c>
      <c r="K750" s="13">
        <v>2</v>
      </c>
      <c r="L750" s="278" t="s">
        <v>35</v>
      </c>
      <c r="M750" s="280"/>
      <c r="N750" s="280"/>
    </row>
    <row r="751" spans="1:14">
      <c r="A751" s="287"/>
      <c r="B751" s="278"/>
      <c r="C751" s="278"/>
      <c r="D751" s="288"/>
      <c r="E751" s="278"/>
      <c r="F751" s="278"/>
      <c r="G751" s="278" t="s">
        <v>1963</v>
      </c>
      <c r="H751" s="13">
        <v>0.68</v>
      </c>
      <c r="I751" s="13">
        <v>0.5</v>
      </c>
      <c r="J751" s="13" t="s">
        <v>1762</v>
      </c>
      <c r="K751" s="13">
        <v>2.1</v>
      </c>
      <c r="L751" s="278"/>
      <c r="M751" s="280"/>
      <c r="N751" s="280"/>
    </row>
    <row r="752" spans="1:14">
      <c r="A752" s="287"/>
      <c r="B752" s="278"/>
      <c r="C752" s="278"/>
      <c r="D752" s="288"/>
      <c r="E752" s="278"/>
      <c r="F752" s="278"/>
      <c r="G752" s="278" t="s">
        <v>503</v>
      </c>
      <c r="H752" s="13">
        <v>1.43</v>
      </c>
      <c r="I752" s="13">
        <v>0.5</v>
      </c>
      <c r="J752" s="289" t="s">
        <v>24</v>
      </c>
      <c r="K752" s="289" t="s">
        <v>24</v>
      </c>
      <c r="L752" s="278"/>
      <c r="M752" s="280"/>
      <c r="N752" s="280"/>
    </row>
    <row r="753" spans="1:14">
      <c r="A753" s="9">
        <v>45510</v>
      </c>
      <c r="B753" s="278" t="s">
        <v>2013</v>
      </c>
      <c r="C753" s="278" t="s">
        <v>459</v>
      </c>
      <c r="D753" s="282">
        <v>5</v>
      </c>
      <c r="E753" s="278" t="s">
        <v>1205</v>
      </c>
      <c r="F753" s="278" t="s">
        <v>474</v>
      </c>
      <c r="G753" s="278" t="s">
        <v>1958</v>
      </c>
      <c r="H753" s="13">
        <v>1.07</v>
      </c>
      <c r="I753" s="13">
        <v>3.5</v>
      </c>
      <c r="J753" s="13" t="s">
        <v>1744</v>
      </c>
      <c r="K753" s="13">
        <v>2.02</v>
      </c>
      <c r="L753" s="278" t="s">
        <v>41</v>
      </c>
      <c r="M753" s="280"/>
      <c r="N753" s="280"/>
    </row>
    <row r="754" spans="1:14">
      <c r="A754" s="287"/>
      <c r="B754" s="278"/>
      <c r="C754" s="278"/>
      <c r="D754" s="288"/>
      <c r="E754" s="278"/>
      <c r="F754" s="278"/>
      <c r="G754" s="278" t="s">
        <v>1959</v>
      </c>
      <c r="H754" s="13">
        <v>1.22</v>
      </c>
      <c r="I754" s="13">
        <v>0.77</v>
      </c>
      <c r="J754" s="13" t="s">
        <v>1744</v>
      </c>
      <c r="K754" s="13">
        <v>2.1</v>
      </c>
      <c r="L754" s="278"/>
      <c r="M754" s="280"/>
      <c r="N754" s="280"/>
    </row>
    <row r="755" spans="1:14">
      <c r="A755" s="287"/>
      <c r="B755" s="278"/>
      <c r="C755" s="278"/>
      <c r="D755" s="288"/>
      <c r="E755" s="278"/>
      <c r="F755" s="278"/>
      <c r="G755" s="278" t="s">
        <v>1963</v>
      </c>
      <c r="H755" s="13">
        <v>1.26</v>
      </c>
      <c r="I755" s="13">
        <v>0.25</v>
      </c>
      <c r="J755" s="13" t="s">
        <v>1762</v>
      </c>
      <c r="K755" s="13">
        <v>2.2</v>
      </c>
      <c r="L755" s="278"/>
      <c r="M755" s="280"/>
      <c r="N755" s="280"/>
    </row>
    <row r="756" spans="1:14">
      <c r="A756" s="287"/>
      <c r="B756" s="278"/>
      <c r="C756" s="278"/>
      <c r="D756" s="288"/>
      <c r="E756" s="278"/>
      <c r="F756" s="278"/>
      <c r="G756" s="278" t="s">
        <v>1972</v>
      </c>
      <c r="H756" s="13">
        <v>1.34</v>
      </c>
      <c r="I756" s="13">
        <v>0.23</v>
      </c>
      <c r="J756" s="13" t="s">
        <v>1782</v>
      </c>
      <c r="K756" s="13">
        <v>4.7</v>
      </c>
      <c r="L756" s="278"/>
      <c r="M756" s="280"/>
      <c r="N756" s="280"/>
    </row>
    <row r="757" spans="1:14">
      <c r="A757" s="287"/>
      <c r="B757" s="278"/>
      <c r="C757" s="278"/>
      <c r="D757" s="288"/>
      <c r="E757" s="278"/>
      <c r="F757" s="278"/>
      <c r="G757" s="278" t="s">
        <v>503</v>
      </c>
      <c r="H757" s="13">
        <v>1.72</v>
      </c>
      <c r="I757" s="13">
        <v>0.25</v>
      </c>
      <c r="J757" s="289" t="s">
        <v>24</v>
      </c>
      <c r="K757" s="289" t="s">
        <v>24</v>
      </c>
      <c r="L757" s="278"/>
      <c r="M757" s="280"/>
      <c r="N757" s="280"/>
    </row>
    <row r="758" spans="1:14">
      <c r="A758" s="9">
        <v>45506</v>
      </c>
      <c r="B758" s="278" t="s">
        <v>2014</v>
      </c>
      <c r="C758" s="278" t="s">
        <v>462</v>
      </c>
      <c r="D758" s="282">
        <v>3</v>
      </c>
      <c r="E758" s="278" t="s">
        <v>481</v>
      </c>
      <c r="F758" s="278" t="s">
        <v>460</v>
      </c>
      <c r="G758" s="278" t="s">
        <v>1962</v>
      </c>
      <c r="H758" s="13">
        <v>1.07</v>
      </c>
      <c r="I758" s="13">
        <v>2.7</v>
      </c>
      <c r="J758" s="13" t="s">
        <v>1744</v>
      </c>
      <c r="K758" s="13">
        <v>2.07</v>
      </c>
      <c r="L758" s="278" t="s">
        <v>27</v>
      </c>
      <c r="M758" s="280"/>
      <c r="N758" s="280"/>
    </row>
    <row r="759" spans="1:14">
      <c r="A759" s="287"/>
      <c r="B759" s="278"/>
      <c r="C759" s="278"/>
      <c r="D759" s="288"/>
      <c r="E759" s="278"/>
      <c r="F759" s="278"/>
      <c r="G759" s="278" t="s">
        <v>1963</v>
      </c>
      <c r="H759" s="13">
        <v>1.07</v>
      </c>
      <c r="I759" s="13">
        <v>0.15</v>
      </c>
      <c r="J759" s="13" t="s">
        <v>1762</v>
      </c>
      <c r="K759" s="13">
        <v>2.07</v>
      </c>
      <c r="L759" s="278"/>
      <c r="M759" s="280"/>
      <c r="N759" s="280"/>
    </row>
    <row r="760" spans="1:14">
      <c r="A760" s="287"/>
      <c r="B760" s="278"/>
      <c r="C760" s="278"/>
      <c r="D760" s="288"/>
      <c r="E760" s="278"/>
      <c r="F760" s="278"/>
      <c r="G760" s="278" t="s">
        <v>503</v>
      </c>
      <c r="H760" s="13">
        <v>1.15</v>
      </c>
      <c r="I760" s="13">
        <v>0.15</v>
      </c>
      <c r="J760" s="289" t="s">
        <v>24</v>
      </c>
      <c r="K760" s="289" t="s">
        <v>24</v>
      </c>
      <c r="L760" s="278"/>
      <c r="M760" s="280"/>
      <c r="N760" s="280"/>
    </row>
    <row r="761" spans="1:14">
      <c r="A761" s="9">
        <v>45506</v>
      </c>
      <c r="B761" s="278" t="s">
        <v>2015</v>
      </c>
      <c r="C761" s="278" t="s">
        <v>459</v>
      </c>
      <c r="D761" s="282">
        <v>10</v>
      </c>
      <c r="E761" s="278" t="s">
        <v>1066</v>
      </c>
      <c r="F761" s="278" t="s">
        <v>460</v>
      </c>
      <c r="G761" s="278" t="s">
        <v>1962</v>
      </c>
      <c r="H761" s="13">
        <v>1</v>
      </c>
      <c r="I761" s="13">
        <v>9</v>
      </c>
      <c r="J761" s="13" t="s">
        <v>1744</v>
      </c>
      <c r="K761" s="13">
        <v>2.07</v>
      </c>
      <c r="L761" s="278" t="s">
        <v>35</v>
      </c>
      <c r="M761" s="280"/>
      <c r="N761" s="280"/>
    </row>
    <row r="762" spans="1:14">
      <c r="A762" s="287"/>
      <c r="B762" s="278"/>
      <c r="C762" s="278"/>
      <c r="D762" s="288"/>
      <c r="E762" s="278"/>
      <c r="F762" s="278"/>
      <c r="G762" s="278" t="s">
        <v>1963</v>
      </c>
      <c r="H762" s="13">
        <v>1</v>
      </c>
      <c r="I762" s="13">
        <v>0.3</v>
      </c>
      <c r="J762" s="13" t="s">
        <v>1762</v>
      </c>
      <c r="K762" s="13">
        <v>2.14</v>
      </c>
      <c r="L762" s="278"/>
      <c r="M762" s="280"/>
      <c r="N762" s="280"/>
    </row>
    <row r="763" spans="1:14">
      <c r="A763" s="287"/>
      <c r="B763" s="278"/>
      <c r="C763" s="278"/>
      <c r="D763" s="288"/>
      <c r="E763" s="278"/>
      <c r="F763" s="278"/>
      <c r="G763" s="278" t="s">
        <v>503</v>
      </c>
      <c r="H763" s="13">
        <v>2.92</v>
      </c>
      <c r="I763" s="13">
        <v>0.7</v>
      </c>
      <c r="J763" s="289" t="s">
        <v>24</v>
      </c>
      <c r="K763" s="289" t="s">
        <v>24</v>
      </c>
      <c r="L763" s="278"/>
      <c r="M763" s="280"/>
      <c r="N763" s="280"/>
    </row>
    <row r="764" spans="1:14">
      <c r="A764" s="9">
        <v>45506</v>
      </c>
      <c r="B764" s="278" t="s">
        <v>2016</v>
      </c>
      <c r="C764" s="278" t="s">
        <v>462</v>
      </c>
      <c r="D764" s="282">
        <v>6</v>
      </c>
      <c r="E764" s="278" t="s">
        <v>477</v>
      </c>
      <c r="F764" s="278" t="s">
        <v>523</v>
      </c>
      <c r="G764" s="278" t="s">
        <v>1962</v>
      </c>
      <c r="H764" s="13">
        <v>1.04</v>
      </c>
      <c r="I764" s="13">
        <v>5.37</v>
      </c>
      <c r="J764" s="13" t="s">
        <v>1744</v>
      </c>
      <c r="K764" s="13">
        <v>2</v>
      </c>
      <c r="L764" s="278" t="s">
        <v>112</v>
      </c>
      <c r="M764" s="280"/>
      <c r="N764" s="280"/>
    </row>
    <row r="765" spans="1:14">
      <c r="A765" s="287"/>
      <c r="B765" s="278"/>
      <c r="C765" s="278"/>
      <c r="D765" s="288"/>
      <c r="E765" s="278"/>
      <c r="F765" s="278"/>
      <c r="G765" s="278" t="s">
        <v>1963</v>
      </c>
      <c r="H765" s="13">
        <v>1.04</v>
      </c>
      <c r="I765" s="13">
        <v>0.33</v>
      </c>
      <c r="J765" s="13" t="s">
        <v>1762</v>
      </c>
      <c r="K765" s="13">
        <v>2.2</v>
      </c>
      <c r="L765" s="278"/>
      <c r="M765" s="280"/>
      <c r="N765" s="280"/>
    </row>
    <row r="766" spans="1:14">
      <c r="A766" s="287"/>
      <c r="B766" s="278"/>
      <c r="C766" s="278"/>
      <c r="D766" s="288"/>
      <c r="E766" s="278"/>
      <c r="F766" s="278"/>
      <c r="G766" s="278" t="s">
        <v>1964</v>
      </c>
      <c r="H766" s="13">
        <v>3.02</v>
      </c>
      <c r="I766" s="13">
        <v>0.12</v>
      </c>
      <c r="J766" s="289" t="s">
        <v>24</v>
      </c>
      <c r="K766" s="289" t="s">
        <v>24</v>
      </c>
      <c r="L766" s="278"/>
      <c r="M766" s="280"/>
      <c r="N766" s="280"/>
    </row>
    <row r="767" spans="1:14">
      <c r="A767" s="287"/>
      <c r="B767" s="278"/>
      <c r="C767" s="278"/>
      <c r="D767" s="288"/>
      <c r="E767" s="278"/>
      <c r="F767" s="278"/>
      <c r="G767" s="278" t="s">
        <v>1965</v>
      </c>
      <c r="H767" s="13">
        <v>3.02</v>
      </c>
      <c r="I767" s="13">
        <v>0.18</v>
      </c>
      <c r="J767" s="289" t="s">
        <v>24</v>
      </c>
      <c r="K767" s="289" t="s">
        <v>24</v>
      </c>
      <c r="L767" s="278"/>
      <c r="M767" s="280"/>
      <c r="N767" s="280"/>
    </row>
    <row r="768" spans="1:14">
      <c r="A768" s="9">
        <v>45519</v>
      </c>
      <c r="B768" s="278" t="s">
        <v>2017</v>
      </c>
      <c r="C768" s="278" t="s">
        <v>459</v>
      </c>
      <c r="D768" s="282">
        <v>3.9</v>
      </c>
      <c r="E768" s="278" t="s">
        <v>2018</v>
      </c>
      <c r="F768" s="278" t="s">
        <v>482</v>
      </c>
      <c r="G768" s="278" t="s">
        <v>1962</v>
      </c>
      <c r="H768" s="13">
        <v>2.02</v>
      </c>
      <c r="I768" s="13">
        <v>3.7</v>
      </c>
      <c r="J768" s="13" t="s">
        <v>1744</v>
      </c>
      <c r="K768" s="13">
        <v>2.14</v>
      </c>
      <c r="L768" s="278" t="s">
        <v>1517</v>
      </c>
      <c r="M768" s="280"/>
      <c r="N768" s="280"/>
    </row>
    <row r="769" spans="1:14">
      <c r="A769" s="287"/>
      <c r="B769" s="278"/>
      <c r="C769" s="278"/>
      <c r="D769" s="288"/>
      <c r="E769" s="278"/>
      <c r="F769" s="278"/>
      <c r="G769" s="278" t="s">
        <v>503</v>
      </c>
      <c r="H769" s="13">
        <v>2.02</v>
      </c>
      <c r="I769" s="13">
        <v>0.2</v>
      </c>
      <c r="J769" s="289" t="s">
        <v>24</v>
      </c>
      <c r="K769" s="289" t="s">
        <v>24</v>
      </c>
      <c r="L769" s="278"/>
      <c r="M769" s="280"/>
      <c r="N769" s="280"/>
    </row>
    <row r="770" spans="1:14">
      <c r="A770" s="9">
        <v>45509</v>
      </c>
      <c r="B770" s="278" t="s">
        <v>2019</v>
      </c>
      <c r="C770" s="278" t="s">
        <v>462</v>
      </c>
      <c r="D770" s="282">
        <v>3</v>
      </c>
      <c r="E770" s="278" t="s">
        <v>1754</v>
      </c>
      <c r="F770" s="278" t="s">
        <v>460</v>
      </c>
      <c r="G770" s="278" t="s">
        <v>1962</v>
      </c>
      <c r="H770" s="278" t="s">
        <v>2020</v>
      </c>
      <c r="I770" s="13">
        <v>2.51</v>
      </c>
      <c r="J770" s="278" t="s">
        <v>2020</v>
      </c>
      <c r="K770" s="278" t="s">
        <v>2020</v>
      </c>
      <c r="L770" s="278" t="s">
        <v>27</v>
      </c>
      <c r="M770" s="280"/>
      <c r="N770" s="280"/>
    </row>
    <row r="771" spans="1:14">
      <c r="A771" s="287"/>
      <c r="B771" s="278"/>
      <c r="C771" s="278"/>
      <c r="D771" s="288"/>
      <c r="E771" s="278"/>
      <c r="F771" s="278"/>
      <c r="G771" s="278" t="s">
        <v>1963</v>
      </c>
      <c r="H771" s="278" t="s">
        <v>2020</v>
      </c>
      <c r="I771" s="13">
        <v>0.18</v>
      </c>
      <c r="J771" s="278" t="s">
        <v>2020</v>
      </c>
      <c r="K771" s="278" t="s">
        <v>2020</v>
      </c>
      <c r="L771" s="278"/>
      <c r="M771" s="280"/>
      <c r="N771" s="280"/>
    </row>
    <row r="772" spans="1:14">
      <c r="A772" s="287"/>
      <c r="B772" s="278"/>
      <c r="C772" s="278"/>
      <c r="D772" s="288"/>
      <c r="E772" s="278"/>
      <c r="F772" s="278"/>
      <c r="G772" s="278" t="s">
        <v>1972</v>
      </c>
      <c r="H772" s="278" t="s">
        <v>2020</v>
      </c>
      <c r="I772" s="13">
        <v>0.16</v>
      </c>
      <c r="J772" s="278" t="s">
        <v>2020</v>
      </c>
      <c r="K772" s="278" t="s">
        <v>2020</v>
      </c>
      <c r="L772" s="278"/>
      <c r="M772" s="280"/>
      <c r="N772" s="280"/>
    </row>
    <row r="773" spans="1:14">
      <c r="A773" s="287"/>
      <c r="B773" s="278"/>
      <c r="C773" s="278"/>
      <c r="D773" s="288"/>
      <c r="E773" s="278"/>
      <c r="F773" s="278"/>
      <c r="G773" s="278" t="s">
        <v>503</v>
      </c>
      <c r="H773" s="278" t="s">
        <v>2020</v>
      </c>
      <c r="I773" s="13">
        <v>0.15</v>
      </c>
      <c r="J773" s="289" t="s">
        <v>24</v>
      </c>
      <c r="K773" s="289" t="s">
        <v>24</v>
      </c>
      <c r="L773" s="278"/>
      <c r="M773" s="280"/>
      <c r="N773" s="280"/>
    </row>
    <row r="774" spans="1:14">
      <c r="A774" s="9">
        <v>45513</v>
      </c>
      <c r="B774" s="278" t="s">
        <v>2021</v>
      </c>
      <c r="C774" s="278" t="s">
        <v>462</v>
      </c>
      <c r="D774" s="282">
        <v>10</v>
      </c>
      <c r="E774" s="278" t="s">
        <v>536</v>
      </c>
      <c r="F774" s="278" t="s">
        <v>1091</v>
      </c>
      <c r="G774" s="278" t="s">
        <v>1962</v>
      </c>
      <c r="H774" s="13">
        <v>0.58</v>
      </c>
      <c r="I774" s="13">
        <v>9</v>
      </c>
      <c r="J774" s="13" t="s">
        <v>1744</v>
      </c>
      <c r="K774" s="13">
        <v>1.98</v>
      </c>
      <c r="L774" s="278" t="s">
        <v>35</v>
      </c>
      <c r="M774" s="280"/>
      <c r="N774" s="280"/>
    </row>
    <row r="775" spans="1:14">
      <c r="A775" s="287"/>
      <c r="B775" s="278"/>
      <c r="C775" s="278"/>
      <c r="D775" s="288"/>
      <c r="E775" s="278"/>
      <c r="F775" s="278"/>
      <c r="G775" s="278" t="s">
        <v>1963</v>
      </c>
      <c r="H775" s="13">
        <v>0.67</v>
      </c>
      <c r="I775" s="13">
        <v>0.5</v>
      </c>
      <c r="J775" s="13" t="s">
        <v>1762</v>
      </c>
      <c r="K775" s="13">
        <v>2.01</v>
      </c>
      <c r="L775" s="278"/>
      <c r="M775" s="280"/>
      <c r="N775" s="280"/>
    </row>
    <row r="776" spans="1:14">
      <c r="A776" s="287"/>
      <c r="B776" s="278"/>
      <c r="C776" s="278"/>
      <c r="D776" s="288"/>
      <c r="E776" s="278"/>
      <c r="F776" s="278"/>
      <c r="G776" s="278" t="s">
        <v>503</v>
      </c>
      <c r="H776" s="13">
        <v>1.42</v>
      </c>
      <c r="I776" s="13">
        <v>0.5</v>
      </c>
      <c r="J776" s="289" t="s">
        <v>24</v>
      </c>
      <c r="K776" s="289" t="s">
        <v>24</v>
      </c>
      <c r="L776" s="278"/>
      <c r="M776" s="280"/>
      <c r="N776" s="280"/>
    </row>
    <row r="777" spans="1:14">
      <c r="A777" s="9">
        <v>45518</v>
      </c>
      <c r="B777" s="278" t="s">
        <v>2022</v>
      </c>
      <c r="C777" s="278" t="s">
        <v>462</v>
      </c>
      <c r="D777" s="282">
        <v>5.29</v>
      </c>
      <c r="E777" s="278" t="s">
        <v>1139</v>
      </c>
      <c r="F777" s="278" t="s">
        <v>1140</v>
      </c>
      <c r="G777" s="278" t="s">
        <v>1962</v>
      </c>
      <c r="H777" s="13">
        <v>0.96</v>
      </c>
      <c r="I777" s="13">
        <v>1.84</v>
      </c>
      <c r="J777" s="13" t="s">
        <v>1744</v>
      </c>
      <c r="K777" s="13">
        <v>1.9</v>
      </c>
      <c r="L777" s="278" t="s">
        <v>435</v>
      </c>
      <c r="M777" s="280"/>
      <c r="N777" s="280"/>
    </row>
    <row r="778" spans="1:14">
      <c r="A778" s="287"/>
      <c r="B778" s="278"/>
      <c r="C778" s="278"/>
      <c r="D778" s="288"/>
      <c r="E778" s="278"/>
      <c r="F778" s="278"/>
      <c r="G778" s="278" t="s">
        <v>1963</v>
      </c>
      <c r="H778" s="13">
        <v>1.96</v>
      </c>
      <c r="I778" s="13">
        <v>1.88</v>
      </c>
      <c r="J778" s="13" t="s">
        <v>1744</v>
      </c>
      <c r="K778" s="13">
        <v>2.25</v>
      </c>
      <c r="L778" s="278"/>
      <c r="M778" s="280"/>
      <c r="N778" s="280"/>
    </row>
    <row r="779" spans="1:14">
      <c r="A779" s="287"/>
      <c r="B779" s="278"/>
      <c r="C779" s="278"/>
      <c r="D779" s="288"/>
      <c r="E779" s="278"/>
      <c r="F779" s="278"/>
      <c r="G779" s="278" t="s">
        <v>1972</v>
      </c>
      <c r="H779" s="13">
        <v>2.62</v>
      </c>
      <c r="I779" s="13">
        <v>1.3</v>
      </c>
      <c r="J779" s="13" t="s">
        <v>1744</v>
      </c>
      <c r="K779" s="13">
        <v>2.45</v>
      </c>
      <c r="L779" s="278"/>
      <c r="M779" s="280"/>
      <c r="N779" s="280"/>
    </row>
    <row r="780" spans="1:14">
      <c r="A780" s="287"/>
      <c r="B780" s="278"/>
      <c r="C780" s="278"/>
      <c r="D780" s="288"/>
      <c r="E780" s="278"/>
      <c r="F780" s="278"/>
      <c r="G780" s="278" t="s">
        <v>503</v>
      </c>
      <c r="H780" s="13">
        <v>2.79</v>
      </c>
      <c r="I780" s="13">
        <v>0.27</v>
      </c>
      <c r="J780" s="289" t="s">
        <v>24</v>
      </c>
      <c r="K780" s="289" t="s">
        <v>24</v>
      </c>
      <c r="L780" s="278"/>
      <c r="M780" s="280"/>
      <c r="N780" s="280"/>
    </row>
    <row r="781" spans="1:14">
      <c r="A781" s="9">
        <v>45519</v>
      </c>
      <c r="B781" s="278" t="s">
        <v>2023</v>
      </c>
      <c r="C781" s="278" t="s">
        <v>462</v>
      </c>
      <c r="D781" s="282">
        <v>4</v>
      </c>
      <c r="E781" s="278" t="s">
        <v>1754</v>
      </c>
      <c r="F781" s="278" t="s">
        <v>474</v>
      </c>
      <c r="G781" s="278" t="s">
        <v>1962</v>
      </c>
      <c r="H781" s="13">
        <v>1.95</v>
      </c>
      <c r="I781" s="13">
        <v>3.36</v>
      </c>
      <c r="J781" s="13" t="s">
        <v>1744</v>
      </c>
      <c r="K781" s="13">
        <v>2.9</v>
      </c>
      <c r="L781" s="278" t="s">
        <v>70</v>
      </c>
      <c r="M781" s="280"/>
      <c r="N781" s="280"/>
    </row>
    <row r="782" spans="1:14">
      <c r="A782" s="287"/>
      <c r="B782" s="278"/>
      <c r="C782" s="278"/>
      <c r="D782" s="288"/>
      <c r="E782" s="278"/>
      <c r="F782" s="278"/>
      <c r="G782" s="278" t="s">
        <v>1963</v>
      </c>
      <c r="H782" s="13">
        <v>2.04</v>
      </c>
      <c r="I782" s="13">
        <v>0.16</v>
      </c>
      <c r="J782" s="13" t="s">
        <v>1762</v>
      </c>
      <c r="K782" s="13">
        <v>3.7</v>
      </c>
      <c r="L782" s="278"/>
      <c r="M782" s="280"/>
      <c r="N782" s="280"/>
    </row>
    <row r="783" spans="1:14">
      <c r="A783" s="287"/>
      <c r="B783" s="278"/>
      <c r="C783" s="278"/>
      <c r="D783" s="288"/>
      <c r="E783" s="278"/>
      <c r="F783" s="278"/>
      <c r="G783" s="278" t="s">
        <v>503</v>
      </c>
      <c r="H783" s="13">
        <v>2.79</v>
      </c>
      <c r="I783" s="13">
        <v>0.48</v>
      </c>
      <c r="J783" s="289" t="s">
        <v>24</v>
      </c>
      <c r="K783" s="289" t="s">
        <v>24</v>
      </c>
      <c r="L783" s="278"/>
      <c r="M783" s="280"/>
      <c r="N783" s="280"/>
    </row>
    <row r="784" spans="1:14">
      <c r="A784" s="9">
        <v>45517</v>
      </c>
      <c r="B784" s="278" t="s">
        <v>2024</v>
      </c>
      <c r="C784" s="278" t="s">
        <v>459</v>
      </c>
      <c r="D784" s="282">
        <v>5</v>
      </c>
      <c r="E784" s="278" t="s">
        <v>477</v>
      </c>
      <c r="F784" s="278" t="s">
        <v>474</v>
      </c>
      <c r="G784" s="278" t="s">
        <v>1962</v>
      </c>
      <c r="H784" s="13">
        <v>1.01</v>
      </c>
      <c r="I784" s="13">
        <v>4.4</v>
      </c>
      <c r="J784" s="13" t="s">
        <v>1744</v>
      </c>
      <c r="K784" s="13">
        <v>2.02</v>
      </c>
      <c r="L784" s="278" t="s">
        <v>41</v>
      </c>
      <c r="M784" s="280"/>
      <c r="N784" s="280"/>
    </row>
    <row r="785" spans="1:14">
      <c r="A785" s="287"/>
      <c r="B785" s="278"/>
      <c r="C785" s="278"/>
      <c r="D785" s="288"/>
      <c r="E785" s="278"/>
      <c r="F785" s="278"/>
      <c r="G785" s="278" t="s">
        <v>1963</v>
      </c>
      <c r="H785" s="13">
        <v>1.01</v>
      </c>
      <c r="I785" s="13">
        <v>0.17</v>
      </c>
      <c r="J785" s="13" t="s">
        <v>1762</v>
      </c>
      <c r="K785" s="13">
        <v>2.15</v>
      </c>
      <c r="L785" s="278"/>
      <c r="M785" s="280"/>
      <c r="N785" s="280"/>
    </row>
    <row r="786" spans="1:14">
      <c r="A786" s="287"/>
      <c r="B786" s="278"/>
      <c r="C786" s="278"/>
      <c r="D786" s="288"/>
      <c r="E786" s="278"/>
      <c r="F786" s="278"/>
      <c r="G786" s="278" t="s">
        <v>1972</v>
      </c>
      <c r="H786" s="13">
        <v>1.01</v>
      </c>
      <c r="I786" s="13">
        <v>0.18</v>
      </c>
      <c r="J786" s="13" t="s">
        <v>505</v>
      </c>
      <c r="K786" s="13">
        <v>4.7</v>
      </c>
      <c r="L786" s="278"/>
      <c r="M786" s="280"/>
      <c r="N786" s="280"/>
    </row>
    <row r="787" spans="1:14">
      <c r="A787" s="287"/>
      <c r="B787" s="278"/>
      <c r="C787" s="278"/>
      <c r="D787" s="288"/>
      <c r="E787" s="278"/>
      <c r="F787" s="278"/>
      <c r="G787" s="278" t="s">
        <v>503</v>
      </c>
      <c r="H787" s="13">
        <v>2.76</v>
      </c>
      <c r="I787" s="13">
        <v>0.25</v>
      </c>
      <c r="J787" s="289" t="s">
        <v>24</v>
      </c>
      <c r="K787" s="289" t="s">
        <v>24</v>
      </c>
      <c r="L787" s="278"/>
      <c r="M787" s="280"/>
      <c r="N787" s="280"/>
    </row>
    <row r="788" spans="1:14">
      <c r="A788" s="9">
        <v>45513</v>
      </c>
      <c r="B788" s="278" t="s">
        <v>2025</v>
      </c>
      <c r="C788" s="278" t="s">
        <v>459</v>
      </c>
      <c r="D788" s="282">
        <v>8</v>
      </c>
      <c r="E788" s="278" t="s">
        <v>486</v>
      </c>
      <c r="F788" s="278" t="s">
        <v>543</v>
      </c>
      <c r="G788" s="278" t="s">
        <v>531</v>
      </c>
      <c r="H788" s="13">
        <v>1.05</v>
      </c>
      <c r="I788" s="13">
        <v>7.6</v>
      </c>
      <c r="J788" s="13" t="s">
        <v>1744</v>
      </c>
      <c r="K788" s="13">
        <v>2.58</v>
      </c>
      <c r="L788" s="278" t="s">
        <v>1082</v>
      </c>
      <c r="M788" s="280"/>
      <c r="N788" s="280"/>
    </row>
    <row r="789" spans="1:14">
      <c r="A789" s="287"/>
      <c r="B789" s="278"/>
      <c r="C789" s="278"/>
      <c r="D789" s="288"/>
      <c r="E789" s="278"/>
      <c r="F789" s="278"/>
      <c r="G789" s="278" t="s">
        <v>503</v>
      </c>
      <c r="H789" s="13">
        <v>3</v>
      </c>
      <c r="I789" s="13">
        <v>0.4</v>
      </c>
      <c r="J789" s="289" t="s">
        <v>24</v>
      </c>
      <c r="K789" s="289" t="s">
        <v>24</v>
      </c>
      <c r="L789" s="278"/>
      <c r="M789" s="280"/>
      <c r="N789" s="280"/>
    </row>
    <row r="790" spans="1:14">
      <c r="A790" s="9">
        <v>45518</v>
      </c>
      <c r="B790" s="278" t="s">
        <v>2026</v>
      </c>
      <c r="C790" s="278" t="s">
        <v>462</v>
      </c>
      <c r="D790" s="282">
        <v>10</v>
      </c>
      <c r="E790" s="278" t="s">
        <v>536</v>
      </c>
      <c r="F790" s="278" t="s">
        <v>1091</v>
      </c>
      <c r="G790" s="278" t="s">
        <v>1962</v>
      </c>
      <c r="H790" s="13">
        <v>0.59</v>
      </c>
      <c r="I790" s="13">
        <v>9</v>
      </c>
      <c r="J790" s="13" t="s">
        <v>1744</v>
      </c>
      <c r="K790" s="13">
        <v>1.99</v>
      </c>
      <c r="L790" s="278" t="s">
        <v>35</v>
      </c>
      <c r="M790" s="280"/>
      <c r="N790" s="280"/>
    </row>
    <row r="791" spans="1:14">
      <c r="A791" s="287"/>
      <c r="B791" s="278"/>
      <c r="C791" s="278"/>
      <c r="D791" s="288"/>
      <c r="E791" s="278"/>
      <c r="F791" s="278"/>
      <c r="G791" s="278" t="s">
        <v>1963</v>
      </c>
      <c r="H791" s="13">
        <v>0.68</v>
      </c>
      <c r="I791" s="13">
        <v>0.5</v>
      </c>
      <c r="J791" s="13" t="s">
        <v>1762</v>
      </c>
      <c r="K791" s="13">
        <v>2.01</v>
      </c>
      <c r="L791" s="278"/>
      <c r="M791" s="280"/>
      <c r="N791" s="280"/>
    </row>
    <row r="792" spans="1:14">
      <c r="A792" s="287"/>
      <c r="B792" s="278"/>
      <c r="C792" s="278"/>
      <c r="D792" s="288"/>
      <c r="E792" s="278"/>
      <c r="F792" s="278"/>
      <c r="G792" s="278" t="s">
        <v>503</v>
      </c>
      <c r="H792" s="13">
        <v>1.43</v>
      </c>
      <c r="I792" s="13">
        <v>0.5</v>
      </c>
      <c r="J792" s="289" t="s">
        <v>24</v>
      </c>
      <c r="K792" s="289" t="s">
        <v>24</v>
      </c>
      <c r="L792" s="278"/>
      <c r="M792" s="280"/>
      <c r="N792" s="280"/>
    </row>
    <row r="793" spans="1:14">
      <c r="A793" s="9">
        <v>45519</v>
      </c>
      <c r="B793" s="278" t="s">
        <v>2027</v>
      </c>
      <c r="C793" s="278" t="s">
        <v>462</v>
      </c>
      <c r="D793" s="282">
        <v>10</v>
      </c>
      <c r="E793" s="278" t="s">
        <v>1079</v>
      </c>
      <c r="F793" s="278" t="s">
        <v>482</v>
      </c>
      <c r="G793" s="278" t="s">
        <v>1962</v>
      </c>
      <c r="H793" s="13">
        <v>2.01</v>
      </c>
      <c r="I793" s="13">
        <v>8.7</v>
      </c>
      <c r="J793" s="13" t="s">
        <v>1744</v>
      </c>
      <c r="K793" s="13">
        <v>2.06</v>
      </c>
      <c r="L793" s="278" t="s">
        <v>35</v>
      </c>
      <c r="M793" s="280"/>
      <c r="N793" s="280"/>
    </row>
    <row r="794" spans="1:14">
      <c r="A794" s="287"/>
      <c r="B794" s="278"/>
      <c r="C794" s="278"/>
      <c r="D794" s="288"/>
      <c r="E794" s="278"/>
      <c r="F794" s="278"/>
      <c r="G794" s="278" t="s">
        <v>1963</v>
      </c>
      <c r="H794" s="13">
        <v>2.01</v>
      </c>
      <c r="I794" s="13">
        <v>0.4</v>
      </c>
      <c r="J794" s="13" t="s">
        <v>1762</v>
      </c>
      <c r="K794" s="13">
        <v>2.18</v>
      </c>
      <c r="L794" s="278"/>
      <c r="M794" s="280"/>
      <c r="N794" s="280"/>
    </row>
    <row r="795" spans="1:14">
      <c r="A795" s="287"/>
      <c r="B795" s="278"/>
      <c r="C795" s="278"/>
      <c r="D795" s="288"/>
      <c r="E795" s="278"/>
      <c r="F795" s="278"/>
      <c r="G795" s="278" t="s">
        <v>503</v>
      </c>
      <c r="H795" s="13">
        <v>2.01</v>
      </c>
      <c r="I795" s="13">
        <v>0.9</v>
      </c>
      <c r="J795" s="289" t="s">
        <v>24</v>
      </c>
      <c r="K795" s="289" t="s">
        <v>24</v>
      </c>
      <c r="L795" s="278"/>
      <c r="M795" s="280"/>
      <c r="N795" s="280"/>
    </row>
    <row r="796" spans="1:14">
      <c r="A796" s="9">
        <v>45518</v>
      </c>
      <c r="B796" s="278" t="s">
        <v>2028</v>
      </c>
      <c r="C796" s="278" t="s">
        <v>462</v>
      </c>
      <c r="D796" s="282">
        <v>5</v>
      </c>
      <c r="E796" s="278" t="s">
        <v>477</v>
      </c>
      <c r="F796" s="278" t="s">
        <v>1938</v>
      </c>
      <c r="G796" s="278" t="s">
        <v>1962</v>
      </c>
      <c r="H796" s="13">
        <v>1.52</v>
      </c>
      <c r="I796" s="13">
        <v>4.1</v>
      </c>
      <c r="J796" s="13" t="s">
        <v>1744</v>
      </c>
      <c r="K796" s="13">
        <v>2.14</v>
      </c>
      <c r="L796" s="278" t="s">
        <v>35</v>
      </c>
      <c r="M796" s="280"/>
      <c r="N796" s="280"/>
    </row>
    <row r="797" spans="1:14">
      <c r="A797" s="287"/>
      <c r="B797" s="278"/>
      <c r="C797" s="278"/>
      <c r="D797" s="288"/>
      <c r="E797" s="278"/>
      <c r="F797" s="278"/>
      <c r="G797" s="278" t="s">
        <v>1963</v>
      </c>
      <c r="H797" s="13">
        <v>1.52</v>
      </c>
      <c r="I797" s="13">
        <v>0.2</v>
      </c>
      <c r="J797" s="13" t="s">
        <v>1762</v>
      </c>
      <c r="K797" s="13">
        <v>2.25</v>
      </c>
      <c r="L797" s="278"/>
      <c r="M797" s="280"/>
      <c r="N797" s="280"/>
    </row>
    <row r="798" spans="1:14">
      <c r="A798" s="287"/>
      <c r="B798" s="278"/>
      <c r="C798" s="278"/>
      <c r="D798" s="288"/>
      <c r="E798" s="278"/>
      <c r="F798" s="278"/>
      <c r="G798" s="278" t="s">
        <v>1972</v>
      </c>
      <c r="H798" s="13">
        <v>2.01</v>
      </c>
      <c r="I798" s="13">
        <v>0.175</v>
      </c>
      <c r="J798" s="13" t="s">
        <v>1746</v>
      </c>
      <c r="K798" s="13">
        <v>4.1</v>
      </c>
      <c r="L798" s="278"/>
      <c r="M798" s="280"/>
      <c r="N798" s="280"/>
    </row>
    <row r="799" spans="1:14">
      <c r="A799" s="287"/>
      <c r="B799" s="278"/>
      <c r="C799" s="278"/>
      <c r="D799" s="288"/>
      <c r="E799" s="278"/>
      <c r="F799" s="278"/>
      <c r="G799" s="278" t="s">
        <v>503</v>
      </c>
      <c r="H799" s="13">
        <v>2.01</v>
      </c>
      <c r="I799" s="13">
        <v>0.525</v>
      </c>
      <c r="J799" s="289" t="s">
        <v>24</v>
      </c>
      <c r="K799" s="289" t="s">
        <v>24</v>
      </c>
      <c r="L799" s="278"/>
      <c r="M799" s="280"/>
      <c r="N799" s="280"/>
    </row>
    <row r="800" spans="1:14">
      <c r="A800" s="9">
        <v>45525</v>
      </c>
      <c r="B800" s="278" t="s">
        <v>2029</v>
      </c>
      <c r="C800" s="278" t="s">
        <v>459</v>
      </c>
      <c r="D800" s="282">
        <v>10</v>
      </c>
      <c r="E800" s="278" t="s">
        <v>1066</v>
      </c>
      <c r="F800" s="278" t="s">
        <v>1054</v>
      </c>
      <c r="G800" s="278" t="s">
        <v>1962</v>
      </c>
      <c r="H800" s="13">
        <v>1.01</v>
      </c>
      <c r="I800" s="13">
        <v>9</v>
      </c>
      <c r="J800" s="13" t="s">
        <v>1744</v>
      </c>
      <c r="K800" s="13">
        <v>2.04</v>
      </c>
      <c r="L800" s="278" t="s">
        <v>35</v>
      </c>
      <c r="M800" s="280"/>
      <c r="N800" s="280"/>
    </row>
    <row r="801" spans="1:14">
      <c r="A801" s="287"/>
      <c r="B801" s="278"/>
      <c r="C801" s="278"/>
      <c r="D801" s="288"/>
      <c r="E801" s="278"/>
      <c r="F801" s="278"/>
      <c r="G801" s="278" t="s">
        <v>1963</v>
      </c>
      <c r="H801" s="13">
        <v>1.01</v>
      </c>
      <c r="I801" s="13">
        <v>0.3</v>
      </c>
      <c r="J801" s="13" t="s">
        <v>1762</v>
      </c>
      <c r="K801" s="13">
        <v>2.09</v>
      </c>
      <c r="L801" s="278"/>
      <c r="M801" s="280"/>
      <c r="N801" s="280"/>
    </row>
    <row r="802" spans="1:14">
      <c r="A802" s="287"/>
      <c r="B802" s="278"/>
      <c r="C802" s="278"/>
      <c r="D802" s="288"/>
      <c r="E802" s="278"/>
      <c r="F802" s="278"/>
      <c r="G802" s="278" t="s">
        <v>503</v>
      </c>
      <c r="H802" s="13">
        <v>2.93</v>
      </c>
      <c r="I802" s="13">
        <v>0.7</v>
      </c>
      <c r="J802" s="289" t="s">
        <v>24</v>
      </c>
      <c r="K802" s="289" t="s">
        <v>24</v>
      </c>
      <c r="L802" s="278"/>
      <c r="M802" s="280"/>
      <c r="N802" s="280"/>
    </row>
    <row r="803" spans="1:14">
      <c r="A803" s="9">
        <v>45524</v>
      </c>
      <c r="B803" s="278" t="s">
        <v>2030</v>
      </c>
      <c r="C803" s="278" t="s">
        <v>459</v>
      </c>
      <c r="D803" s="282">
        <v>5</v>
      </c>
      <c r="E803" s="278" t="s">
        <v>477</v>
      </c>
      <c r="F803" s="278" t="s">
        <v>1971</v>
      </c>
      <c r="G803" s="278" t="s">
        <v>1958</v>
      </c>
      <c r="H803" s="13">
        <v>1.09</v>
      </c>
      <c r="I803" s="13">
        <v>3.5</v>
      </c>
      <c r="J803" s="13" t="s">
        <v>1744</v>
      </c>
      <c r="K803" s="13">
        <v>2.05</v>
      </c>
      <c r="L803" s="278" t="s">
        <v>41</v>
      </c>
      <c r="M803" s="280"/>
      <c r="N803" s="280"/>
    </row>
    <row r="804" spans="1:14">
      <c r="A804" s="287"/>
      <c r="B804" s="278"/>
      <c r="C804" s="278"/>
      <c r="D804" s="288"/>
      <c r="E804" s="278"/>
      <c r="F804" s="278"/>
      <c r="G804" s="278" t="s">
        <v>1959</v>
      </c>
      <c r="H804" s="13">
        <v>1.17</v>
      </c>
      <c r="I804" s="13">
        <v>0.7</v>
      </c>
      <c r="J804" s="13" t="s">
        <v>1744</v>
      </c>
      <c r="K804" s="13">
        <v>2.1</v>
      </c>
      <c r="L804" s="278"/>
      <c r="M804" s="280"/>
      <c r="N804" s="280"/>
    </row>
    <row r="805" spans="1:14">
      <c r="A805" s="287"/>
      <c r="B805" s="278"/>
      <c r="C805" s="278"/>
      <c r="D805" s="288"/>
      <c r="E805" s="278"/>
      <c r="F805" s="278"/>
      <c r="G805" s="278" t="s">
        <v>1963</v>
      </c>
      <c r="H805" s="13">
        <v>1.22</v>
      </c>
      <c r="I805" s="13">
        <v>0.27</v>
      </c>
      <c r="J805" s="13" t="s">
        <v>1762</v>
      </c>
      <c r="K805" s="13">
        <v>2.18</v>
      </c>
      <c r="L805" s="278"/>
      <c r="M805" s="280"/>
      <c r="N805" s="280"/>
    </row>
    <row r="806" spans="1:14">
      <c r="A806" s="287"/>
      <c r="B806" s="278"/>
      <c r="C806" s="278"/>
      <c r="D806" s="288"/>
      <c r="E806" s="278"/>
      <c r="F806" s="278"/>
      <c r="G806" s="278" t="s">
        <v>1972</v>
      </c>
      <c r="H806" s="13">
        <v>1.26</v>
      </c>
      <c r="I806" s="13">
        <v>0.28</v>
      </c>
      <c r="J806" s="13" t="s">
        <v>1782</v>
      </c>
      <c r="K806" s="13">
        <v>4.7</v>
      </c>
      <c r="L806" s="278"/>
      <c r="M806" s="280"/>
      <c r="N806" s="280"/>
    </row>
    <row r="807" spans="1:14">
      <c r="A807" s="287"/>
      <c r="B807" s="278"/>
      <c r="C807" s="278"/>
      <c r="D807" s="288"/>
      <c r="E807" s="278"/>
      <c r="F807" s="278"/>
      <c r="G807" s="278" t="s">
        <v>503</v>
      </c>
      <c r="H807" s="13">
        <v>1.76</v>
      </c>
      <c r="I807" s="13">
        <v>0.25</v>
      </c>
      <c r="J807" s="289" t="s">
        <v>24</v>
      </c>
      <c r="K807" s="289" t="s">
        <v>24</v>
      </c>
      <c r="L807" s="278"/>
      <c r="M807" s="280"/>
      <c r="N807" s="280"/>
    </row>
    <row r="808" spans="1:14">
      <c r="A808" s="9">
        <v>45520</v>
      </c>
      <c r="B808" s="278" t="s">
        <v>2031</v>
      </c>
      <c r="C808" s="278" t="s">
        <v>462</v>
      </c>
      <c r="D808" s="282">
        <v>5</v>
      </c>
      <c r="E808" s="278" t="s">
        <v>486</v>
      </c>
      <c r="F808" s="278" t="s">
        <v>1091</v>
      </c>
      <c r="G808" s="278" t="s">
        <v>1962</v>
      </c>
      <c r="H808" s="13">
        <v>1.03</v>
      </c>
      <c r="I808" s="13">
        <v>4.19</v>
      </c>
      <c r="J808" s="13" t="s">
        <v>1744</v>
      </c>
      <c r="K808" s="13">
        <v>2.06</v>
      </c>
      <c r="L808" s="278" t="s">
        <v>27</v>
      </c>
      <c r="M808" s="280"/>
      <c r="N808" s="280"/>
    </row>
    <row r="809" spans="1:14">
      <c r="A809" s="287"/>
      <c r="B809" s="278"/>
      <c r="C809" s="278"/>
      <c r="D809" s="288"/>
      <c r="E809" s="278"/>
      <c r="F809" s="278"/>
      <c r="G809" s="278" t="s">
        <v>1963</v>
      </c>
      <c r="H809" s="13">
        <v>1.03</v>
      </c>
      <c r="I809" s="13">
        <v>0.29</v>
      </c>
      <c r="J809" s="13" t="s">
        <v>1762</v>
      </c>
      <c r="K809" s="13">
        <v>2.15</v>
      </c>
      <c r="L809" s="278"/>
      <c r="M809" s="280"/>
      <c r="N809" s="280"/>
    </row>
    <row r="810" spans="1:14">
      <c r="A810" s="287"/>
      <c r="B810" s="278"/>
      <c r="C810" s="278"/>
      <c r="D810" s="288"/>
      <c r="E810" s="278"/>
      <c r="F810" s="278"/>
      <c r="G810" s="278" t="s">
        <v>2032</v>
      </c>
      <c r="H810" s="13">
        <v>1.53</v>
      </c>
      <c r="I810" s="13">
        <v>0.27</v>
      </c>
      <c r="J810" s="289" t="s">
        <v>24</v>
      </c>
      <c r="K810" s="289" t="s">
        <v>24</v>
      </c>
      <c r="L810" s="278"/>
      <c r="M810" s="280"/>
      <c r="N810" s="280"/>
    </row>
    <row r="811" spans="1:14">
      <c r="A811" s="287"/>
      <c r="B811" s="278"/>
      <c r="C811" s="278"/>
      <c r="D811" s="288"/>
      <c r="E811" s="278"/>
      <c r="F811" s="278"/>
      <c r="G811" s="278" t="s">
        <v>2033</v>
      </c>
      <c r="H811" s="13">
        <v>1.53</v>
      </c>
      <c r="I811" s="13">
        <v>0.25</v>
      </c>
      <c r="J811" s="289" t="s">
        <v>24</v>
      </c>
      <c r="K811" s="289" t="s">
        <v>24</v>
      </c>
      <c r="L811" s="278"/>
      <c r="M811" s="280"/>
      <c r="N811" s="280"/>
    </row>
    <row r="812" spans="1:14">
      <c r="A812" s="9">
        <v>45520</v>
      </c>
      <c r="B812" s="278" t="s">
        <v>2034</v>
      </c>
      <c r="C812" s="278" t="s">
        <v>459</v>
      </c>
      <c r="D812" s="282">
        <v>6</v>
      </c>
      <c r="E812" s="278" t="s">
        <v>477</v>
      </c>
      <c r="F812" s="278" t="s">
        <v>487</v>
      </c>
      <c r="G812" s="278" t="s">
        <v>1962</v>
      </c>
      <c r="H812" s="13">
        <v>1.04</v>
      </c>
      <c r="I812" s="13">
        <v>5.37</v>
      </c>
      <c r="J812" s="13" t="s">
        <v>1744</v>
      </c>
      <c r="K812" s="13">
        <v>2.06</v>
      </c>
      <c r="L812" s="278" t="s">
        <v>2035</v>
      </c>
      <c r="M812" s="280"/>
      <c r="N812" s="280"/>
    </row>
    <row r="813" spans="1:14">
      <c r="A813" s="287"/>
      <c r="B813" s="278"/>
      <c r="C813" s="278"/>
      <c r="D813" s="288"/>
      <c r="E813" s="278"/>
      <c r="F813" s="278"/>
      <c r="G813" s="278" t="s">
        <v>1963</v>
      </c>
      <c r="H813" s="13">
        <v>1.04</v>
      </c>
      <c r="I813" s="13">
        <v>0.33</v>
      </c>
      <c r="J813" s="13" t="s">
        <v>1762</v>
      </c>
      <c r="K813" s="13">
        <v>2.2</v>
      </c>
      <c r="L813" s="278"/>
      <c r="M813" s="280"/>
      <c r="N813" s="280"/>
    </row>
    <row r="814" spans="1:14">
      <c r="A814" s="287"/>
      <c r="B814" s="278"/>
      <c r="C814" s="278"/>
      <c r="D814" s="288"/>
      <c r="E814" s="278"/>
      <c r="F814" s="278"/>
      <c r="G814" s="278" t="s">
        <v>2032</v>
      </c>
      <c r="H814" s="13">
        <v>3.05</v>
      </c>
      <c r="I814" s="13">
        <v>0.12</v>
      </c>
      <c r="J814" s="289" t="s">
        <v>24</v>
      </c>
      <c r="K814" s="289" t="s">
        <v>24</v>
      </c>
      <c r="L814" s="278"/>
      <c r="M814" s="280"/>
      <c r="N814" s="280"/>
    </row>
    <row r="815" spans="1:14">
      <c r="A815" s="287"/>
      <c r="B815" s="278"/>
      <c r="C815" s="278"/>
      <c r="D815" s="288"/>
      <c r="E815" s="278"/>
      <c r="F815" s="278"/>
      <c r="G815" s="278" t="s">
        <v>2033</v>
      </c>
      <c r="H815" s="13">
        <v>3.05</v>
      </c>
      <c r="I815" s="13">
        <v>0.18</v>
      </c>
      <c r="J815" s="289" t="s">
        <v>24</v>
      </c>
      <c r="K815" s="289" t="s">
        <v>24</v>
      </c>
      <c r="L815" s="278"/>
      <c r="M815" s="280"/>
      <c r="N815" s="280"/>
    </row>
    <row r="816" spans="1:14">
      <c r="A816" s="9">
        <v>45520</v>
      </c>
      <c r="B816" s="278" t="s">
        <v>2036</v>
      </c>
      <c r="C816" s="278" t="s">
        <v>462</v>
      </c>
      <c r="D816" s="282">
        <v>5.5</v>
      </c>
      <c r="E816" s="278" t="s">
        <v>1277</v>
      </c>
      <c r="F816" s="278" t="s">
        <v>487</v>
      </c>
      <c r="G816" s="278" t="s">
        <v>1962</v>
      </c>
      <c r="H816" s="13">
        <v>1.42</v>
      </c>
      <c r="I816" s="13">
        <v>4.62</v>
      </c>
      <c r="J816" s="13" t="s">
        <v>1744</v>
      </c>
      <c r="K816" s="13">
        <v>2.04</v>
      </c>
      <c r="L816" s="278" t="s">
        <v>355</v>
      </c>
      <c r="M816" s="280"/>
      <c r="N816" s="280"/>
    </row>
    <row r="817" spans="1:14">
      <c r="A817" s="287"/>
      <c r="B817" s="278"/>
      <c r="C817" s="278"/>
      <c r="D817" s="288"/>
      <c r="E817" s="278"/>
      <c r="F817" s="278"/>
      <c r="G817" s="278" t="s">
        <v>1963</v>
      </c>
      <c r="H817" s="13">
        <v>2</v>
      </c>
      <c r="I817" s="13">
        <v>0.27</v>
      </c>
      <c r="J817" s="13" t="s">
        <v>1762</v>
      </c>
      <c r="K817" s="13">
        <v>2.22</v>
      </c>
      <c r="L817" s="278"/>
      <c r="M817" s="280"/>
      <c r="N817" s="280"/>
    </row>
    <row r="818" spans="1:14">
      <c r="A818" s="287"/>
      <c r="B818" s="278"/>
      <c r="C818" s="278"/>
      <c r="D818" s="288"/>
      <c r="E818" s="278"/>
      <c r="F818" s="278"/>
      <c r="G818" s="278" t="s">
        <v>1972</v>
      </c>
      <c r="H818" s="13">
        <v>2</v>
      </c>
      <c r="I818" s="13">
        <v>0.22</v>
      </c>
      <c r="J818" s="13" t="s">
        <v>1782</v>
      </c>
      <c r="K818" s="13">
        <v>2.9</v>
      </c>
      <c r="L818" s="278"/>
      <c r="M818" s="280"/>
      <c r="N818" s="280"/>
    </row>
    <row r="819" spans="1:14">
      <c r="A819" s="287"/>
      <c r="B819" s="278"/>
      <c r="C819" s="278"/>
      <c r="D819" s="288"/>
      <c r="E819" s="278"/>
      <c r="F819" s="278"/>
      <c r="G819" s="278" t="s">
        <v>503</v>
      </c>
      <c r="H819" s="13">
        <v>2</v>
      </c>
      <c r="I819" s="13">
        <v>0.39</v>
      </c>
      <c r="J819" s="289" t="s">
        <v>24</v>
      </c>
      <c r="K819" s="289" t="s">
        <v>24</v>
      </c>
      <c r="L819" s="278"/>
      <c r="M819" s="280"/>
      <c r="N819" s="280"/>
    </row>
    <row r="820" spans="1:14">
      <c r="A820" s="9">
        <v>45533</v>
      </c>
      <c r="B820" s="278" t="s">
        <v>2037</v>
      </c>
      <c r="C820" s="278" t="s">
        <v>462</v>
      </c>
      <c r="D820" s="282">
        <v>5</v>
      </c>
      <c r="E820" s="278" t="s">
        <v>552</v>
      </c>
      <c r="F820" s="278" t="s">
        <v>1961</v>
      </c>
      <c r="G820" s="278" t="s">
        <v>1962</v>
      </c>
      <c r="H820" s="13">
        <v>1.52</v>
      </c>
      <c r="I820" s="13">
        <v>4.23</v>
      </c>
      <c r="J820" s="13" t="s">
        <v>1744</v>
      </c>
      <c r="K820" s="13">
        <v>2.4</v>
      </c>
      <c r="L820" s="13">
        <v>360</v>
      </c>
      <c r="M820" s="280"/>
      <c r="N820" s="280"/>
    </row>
    <row r="821" spans="1:14">
      <c r="A821" s="287"/>
      <c r="B821" s="278"/>
      <c r="C821" s="278"/>
      <c r="D821" s="288"/>
      <c r="E821" s="278"/>
      <c r="F821" s="278"/>
      <c r="G821" s="278" t="s">
        <v>1963</v>
      </c>
      <c r="H821" s="13">
        <v>1.52</v>
      </c>
      <c r="I821" s="13">
        <v>0.22</v>
      </c>
      <c r="J821" s="13" t="s">
        <v>1762</v>
      </c>
      <c r="K821" s="13">
        <v>2.6</v>
      </c>
      <c r="L821" s="289"/>
      <c r="M821" s="280"/>
      <c r="N821" s="280"/>
    </row>
    <row r="822" spans="1:14">
      <c r="A822" s="287"/>
      <c r="B822" s="278"/>
      <c r="C822" s="278"/>
      <c r="D822" s="288"/>
      <c r="E822" s="278"/>
      <c r="F822" s="278"/>
      <c r="G822" s="278" t="s">
        <v>1972</v>
      </c>
      <c r="H822" s="13">
        <v>1.52</v>
      </c>
      <c r="I822" s="13">
        <v>0.2</v>
      </c>
      <c r="J822" s="13" t="s">
        <v>1746</v>
      </c>
      <c r="K822" s="13">
        <v>5</v>
      </c>
      <c r="L822" s="289"/>
      <c r="M822" s="280"/>
      <c r="N822" s="280"/>
    </row>
    <row r="823" spans="1:14">
      <c r="A823" s="287"/>
      <c r="B823" s="278"/>
      <c r="C823" s="278"/>
      <c r="D823" s="288"/>
      <c r="E823" s="278"/>
      <c r="F823" s="278"/>
      <c r="G823" s="278" t="s">
        <v>503</v>
      </c>
      <c r="H823" s="13">
        <v>1.52</v>
      </c>
      <c r="I823" s="13">
        <v>0.35</v>
      </c>
      <c r="J823" s="289" t="s">
        <v>24</v>
      </c>
      <c r="K823" s="289" t="s">
        <v>24</v>
      </c>
      <c r="L823" s="289"/>
      <c r="M823" s="280"/>
      <c r="N823" s="280"/>
    </row>
    <row r="824" spans="1:14">
      <c r="A824" s="9">
        <v>45531</v>
      </c>
      <c r="B824" s="278" t="s">
        <v>2038</v>
      </c>
      <c r="C824" s="278" t="s">
        <v>462</v>
      </c>
      <c r="D824" s="282">
        <v>15</v>
      </c>
      <c r="E824" s="278" t="s">
        <v>1109</v>
      </c>
      <c r="F824" s="278" t="s">
        <v>460</v>
      </c>
      <c r="G824" s="278" t="s">
        <v>1962</v>
      </c>
      <c r="H824" s="13">
        <v>1.93</v>
      </c>
      <c r="I824" s="13">
        <v>12.375</v>
      </c>
      <c r="J824" s="13" t="s">
        <v>1744</v>
      </c>
      <c r="K824" s="13">
        <v>2.15</v>
      </c>
      <c r="L824" s="278" t="s">
        <v>27</v>
      </c>
      <c r="M824" s="280"/>
      <c r="N824" s="280"/>
    </row>
    <row r="825" spans="1:14">
      <c r="A825" s="287"/>
      <c r="B825" s="278"/>
      <c r="C825" s="278"/>
      <c r="D825" s="288"/>
      <c r="E825" s="278"/>
      <c r="F825" s="278"/>
      <c r="G825" s="278" t="s">
        <v>1963</v>
      </c>
      <c r="H825" s="13">
        <v>1.93</v>
      </c>
      <c r="I825" s="13">
        <v>1.2</v>
      </c>
      <c r="J825" s="13" t="s">
        <v>1762</v>
      </c>
      <c r="K825" s="13">
        <v>2.18</v>
      </c>
      <c r="L825" s="278"/>
      <c r="M825" s="280"/>
      <c r="N825" s="280"/>
    </row>
    <row r="826" spans="1:14">
      <c r="A826" s="287"/>
      <c r="B826" s="278"/>
      <c r="C826" s="278"/>
      <c r="D826" s="288"/>
      <c r="E826" s="278"/>
      <c r="F826" s="278"/>
      <c r="G826" s="278" t="s">
        <v>503</v>
      </c>
      <c r="H826" s="13">
        <v>2.01</v>
      </c>
      <c r="I826" s="13">
        <v>1.425</v>
      </c>
      <c r="J826" s="289" t="s">
        <v>24</v>
      </c>
      <c r="K826" s="289" t="s">
        <v>24</v>
      </c>
      <c r="L826" s="278"/>
      <c r="M826" s="280"/>
      <c r="N826" s="280"/>
    </row>
    <row r="827" spans="1:14">
      <c r="A827" s="9">
        <v>45533</v>
      </c>
      <c r="B827" s="278" t="s">
        <v>2039</v>
      </c>
      <c r="C827" s="278" t="s">
        <v>462</v>
      </c>
      <c r="D827" s="282">
        <v>5</v>
      </c>
      <c r="E827" s="278" t="s">
        <v>486</v>
      </c>
      <c r="F827" s="278" t="s">
        <v>1961</v>
      </c>
      <c r="G827" s="278" t="s">
        <v>1962</v>
      </c>
      <c r="H827" s="278" t="s">
        <v>2020</v>
      </c>
      <c r="I827" s="13">
        <v>4.19</v>
      </c>
      <c r="J827" s="13" t="s">
        <v>1744</v>
      </c>
      <c r="K827" s="13">
        <v>2.14</v>
      </c>
      <c r="L827" s="278" t="s">
        <v>27</v>
      </c>
      <c r="M827" s="280"/>
      <c r="N827" s="280"/>
    </row>
    <row r="828" spans="1:14">
      <c r="A828" s="287"/>
      <c r="B828" s="278"/>
      <c r="C828" s="278"/>
      <c r="D828" s="288"/>
      <c r="E828" s="278"/>
      <c r="F828" s="278"/>
      <c r="G828" s="278" t="s">
        <v>1963</v>
      </c>
      <c r="H828" s="278" t="s">
        <v>2020</v>
      </c>
      <c r="I828" s="13">
        <v>0.29</v>
      </c>
      <c r="J828" s="13" t="s">
        <v>1762</v>
      </c>
      <c r="K828" s="13">
        <v>2.2</v>
      </c>
      <c r="L828" s="278"/>
      <c r="M828" s="280"/>
      <c r="N828" s="280"/>
    </row>
    <row r="829" spans="1:14">
      <c r="A829" s="287"/>
      <c r="B829" s="278"/>
      <c r="C829" s="278"/>
      <c r="D829" s="288"/>
      <c r="E829" s="278"/>
      <c r="F829" s="278"/>
      <c r="G829" s="278" t="s">
        <v>1964</v>
      </c>
      <c r="H829" s="278" t="s">
        <v>2020</v>
      </c>
      <c r="I829" s="13">
        <v>0.27</v>
      </c>
      <c r="J829" s="289" t="s">
        <v>24</v>
      </c>
      <c r="K829" s="289" t="s">
        <v>24</v>
      </c>
      <c r="L829" s="278"/>
      <c r="M829" s="280"/>
      <c r="N829" s="280"/>
    </row>
    <row r="830" spans="1:14">
      <c r="A830" s="287"/>
      <c r="B830" s="278"/>
      <c r="C830" s="278"/>
      <c r="D830" s="288"/>
      <c r="E830" s="278"/>
      <c r="F830" s="278"/>
      <c r="G830" s="278" t="s">
        <v>1965</v>
      </c>
      <c r="H830" s="278" t="s">
        <v>2020</v>
      </c>
      <c r="I830" s="13">
        <v>0.25</v>
      </c>
      <c r="J830" s="289" t="s">
        <v>24</v>
      </c>
      <c r="K830" s="289" t="s">
        <v>24</v>
      </c>
      <c r="L830" s="278"/>
      <c r="M830" s="280"/>
      <c r="N830" s="280"/>
    </row>
    <row r="831" spans="1:14">
      <c r="A831" s="9">
        <v>45527</v>
      </c>
      <c r="B831" s="278" t="s">
        <v>2040</v>
      </c>
      <c r="C831" s="278" t="s">
        <v>462</v>
      </c>
      <c r="D831" s="282">
        <v>1.48</v>
      </c>
      <c r="E831" s="278" t="s">
        <v>492</v>
      </c>
      <c r="F831" s="278" t="s">
        <v>1938</v>
      </c>
      <c r="G831" s="278" t="s">
        <v>1962</v>
      </c>
      <c r="H831" s="13">
        <v>1.04</v>
      </c>
      <c r="I831" s="13">
        <v>1.33</v>
      </c>
      <c r="J831" s="13" t="s">
        <v>1744</v>
      </c>
      <c r="K831" s="13">
        <v>2.7</v>
      </c>
      <c r="L831" s="278" t="s">
        <v>1842</v>
      </c>
      <c r="M831" s="280"/>
      <c r="N831" s="280"/>
    </row>
    <row r="832" spans="1:14">
      <c r="A832" s="287"/>
      <c r="B832" s="278"/>
      <c r="C832" s="278"/>
      <c r="D832" s="288"/>
      <c r="E832" s="278"/>
      <c r="F832" s="278"/>
      <c r="G832" s="278" t="s">
        <v>1963</v>
      </c>
      <c r="H832" s="13">
        <v>1.04</v>
      </c>
      <c r="I832" s="13">
        <v>0.07</v>
      </c>
      <c r="J832" s="13" t="s">
        <v>1762</v>
      </c>
      <c r="K832" s="13">
        <v>4</v>
      </c>
      <c r="L832" s="278"/>
      <c r="M832" s="280"/>
      <c r="N832" s="280"/>
    </row>
    <row r="833" spans="1:14">
      <c r="A833" s="287"/>
      <c r="B833" s="278"/>
      <c r="C833" s="278"/>
      <c r="D833" s="288"/>
      <c r="E833" s="278"/>
      <c r="F833" s="278"/>
      <c r="G833" s="278" t="s">
        <v>503</v>
      </c>
      <c r="H833" s="13">
        <v>1.04</v>
      </c>
      <c r="I833" s="13">
        <v>0.08</v>
      </c>
      <c r="J833" s="289" t="s">
        <v>24</v>
      </c>
      <c r="K833" s="289" t="s">
        <v>24</v>
      </c>
      <c r="L833" s="278"/>
      <c r="M833" s="280"/>
      <c r="N833" s="280"/>
    </row>
    <row r="834" spans="1:14">
      <c r="A834" s="9">
        <v>45527</v>
      </c>
      <c r="B834" s="278" t="s">
        <v>2041</v>
      </c>
      <c r="C834" s="278" t="s">
        <v>459</v>
      </c>
      <c r="D834" s="282">
        <v>3</v>
      </c>
      <c r="E834" s="278" t="s">
        <v>1136</v>
      </c>
      <c r="F834" s="278" t="s">
        <v>1961</v>
      </c>
      <c r="G834" s="278" t="s">
        <v>1962</v>
      </c>
      <c r="H834" s="13">
        <v>1.01</v>
      </c>
      <c r="I834" s="13">
        <v>2.6</v>
      </c>
      <c r="J834" s="13" t="s">
        <v>1744</v>
      </c>
      <c r="K834" s="13">
        <v>2.05</v>
      </c>
      <c r="L834" s="278" t="s">
        <v>27</v>
      </c>
      <c r="M834" s="280"/>
      <c r="N834" s="280"/>
    </row>
    <row r="835" spans="1:14">
      <c r="A835" s="287"/>
      <c r="B835" s="278"/>
      <c r="C835" s="278"/>
      <c r="D835" s="288"/>
      <c r="E835" s="278"/>
      <c r="F835" s="278"/>
      <c r="G835" s="278" t="s">
        <v>1963</v>
      </c>
      <c r="H835" s="13">
        <v>1.01</v>
      </c>
      <c r="I835" s="13">
        <v>0.16</v>
      </c>
      <c r="J835" s="13" t="s">
        <v>1762</v>
      </c>
      <c r="K835" s="13">
        <v>2.1</v>
      </c>
      <c r="L835" s="278"/>
      <c r="M835" s="280"/>
      <c r="N835" s="280"/>
    </row>
    <row r="836" spans="1:14">
      <c r="A836" s="287"/>
      <c r="B836" s="278"/>
      <c r="C836" s="278"/>
      <c r="D836" s="288"/>
      <c r="E836" s="278"/>
      <c r="F836" s="278"/>
      <c r="G836" s="278" t="s">
        <v>1964</v>
      </c>
      <c r="H836" s="13">
        <v>1.59</v>
      </c>
      <c r="I836" s="13">
        <v>0.09</v>
      </c>
      <c r="J836" s="289" t="s">
        <v>24</v>
      </c>
      <c r="K836" s="289" t="s">
        <v>24</v>
      </c>
      <c r="L836" s="278"/>
      <c r="M836" s="280"/>
      <c r="N836" s="280"/>
    </row>
    <row r="837" spans="1:14">
      <c r="A837" s="287"/>
      <c r="B837" s="278"/>
      <c r="C837" s="278"/>
      <c r="D837" s="288"/>
      <c r="E837" s="278"/>
      <c r="F837" s="278"/>
      <c r="G837" s="278" t="s">
        <v>1965</v>
      </c>
      <c r="H837" s="13">
        <v>1.59</v>
      </c>
      <c r="I837" s="13">
        <v>0.15</v>
      </c>
      <c r="J837" s="289" t="s">
        <v>24</v>
      </c>
      <c r="K837" s="289" t="s">
        <v>24</v>
      </c>
      <c r="L837" s="278"/>
      <c r="M837" s="280"/>
      <c r="N837" s="280"/>
    </row>
    <row r="838" spans="1:14">
      <c r="A838" s="9">
        <v>45531</v>
      </c>
      <c r="B838" s="278" t="s">
        <v>2042</v>
      </c>
      <c r="C838" s="278" t="s">
        <v>462</v>
      </c>
      <c r="D838" s="282">
        <v>10</v>
      </c>
      <c r="E838" s="278" t="s">
        <v>1079</v>
      </c>
      <c r="F838" s="278" t="s">
        <v>482</v>
      </c>
      <c r="G838" s="278" t="s">
        <v>1962</v>
      </c>
      <c r="H838" s="13">
        <v>1.52</v>
      </c>
      <c r="I838" s="13">
        <v>8.2</v>
      </c>
      <c r="J838" s="13" t="s">
        <v>1744</v>
      </c>
      <c r="K838" s="13">
        <v>2.18</v>
      </c>
      <c r="L838" s="278" t="s">
        <v>35</v>
      </c>
      <c r="M838" s="280"/>
      <c r="N838" s="280"/>
    </row>
    <row r="839" spans="1:14">
      <c r="A839" s="287"/>
      <c r="B839" s="278"/>
      <c r="C839" s="278"/>
      <c r="D839" s="288"/>
      <c r="E839" s="278"/>
      <c r="F839" s="278"/>
      <c r="G839" s="278" t="s">
        <v>1963</v>
      </c>
      <c r="H839" s="13">
        <v>1.52</v>
      </c>
      <c r="I839" s="13">
        <v>0.4</v>
      </c>
      <c r="J839" s="13" t="s">
        <v>1762</v>
      </c>
      <c r="K839" s="13">
        <v>2.26</v>
      </c>
      <c r="L839" s="278"/>
      <c r="M839" s="280"/>
      <c r="N839" s="280"/>
    </row>
    <row r="840" spans="1:14">
      <c r="A840" s="287"/>
      <c r="B840" s="278"/>
      <c r="C840" s="278"/>
      <c r="D840" s="288"/>
      <c r="E840" s="278"/>
      <c r="F840" s="278"/>
      <c r="G840" s="278" t="s">
        <v>1972</v>
      </c>
      <c r="H840" s="13">
        <v>2.01</v>
      </c>
      <c r="I840" s="13">
        <v>0.55</v>
      </c>
      <c r="J840" s="13" t="s">
        <v>2043</v>
      </c>
      <c r="K840" s="13">
        <v>4.1</v>
      </c>
      <c r="L840" s="278"/>
      <c r="M840" s="280"/>
      <c r="N840" s="280"/>
    </row>
    <row r="841" spans="1:14">
      <c r="A841" s="287"/>
      <c r="B841" s="278"/>
      <c r="C841" s="278"/>
      <c r="D841" s="288"/>
      <c r="E841" s="278"/>
      <c r="F841" s="278"/>
      <c r="G841" s="278" t="s">
        <v>503</v>
      </c>
      <c r="H841" s="13">
        <v>2.01</v>
      </c>
      <c r="I841" s="13">
        <v>0.85</v>
      </c>
      <c r="J841" s="289" t="s">
        <v>24</v>
      </c>
      <c r="K841" s="289" t="s">
        <v>24</v>
      </c>
      <c r="L841" s="278"/>
      <c r="M841" s="280"/>
      <c r="N841" s="280"/>
    </row>
    <row r="842" spans="1:14">
      <c r="A842" s="9">
        <v>45532</v>
      </c>
      <c r="B842" s="278" t="s">
        <v>2044</v>
      </c>
      <c r="C842" s="278" t="s">
        <v>462</v>
      </c>
      <c r="D842" s="282">
        <v>10</v>
      </c>
      <c r="E842" s="278" t="s">
        <v>1109</v>
      </c>
      <c r="F842" s="278" t="s">
        <v>460</v>
      </c>
      <c r="G842" s="278" t="s">
        <v>1962</v>
      </c>
      <c r="H842" s="13">
        <v>1.93</v>
      </c>
      <c r="I842" s="13">
        <v>8.14</v>
      </c>
      <c r="J842" s="13" t="s">
        <v>1744</v>
      </c>
      <c r="K842" s="13">
        <v>2.17</v>
      </c>
      <c r="L842" s="278" t="s">
        <v>27</v>
      </c>
      <c r="M842" s="280"/>
      <c r="N842" s="280"/>
    </row>
    <row r="843" spans="1:14">
      <c r="A843" s="287"/>
      <c r="B843" s="278"/>
      <c r="C843" s="278"/>
      <c r="D843" s="288"/>
      <c r="E843" s="278"/>
      <c r="F843" s="278"/>
      <c r="G843" s="278" t="s">
        <v>1963</v>
      </c>
      <c r="H843" s="13">
        <v>1.93</v>
      </c>
      <c r="I843" s="13">
        <v>0.57</v>
      </c>
      <c r="J843" s="13" t="s">
        <v>1762</v>
      </c>
      <c r="K843" s="13">
        <v>2.18</v>
      </c>
      <c r="L843" s="278"/>
      <c r="M843" s="280"/>
      <c r="N843" s="280"/>
    </row>
    <row r="844" spans="1:14">
      <c r="A844" s="287"/>
      <c r="B844" s="278"/>
      <c r="C844" s="278"/>
      <c r="D844" s="288"/>
      <c r="E844" s="278"/>
      <c r="F844" s="278"/>
      <c r="G844" s="278" t="s">
        <v>503</v>
      </c>
      <c r="H844" s="13">
        <v>2.01</v>
      </c>
      <c r="I844" s="13">
        <v>1.29</v>
      </c>
      <c r="J844" s="289" t="s">
        <v>24</v>
      </c>
      <c r="K844" s="289" t="s">
        <v>24</v>
      </c>
      <c r="L844" s="278"/>
      <c r="M844" s="280"/>
      <c r="N844" s="280"/>
    </row>
    <row r="845" spans="1:14">
      <c r="A845" s="9">
        <v>45527</v>
      </c>
      <c r="B845" s="278" t="s">
        <v>2045</v>
      </c>
      <c r="C845" s="278" t="s">
        <v>459</v>
      </c>
      <c r="D845" s="282">
        <v>10</v>
      </c>
      <c r="E845" s="278" t="s">
        <v>1079</v>
      </c>
      <c r="F845" s="278" t="s">
        <v>1140</v>
      </c>
      <c r="G845" s="278" t="s">
        <v>1962</v>
      </c>
      <c r="H845" s="13">
        <v>1.99</v>
      </c>
      <c r="I845" s="13">
        <v>8.7</v>
      </c>
      <c r="J845" s="13" t="s">
        <v>1744</v>
      </c>
      <c r="K845" s="13">
        <v>2.17</v>
      </c>
      <c r="L845" s="278" t="s">
        <v>35</v>
      </c>
      <c r="M845" s="280"/>
      <c r="N845" s="280"/>
    </row>
    <row r="846" spans="1:14">
      <c r="A846" s="287"/>
      <c r="B846" s="278"/>
      <c r="C846" s="278"/>
      <c r="D846" s="288"/>
      <c r="E846" s="278"/>
      <c r="F846" s="278"/>
      <c r="G846" s="278" t="s">
        <v>1963</v>
      </c>
      <c r="H846" s="13">
        <v>1.99</v>
      </c>
      <c r="I846" s="13">
        <v>0.4</v>
      </c>
      <c r="J846" s="13" t="s">
        <v>1762</v>
      </c>
      <c r="K846" s="13">
        <v>2.28</v>
      </c>
      <c r="L846" s="278"/>
      <c r="M846" s="280"/>
      <c r="N846" s="280"/>
    </row>
    <row r="847" spans="1:14">
      <c r="A847" s="287"/>
      <c r="B847" s="278"/>
      <c r="C847" s="278"/>
      <c r="D847" s="288"/>
      <c r="E847" s="278"/>
      <c r="F847" s="278"/>
      <c r="G847" s="278" t="s">
        <v>503</v>
      </c>
      <c r="H847" s="13">
        <v>1.99</v>
      </c>
      <c r="I847" s="13">
        <v>0.9</v>
      </c>
      <c r="J847" s="289" t="s">
        <v>24</v>
      </c>
      <c r="K847" s="289" t="s">
        <v>24</v>
      </c>
      <c r="L847" s="278"/>
      <c r="M847" s="280"/>
      <c r="N847" s="280"/>
    </row>
    <row r="848" spans="1:14">
      <c r="A848" s="9">
        <v>45527</v>
      </c>
      <c r="B848" s="278" t="s">
        <v>2046</v>
      </c>
      <c r="C848" s="278" t="s">
        <v>462</v>
      </c>
      <c r="D848" s="282">
        <v>3</v>
      </c>
      <c r="E848" s="278" t="s">
        <v>477</v>
      </c>
      <c r="F848" s="278" t="s">
        <v>523</v>
      </c>
      <c r="G848" s="278" t="s">
        <v>1962</v>
      </c>
      <c r="H848" s="13">
        <v>1.07</v>
      </c>
      <c r="I848" s="13">
        <v>2.67</v>
      </c>
      <c r="J848" s="13" t="s">
        <v>1744</v>
      </c>
      <c r="K848" s="13">
        <v>2.08</v>
      </c>
      <c r="L848" s="278" t="s">
        <v>1241</v>
      </c>
      <c r="M848" s="280"/>
      <c r="N848" s="280"/>
    </row>
    <row r="849" spans="1:14">
      <c r="A849" s="287"/>
      <c r="B849" s="278"/>
      <c r="C849" s="278"/>
      <c r="D849" s="288"/>
      <c r="E849" s="278"/>
      <c r="F849" s="278"/>
      <c r="G849" s="278" t="s">
        <v>1963</v>
      </c>
      <c r="H849" s="13">
        <v>1.07</v>
      </c>
      <c r="I849" s="13">
        <v>0.135</v>
      </c>
      <c r="J849" s="13" t="s">
        <v>1762</v>
      </c>
      <c r="K849" s="13">
        <v>2.25</v>
      </c>
      <c r="L849" s="278"/>
      <c r="M849" s="280"/>
      <c r="N849" s="280"/>
    </row>
    <row r="850" spans="1:14">
      <c r="A850" s="287"/>
      <c r="B850" s="278"/>
      <c r="C850" s="278"/>
      <c r="D850" s="288"/>
      <c r="E850" s="278"/>
      <c r="F850" s="278"/>
      <c r="G850" s="278" t="s">
        <v>1964</v>
      </c>
      <c r="H850" s="13">
        <v>1.07</v>
      </c>
      <c r="I850" s="13">
        <v>0.045</v>
      </c>
      <c r="J850" s="289" t="s">
        <v>24</v>
      </c>
      <c r="K850" s="289" t="s">
        <v>24</v>
      </c>
      <c r="L850" s="278"/>
      <c r="M850" s="280"/>
      <c r="N850" s="280"/>
    </row>
    <row r="851" spans="1:14">
      <c r="A851" s="287"/>
      <c r="B851" s="278"/>
      <c r="C851" s="278"/>
      <c r="D851" s="288"/>
      <c r="E851" s="278"/>
      <c r="F851" s="278"/>
      <c r="G851" s="278" t="s">
        <v>1965</v>
      </c>
      <c r="H851" s="13">
        <v>1.07</v>
      </c>
      <c r="I851" s="13">
        <v>0.15</v>
      </c>
      <c r="J851" s="289" t="s">
        <v>24</v>
      </c>
      <c r="K851" s="289" t="s">
        <v>24</v>
      </c>
      <c r="L851" s="278"/>
      <c r="M851" s="280"/>
      <c r="N851" s="280"/>
    </row>
    <row r="852" spans="1:14">
      <c r="A852" s="9">
        <v>45526</v>
      </c>
      <c r="B852" s="278" t="s">
        <v>2047</v>
      </c>
      <c r="C852" s="278" t="s">
        <v>459</v>
      </c>
      <c r="D852" s="282">
        <v>5</v>
      </c>
      <c r="E852" s="278" t="s">
        <v>552</v>
      </c>
      <c r="F852" s="278" t="s">
        <v>487</v>
      </c>
      <c r="G852" s="278" t="s">
        <v>1962</v>
      </c>
      <c r="H852" s="13">
        <v>1.25</v>
      </c>
      <c r="I852" s="13">
        <v>4.23</v>
      </c>
      <c r="J852" s="13" t="s">
        <v>1744</v>
      </c>
      <c r="K852" s="13">
        <v>2.4</v>
      </c>
      <c r="L852" s="13">
        <v>360</v>
      </c>
      <c r="M852" s="280"/>
      <c r="N852" s="280"/>
    </row>
    <row r="853" spans="1:14">
      <c r="A853" s="287"/>
      <c r="B853" s="278"/>
      <c r="C853" s="278"/>
      <c r="D853" s="288"/>
      <c r="E853" s="278"/>
      <c r="F853" s="278"/>
      <c r="G853" s="278" t="s">
        <v>1963</v>
      </c>
      <c r="H853" s="13">
        <v>1.25</v>
      </c>
      <c r="I853" s="13">
        <v>0.22</v>
      </c>
      <c r="J853" s="13" t="s">
        <v>1762</v>
      </c>
      <c r="K853" s="13">
        <v>2.6</v>
      </c>
      <c r="L853" s="289"/>
      <c r="M853" s="280"/>
      <c r="N853" s="280"/>
    </row>
    <row r="854" spans="1:14">
      <c r="A854" s="287"/>
      <c r="B854" s="278"/>
      <c r="C854" s="278"/>
      <c r="D854" s="288"/>
      <c r="E854" s="278"/>
      <c r="F854" s="278"/>
      <c r="G854" s="278" t="s">
        <v>1972</v>
      </c>
      <c r="H854" s="13">
        <v>1.25</v>
      </c>
      <c r="I854" s="13">
        <v>0.18</v>
      </c>
      <c r="J854" s="13" t="s">
        <v>1746</v>
      </c>
      <c r="K854" s="13">
        <v>5</v>
      </c>
      <c r="L854" s="289"/>
      <c r="M854" s="280"/>
      <c r="N854" s="280"/>
    </row>
    <row r="855" spans="1:14">
      <c r="A855" s="287"/>
      <c r="B855" s="278"/>
      <c r="C855" s="278"/>
      <c r="D855" s="288"/>
      <c r="E855" s="278"/>
      <c r="F855" s="278"/>
      <c r="G855" s="278" t="s">
        <v>503</v>
      </c>
      <c r="H855" s="13">
        <v>1.25</v>
      </c>
      <c r="I855" s="13">
        <v>0.37</v>
      </c>
      <c r="J855" s="289" t="s">
        <v>24</v>
      </c>
      <c r="K855" s="289" t="s">
        <v>24</v>
      </c>
      <c r="L855" s="289"/>
      <c r="M855" s="280"/>
      <c r="N855" s="280"/>
    </row>
    <row r="856" spans="1:14">
      <c r="A856" s="9">
        <v>45527</v>
      </c>
      <c r="B856" s="278" t="s">
        <v>2048</v>
      </c>
      <c r="C856" s="278" t="s">
        <v>462</v>
      </c>
      <c r="D856" s="282">
        <v>25</v>
      </c>
      <c r="E856" s="278" t="s">
        <v>1265</v>
      </c>
      <c r="F856" s="278" t="s">
        <v>1091</v>
      </c>
      <c r="G856" s="278" t="s">
        <v>1962</v>
      </c>
      <c r="H856" s="13">
        <v>1</v>
      </c>
      <c r="I856" s="13">
        <v>20</v>
      </c>
      <c r="J856" s="13" t="s">
        <v>1744</v>
      </c>
      <c r="K856" s="13">
        <v>2.02</v>
      </c>
      <c r="L856" s="278" t="s">
        <v>1984</v>
      </c>
      <c r="M856" s="280"/>
      <c r="N856" s="280"/>
    </row>
    <row r="857" spans="1:14">
      <c r="A857" s="287"/>
      <c r="B857" s="278"/>
      <c r="C857" s="278"/>
      <c r="D857" s="288"/>
      <c r="E857" s="278"/>
      <c r="F857" s="278"/>
      <c r="G857" s="278" t="s">
        <v>1963</v>
      </c>
      <c r="H857" s="13">
        <v>1</v>
      </c>
      <c r="I857" s="13">
        <v>3.75</v>
      </c>
      <c r="J857" s="13" t="s">
        <v>1762</v>
      </c>
      <c r="K857" s="13">
        <v>11.5</v>
      </c>
      <c r="L857" s="278"/>
      <c r="M857" s="280"/>
      <c r="N857" s="280"/>
    </row>
    <row r="858" spans="1:14">
      <c r="A858" s="287"/>
      <c r="B858" s="278"/>
      <c r="C858" s="278"/>
      <c r="D858" s="288"/>
      <c r="E858" s="278"/>
      <c r="F858" s="278"/>
      <c r="G858" s="278" t="s">
        <v>503</v>
      </c>
      <c r="H858" s="13">
        <v>1</v>
      </c>
      <c r="I858" s="13">
        <v>1.25</v>
      </c>
      <c r="J858" s="289" t="s">
        <v>24</v>
      </c>
      <c r="K858" s="289" t="s">
        <v>24</v>
      </c>
      <c r="L858" s="278"/>
      <c r="M858" s="280"/>
      <c r="N858" s="280"/>
    </row>
    <row r="859" spans="1:14">
      <c r="A859" s="9">
        <v>45532</v>
      </c>
      <c r="B859" s="278" t="s">
        <v>2049</v>
      </c>
      <c r="C859" s="278" t="s">
        <v>462</v>
      </c>
      <c r="D859" s="282">
        <v>5</v>
      </c>
      <c r="E859" s="278" t="s">
        <v>1079</v>
      </c>
      <c r="F859" s="278" t="s">
        <v>523</v>
      </c>
      <c r="G859" s="278" t="s">
        <v>1962</v>
      </c>
      <c r="H859" s="13">
        <v>1.52</v>
      </c>
      <c r="I859" s="13">
        <v>4.1</v>
      </c>
      <c r="J859" s="13" t="s">
        <v>1744</v>
      </c>
      <c r="K859" s="13">
        <v>2.14</v>
      </c>
      <c r="L859" s="278" t="s">
        <v>35</v>
      </c>
      <c r="M859" s="280"/>
      <c r="N859" s="280"/>
    </row>
    <row r="860" spans="1:14">
      <c r="A860" s="287"/>
      <c r="B860" s="278"/>
      <c r="C860" s="278"/>
      <c r="D860" s="288"/>
      <c r="E860" s="278"/>
      <c r="F860" s="278"/>
      <c r="G860" s="278" t="s">
        <v>1963</v>
      </c>
      <c r="H860" s="13">
        <v>1.52</v>
      </c>
      <c r="I860" s="13">
        <v>0.2</v>
      </c>
      <c r="J860" s="13" t="s">
        <v>1762</v>
      </c>
      <c r="K860" s="13">
        <v>2.25</v>
      </c>
      <c r="L860" s="278"/>
      <c r="M860" s="280"/>
      <c r="N860" s="280"/>
    </row>
    <row r="861" spans="1:14">
      <c r="A861" s="287"/>
      <c r="B861" s="278"/>
      <c r="C861" s="278"/>
      <c r="D861" s="288"/>
      <c r="E861" s="278"/>
      <c r="F861" s="278"/>
      <c r="G861" s="278" t="s">
        <v>1972</v>
      </c>
      <c r="H861" s="13">
        <v>2.01</v>
      </c>
      <c r="I861" s="13">
        <v>0.275</v>
      </c>
      <c r="J861" s="13" t="s">
        <v>1782</v>
      </c>
      <c r="K861" s="13">
        <v>4.1</v>
      </c>
      <c r="L861" s="278"/>
      <c r="M861" s="280"/>
      <c r="N861" s="280"/>
    </row>
    <row r="862" spans="1:14">
      <c r="A862" s="287"/>
      <c r="B862" s="278"/>
      <c r="C862" s="278"/>
      <c r="D862" s="288"/>
      <c r="E862" s="278"/>
      <c r="F862" s="278"/>
      <c r="G862" s="278" t="s">
        <v>503</v>
      </c>
      <c r="H862" s="13">
        <v>2.01</v>
      </c>
      <c r="I862" s="13">
        <v>0.425</v>
      </c>
      <c r="J862" s="289" t="s">
        <v>24</v>
      </c>
      <c r="K862" s="289" t="s">
        <v>24</v>
      </c>
      <c r="L862" s="278"/>
      <c r="M862" s="280"/>
      <c r="N862" s="280"/>
    </row>
    <row r="863" spans="1:14">
      <c r="A863" s="9">
        <v>45531</v>
      </c>
      <c r="B863" s="278" t="s">
        <v>2050</v>
      </c>
      <c r="C863" s="278" t="s">
        <v>462</v>
      </c>
      <c r="D863" s="282">
        <v>6</v>
      </c>
      <c r="E863" s="278" t="s">
        <v>486</v>
      </c>
      <c r="F863" s="278" t="s">
        <v>1961</v>
      </c>
      <c r="G863" s="278" t="s">
        <v>1958</v>
      </c>
      <c r="H863" s="13">
        <v>0.98</v>
      </c>
      <c r="I863" s="13">
        <v>1.8</v>
      </c>
      <c r="J863" s="13" t="s">
        <v>1744</v>
      </c>
      <c r="K863" s="13">
        <v>2.46</v>
      </c>
      <c r="L863" s="278" t="s">
        <v>1082</v>
      </c>
      <c r="M863" s="280"/>
      <c r="N863" s="280"/>
    </row>
    <row r="864" spans="1:14">
      <c r="A864" s="287"/>
      <c r="B864" s="278"/>
      <c r="C864" s="278"/>
      <c r="D864" s="288"/>
      <c r="E864" s="278"/>
      <c r="F864" s="278"/>
      <c r="G864" s="278" t="s">
        <v>1959</v>
      </c>
      <c r="H864" s="13">
        <v>1.98</v>
      </c>
      <c r="I864" s="13">
        <v>2.4</v>
      </c>
      <c r="J864" s="13" t="s">
        <v>1744</v>
      </c>
      <c r="K864" s="13">
        <v>2.9</v>
      </c>
      <c r="L864" s="278"/>
      <c r="M864" s="280"/>
      <c r="N864" s="280"/>
    </row>
    <row r="865" spans="1:14">
      <c r="A865" s="287"/>
      <c r="B865" s="278"/>
      <c r="C865" s="278"/>
      <c r="D865" s="288"/>
      <c r="E865" s="278"/>
      <c r="F865" s="278"/>
      <c r="G865" s="278" t="s">
        <v>2007</v>
      </c>
      <c r="H865" s="13">
        <v>2.98</v>
      </c>
      <c r="I865" s="13">
        <v>1.71</v>
      </c>
      <c r="J865" s="13" t="s">
        <v>1744</v>
      </c>
      <c r="K865" s="13">
        <v>4.4</v>
      </c>
      <c r="L865" s="278"/>
      <c r="M865" s="280"/>
      <c r="N865" s="280"/>
    </row>
    <row r="866" spans="1:14">
      <c r="A866" s="287"/>
      <c r="B866" s="278"/>
      <c r="C866" s="278"/>
      <c r="D866" s="288"/>
      <c r="E866" s="278"/>
      <c r="F866" s="278"/>
      <c r="G866" s="278" t="s">
        <v>503</v>
      </c>
      <c r="H866" s="13">
        <v>3.07</v>
      </c>
      <c r="I866" s="13">
        <v>0.09</v>
      </c>
      <c r="J866" s="289" t="s">
        <v>24</v>
      </c>
      <c r="K866" s="289" t="s">
        <v>24</v>
      </c>
      <c r="L866" s="278"/>
      <c r="M866" s="280"/>
      <c r="N866" s="280"/>
    </row>
    <row r="867" spans="1:14">
      <c r="A867" s="9">
        <v>45540</v>
      </c>
      <c r="B867" s="278" t="s">
        <v>2051</v>
      </c>
      <c r="C867" s="278" t="s">
        <v>462</v>
      </c>
      <c r="D867" s="282">
        <v>6</v>
      </c>
      <c r="E867" s="278" t="s">
        <v>477</v>
      </c>
      <c r="F867" s="278" t="s">
        <v>523</v>
      </c>
      <c r="G867" s="278" t="s">
        <v>1962</v>
      </c>
      <c r="H867" s="278" t="s">
        <v>2020</v>
      </c>
      <c r="I867" s="13">
        <v>5.37</v>
      </c>
      <c r="J867" s="13" t="s">
        <v>1744</v>
      </c>
      <c r="K867" s="13">
        <v>2.08</v>
      </c>
      <c r="L867" s="278" t="s">
        <v>1082</v>
      </c>
      <c r="M867" s="280"/>
      <c r="N867" s="280"/>
    </row>
    <row r="868" spans="1:14">
      <c r="A868" s="287"/>
      <c r="B868" s="278"/>
      <c r="C868" s="278"/>
      <c r="D868" s="288"/>
      <c r="E868" s="278"/>
      <c r="F868" s="278"/>
      <c r="G868" s="278" t="s">
        <v>1963</v>
      </c>
      <c r="H868" s="278" t="s">
        <v>2020</v>
      </c>
      <c r="I868" s="13">
        <v>0.33</v>
      </c>
      <c r="J868" s="13" t="s">
        <v>1762</v>
      </c>
      <c r="K868" s="13">
        <v>2.2</v>
      </c>
      <c r="L868" s="278"/>
      <c r="M868" s="280"/>
      <c r="N868" s="280"/>
    </row>
    <row r="869" spans="1:14">
      <c r="A869" s="287"/>
      <c r="B869" s="278"/>
      <c r="C869" s="278"/>
      <c r="D869" s="288"/>
      <c r="E869" s="278"/>
      <c r="F869" s="278"/>
      <c r="G869" s="278" t="s">
        <v>2032</v>
      </c>
      <c r="H869" s="278" t="s">
        <v>2020</v>
      </c>
      <c r="I869" s="13">
        <v>0.12</v>
      </c>
      <c r="J869" s="289" t="s">
        <v>24</v>
      </c>
      <c r="K869" s="289" t="s">
        <v>24</v>
      </c>
      <c r="L869" s="278"/>
      <c r="M869" s="280"/>
      <c r="N869" s="280"/>
    </row>
    <row r="870" spans="1:14">
      <c r="A870" s="287"/>
      <c r="B870" s="278"/>
      <c r="C870" s="278"/>
      <c r="D870" s="288"/>
      <c r="E870" s="278"/>
      <c r="F870" s="278"/>
      <c r="G870" s="278" t="s">
        <v>2033</v>
      </c>
      <c r="H870" s="278" t="s">
        <v>2020</v>
      </c>
      <c r="I870" s="13">
        <v>0.18</v>
      </c>
      <c r="J870" s="289" t="s">
        <v>24</v>
      </c>
      <c r="K870" s="289" t="s">
        <v>24</v>
      </c>
      <c r="L870" s="278"/>
      <c r="M870" s="280"/>
      <c r="N870" s="280"/>
    </row>
    <row r="871" spans="1:14">
      <c r="A871" s="9">
        <v>45541</v>
      </c>
      <c r="B871" s="278" t="s">
        <v>2052</v>
      </c>
      <c r="C871" s="278" t="s">
        <v>462</v>
      </c>
      <c r="D871" s="282">
        <v>5</v>
      </c>
      <c r="E871" s="278" t="s">
        <v>477</v>
      </c>
      <c r="F871" s="278" t="s">
        <v>474</v>
      </c>
      <c r="G871" s="278" t="s">
        <v>1958</v>
      </c>
      <c r="H871" s="13">
        <v>1.05</v>
      </c>
      <c r="I871" s="13">
        <v>3.5</v>
      </c>
      <c r="J871" s="13" t="s">
        <v>1744</v>
      </c>
      <c r="K871" s="13">
        <v>2.11</v>
      </c>
      <c r="L871" s="278" t="s">
        <v>41</v>
      </c>
      <c r="M871" s="280"/>
      <c r="N871" s="280"/>
    </row>
    <row r="872" spans="1:14">
      <c r="A872" s="287"/>
      <c r="B872" s="278"/>
      <c r="C872" s="278"/>
      <c r="D872" s="288"/>
      <c r="E872" s="278"/>
      <c r="F872" s="278"/>
      <c r="G872" s="278" t="s">
        <v>1959</v>
      </c>
      <c r="H872" s="13">
        <v>1.18</v>
      </c>
      <c r="I872" s="13">
        <v>0.7</v>
      </c>
      <c r="J872" s="13" t="s">
        <v>1744</v>
      </c>
      <c r="K872" s="13">
        <v>2.15</v>
      </c>
      <c r="L872" s="278"/>
      <c r="M872" s="280"/>
      <c r="N872" s="280"/>
    </row>
    <row r="873" spans="1:14">
      <c r="A873" s="287"/>
      <c r="B873" s="278"/>
      <c r="C873" s="278"/>
      <c r="D873" s="288"/>
      <c r="E873" s="278"/>
      <c r="F873" s="278"/>
      <c r="G873" s="278" t="s">
        <v>1963</v>
      </c>
      <c r="H873" s="13">
        <v>1.22</v>
      </c>
      <c r="I873" s="13">
        <v>0.27</v>
      </c>
      <c r="J873" s="13" t="s">
        <v>1762</v>
      </c>
      <c r="K873" s="13">
        <v>2.25</v>
      </c>
      <c r="L873" s="278"/>
      <c r="M873" s="280"/>
      <c r="N873" s="280"/>
    </row>
    <row r="874" spans="1:14">
      <c r="A874" s="287"/>
      <c r="B874" s="278"/>
      <c r="C874" s="278"/>
      <c r="D874" s="288"/>
      <c r="E874" s="278"/>
      <c r="F874" s="278"/>
      <c r="G874" s="278" t="s">
        <v>1972</v>
      </c>
      <c r="H874" s="13">
        <v>1.27</v>
      </c>
      <c r="I874" s="13">
        <v>0.28</v>
      </c>
      <c r="J874" s="13" t="s">
        <v>1782</v>
      </c>
      <c r="K874" s="13">
        <v>4.7</v>
      </c>
      <c r="L874" s="278"/>
      <c r="M874" s="280"/>
      <c r="N874" s="280"/>
    </row>
    <row r="875" spans="1:14">
      <c r="A875" s="287"/>
      <c r="B875" s="278"/>
      <c r="C875" s="278"/>
      <c r="D875" s="288"/>
      <c r="E875" s="278"/>
      <c r="F875" s="278"/>
      <c r="G875" s="278" t="s">
        <v>1965</v>
      </c>
      <c r="H875" s="13">
        <v>1.76</v>
      </c>
      <c r="I875" s="13">
        <v>0.25</v>
      </c>
      <c r="J875" s="289" t="s">
        <v>24</v>
      </c>
      <c r="K875" s="289" t="s">
        <v>24</v>
      </c>
      <c r="L875" s="278"/>
      <c r="M875" s="280"/>
      <c r="N875" s="280"/>
    </row>
    <row r="876" spans="1:14">
      <c r="A876" s="9">
        <v>45538</v>
      </c>
      <c r="B876" s="278" t="s">
        <v>2053</v>
      </c>
      <c r="C876" s="278" t="s">
        <v>459</v>
      </c>
      <c r="D876" s="282">
        <v>10</v>
      </c>
      <c r="E876" s="278" t="s">
        <v>1057</v>
      </c>
      <c r="F876" s="278" t="s">
        <v>474</v>
      </c>
      <c r="G876" s="278" t="s">
        <v>1958</v>
      </c>
      <c r="H876" s="13">
        <v>1.08</v>
      </c>
      <c r="I876" s="13">
        <v>7</v>
      </c>
      <c r="J876" s="13" t="s">
        <v>1744</v>
      </c>
      <c r="K876" s="13">
        <v>2.1</v>
      </c>
      <c r="L876" s="278" t="s">
        <v>41</v>
      </c>
      <c r="M876" s="280"/>
      <c r="N876" s="280"/>
    </row>
    <row r="877" spans="1:14">
      <c r="A877" s="287"/>
      <c r="B877" s="278"/>
      <c r="C877" s="278"/>
      <c r="D877" s="288"/>
      <c r="E877" s="278"/>
      <c r="F877" s="278"/>
      <c r="G877" s="278" t="s">
        <v>1959</v>
      </c>
      <c r="H877" s="13">
        <v>1.22</v>
      </c>
      <c r="I877" s="13">
        <v>1.55</v>
      </c>
      <c r="J877" s="13" t="s">
        <v>1744</v>
      </c>
      <c r="K877" s="13">
        <v>2.13</v>
      </c>
      <c r="L877" s="278"/>
      <c r="M877" s="280"/>
      <c r="N877" s="280"/>
    </row>
    <row r="878" spans="1:14">
      <c r="A878" s="287"/>
      <c r="B878" s="278"/>
      <c r="C878" s="278"/>
      <c r="D878" s="288"/>
      <c r="E878" s="278"/>
      <c r="F878" s="278"/>
      <c r="G878" s="278" t="s">
        <v>1963</v>
      </c>
      <c r="H878" s="13">
        <v>1.3</v>
      </c>
      <c r="I878" s="13">
        <v>0.5</v>
      </c>
      <c r="J878" s="13" t="s">
        <v>1762</v>
      </c>
      <c r="K878" s="13">
        <v>2.25</v>
      </c>
      <c r="L878" s="278"/>
      <c r="M878" s="280"/>
      <c r="N878" s="280"/>
    </row>
    <row r="879" spans="1:14">
      <c r="A879" s="287"/>
      <c r="B879" s="278"/>
      <c r="C879" s="278"/>
      <c r="D879" s="288"/>
      <c r="E879" s="278"/>
      <c r="F879" s="278"/>
      <c r="G879" s="278" t="s">
        <v>1972</v>
      </c>
      <c r="H879" s="13">
        <v>1.34</v>
      </c>
      <c r="I879" s="13">
        <v>0.45</v>
      </c>
      <c r="J879" s="13" t="s">
        <v>1782</v>
      </c>
      <c r="K879" s="13">
        <v>4.7</v>
      </c>
      <c r="L879" s="278"/>
      <c r="M879" s="280"/>
      <c r="N879" s="280"/>
    </row>
    <row r="880" spans="1:14">
      <c r="A880" s="287"/>
      <c r="B880" s="278"/>
      <c r="C880" s="278"/>
      <c r="D880" s="288"/>
      <c r="E880" s="278"/>
      <c r="F880" s="278"/>
      <c r="G880" s="278" t="s">
        <v>503</v>
      </c>
      <c r="H880" s="13">
        <v>1.76</v>
      </c>
      <c r="I880" s="13">
        <v>0.5</v>
      </c>
      <c r="J880" s="289" t="s">
        <v>24</v>
      </c>
      <c r="K880" s="289" t="s">
        <v>24</v>
      </c>
      <c r="L880" s="278"/>
      <c r="M880" s="280"/>
      <c r="N880" s="280"/>
    </row>
    <row r="881" spans="1:14">
      <c r="A881" s="9">
        <v>45539</v>
      </c>
      <c r="B881" s="278" t="s">
        <v>2054</v>
      </c>
      <c r="C881" s="278" t="s">
        <v>459</v>
      </c>
      <c r="D881" s="282">
        <v>10</v>
      </c>
      <c r="E881" s="278" t="s">
        <v>1057</v>
      </c>
      <c r="F881" s="278" t="s">
        <v>474</v>
      </c>
      <c r="G881" s="278" t="s">
        <v>1958</v>
      </c>
      <c r="H881" s="13">
        <v>1.05</v>
      </c>
      <c r="I881" s="13">
        <v>7</v>
      </c>
      <c r="J881" s="13" t="s">
        <v>1744</v>
      </c>
      <c r="K881" s="13">
        <v>2.15</v>
      </c>
      <c r="L881" s="278" t="s">
        <v>41</v>
      </c>
      <c r="M881" s="280"/>
      <c r="N881" s="280"/>
    </row>
    <row r="882" spans="1:14">
      <c r="A882" s="287"/>
      <c r="B882" s="278"/>
      <c r="C882" s="278"/>
      <c r="D882" s="288"/>
      <c r="E882" s="278"/>
      <c r="F882" s="278"/>
      <c r="G882" s="278" t="s">
        <v>1959</v>
      </c>
      <c r="H882" s="13">
        <v>1.18</v>
      </c>
      <c r="I882" s="13">
        <v>1.4</v>
      </c>
      <c r="J882" s="13" t="s">
        <v>1744</v>
      </c>
      <c r="K882" s="13">
        <v>2.18</v>
      </c>
      <c r="L882" s="278"/>
      <c r="M882" s="280"/>
      <c r="N882" s="280"/>
    </row>
    <row r="883" spans="1:14">
      <c r="A883" s="287"/>
      <c r="B883" s="278"/>
      <c r="C883" s="278"/>
      <c r="D883" s="288"/>
      <c r="E883" s="278"/>
      <c r="F883" s="278"/>
      <c r="G883" s="278" t="s">
        <v>1963</v>
      </c>
      <c r="H883" s="13">
        <v>1.26</v>
      </c>
      <c r="I883" s="13">
        <v>0.55</v>
      </c>
      <c r="J883" s="13" t="s">
        <v>1762</v>
      </c>
      <c r="K883" s="13">
        <v>2.28</v>
      </c>
      <c r="L883" s="278"/>
      <c r="M883" s="280"/>
      <c r="N883" s="280"/>
    </row>
    <row r="884" spans="1:14">
      <c r="A884" s="287"/>
      <c r="B884" s="278"/>
      <c r="C884" s="278"/>
      <c r="D884" s="288"/>
      <c r="E884" s="278"/>
      <c r="F884" s="278"/>
      <c r="G884" s="278" t="s">
        <v>1972</v>
      </c>
      <c r="H884" s="13">
        <v>1.3</v>
      </c>
      <c r="I884" s="13">
        <v>0.55</v>
      </c>
      <c r="J884" s="13" t="s">
        <v>1782</v>
      </c>
      <c r="K884" s="13">
        <v>4.7</v>
      </c>
      <c r="L884" s="278"/>
      <c r="M884" s="280"/>
      <c r="N884" s="280"/>
    </row>
    <row r="885" spans="1:14">
      <c r="A885" s="287"/>
      <c r="B885" s="278"/>
      <c r="C885" s="278"/>
      <c r="D885" s="288"/>
      <c r="E885" s="278"/>
      <c r="F885" s="278"/>
      <c r="G885" s="278" t="s">
        <v>503</v>
      </c>
      <c r="H885" s="13">
        <v>1.76</v>
      </c>
      <c r="I885" s="13">
        <v>0.5</v>
      </c>
      <c r="J885" s="289" t="s">
        <v>24</v>
      </c>
      <c r="K885" s="289" t="s">
        <v>24</v>
      </c>
      <c r="L885" s="278"/>
      <c r="M885" s="280"/>
      <c r="N885" s="280"/>
    </row>
    <row r="886" spans="1:14">
      <c r="A886" s="9">
        <v>45534</v>
      </c>
      <c r="B886" s="278" t="s">
        <v>2055</v>
      </c>
      <c r="C886" s="278" t="s">
        <v>459</v>
      </c>
      <c r="D886" s="282">
        <v>4</v>
      </c>
      <c r="E886" s="278" t="s">
        <v>492</v>
      </c>
      <c r="F886" s="278" t="s">
        <v>487</v>
      </c>
      <c r="G886" s="278" t="s">
        <v>1962</v>
      </c>
      <c r="H886" s="13">
        <v>1.81</v>
      </c>
      <c r="I886" s="13">
        <v>3.36</v>
      </c>
      <c r="J886" s="13" t="s">
        <v>1744</v>
      </c>
      <c r="K886" s="13">
        <v>2.8</v>
      </c>
      <c r="L886" s="278" t="s">
        <v>70</v>
      </c>
      <c r="M886" s="280"/>
      <c r="N886" s="280"/>
    </row>
    <row r="887" spans="1:14">
      <c r="A887" s="287"/>
      <c r="B887" s="278"/>
      <c r="C887" s="278"/>
      <c r="D887" s="288"/>
      <c r="E887" s="278"/>
      <c r="F887" s="278"/>
      <c r="G887" s="278" t="s">
        <v>1963</v>
      </c>
      <c r="H887" s="13">
        <v>1.89</v>
      </c>
      <c r="I887" s="13">
        <v>0.16</v>
      </c>
      <c r="J887" s="13" t="s">
        <v>1762</v>
      </c>
      <c r="K887" s="13">
        <v>3.6</v>
      </c>
      <c r="L887" s="278"/>
      <c r="M887" s="280"/>
      <c r="N887" s="280"/>
    </row>
    <row r="888" spans="1:14">
      <c r="A888" s="287"/>
      <c r="B888" s="278"/>
      <c r="C888" s="278"/>
      <c r="D888" s="288"/>
      <c r="E888" s="278"/>
      <c r="F888" s="278"/>
      <c r="G888" s="278" t="s">
        <v>503</v>
      </c>
      <c r="H888" s="13">
        <v>2.64</v>
      </c>
      <c r="I888" s="13">
        <v>0.48</v>
      </c>
      <c r="J888" s="289" t="s">
        <v>24</v>
      </c>
      <c r="K888" s="289" t="s">
        <v>24</v>
      </c>
      <c r="L888" s="278"/>
      <c r="M888" s="280"/>
      <c r="N888" s="280"/>
    </row>
    <row r="889" spans="1:14">
      <c r="A889" s="9">
        <v>45538</v>
      </c>
      <c r="B889" s="278" t="s">
        <v>2056</v>
      </c>
      <c r="C889" s="278" t="s">
        <v>462</v>
      </c>
      <c r="D889" s="282">
        <v>7</v>
      </c>
      <c r="E889" s="278" t="s">
        <v>1743</v>
      </c>
      <c r="F889" s="278" t="s">
        <v>460</v>
      </c>
      <c r="G889" s="278" t="s">
        <v>1962</v>
      </c>
      <c r="H889" s="13">
        <v>1.49</v>
      </c>
      <c r="I889" s="13">
        <v>5.95</v>
      </c>
      <c r="J889" s="13" t="s">
        <v>1744</v>
      </c>
      <c r="K889" s="13">
        <v>2.18</v>
      </c>
      <c r="L889" s="278" t="s">
        <v>27</v>
      </c>
      <c r="M889" s="280"/>
      <c r="N889" s="280"/>
    </row>
    <row r="890" spans="1:14">
      <c r="A890" s="287"/>
      <c r="B890" s="278"/>
      <c r="C890" s="278"/>
      <c r="D890" s="288"/>
      <c r="E890" s="278"/>
      <c r="F890" s="278"/>
      <c r="G890" s="278" t="s">
        <v>1963</v>
      </c>
      <c r="H890" s="13">
        <v>1.49</v>
      </c>
      <c r="I890" s="13">
        <v>0.42</v>
      </c>
      <c r="J890" s="13" t="s">
        <v>1762</v>
      </c>
      <c r="K890" s="13">
        <v>2.22</v>
      </c>
      <c r="L890" s="278"/>
      <c r="M890" s="280"/>
      <c r="N890" s="280"/>
    </row>
    <row r="891" spans="1:14">
      <c r="A891" s="287"/>
      <c r="B891" s="278"/>
      <c r="C891" s="278"/>
      <c r="D891" s="288"/>
      <c r="E891" s="278"/>
      <c r="F891" s="278"/>
      <c r="G891" s="278" t="s">
        <v>2032</v>
      </c>
      <c r="H891" s="13">
        <v>1.57</v>
      </c>
      <c r="I891" s="13">
        <v>0.28</v>
      </c>
      <c r="J891" s="289" t="s">
        <v>24</v>
      </c>
      <c r="K891" s="289" t="s">
        <v>24</v>
      </c>
      <c r="L891" s="278"/>
      <c r="M891" s="280"/>
      <c r="N891" s="280"/>
    </row>
    <row r="892" spans="1:14">
      <c r="A892" s="287"/>
      <c r="B892" s="278"/>
      <c r="C892" s="278"/>
      <c r="D892" s="288"/>
      <c r="E892" s="278"/>
      <c r="F892" s="278"/>
      <c r="G892" s="278" t="s">
        <v>2033</v>
      </c>
      <c r="H892" s="13">
        <v>1.57</v>
      </c>
      <c r="I892" s="13">
        <v>0.35</v>
      </c>
      <c r="J892" s="289" t="s">
        <v>24</v>
      </c>
      <c r="K892" s="289" t="s">
        <v>24</v>
      </c>
      <c r="L892" s="278"/>
      <c r="M892" s="280"/>
      <c r="N892" s="280"/>
    </row>
    <row r="893" spans="1:14">
      <c r="A893" s="9">
        <v>45533</v>
      </c>
      <c r="B893" s="278" t="s">
        <v>2057</v>
      </c>
      <c r="C893" s="278" t="s">
        <v>462</v>
      </c>
      <c r="D893" s="282">
        <v>5</v>
      </c>
      <c r="E893" s="278" t="s">
        <v>486</v>
      </c>
      <c r="F893" s="278" t="s">
        <v>1961</v>
      </c>
      <c r="G893" s="278" t="s">
        <v>1962</v>
      </c>
      <c r="H893" s="13">
        <v>1.49</v>
      </c>
      <c r="I893" s="13">
        <v>4.075</v>
      </c>
      <c r="J893" s="13" t="s">
        <v>1744</v>
      </c>
      <c r="K893" s="13">
        <v>2.15</v>
      </c>
      <c r="L893" s="278" t="s">
        <v>27</v>
      </c>
      <c r="M893" s="280"/>
      <c r="N893" s="280"/>
    </row>
    <row r="894" spans="1:14">
      <c r="A894" s="287"/>
      <c r="B894" s="278"/>
      <c r="C894" s="278"/>
      <c r="D894" s="288"/>
      <c r="E894" s="278"/>
      <c r="F894" s="278"/>
      <c r="G894" s="278" t="s">
        <v>1963</v>
      </c>
      <c r="H894" s="13">
        <v>1.99</v>
      </c>
      <c r="I894" s="13">
        <v>0.2</v>
      </c>
      <c r="J894" s="13" t="s">
        <v>1762</v>
      </c>
      <c r="K894" s="13">
        <v>2.2</v>
      </c>
      <c r="L894" s="278"/>
      <c r="M894" s="280"/>
      <c r="N894" s="280"/>
    </row>
    <row r="895" spans="1:14">
      <c r="A895" s="287"/>
      <c r="B895" s="278"/>
      <c r="C895" s="278"/>
      <c r="D895" s="288"/>
      <c r="E895" s="278"/>
      <c r="F895" s="278"/>
      <c r="G895" s="278" t="s">
        <v>2032</v>
      </c>
      <c r="H895" s="13">
        <v>2.99</v>
      </c>
      <c r="I895" s="13">
        <v>0.475</v>
      </c>
      <c r="J895" s="289" t="s">
        <v>24</v>
      </c>
      <c r="K895" s="289" t="s">
        <v>24</v>
      </c>
      <c r="L895" s="278"/>
      <c r="M895" s="280"/>
      <c r="N895" s="280"/>
    </row>
    <row r="896" spans="1:14">
      <c r="A896" s="287"/>
      <c r="B896" s="278"/>
      <c r="C896" s="278"/>
      <c r="D896" s="288"/>
      <c r="E896" s="278"/>
      <c r="F896" s="278"/>
      <c r="G896" s="278" t="s">
        <v>2033</v>
      </c>
      <c r="H896" s="13">
        <v>2.99</v>
      </c>
      <c r="I896" s="13">
        <v>0.25</v>
      </c>
      <c r="J896" s="289" t="s">
        <v>24</v>
      </c>
      <c r="K896" s="289" t="s">
        <v>24</v>
      </c>
      <c r="L896" s="278"/>
      <c r="M896" s="280"/>
      <c r="N896" s="280"/>
    </row>
    <row r="897" spans="1:14">
      <c r="A897" s="9">
        <v>45547</v>
      </c>
      <c r="B897" s="278" t="s">
        <v>2058</v>
      </c>
      <c r="C897" s="278" t="s">
        <v>462</v>
      </c>
      <c r="D897" s="282">
        <v>10</v>
      </c>
      <c r="E897" s="278" t="s">
        <v>536</v>
      </c>
      <c r="F897" s="278" t="s">
        <v>523</v>
      </c>
      <c r="G897" s="278" t="s">
        <v>1962</v>
      </c>
      <c r="H897" s="13">
        <v>0.59</v>
      </c>
      <c r="I897" s="13">
        <v>9</v>
      </c>
      <c r="J897" s="13" t="s">
        <v>1744</v>
      </c>
      <c r="K897" s="13">
        <v>2.09</v>
      </c>
      <c r="L897" s="278" t="s">
        <v>35</v>
      </c>
      <c r="M897" s="280"/>
      <c r="N897" s="280"/>
    </row>
    <row r="898" spans="1:14">
      <c r="A898" s="287"/>
      <c r="B898" s="278"/>
      <c r="C898" s="278"/>
      <c r="D898" s="288"/>
      <c r="E898" s="278"/>
      <c r="F898" s="278"/>
      <c r="G898" s="278" t="s">
        <v>1963</v>
      </c>
      <c r="H898" s="13">
        <v>0.68</v>
      </c>
      <c r="I898" s="13">
        <v>0.5</v>
      </c>
      <c r="J898" s="13" t="s">
        <v>1762</v>
      </c>
      <c r="K898" s="13">
        <v>2.2</v>
      </c>
      <c r="L898" s="278"/>
      <c r="M898" s="280"/>
      <c r="N898" s="280"/>
    </row>
    <row r="899" spans="1:14">
      <c r="A899" s="287"/>
      <c r="B899" s="278"/>
      <c r="C899" s="278"/>
      <c r="D899" s="288"/>
      <c r="E899" s="278"/>
      <c r="F899" s="278"/>
      <c r="G899" s="278" t="s">
        <v>503</v>
      </c>
      <c r="H899" s="13">
        <v>1.44</v>
      </c>
      <c r="I899" s="13">
        <v>0.5</v>
      </c>
      <c r="J899" s="289" t="s">
        <v>24</v>
      </c>
      <c r="K899" s="289" t="s">
        <v>24</v>
      </c>
      <c r="L899" s="278"/>
      <c r="M899" s="280"/>
      <c r="N899" s="280"/>
    </row>
    <row r="900" spans="1:14">
      <c r="A900" s="9">
        <v>45547</v>
      </c>
      <c r="B900" s="278" t="s">
        <v>2059</v>
      </c>
      <c r="C900" s="278" t="s">
        <v>462</v>
      </c>
      <c r="D900" s="282">
        <v>5</v>
      </c>
      <c r="E900" s="278" t="s">
        <v>486</v>
      </c>
      <c r="F900" s="278" t="s">
        <v>1961</v>
      </c>
      <c r="G900" s="278" t="s">
        <v>1962</v>
      </c>
      <c r="H900" s="13">
        <v>1.55</v>
      </c>
      <c r="I900" s="13">
        <v>4.075</v>
      </c>
      <c r="J900" s="13" t="s">
        <v>1744</v>
      </c>
      <c r="K900" s="13">
        <v>2.16</v>
      </c>
      <c r="L900" s="278" t="s">
        <v>27</v>
      </c>
      <c r="M900" s="280"/>
      <c r="N900" s="280"/>
    </row>
    <row r="901" spans="1:14">
      <c r="A901" s="287"/>
      <c r="B901" s="278"/>
      <c r="C901" s="278"/>
      <c r="D901" s="288"/>
      <c r="E901" s="278"/>
      <c r="F901" s="278"/>
      <c r="G901" s="278" t="s">
        <v>1963</v>
      </c>
      <c r="H901" s="13">
        <v>2.01</v>
      </c>
      <c r="I901" s="13">
        <v>0.2</v>
      </c>
      <c r="J901" s="13" t="s">
        <v>1762</v>
      </c>
      <c r="K901" s="13">
        <v>2.2</v>
      </c>
      <c r="L901" s="278"/>
      <c r="M901" s="280"/>
      <c r="N901" s="280"/>
    </row>
    <row r="902" spans="1:14">
      <c r="A902" s="287"/>
      <c r="B902" s="278"/>
      <c r="C902" s="278"/>
      <c r="D902" s="288"/>
      <c r="E902" s="278"/>
      <c r="F902" s="278"/>
      <c r="G902" s="278" t="s">
        <v>2032</v>
      </c>
      <c r="H902" s="13">
        <v>3.06</v>
      </c>
      <c r="I902" s="13">
        <v>0.475</v>
      </c>
      <c r="J902" s="289" t="s">
        <v>24</v>
      </c>
      <c r="K902" s="289" t="s">
        <v>24</v>
      </c>
      <c r="L902" s="278"/>
      <c r="M902" s="280"/>
      <c r="N902" s="280"/>
    </row>
    <row r="903" spans="1:14">
      <c r="A903" s="287"/>
      <c r="B903" s="278"/>
      <c r="C903" s="278"/>
      <c r="D903" s="288"/>
      <c r="E903" s="278"/>
      <c r="F903" s="278"/>
      <c r="G903" s="278" t="s">
        <v>2033</v>
      </c>
      <c r="H903" s="13">
        <v>3.06</v>
      </c>
      <c r="I903" s="13">
        <v>0.25</v>
      </c>
      <c r="J903" s="289" t="s">
        <v>24</v>
      </c>
      <c r="K903" s="289" t="s">
        <v>24</v>
      </c>
      <c r="L903" s="278"/>
      <c r="M903" s="280"/>
      <c r="N903" s="280"/>
    </row>
    <row r="904" spans="1:14">
      <c r="A904" s="9">
        <v>45546</v>
      </c>
      <c r="B904" s="278" t="s">
        <v>2060</v>
      </c>
      <c r="C904" s="278" t="s">
        <v>462</v>
      </c>
      <c r="D904" s="282">
        <v>3</v>
      </c>
      <c r="E904" s="278" t="s">
        <v>536</v>
      </c>
      <c r="F904" s="278" t="s">
        <v>460</v>
      </c>
      <c r="G904" s="278" t="s">
        <v>1962</v>
      </c>
      <c r="H904" s="13">
        <v>1.8</v>
      </c>
      <c r="I904" s="13">
        <v>2.5</v>
      </c>
      <c r="J904" s="13" t="s">
        <v>1744</v>
      </c>
      <c r="K904" s="13">
        <v>2.18</v>
      </c>
      <c r="L904" s="278" t="s">
        <v>27</v>
      </c>
      <c r="M904" s="280"/>
      <c r="N904" s="280"/>
    </row>
    <row r="905" spans="1:14">
      <c r="A905" s="287"/>
      <c r="B905" s="278"/>
      <c r="C905" s="278"/>
      <c r="D905" s="288"/>
      <c r="E905" s="278"/>
      <c r="F905" s="278"/>
      <c r="G905" s="278" t="s">
        <v>1963</v>
      </c>
      <c r="H905" s="13">
        <v>1.8</v>
      </c>
      <c r="I905" s="13">
        <v>0.18</v>
      </c>
      <c r="J905" s="13" t="s">
        <v>1762</v>
      </c>
      <c r="K905" s="13">
        <v>2.28</v>
      </c>
      <c r="L905" s="278"/>
      <c r="M905" s="280"/>
      <c r="N905" s="280"/>
    </row>
    <row r="906" spans="1:14">
      <c r="A906" s="287"/>
      <c r="B906" s="278"/>
      <c r="C906" s="278"/>
      <c r="D906" s="288"/>
      <c r="E906" s="278"/>
      <c r="F906" s="278"/>
      <c r="G906" s="278" t="s">
        <v>2032</v>
      </c>
      <c r="H906" s="13">
        <v>1.89</v>
      </c>
      <c r="I906" s="13">
        <v>0.17</v>
      </c>
      <c r="J906" s="289" t="s">
        <v>24</v>
      </c>
      <c r="K906" s="289" t="s">
        <v>24</v>
      </c>
      <c r="L906" s="278"/>
      <c r="M906" s="280"/>
      <c r="N906" s="280"/>
    </row>
    <row r="907" spans="1:14">
      <c r="A907" s="287"/>
      <c r="B907" s="278"/>
      <c r="C907" s="278"/>
      <c r="D907" s="288"/>
      <c r="E907" s="278"/>
      <c r="F907" s="278"/>
      <c r="G907" s="278" t="s">
        <v>2033</v>
      </c>
      <c r="H907" s="13">
        <v>1.89</v>
      </c>
      <c r="I907" s="13">
        <v>0.15</v>
      </c>
      <c r="J907" s="289" t="s">
        <v>24</v>
      </c>
      <c r="K907" s="289" t="s">
        <v>24</v>
      </c>
      <c r="L907" s="278"/>
      <c r="M907" s="280"/>
      <c r="N907" s="280"/>
    </row>
    <row r="908" spans="1:14">
      <c r="A908" s="9">
        <v>45548</v>
      </c>
      <c r="B908" s="278" t="s">
        <v>2061</v>
      </c>
      <c r="C908" s="278" t="s">
        <v>462</v>
      </c>
      <c r="D908" s="282">
        <v>5</v>
      </c>
      <c r="E908" s="278" t="s">
        <v>486</v>
      </c>
      <c r="F908" s="278" t="s">
        <v>1961</v>
      </c>
      <c r="G908" s="278" t="s">
        <v>1962</v>
      </c>
      <c r="H908" s="278" t="s">
        <v>2020</v>
      </c>
      <c r="I908" s="13">
        <v>4.19</v>
      </c>
      <c r="J908" s="278" t="s">
        <v>2020</v>
      </c>
      <c r="K908" s="13">
        <v>2.13</v>
      </c>
      <c r="L908" s="278" t="s">
        <v>27</v>
      </c>
      <c r="M908" s="280"/>
      <c r="N908" s="280"/>
    </row>
    <row r="909" spans="1:14">
      <c r="A909" s="287"/>
      <c r="B909" s="278"/>
      <c r="C909" s="278"/>
      <c r="D909" s="288"/>
      <c r="E909" s="278"/>
      <c r="F909" s="278"/>
      <c r="G909" s="278" t="s">
        <v>1963</v>
      </c>
      <c r="H909" s="278" t="s">
        <v>2020</v>
      </c>
      <c r="I909" s="13">
        <v>0.29</v>
      </c>
      <c r="J909" s="278" t="s">
        <v>2020</v>
      </c>
      <c r="K909" s="13">
        <v>2.2</v>
      </c>
      <c r="L909" s="278"/>
      <c r="M909" s="280"/>
      <c r="N909" s="280"/>
    </row>
    <row r="910" spans="1:14">
      <c r="A910" s="287"/>
      <c r="B910" s="278"/>
      <c r="C910" s="278"/>
      <c r="D910" s="288"/>
      <c r="E910" s="278"/>
      <c r="F910" s="278"/>
      <c r="G910" s="278" t="s">
        <v>1964</v>
      </c>
      <c r="H910" s="278" t="s">
        <v>2020</v>
      </c>
      <c r="I910" s="13">
        <v>0.27</v>
      </c>
      <c r="J910" s="289" t="s">
        <v>24</v>
      </c>
      <c r="K910" s="289" t="s">
        <v>24</v>
      </c>
      <c r="L910" s="278"/>
      <c r="M910" s="280"/>
      <c r="N910" s="280"/>
    </row>
    <row r="911" spans="1:14">
      <c r="A911" s="287"/>
      <c r="B911" s="278"/>
      <c r="C911" s="278"/>
      <c r="D911" s="288"/>
      <c r="E911" s="278"/>
      <c r="F911" s="278"/>
      <c r="G911" s="278" t="s">
        <v>1965</v>
      </c>
      <c r="H911" s="278" t="s">
        <v>2020</v>
      </c>
      <c r="I911" s="13">
        <v>0.25</v>
      </c>
      <c r="J911" s="289" t="s">
        <v>24</v>
      </c>
      <c r="K911" s="289" t="s">
        <v>24</v>
      </c>
      <c r="L911" s="278"/>
      <c r="M911" s="280"/>
      <c r="N911" s="280"/>
    </row>
    <row r="912" spans="1:14">
      <c r="A912" s="9">
        <v>45541</v>
      </c>
      <c r="B912" s="278" t="s">
        <v>2062</v>
      </c>
      <c r="C912" s="278" t="s">
        <v>462</v>
      </c>
      <c r="D912" s="282">
        <v>8</v>
      </c>
      <c r="E912" s="278" t="s">
        <v>1136</v>
      </c>
      <c r="F912" s="278" t="s">
        <v>530</v>
      </c>
      <c r="G912" s="278" t="s">
        <v>531</v>
      </c>
      <c r="H912" s="13">
        <v>1.02</v>
      </c>
      <c r="I912" s="13">
        <v>7.88</v>
      </c>
      <c r="J912" s="13" t="s">
        <v>1744</v>
      </c>
      <c r="K912" s="13">
        <v>2.65</v>
      </c>
      <c r="L912" s="278" t="s">
        <v>1082</v>
      </c>
      <c r="M912" s="280"/>
      <c r="N912" s="280"/>
    </row>
    <row r="913" spans="1:14">
      <c r="A913" s="287"/>
      <c r="B913" s="278"/>
      <c r="C913" s="278"/>
      <c r="D913" s="288"/>
      <c r="E913" s="278"/>
      <c r="F913" s="278"/>
      <c r="G913" s="278" t="s">
        <v>503</v>
      </c>
      <c r="H913" s="13">
        <v>3.02</v>
      </c>
      <c r="I913" s="13">
        <v>0.12</v>
      </c>
      <c r="J913" s="289" t="s">
        <v>24</v>
      </c>
      <c r="K913" s="13">
        <v>15</v>
      </c>
      <c r="L913" s="278"/>
      <c r="M913" s="280"/>
      <c r="N913" s="280"/>
    </row>
    <row r="914" spans="1:14">
      <c r="A914" s="9">
        <v>45541</v>
      </c>
      <c r="B914" s="278" t="s">
        <v>2063</v>
      </c>
      <c r="C914" s="278" t="s">
        <v>462</v>
      </c>
      <c r="D914" s="282">
        <v>25</v>
      </c>
      <c r="E914" s="278" t="s">
        <v>1265</v>
      </c>
      <c r="F914" s="278" t="s">
        <v>487</v>
      </c>
      <c r="G914" s="278" t="s">
        <v>1962</v>
      </c>
      <c r="H914" s="13">
        <v>1</v>
      </c>
      <c r="I914" s="13">
        <v>20</v>
      </c>
      <c r="J914" s="13" t="s">
        <v>1744</v>
      </c>
      <c r="K914" s="13">
        <v>2.05</v>
      </c>
      <c r="L914" s="278" t="s">
        <v>1984</v>
      </c>
      <c r="M914" s="280"/>
      <c r="N914" s="280"/>
    </row>
    <row r="915" spans="1:14">
      <c r="A915" s="287"/>
      <c r="B915" s="278"/>
      <c r="C915" s="278"/>
      <c r="D915" s="288"/>
      <c r="E915" s="278"/>
      <c r="F915" s="278"/>
      <c r="G915" s="278" t="s">
        <v>1963</v>
      </c>
      <c r="H915" s="13">
        <v>1</v>
      </c>
      <c r="I915" s="13">
        <v>3.75</v>
      </c>
      <c r="J915" s="13" t="s">
        <v>1762</v>
      </c>
      <c r="K915" s="13">
        <v>11.5</v>
      </c>
      <c r="L915" s="278"/>
      <c r="M915" s="280"/>
      <c r="N915" s="280"/>
    </row>
    <row r="916" spans="1:14">
      <c r="A916" s="287"/>
      <c r="B916" s="278"/>
      <c r="C916" s="278"/>
      <c r="D916" s="288"/>
      <c r="E916" s="278"/>
      <c r="F916" s="278"/>
      <c r="G916" s="278" t="s">
        <v>503</v>
      </c>
      <c r="H916" s="13">
        <v>1</v>
      </c>
      <c r="I916" s="13">
        <v>1.25</v>
      </c>
      <c r="J916" s="289" t="s">
        <v>24</v>
      </c>
      <c r="K916" s="289" t="s">
        <v>24</v>
      </c>
      <c r="L916" s="278"/>
      <c r="M916" s="280"/>
      <c r="N916" s="280"/>
    </row>
    <row r="917" spans="1:14">
      <c r="A917" s="9">
        <v>45541</v>
      </c>
      <c r="B917" s="278" t="s">
        <v>2064</v>
      </c>
      <c r="C917" s="278" t="s">
        <v>462</v>
      </c>
      <c r="D917" s="282">
        <v>10</v>
      </c>
      <c r="E917" s="278" t="s">
        <v>1066</v>
      </c>
      <c r="F917" s="278" t="s">
        <v>523</v>
      </c>
      <c r="G917" s="278" t="s">
        <v>1962</v>
      </c>
      <c r="H917" s="13">
        <v>0.57</v>
      </c>
      <c r="I917" s="13">
        <v>9</v>
      </c>
      <c r="J917" s="13" t="s">
        <v>1744</v>
      </c>
      <c r="K917" s="13">
        <v>2.15</v>
      </c>
      <c r="L917" s="278" t="s">
        <v>35</v>
      </c>
      <c r="M917" s="280"/>
      <c r="N917" s="280"/>
    </row>
    <row r="918" spans="1:14">
      <c r="A918" s="287"/>
      <c r="B918" s="278"/>
      <c r="C918" s="278"/>
      <c r="D918" s="288"/>
      <c r="E918" s="278"/>
      <c r="F918" s="278"/>
      <c r="G918" s="278" t="s">
        <v>1963</v>
      </c>
      <c r="H918" s="13">
        <v>0.65</v>
      </c>
      <c r="I918" s="13">
        <v>0.5</v>
      </c>
      <c r="J918" s="13" t="s">
        <v>1762</v>
      </c>
      <c r="K918" s="13">
        <v>2.2</v>
      </c>
      <c r="L918" s="278"/>
      <c r="M918" s="280"/>
      <c r="N918" s="280"/>
    </row>
    <row r="919" spans="1:14">
      <c r="A919" s="287"/>
      <c r="B919" s="278"/>
      <c r="C919" s="278"/>
      <c r="D919" s="288"/>
      <c r="E919" s="278"/>
      <c r="F919" s="278"/>
      <c r="G919" s="278" t="s">
        <v>503</v>
      </c>
      <c r="H919" s="13">
        <v>1.42</v>
      </c>
      <c r="I919" s="13">
        <v>0.5</v>
      </c>
      <c r="J919" s="289" t="s">
        <v>24</v>
      </c>
      <c r="K919" s="289" t="s">
        <v>24</v>
      </c>
      <c r="L919" s="278"/>
      <c r="M919" s="280"/>
      <c r="N919" s="280"/>
    </row>
    <row r="920" spans="1:14">
      <c r="A920" s="9">
        <v>45539</v>
      </c>
      <c r="B920" s="278" t="s">
        <v>2065</v>
      </c>
      <c r="C920" s="278" t="s">
        <v>462</v>
      </c>
      <c r="D920" s="282">
        <v>20</v>
      </c>
      <c r="E920" s="278" t="s">
        <v>1066</v>
      </c>
      <c r="F920" s="278" t="s">
        <v>1091</v>
      </c>
      <c r="G920" s="278" t="s">
        <v>1962</v>
      </c>
      <c r="H920" s="13">
        <v>0.49</v>
      </c>
      <c r="I920" s="13">
        <v>18</v>
      </c>
      <c r="J920" s="13" t="s">
        <v>1744</v>
      </c>
      <c r="K920" s="13">
        <v>2.15</v>
      </c>
      <c r="L920" s="278" t="s">
        <v>35</v>
      </c>
      <c r="M920" s="280"/>
      <c r="N920" s="280"/>
    </row>
    <row r="921" spans="1:14">
      <c r="A921" s="287"/>
      <c r="B921" s="278"/>
      <c r="C921" s="278"/>
      <c r="D921" s="288"/>
      <c r="E921" s="278"/>
      <c r="F921" s="278"/>
      <c r="G921" s="278" t="s">
        <v>1963</v>
      </c>
      <c r="H921" s="13">
        <v>0.57</v>
      </c>
      <c r="I921" s="13">
        <v>1</v>
      </c>
      <c r="J921" s="13" t="s">
        <v>1762</v>
      </c>
      <c r="K921" s="13">
        <v>2.2</v>
      </c>
      <c r="L921" s="278"/>
      <c r="M921" s="280"/>
      <c r="N921" s="280"/>
    </row>
    <row r="922" spans="1:14">
      <c r="A922" s="287"/>
      <c r="B922" s="278"/>
      <c r="C922" s="278"/>
      <c r="D922" s="288"/>
      <c r="E922" s="278"/>
      <c r="F922" s="278"/>
      <c r="G922" s="278" t="s">
        <v>503</v>
      </c>
      <c r="H922" s="13">
        <v>1.32</v>
      </c>
      <c r="I922" s="13">
        <v>1</v>
      </c>
      <c r="J922" s="289" t="s">
        <v>24</v>
      </c>
      <c r="K922" s="289" t="s">
        <v>24</v>
      </c>
      <c r="L922" s="278"/>
      <c r="M922" s="280"/>
      <c r="N922" s="280"/>
    </row>
    <row r="923" spans="1:14">
      <c r="A923" s="9">
        <v>45555</v>
      </c>
      <c r="B923" s="278" t="s">
        <v>2066</v>
      </c>
      <c r="C923" s="278" t="s">
        <v>462</v>
      </c>
      <c r="D923" s="282">
        <v>10</v>
      </c>
      <c r="E923" s="278" t="s">
        <v>1066</v>
      </c>
      <c r="F923" s="278" t="s">
        <v>1140</v>
      </c>
      <c r="G923" s="278" t="s">
        <v>1962</v>
      </c>
      <c r="H923" s="13">
        <v>0.59</v>
      </c>
      <c r="I923" s="13">
        <v>9</v>
      </c>
      <c r="J923" s="13" t="s">
        <v>1744</v>
      </c>
      <c r="K923" s="13">
        <v>2.15</v>
      </c>
      <c r="L923" s="278" t="s">
        <v>35</v>
      </c>
      <c r="M923" s="280"/>
      <c r="N923" s="280"/>
    </row>
    <row r="924" spans="1:14">
      <c r="A924" s="287"/>
      <c r="B924" s="278"/>
      <c r="C924" s="278"/>
      <c r="D924" s="288"/>
      <c r="E924" s="278"/>
      <c r="F924" s="278"/>
      <c r="G924" s="278" t="s">
        <v>1963</v>
      </c>
      <c r="H924" s="13">
        <v>0.68</v>
      </c>
      <c r="I924" s="13">
        <v>0.5</v>
      </c>
      <c r="J924" s="13" t="s">
        <v>1762</v>
      </c>
      <c r="K924" s="13">
        <v>2.3</v>
      </c>
      <c r="L924" s="278"/>
      <c r="M924" s="280"/>
      <c r="N924" s="280"/>
    </row>
    <row r="925" spans="1:14">
      <c r="A925" s="287"/>
      <c r="B925" s="278"/>
      <c r="C925" s="278"/>
      <c r="D925" s="288"/>
      <c r="E925" s="278"/>
      <c r="F925" s="278"/>
      <c r="G925" s="278" t="s">
        <v>503</v>
      </c>
      <c r="H925" s="13">
        <v>1.44</v>
      </c>
      <c r="I925" s="13">
        <v>0.5</v>
      </c>
      <c r="J925" s="289" t="s">
        <v>24</v>
      </c>
      <c r="K925" s="289" t="s">
        <v>24</v>
      </c>
      <c r="L925" s="278"/>
      <c r="M925" s="280"/>
      <c r="N925" s="280"/>
    </row>
    <row r="926" spans="1:14">
      <c r="A926" s="9">
        <v>45559</v>
      </c>
      <c r="B926" s="278" t="s">
        <v>2067</v>
      </c>
      <c r="C926" s="278" t="s">
        <v>462</v>
      </c>
      <c r="D926" s="282">
        <v>5</v>
      </c>
      <c r="E926" s="278" t="s">
        <v>477</v>
      </c>
      <c r="F926" s="278" t="s">
        <v>474</v>
      </c>
      <c r="G926" s="278" t="s">
        <v>1958</v>
      </c>
      <c r="H926" s="13">
        <v>1.07</v>
      </c>
      <c r="I926" s="13">
        <v>3.5</v>
      </c>
      <c r="J926" s="13" t="s">
        <v>1744</v>
      </c>
      <c r="K926" s="13">
        <v>2.1</v>
      </c>
      <c r="L926" s="278" t="s">
        <v>41</v>
      </c>
      <c r="M926" s="280"/>
      <c r="N926" s="280"/>
    </row>
    <row r="927" spans="1:14">
      <c r="A927" s="287"/>
      <c r="B927" s="278"/>
      <c r="C927" s="278"/>
      <c r="D927" s="288"/>
      <c r="E927" s="278"/>
      <c r="F927" s="278"/>
      <c r="G927" s="278" t="s">
        <v>1959</v>
      </c>
      <c r="H927" s="13">
        <v>1.19</v>
      </c>
      <c r="I927" s="13">
        <v>0.7</v>
      </c>
      <c r="J927" s="13" t="s">
        <v>1744</v>
      </c>
      <c r="K927" s="13">
        <v>2.2</v>
      </c>
      <c r="L927" s="278"/>
      <c r="M927" s="280"/>
      <c r="N927" s="280"/>
    </row>
    <row r="928" spans="1:14">
      <c r="A928" s="287"/>
      <c r="B928" s="278"/>
      <c r="C928" s="278"/>
      <c r="D928" s="288"/>
      <c r="E928" s="278"/>
      <c r="F928" s="278"/>
      <c r="G928" s="278" t="s">
        <v>1963</v>
      </c>
      <c r="H928" s="13">
        <v>1.24</v>
      </c>
      <c r="I928" s="13">
        <v>0.27</v>
      </c>
      <c r="J928" s="13" t="s">
        <v>1762</v>
      </c>
      <c r="K928" s="13">
        <v>2.25</v>
      </c>
      <c r="L928" s="278"/>
      <c r="M928" s="280"/>
      <c r="N928" s="280"/>
    </row>
    <row r="929" spans="1:14">
      <c r="A929" s="287"/>
      <c r="B929" s="278"/>
      <c r="C929" s="278"/>
      <c r="D929" s="288"/>
      <c r="E929" s="278"/>
      <c r="F929" s="278"/>
      <c r="G929" s="278" t="s">
        <v>509</v>
      </c>
      <c r="H929" s="13">
        <v>1.28</v>
      </c>
      <c r="I929" s="13">
        <v>0.28</v>
      </c>
      <c r="J929" s="13" t="s">
        <v>1782</v>
      </c>
      <c r="K929" s="13">
        <v>4.7</v>
      </c>
      <c r="L929" s="278"/>
      <c r="M929" s="280"/>
      <c r="N929" s="280"/>
    </row>
    <row r="930" spans="1:14">
      <c r="A930" s="287"/>
      <c r="B930" s="278"/>
      <c r="C930" s="278"/>
      <c r="D930" s="288"/>
      <c r="E930" s="278"/>
      <c r="F930" s="278"/>
      <c r="G930" s="278" t="s">
        <v>503</v>
      </c>
      <c r="H930" s="13">
        <v>1.78</v>
      </c>
      <c r="I930" s="13">
        <v>0.25</v>
      </c>
      <c r="J930" s="289" t="s">
        <v>24</v>
      </c>
      <c r="K930" s="289" t="s">
        <v>24</v>
      </c>
      <c r="L930" s="278"/>
      <c r="M930" s="280"/>
      <c r="N930" s="280"/>
    </row>
    <row r="931" spans="1:14">
      <c r="A931" s="9">
        <v>45554</v>
      </c>
      <c r="B931" s="278" t="s">
        <v>2068</v>
      </c>
      <c r="C931" s="278" t="s">
        <v>462</v>
      </c>
      <c r="D931" s="282">
        <v>20</v>
      </c>
      <c r="E931" s="278" t="s">
        <v>536</v>
      </c>
      <c r="F931" s="278" t="s">
        <v>482</v>
      </c>
      <c r="G931" s="278" t="s">
        <v>1962</v>
      </c>
      <c r="H931" s="13">
        <v>0.59</v>
      </c>
      <c r="I931" s="13">
        <v>18</v>
      </c>
      <c r="J931" s="13" t="s">
        <v>1744</v>
      </c>
      <c r="K931" s="13">
        <v>2.15</v>
      </c>
      <c r="L931" s="278" t="s">
        <v>35</v>
      </c>
      <c r="M931" s="280"/>
      <c r="N931" s="280"/>
    </row>
    <row r="932" spans="1:14">
      <c r="A932" s="287"/>
      <c r="B932" s="278"/>
      <c r="C932" s="278"/>
      <c r="D932" s="288"/>
      <c r="E932" s="278"/>
      <c r="F932" s="278"/>
      <c r="G932" s="278" t="s">
        <v>1963</v>
      </c>
      <c r="H932" s="13">
        <v>0.68</v>
      </c>
      <c r="I932" s="13">
        <v>1</v>
      </c>
      <c r="J932" s="13" t="s">
        <v>1762</v>
      </c>
      <c r="K932" s="13">
        <v>2.3</v>
      </c>
      <c r="L932" s="278"/>
      <c r="M932" s="280"/>
      <c r="N932" s="280"/>
    </row>
    <row r="933" spans="1:14">
      <c r="A933" s="287"/>
      <c r="B933" s="278"/>
      <c r="C933" s="278"/>
      <c r="D933" s="288"/>
      <c r="E933" s="278"/>
      <c r="F933" s="278"/>
      <c r="G933" s="278" t="s">
        <v>503</v>
      </c>
      <c r="H933" s="13">
        <v>1.44</v>
      </c>
      <c r="I933" s="13">
        <v>1</v>
      </c>
      <c r="J933" s="289" t="s">
        <v>24</v>
      </c>
      <c r="K933" s="289" t="s">
        <v>24</v>
      </c>
      <c r="L933" s="278"/>
      <c r="M933" s="280"/>
      <c r="N933" s="280"/>
    </row>
    <row r="934" spans="1:14">
      <c r="A934" s="9">
        <v>45547</v>
      </c>
      <c r="B934" s="278" t="s">
        <v>2069</v>
      </c>
      <c r="C934" s="278" t="s">
        <v>462</v>
      </c>
      <c r="D934" s="282">
        <v>10</v>
      </c>
      <c r="E934" s="278" t="s">
        <v>536</v>
      </c>
      <c r="F934" s="278" t="s">
        <v>1091</v>
      </c>
      <c r="G934" s="278" t="s">
        <v>1962</v>
      </c>
      <c r="H934" s="13">
        <v>0.58</v>
      </c>
      <c r="I934" s="13">
        <v>9</v>
      </c>
      <c r="J934" s="13" t="s">
        <v>1744</v>
      </c>
      <c r="K934" s="13">
        <v>2.09</v>
      </c>
      <c r="L934" s="278" t="s">
        <v>35</v>
      </c>
      <c r="M934" s="280"/>
      <c r="N934" s="280"/>
    </row>
    <row r="935" spans="1:14">
      <c r="A935" s="287"/>
      <c r="B935" s="278"/>
      <c r="C935" s="278"/>
      <c r="D935" s="288"/>
      <c r="E935" s="278"/>
      <c r="F935" s="278"/>
      <c r="G935" s="278" t="s">
        <v>1963</v>
      </c>
      <c r="H935" s="13">
        <v>0.66</v>
      </c>
      <c r="I935" s="13">
        <v>0.5</v>
      </c>
      <c r="J935" s="13" t="s">
        <v>1762</v>
      </c>
      <c r="K935" s="13">
        <v>2.2</v>
      </c>
      <c r="L935" s="278"/>
      <c r="M935" s="280"/>
      <c r="N935" s="280"/>
    </row>
    <row r="936" spans="1:14">
      <c r="A936" s="287"/>
      <c r="B936" s="278"/>
      <c r="C936" s="278"/>
      <c r="D936" s="288"/>
      <c r="E936" s="278"/>
      <c r="F936" s="278"/>
      <c r="G936" s="278" t="s">
        <v>503</v>
      </c>
      <c r="H936" s="13">
        <v>1.42</v>
      </c>
      <c r="I936" s="13">
        <v>0.5</v>
      </c>
      <c r="J936" s="289" t="s">
        <v>24</v>
      </c>
      <c r="K936" s="289" t="s">
        <v>24</v>
      </c>
      <c r="L936" s="278"/>
      <c r="M936" s="280"/>
      <c r="N936" s="280"/>
    </row>
    <row r="937" spans="1:14">
      <c r="A937" s="9">
        <v>45560</v>
      </c>
      <c r="B937" s="278" t="s">
        <v>2070</v>
      </c>
      <c r="C937" s="278" t="s">
        <v>462</v>
      </c>
      <c r="D937" s="282">
        <v>35</v>
      </c>
      <c r="E937" s="278" t="s">
        <v>1265</v>
      </c>
      <c r="F937" s="278" t="s">
        <v>1096</v>
      </c>
      <c r="G937" s="278" t="s">
        <v>1962</v>
      </c>
      <c r="H937" s="13">
        <v>1</v>
      </c>
      <c r="I937" s="13">
        <v>28</v>
      </c>
      <c r="J937" s="278" t="s">
        <v>2020</v>
      </c>
      <c r="K937" s="13">
        <v>2.05</v>
      </c>
      <c r="L937" s="278" t="s">
        <v>1984</v>
      </c>
      <c r="M937" s="280"/>
      <c r="N937" s="280"/>
    </row>
    <row r="938" spans="1:14">
      <c r="A938" s="287"/>
      <c r="B938" s="278"/>
      <c r="C938" s="278"/>
      <c r="D938" s="288"/>
      <c r="E938" s="278"/>
      <c r="F938" s="278"/>
      <c r="G938" s="278" t="s">
        <v>1963</v>
      </c>
      <c r="H938" s="13">
        <v>1</v>
      </c>
      <c r="I938" s="13">
        <v>5.25</v>
      </c>
      <c r="J938" s="278" t="s">
        <v>2020</v>
      </c>
      <c r="K938" s="13">
        <v>11</v>
      </c>
      <c r="L938" s="278"/>
      <c r="M938" s="280"/>
      <c r="N938" s="280"/>
    </row>
    <row r="939" spans="1:14">
      <c r="A939" s="287"/>
      <c r="B939" s="278"/>
      <c r="C939" s="278"/>
      <c r="D939" s="288"/>
      <c r="E939" s="278"/>
      <c r="F939" s="278"/>
      <c r="G939" s="278" t="s">
        <v>503</v>
      </c>
      <c r="H939" s="13">
        <v>1</v>
      </c>
      <c r="I939" s="13">
        <v>1.75</v>
      </c>
      <c r="J939" s="289" t="s">
        <v>24</v>
      </c>
      <c r="K939" s="289" t="s">
        <v>24</v>
      </c>
      <c r="L939" s="278"/>
      <c r="M939" s="280"/>
      <c r="N939" s="280"/>
    </row>
    <row r="940" spans="1:14">
      <c r="A940" s="9">
        <v>45561</v>
      </c>
      <c r="B940" s="278" t="s">
        <v>2071</v>
      </c>
      <c r="C940" s="278" t="s">
        <v>462</v>
      </c>
      <c r="D940" s="282">
        <v>5</v>
      </c>
      <c r="E940" s="278" t="s">
        <v>1743</v>
      </c>
      <c r="F940" s="278" t="s">
        <v>460</v>
      </c>
      <c r="G940" s="278" t="s">
        <v>1962</v>
      </c>
      <c r="H940" s="13">
        <v>1.44</v>
      </c>
      <c r="I940" s="13">
        <v>4.25</v>
      </c>
      <c r="J940" s="13" t="s">
        <v>1744</v>
      </c>
      <c r="K940" s="290">
        <v>2.19</v>
      </c>
      <c r="L940" s="278" t="s">
        <v>27</v>
      </c>
      <c r="M940" s="280"/>
      <c r="N940" s="280"/>
    </row>
    <row r="941" spans="1:14">
      <c r="A941" s="287"/>
      <c r="B941" s="278"/>
      <c r="C941" s="278"/>
      <c r="D941" s="288"/>
      <c r="E941" s="278"/>
      <c r="F941" s="278"/>
      <c r="G941" s="278" t="s">
        <v>1963</v>
      </c>
      <c r="H941" s="13">
        <v>1.44</v>
      </c>
      <c r="I941" s="13">
        <v>0.3</v>
      </c>
      <c r="J941" s="13" t="s">
        <v>1762</v>
      </c>
      <c r="K941" s="290">
        <v>2.25</v>
      </c>
      <c r="L941" s="278"/>
      <c r="M941" s="280"/>
      <c r="N941" s="280"/>
    </row>
    <row r="942" spans="1:14">
      <c r="A942" s="287"/>
      <c r="B942" s="278"/>
      <c r="C942" s="278"/>
      <c r="D942" s="288"/>
      <c r="E942" s="278"/>
      <c r="F942" s="278"/>
      <c r="G942" s="278" t="s">
        <v>1964</v>
      </c>
      <c r="H942" s="13">
        <v>1.51</v>
      </c>
      <c r="I942" s="13">
        <v>0.2</v>
      </c>
      <c r="J942" s="289" t="s">
        <v>24</v>
      </c>
      <c r="K942" s="289" t="s">
        <v>24</v>
      </c>
      <c r="L942" s="278"/>
      <c r="M942" s="280"/>
      <c r="N942" s="280"/>
    </row>
    <row r="943" spans="1:14">
      <c r="A943" s="287"/>
      <c r="B943" s="278"/>
      <c r="C943" s="278"/>
      <c r="D943" s="288"/>
      <c r="E943" s="278"/>
      <c r="F943" s="278"/>
      <c r="G943" s="278" t="s">
        <v>1965</v>
      </c>
      <c r="H943" s="13">
        <v>1.51</v>
      </c>
      <c r="I943" s="13">
        <v>0.25</v>
      </c>
      <c r="J943" s="289" t="s">
        <v>24</v>
      </c>
      <c r="K943" s="289" t="s">
        <v>24</v>
      </c>
      <c r="L943" s="278"/>
      <c r="M943" s="280"/>
      <c r="N943" s="280"/>
    </row>
    <row r="944" spans="1:14">
      <c r="A944" s="9">
        <v>45559</v>
      </c>
      <c r="B944" s="278" t="s">
        <v>2072</v>
      </c>
      <c r="C944" s="278" t="s">
        <v>459</v>
      </c>
      <c r="D944" s="282">
        <v>10</v>
      </c>
      <c r="E944" s="278" t="s">
        <v>1079</v>
      </c>
      <c r="F944" s="278" t="s">
        <v>1961</v>
      </c>
      <c r="G944" s="278" t="s">
        <v>1962</v>
      </c>
      <c r="H944" s="13">
        <v>2.01</v>
      </c>
      <c r="I944" s="13">
        <v>8.7</v>
      </c>
      <c r="J944" s="13" t="s">
        <v>1744</v>
      </c>
      <c r="K944" s="13">
        <v>2.18</v>
      </c>
      <c r="L944" s="278" t="s">
        <v>35</v>
      </c>
      <c r="M944" s="280"/>
      <c r="N944" s="280"/>
    </row>
    <row r="945" spans="1:14">
      <c r="A945" s="287"/>
      <c r="B945" s="278"/>
      <c r="C945" s="278"/>
      <c r="D945" s="288"/>
      <c r="E945" s="278"/>
      <c r="F945" s="278"/>
      <c r="G945" s="278" t="s">
        <v>1963</v>
      </c>
      <c r="H945" s="13">
        <v>2.01</v>
      </c>
      <c r="I945" s="13">
        <v>0.4</v>
      </c>
      <c r="J945" s="13" t="s">
        <v>1762</v>
      </c>
      <c r="K945" s="13">
        <v>2.4</v>
      </c>
      <c r="L945" s="278"/>
      <c r="M945" s="280"/>
      <c r="N945" s="280"/>
    </row>
    <row r="946" spans="1:14">
      <c r="A946" s="287"/>
      <c r="B946" s="278"/>
      <c r="C946" s="278"/>
      <c r="D946" s="288"/>
      <c r="E946" s="278"/>
      <c r="F946" s="278"/>
      <c r="G946" s="278" t="s">
        <v>503</v>
      </c>
      <c r="H946" s="13">
        <v>2.01</v>
      </c>
      <c r="I946" s="13">
        <v>0.9</v>
      </c>
      <c r="J946" s="289" t="s">
        <v>24</v>
      </c>
      <c r="K946" s="289" t="s">
        <v>24</v>
      </c>
      <c r="L946" s="278"/>
      <c r="M946" s="280"/>
      <c r="N946" s="280"/>
    </row>
    <row r="947" spans="1:14">
      <c r="A947" s="9">
        <v>45560</v>
      </c>
      <c r="B947" s="278" t="s">
        <v>2073</v>
      </c>
      <c r="C947" s="278" t="s">
        <v>462</v>
      </c>
      <c r="D947" s="282">
        <v>3</v>
      </c>
      <c r="E947" s="278" t="s">
        <v>536</v>
      </c>
      <c r="F947" s="278" t="s">
        <v>460</v>
      </c>
      <c r="G947" s="278" t="s">
        <v>1962</v>
      </c>
      <c r="H947" s="13">
        <v>1.76</v>
      </c>
      <c r="I947" s="13">
        <v>2.5</v>
      </c>
      <c r="J947" s="13" t="s">
        <v>1744</v>
      </c>
      <c r="K947" s="13">
        <v>2.15</v>
      </c>
      <c r="L947" s="278" t="s">
        <v>27</v>
      </c>
      <c r="M947" s="280"/>
      <c r="N947" s="280"/>
    </row>
    <row r="948" spans="1:14">
      <c r="A948" s="287"/>
      <c r="B948" s="278"/>
      <c r="C948" s="278"/>
      <c r="D948" s="288"/>
      <c r="E948" s="278"/>
      <c r="F948" s="278"/>
      <c r="G948" s="278" t="s">
        <v>1963</v>
      </c>
      <c r="H948" s="13">
        <v>1.76</v>
      </c>
      <c r="I948" s="13">
        <v>0.18</v>
      </c>
      <c r="J948" s="13" t="s">
        <v>1762</v>
      </c>
      <c r="K948" s="13">
        <v>2.2</v>
      </c>
      <c r="L948" s="278"/>
      <c r="M948" s="280"/>
      <c r="N948" s="280"/>
    </row>
    <row r="949" spans="1:14">
      <c r="A949" s="287"/>
      <c r="B949" s="278"/>
      <c r="C949" s="278"/>
      <c r="D949" s="288"/>
      <c r="E949" s="278"/>
      <c r="F949" s="278"/>
      <c r="G949" s="278" t="s">
        <v>1964</v>
      </c>
      <c r="H949" s="13">
        <v>1.85</v>
      </c>
      <c r="I949" s="13">
        <v>0.17</v>
      </c>
      <c r="J949" s="289" t="s">
        <v>24</v>
      </c>
      <c r="K949" s="291"/>
      <c r="L949" s="278"/>
      <c r="M949" s="280"/>
      <c r="N949" s="280"/>
    </row>
    <row r="950" spans="1:14">
      <c r="A950" s="287"/>
      <c r="B950" s="278"/>
      <c r="C950" s="278"/>
      <c r="D950" s="288"/>
      <c r="E950" s="278"/>
      <c r="F950" s="278"/>
      <c r="G950" s="278" t="s">
        <v>1965</v>
      </c>
      <c r="H950" s="13">
        <v>1.85</v>
      </c>
      <c r="I950" s="13">
        <v>0.15</v>
      </c>
      <c r="J950" s="289" t="s">
        <v>24</v>
      </c>
      <c r="K950" s="289" t="s">
        <v>24</v>
      </c>
      <c r="L950" s="278"/>
      <c r="M950" s="280"/>
      <c r="N950" s="280"/>
    </row>
    <row r="951" spans="1:14">
      <c r="A951" s="9">
        <v>45559</v>
      </c>
      <c r="B951" s="278" t="s">
        <v>2074</v>
      </c>
      <c r="C951" s="278" t="s">
        <v>459</v>
      </c>
      <c r="D951" s="282">
        <v>5</v>
      </c>
      <c r="E951" s="278" t="s">
        <v>492</v>
      </c>
      <c r="F951" s="278" t="s">
        <v>1938</v>
      </c>
      <c r="G951" s="278" t="s">
        <v>1962</v>
      </c>
      <c r="H951" s="13">
        <v>1.84</v>
      </c>
      <c r="I951" s="13">
        <v>4.2</v>
      </c>
      <c r="J951" s="13" t="s">
        <v>1744</v>
      </c>
      <c r="K951" s="13">
        <v>2.7</v>
      </c>
      <c r="L951" s="278" t="s">
        <v>70</v>
      </c>
      <c r="M951" s="280"/>
      <c r="N951" s="280"/>
    </row>
    <row r="952" spans="1:14">
      <c r="A952" s="287"/>
      <c r="B952" s="278"/>
      <c r="C952" s="278"/>
      <c r="D952" s="288"/>
      <c r="E952" s="278"/>
      <c r="F952" s="278"/>
      <c r="G952" s="278" t="s">
        <v>1963</v>
      </c>
      <c r="H952" s="13">
        <v>1.93</v>
      </c>
      <c r="I952" s="13">
        <v>0.2</v>
      </c>
      <c r="J952" s="13" t="s">
        <v>1762</v>
      </c>
      <c r="K952" s="13">
        <v>3.6</v>
      </c>
      <c r="L952" s="278"/>
      <c r="M952" s="280"/>
      <c r="N952" s="280"/>
    </row>
    <row r="953" spans="1:14">
      <c r="A953" s="287"/>
      <c r="B953" s="278"/>
      <c r="C953" s="278"/>
      <c r="D953" s="288"/>
      <c r="E953" s="278"/>
      <c r="F953" s="278"/>
      <c r="G953" s="278" t="s">
        <v>503</v>
      </c>
      <c r="H953" s="13">
        <v>2.67</v>
      </c>
      <c r="I953" s="13">
        <v>0.6</v>
      </c>
      <c r="J953" s="289" t="s">
        <v>24</v>
      </c>
      <c r="K953" s="289" t="s">
        <v>24</v>
      </c>
      <c r="L953" s="278"/>
      <c r="M953" s="280"/>
      <c r="N953" s="280"/>
    </row>
    <row r="954" spans="1:14">
      <c r="A954" s="9">
        <v>45559</v>
      </c>
      <c r="B954" s="278" t="s">
        <v>2075</v>
      </c>
      <c r="C954" s="278" t="s">
        <v>462</v>
      </c>
      <c r="D954" s="282">
        <v>7</v>
      </c>
      <c r="E954" s="278" t="s">
        <v>486</v>
      </c>
      <c r="F954" s="278" t="s">
        <v>1961</v>
      </c>
      <c r="G954" s="278" t="s">
        <v>1962</v>
      </c>
      <c r="H954" s="13">
        <v>1.02</v>
      </c>
      <c r="I954" s="13">
        <v>5.87</v>
      </c>
      <c r="J954" s="13" t="s">
        <v>1744</v>
      </c>
      <c r="K954" s="13">
        <v>2.1</v>
      </c>
      <c r="L954" s="278" t="s">
        <v>27</v>
      </c>
      <c r="M954" s="280"/>
      <c r="N954" s="280"/>
    </row>
    <row r="955" spans="1:14">
      <c r="A955" s="287"/>
      <c r="B955" s="278"/>
      <c r="C955" s="278"/>
      <c r="D955" s="288"/>
      <c r="E955" s="278"/>
      <c r="F955" s="278"/>
      <c r="G955" s="278" t="s">
        <v>1963</v>
      </c>
      <c r="H955" s="13">
        <v>1.02</v>
      </c>
      <c r="I955" s="13">
        <v>0.41</v>
      </c>
      <c r="J955" s="13" t="s">
        <v>1762</v>
      </c>
      <c r="K955" s="13">
        <v>2.16</v>
      </c>
      <c r="L955" s="278"/>
      <c r="M955" s="280"/>
      <c r="N955" s="280"/>
    </row>
    <row r="956" spans="1:14">
      <c r="A956" s="287"/>
      <c r="B956" s="278"/>
      <c r="C956" s="278"/>
      <c r="D956" s="288"/>
      <c r="E956" s="278"/>
      <c r="F956" s="278"/>
      <c r="G956" s="278" t="s">
        <v>1964</v>
      </c>
      <c r="H956" s="13">
        <v>1.51</v>
      </c>
      <c r="I956" s="13">
        <v>0.37</v>
      </c>
      <c r="J956" s="289" t="s">
        <v>24</v>
      </c>
      <c r="K956" s="289" t="s">
        <v>24</v>
      </c>
      <c r="L956" s="278"/>
      <c r="M956" s="280"/>
      <c r="N956" s="280"/>
    </row>
    <row r="957" spans="1:14">
      <c r="A957" s="287"/>
      <c r="B957" s="278"/>
      <c r="C957" s="278"/>
      <c r="D957" s="288"/>
      <c r="E957" s="278"/>
      <c r="F957" s="278"/>
      <c r="G957" s="278" t="s">
        <v>1965</v>
      </c>
      <c r="H957" s="13">
        <v>1.51</v>
      </c>
      <c r="I957" s="13">
        <v>0.35</v>
      </c>
      <c r="J957" s="289" t="s">
        <v>24</v>
      </c>
      <c r="K957" s="289" t="s">
        <v>24</v>
      </c>
      <c r="L957" s="278"/>
      <c r="M957" s="280"/>
      <c r="N957" s="280"/>
    </row>
    <row r="958" spans="1:14">
      <c r="A958" s="9">
        <v>45559</v>
      </c>
      <c r="B958" s="278" t="s">
        <v>2076</v>
      </c>
      <c r="C958" s="278" t="s">
        <v>459</v>
      </c>
      <c r="D958" s="282">
        <v>7.2</v>
      </c>
      <c r="E958" s="278" t="s">
        <v>486</v>
      </c>
      <c r="F958" s="278" t="s">
        <v>460</v>
      </c>
      <c r="G958" s="278" t="s">
        <v>1958</v>
      </c>
      <c r="H958" s="13">
        <v>0.57</v>
      </c>
      <c r="I958" s="13">
        <v>2.16</v>
      </c>
      <c r="J958" s="13" t="s">
        <v>1744</v>
      </c>
      <c r="K958" s="13">
        <v>2.45</v>
      </c>
      <c r="L958" s="278" t="s">
        <v>1082</v>
      </c>
      <c r="M958" s="280"/>
      <c r="N958" s="280"/>
    </row>
    <row r="959" spans="1:14">
      <c r="A959" s="287"/>
      <c r="B959" s="278"/>
      <c r="C959" s="278"/>
      <c r="D959" s="288"/>
      <c r="E959" s="278"/>
      <c r="F959" s="278"/>
      <c r="G959" s="278" t="s">
        <v>1959</v>
      </c>
      <c r="H959" s="13">
        <v>1.48</v>
      </c>
      <c r="I959" s="13">
        <v>2.88</v>
      </c>
      <c r="J959" s="13" t="s">
        <v>1744</v>
      </c>
      <c r="K959" s="13">
        <v>2.8</v>
      </c>
      <c r="L959" s="278"/>
      <c r="M959" s="280"/>
      <c r="N959" s="280"/>
    </row>
    <row r="960" spans="1:14">
      <c r="A960" s="287"/>
      <c r="B960" s="278"/>
      <c r="C960" s="278"/>
      <c r="D960" s="288"/>
      <c r="E960" s="278"/>
      <c r="F960" s="278"/>
      <c r="G960" s="278" t="s">
        <v>2007</v>
      </c>
      <c r="H960" s="13">
        <v>2.48</v>
      </c>
      <c r="I960" s="13">
        <v>2.052</v>
      </c>
      <c r="J960" s="13" t="s">
        <v>1744</v>
      </c>
      <c r="K960" s="13">
        <v>4.3</v>
      </c>
      <c r="L960" s="278"/>
      <c r="M960" s="280"/>
      <c r="N960" s="280"/>
    </row>
    <row r="961" spans="1:14">
      <c r="A961" s="287"/>
      <c r="B961" s="278"/>
      <c r="C961" s="278"/>
      <c r="D961" s="288"/>
      <c r="E961" s="278"/>
      <c r="F961" s="278"/>
      <c r="G961" s="278" t="s">
        <v>503</v>
      </c>
      <c r="H961" s="13">
        <v>3.33</v>
      </c>
      <c r="I961" s="13">
        <v>0.108</v>
      </c>
      <c r="J961" s="289" t="s">
        <v>24</v>
      </c>
      <c r="K961" s="289" t="s">
        <v>24</v>
      </c>
      <c r="L961" s="278"/>
      <c r="M961" s="280"/>
      <c r="N961" s="280"/>
    </row>
    <row r="962" spans="1:14">
      <c r="A962" s="9">
        <v>45562</v>
      </c>
      <c r="B962" s="278" t="s">
        <v>2077</v>
      </c>
      <c r="C962" s="278" t="s">
        <v>459</v>
      </c>
      <c r="D962" s="282">
        <v>5.44</v>
      </c>
      <c r="E962" s="278" t="s">
        <v>1139</v>
      </c>
      <c r="F962" s="278" t="s">
        <v>460</v>
      </c>
      <c r="G962" s="278" t="s">
        <v>1962</v>
      </c>
      <c r="H962" s="13">
        <v>0.9</v>
      </c>
      <c r="I962" s="13">
        <v>1.72</v>
      </c>
      <c r="J962" s="13" t="s">
        <v>1744</v>
      </c>
      <c r="K962" s="13">
        <v>2.02</v>
      </c>
      <c r="L962" s="278" t="s">
        <v>435</v>
      </c>
      <c r="M962" s="280"/>
      <c r="N962" s="280"/>
    </row>
    <row r="963" spans="1:14">
      <c r="A963" s="287"/>
      <c r="B963" s="278"/>
      <c r="C963" s="278"/>
      <c r="D963" s="288"/>
      <c r="E963" s="278"/>
      <c r="F963" s="278"/>
      <c r="G963" s="278" t="s">
        <v>1963</v>
      </c>
      <c r="H963" s="13">
        <v>1.91</v>
      </c>
      <c r="I963" s="13">
        <v>1.85</v>
      </c>
      <c r="J963" s="13" t="s">
        <v>1744</v>
      </c>
      <c r="K963" s="13">
        <v>2.18</v>
      </c>
      <c r="L963" s="278"/>
      <c r="M963" s="280"/>
      <c r="N963" s="280"/>
    </row>
    <row r="964" spans="1:14">
      <c r="A964" s="287"/>
      <c r="B964" s="278"/>
      <c r="C964" s="278"/>
      <c r="D964" s="288"/>
      <c r="E964" s="278"/>
      <c r="F964" s="278"/>
      <c r="G964" s="278" t="s">
        <v>1972</v>
      </c>
      <c r="H964" s="13">
        <v>2.82</v>
      </c>
      <c r="I964" s="13">
        <v>1.7</v>
      </c>
      <c r="J964" s="13" t="s">
        <v>1744</v>
      </c>
      <c r="K964" s="13">
        <v>2.25</v>
      </c>
      <c r="L964" s="278"/>
      <c r="M964" s="280"/>
      <c r="N964" s="280"/>
    </row>
    <row r="965" spans="1:14">
      <c r="A965" s="287"/>
      <c r="B965" s="278"/>
      <c r="C965" s="278"/>
      <c r="D965" s="288"/>
      <c r="E965" s="278"/>
      <c r="F965" s="278"/>
      <c r="G965" s="278" t="s">
        <v>1965</v>
      </c>
      <c r="H965" s="13">
        <v>2.91</v>
      </c>
      <c r="I965" s="13">
        <v>0.17</v>
      </c>
      <c r="J965" s="289" t="s">
        <v>24</v>
      </c>
      <c r="K965" s="289" t="s">
        <v>24</v>
      </c>
      <c r="L965" s="278"/>
      <c r="M965" s="280"/>
      <c r="N965" s="280"/>
    </row>
    <row r="966" spans="1:14">
      <c r="A966" s="9">
        <v>45562</v>
      </c>
      <c r="B966" s="278" t="s">
        <v>2078</v>
      </c>
      <c r="C966" s="278" t="s">
        <v>462</v>
      </c>
      <c r="D966" s="282">
        <v>10</v>
      </c>
      <c r="E966" s="278" t="s">
        <v>1066</v>
      </c>
      <c r="F966" s="278" t="s">
        <v>482</v>
      </c>
      <c r="G966" s="278" t="s">
        <v>1962</v>
      </c>
      <c r="H966" s="13">
        <v>0.58</v>
      </c>
      <c r="I966" s="13">
        <v>9</v>
      </c>
      <c r="J966" s="13" t="s">
        <v>1744</v>
      </c>
      <c r="K966" s="13">
        <v>2.15</v>
      </c>
      <c r="L966" s="278" t="s">
        <v>35</v>
      </c>
      <c r="M966" s="280"/>
      <c r="N966" s="280"/>
    </row>
    <row r="967" spans="1:14">
      <c r="A967" s="287"/>
      <c r="B967" s="278"/>
      <c r="C967" s="278"/>
      <c r="D967" s="288"/>
      <c r="E967" s="278"/>
      <c r="F967" s="278"/>
      <c r="G967" s="278" t="s">
        <v>1963</v>
      </c>
      <c r="H967" s="13">
        <v>0.65</v>
      </c>
      <c r="I967" s="13">
        <v>0.5</v>
      </c>
      <c r="J967" s="13" t="s">
        <v>1762</v>
      </c>
      <c r="K967" s="13">
        <v>2.4</v>
      </c>
      <c r="L967" s="278"/>
      <c r="M967" s="280"/>
      <c r="N967" s="280"/>
    </row>
    <row r="968" spans="1:14">
      <c r="A968" s="287"/>
      <c r="B968" s="278"/>
      <c r="C968" s="278"/>
      <c r="D968" s="288"/>
      <c r="E968" s="278"/>
      <c r="F968" s="278"/>
      <c r="G968" s="278" t="s">
        <v>503</v>
      </c>
      <c r="H968" s="13">
        <v>1.42</v>
      </c>
      <c r="I968" s="13">
        <v>0.5</v>
      </c>
      <c r="J968" s="289" t="s">
        <v>24</v>
      </c>
      <c r="K968" s="289" t="s">
        <v>24</v>
      </c>
      <c r="L968" s="278"/>
      <c r="M968" s="280"/>
      <c r="N968" s="280"/>
    </row>
    <row r="969" spans="1:14">
      <c r="A969" s="9">
        <v>45562</v>
      </c>
      <c r="B969" s="278" t="s">
        <v>2079</v>
      </c>
      <c r="C969" s="278" t="s">
        <v>462</v>
      </c>
      <c r="D969" s="282">
        <v>5</v>
      </c>
      <c r="E969" s="278" t="s">
        <v>477</v>
      </c>
      <c r="F969" s="278" t="s">
        <v>523</v>
      </c>
      <c r="G969" s="278" t="s">
        <v>1962</v>
      </c>
      <c r="H969" s="13">
        <v>0.82</v>
      </c>
      <c r="I969" s="13">
        <v>4.47</v>
      </c>
      <c r="J969" s="13" t="s">
        <v>1744</v>
      </c>
      <c r="K969" s="13">
        <v>2.08</v>
      </c>
      <c r="L969" s="278" t="s">
        <v>112</v>
      </c>
      <c r="M969" s="280"/>
      <c r="N969" s="280"/>
    </row>
    <row r="970" spans="1:14">
      <c r="A970" s="287"/>
      <c r="B970" s="278"/>
      <c r="C970" s="278"/>
      <c r="D970" s="288"/>
      <c r="E970" s="278"/>
      <c r="F970" s="278"/>
      <c r="G970" s="278" t="s">
        <v>1963</v>
      </c>
      <c r="H970" s="13">
        <v>0.82</v>
      </c>
      <c r="I970" s="13">
        <v>0.28</v>
      </c>
      <c r="J970" s="13" t="s">
        <v>1762</v>
      </c>
      <c r="K970" s="13">
        <v>2.2</v>
      </c>
      <c r="L970" s="278"/>
      <c r="M970" s="280"/>
      <c r="N970" s="280"/>
    </row>
    <row r="971" spans="1:14">
      <c r="A971" s="287"/>
      <c r="B971" s="278"/>
      <c r="C971" s="278"/>
      <c r="D971" s="288"/>
      <c r="E971" s="278"/>
      <c r="F971" s="278"/>
      <c r="G971" s="278" t="s">
        <v>1964</v>
      </c>
      <c r="H971" s="13">
        <v>3.01</v>
      </c>
      <c r="I971" s="13">
        <v>0.1</v>
      </c>
      <c r="J971" s="289" t="s">
        <v>24</v>
      </c>
      <c r="K971" s="289" t="s">
        <v>24</v>
      </c>
      <c r="L971" s="278"/>
      <c r="M971" s="280"/>
      <c r="N971" s="280"/>
    </row>
    <row r="972" spans="1:14">
      <c r="A972" s="287"/>
      <c r="B972" s="278"/>
      <c r="C972" s="278"/>
      <c r="D972" s="288"/>
      <c r="E972" s="278"/>
      <c r="F972" s="278"/>
      <c r="G972" s="278" t="s">
        <v>1965</v>
      </c>
      <c r="H972" s="13">
        <v>3.01</v>
      </c>
      <c r="I972" s="13">
        <v>0.15</v>
      </c>
      <c r="J972" s="289" t="s">
        <v>24</v>
      </c>
      <c r="K972" s="289" t="s">
        <v>24</v>
      </c>
      <c r="L972" s="278"/>
      <c r="M972" s="280"/>
      <c r="N972" s="280"/>
    </row>
    <row r="973" spans="1:14">
      <c r="A973" s="9">
        <v>45562</v>
      </c>
      <c r="B973" s="278" t="s">
        <v>2080</v>
      </c>
      <c r="C973" s="278" t="s">
        <v>459</v>
      </c>
      <c r="D973" s="282">
        <v>4</v>
      </c>
      <c r="E973" s="278" t="s">
        <v>492</v>
      </c>
      <c r="F973" s="278" t="s">
        <v>487</v>
      </c>
      <c r="G973" s="278" t="s">
        <v>1962</v>
      </c>
      <c r="H973" s="13">
        <v>1.82</v>
      </c>
      <c r="I973" s="13">
        <v>3.12</v>
      </c>
      <c r="J973" s="13" t="s">
        <v>1744</v>
      </c>
      <c r="K973" s="13">
        <v>2.3</v>
      </c>
      <c r="L973" s="278" t="s">
        <v>70</v>
      </c>
      <c r="M973" s="280"/>
      <c r="N973" s="280"/>
    </row>
    <row r="974" spans="1:14">
      <c r="A974" s="287"/>
      <c r="B974" s="278"/>
      <c r="C974" s="278"/>
      <c r="D974" s="288"/>
      <c r="E974" s="278"/>
      <c r="F974" s="278"/>
      <c r="G974" s="278" t="s">
        <v>1963</v>
      </c>
      <c r="H974" s="13">
        <v>1.91</v>
      </c>
      <c r="I974" s="13">
        <v>0.28</v>
      </c>
      <c r="J974" s="13" t="s">
        <v>1762</v>
      </c>
      <c r="K974" s="13">
        <v>3.5</v>
      </c>
      <c r="L974" s="278"/>
      <c r="M974" s="280"/>
      <c r="N974" s="280"/>
    </row>
    <row r="975" spans="1:14">
      <c r="A975" s="287"/>
      <c r="B975" s="278"/>
      <c r="C975" s="278"/>
      <c r="D975" s="288"/>
      <c r="E975" s="278"/>
      <c r="F975" s="278"/>
      <c r="G975" s="278" t="s">
        <v>503</v>
      </c>
      <c r="H975" s="13">
        <v>2.65</v>
      </c>
      <c r="I975" s="13">
        <v>0.6</v>
      </c>
      <c r="J975" s="289" t="s">
        <v>24</v>
      </c>
      <c r="K975" s="289" t="s">
        <v>24</v>
      </c>
      <c r="L975" s="278"/>
      <c r="M975" s="280"/>
      <c r="N975" s="280"/>
    </row>
    <row r="976" spans="1:14">
      <c r="A976" s="9">
        <v>45561</v>
      </c>
      <c r="B976" s="278" t="s">
        <v>2081</v>
      </c>
      <c r="C976" s="278" t="s">
        <v>459</v>
      </c>
      <c r="D976" s="282">
        <v>5</v>
      </c>
      <c r="E976" s="278" t="s">
        <v>552</v>
      </c>
      <c r="F976" s="278" t="s">
        <v>487</v>
      </c>
      <c r="G976" s="278" t="s">
        <v>1962</v>
      </c>
      <c r="H976" s="13">
        <v>1.25</v>
      </c>
      <c r="I976" s="13">
        <v>4.23</v>
      </c>
      <c r="J976" s="13" t="s">
        <v>1744</v>
      </c>
      <c r="K976" s="13">
        <v>2.37</v>
      </c>
      <c r="L976" s="13">
        <v>360</v>
      </c>
      <c r="M976" s="280"/>
      <c r="N976" s="280"/>
    </row>
    <row r="977" spans="1:14">
      <c r="A977" s="287"/>
      <c r="B977" s="278"/>
      <c r="C977" s="278"/>
      <c r="D977" s="288"/>
      <c r="E977" s="278"/>
      <c r="F977" s="278"/>
      <c r="G977" s="278" t="s">
        <v>1963</v>
      </c>
      <c r="H977" s="13">
        <v>1.25</v>
      </c>
      <c r="I977" s="13">
        <v>0.22</v>
      </c>
      <c r="J977" s="13" t="s">
        <v>1762</v>
      </c>
      <c r="K977" s="13">
        <v>2.6</v>
      </c>
      <c r="L977" s="289"/>
      <c r="M977" s="280"/>
      <c r="N977" s="280"/>
    </row>
    <row r="978" spans="1:14">
      <c r="A978" s="287"/>
      <c r="B978" s="278"/>
      <c r="C978" s="278"/>
      <c r="D978" s="288"/>
      <c r="E978" s="278"/>
      <c r="F978" s="278"/>
      <c r="G978" s="278" t="s">
        <v>1972</v>
      </c>
      <c r="H978" s="13">
        <v>1.25</v>
      </c>
      <c r="I978" s="13">
        <v>0.18</v>
      </c>
      <c r="J978" s="13" t="s">
        <v>1746</v>
      </c>
      <c r="K978" s="13">
        <v>5</v>
      </c>
      <c r="L978" s="289"/>
      <c r="M978" s="280"/>
      <c r="N978" s="280"/>
    </row>
    <row r="979" spans="1:14">
      <c r="A979" s="287"/>
      <c r="B979" s="278"/>
      <c r="C979" s="278"/>
      <c r="D979" s="288"/>
      <c r="E979" s="278"/>
      <c r="F979" s="278"/>
      <c r="G979" s="278" t="s">
        <v>1965</v>
      </c>
      <c r="H979" s="13">
        <v>1.25</v>
      </c>
      <c r="I979" s="13">
        <v>0.37</v>
      </c>
      <c r="J979" s="289" t="s">
        <v>24</v>
      </c>
      <c r="K979" s="289" t="s">
        <v>24</v>
      </c>
      <c r="L979" s="289"/>
      <c r="M979" s="280"/>
      <c r="N979" s="280"/>
    </row>
    <row r="980" spans="1:14">
      <c r="A980" s="9">
        <v>45562</v>
      </c>
      <c r="B980" s="278" t="s">
        <v>2082</v>
      </c>
      <c r="C980" s="278" t="s">
        <v>462</v>
      </c>
      <c r="D980" s="282">
        <v>10</v>
      </c>
      <c r="E980" s="278" t="s">
        <v>1109</v>
      </c>
      <c r="F980" s="278" t="s">
        <v>460</v>
      </c>
      <c r="G980" s="278" t="s">
        <v>1962</v>
      </c>
      <c r="H980" s="13">
        <v>1.91</v>
      </c>
      <c r="I980" s="13">
        <v>8.25</v>
      </c>
      <c r="J980" s="13" t="s">
        <v>1744</v>
      </c>
      <c r="K980" s="13">
        <v>2.09</v>
      </c>
      <c r="L980" s="278" t="s">
        <v>27</v>
      </c>
      <c r="M980" s="280"/>
      <c r="N980" s="280"/>
    </row>
    <row r="981" spans="1:14">
      <c r="A981" s="287"/>
      <c r="B981" s="278"/>
      <c r="C981" s="278"/>
      <c r="D981" s="288"/>
      <c r="E981" s="278"/>
      <c r="F981" s="278"/>
      <c r="G981" s="278" t="s">
        <v>1963</v>
      </c>
      <c r="H981" s="13">
        <v>1.91</v>
      </c>
      <c r="I981" s="13">
        <v>0.8</v>
      </c>
      <c r="J981" s="13" t="s">
        <v>1762</v>
      </c>
      <c r="K981" s="13">
        <v>2.15</v>
      </c>
      <c r="L981" s="278"/>
      <c r="M981" s="280"/>
      <c r="N981" s="280"/>
    </row>
    <row r="982" spans="1:14">
      <c r="A982" s="287"/>
      <c r="B982" s="278"/>
      <c r="C982" s="278"/>
      <c r="D982" s="288"/>
      <c r="E982" s="278"/>
      <c r="F982" s="278"/>
      <c r="G982" s="278" t="s">
        <v>503</v>
      </c>
      <c r="H982" s="13">
        <v>2</v>
      </c>
      <c r="I982" s="13">
        <v>0.95</v>
      </c>
      <c r="J982" s="289" t="s">
        <v>24</v>
      </c>
      <c r="K982" s="289" t="s">
        <v>24</v>
      </c>
      <c r="L982" s="278"/>
      <c r="M982" s="280"/>
      <c r="N982" s="280"/>
    </row>
    <row r="983" spans="1:14">
      <c r="A983" s="9">
        <v>45562</v>
      </c>
      <c r="B983" s="278" t="s">
        <v>2083</v>
      </c>
      <c r="C983" s="278" t="s">
        <v>462</v>
      </c>
      <c r="D983" s="282">
        <v>8</v>
      </c>
      <c r="E983" s="278" t="s">
        <v>486</v>
      </c>
      <c r="F983" s="278" t="s">
        <v>1153</v>
      </c>
      <c r="G983" s="278" t="s">
        <v>1958</v>
      </c>
      <c r="H983" s="13">
        <v>0.97</v>
      </c>
      <c r="I983" s="13">
        <v>2.4</v>
      </c>
      <c r="J983" s="13" t="s">
        <v>1744</v>
      </c>
      <c r="K983" s="13">
        <v>2.4</v>
      </c>
      <c r="L983" s="278" t="s">
        <v>1082</v>
      </c>
      <c r="M983" s="280"/>
      <c r="N983" s="280"/>
    </row>
    <row r="984" spans="1:14">
      <c r="A984" s="287"/>
      <c r="B984" s="278"/>
      <c r="C984" s="278"/>
      <c r="D984" s="288"/>
      <c r="E984" s="278"/>
      <c r="F984" s="278"/>
      <c r="G984" s="278" t="s">
        <v>1959</v>
      </c>
      <c r="H984" s="13">
        <v>1.97</v>
      </c>
      <c r="I984" s="13">
        <v>3.2</v>
      </c>
      <c r="J984" s="13" t="s">
        <v>1744</v>
      </c>
      <c r="K984" s="13">
        <v>2.8</v>
      </c>
      <c r="L984" s="278"/>
      <c r="M984" s="280"/>
      <c r="N984" s="280"/>
    </row>
    <row r="985" spans="1:14">
      <c r="A985" s="287"/>
      <c r="B985" s="278"/>
      <c r="C985" s="278"/>
      <c r="D985" s="288"/>
      <c r="E985" s="278"/>
      <c r="F985" s="278"/>
      <c r="G985" s="278" t="s">
        <v>2007</v>
      </c>
      <c r="H985" s="13">
        <v>2.97</v>
      </c>
      <c r="I985" s="13">
        <v>2.28</v>
      </c>
      <c r="J985" s="13" t="s">
        <v>1744</v>
      </c>
      <c r="K985" s="13">
        <v>4.3</v>
      </c>
      <c r="L985" s="278"/>
      <c r="M985" s="280"/>
      <c r="N985" s="280"/>
    </row>
    <row r="986" spans="1:14">
      <c r="A986" s="287"/>
      <c r="B986" s="278"/>
      <c r="C986" s="278"/>
      <c r="D986" s="288"/>
      <c r="E986" s="278"/>
      <c r="F986" s="278"/>
      <c r="G986" s="278" t="s">
        <v>503</v>
      </c>
      <c r="H986" s="13">
        <v>2.97</v>
      </c>
      <c r="I986" s="13">
        <v>0.12</v>
      </c>
      <c r="J986" s="289" t="s">
        <v>24</v>
      </c>
      <c r="K986" s="289" t="s">
        <v>24</v>
      </c>
      <c r="L986" s="278"/>
      <c r="M986" s="280"/>
      <c r="N986" s="280"/>
    </row>
    <row r="987" spans="1:14">
      <c r="A987" s="9">
        <v>45562</v>
      </c>
      <c r="B987" s="278" t="s">
        <v>2084</v>
      </c>
      <c r="C987" s="278" t="s">
        <v>459</v>
      </c>
      <c r="D987" s="282">
        <v>7</v>
      </c>
      <c r="E987" s="278" t="s">
        <v>477</v>
      </c>
      <c r="F987" s="278" t="s">
        <v>490</v>
      </c>
      <c r="G987" s="278" t="s">
        <v>1958</v>
      </c>
      <c r="H987" s="13">
        <v>1.48</v>
      </c>
      <c r="I987" s="13">
        <v>2.1</v>
      </c>
      <c r="J987" s="13" t="s">
        <v>1744</v>
      </c>
      <c r="K987" s="13">
        <v>2.4</v>
      </c>
      <c r="L987" s="278" t="s">
        <v>1082</v>
      </c>
      <c r="M987" s="280"/>
      <c r="N987" s="280"/>
    </row>
    <row r="988" spans="1:14">
      <c r="A988" s="287"/>
      <c r="B988" s="278"/>
      <c r="C988" s="278"/>
      <c r="D988" s="288"/>
      <c r="E988" s="278"/>
      <c r="F988" s="278"/>
      <c r="G988" s="278" t="s">
        <v>1959</v>
      </c>
      <c r="H988" s="13">
        <v>1.48</v>
      </c>
      <c r="I988" s="13">
        <v>2.8</v>
      </c>
      <c r="J988" s="13" t="s">
        <v>1744</v>
      </c>
      <c r="K988" s="13">
        <v>2.8</v>
      </c>
      <c r="L988" s="278"/>
      <c r="M988" s="280"/>
      <c r="N988" s="280"/>
    </row>
    <row r="989" spans="1:14">
      <c r="A989" s="287"/>
      <c r="B989" s="278"/>
      <c r="C989" s="278"/>
      <c r="D989" s="288"/>
      <c r="E989" s="278"/>
      <c r="F989" s="278"/>
      <c r="G989" s="278" t="s">
        <v>2007</v>
      </c>
      <c r="H989" s="13">
        <v>2.48</v>
      </c>
      <c r="I989" s="13">
        <v>1.995</v>
      </c>
      <c r="J989" s="13" t="s">
        <v>1744</v>
      </c>
      <c r="K989" s="13">
        <v>4.3</v>
      </c>
      <c r="L989" s="278"/>
      <c r="M989" s="280"/>
      <c r="N989" s="280"/>
    </row>
    <row r="990" spans="1:14">
      <c r="A990" s="287"/>
      <c r="B990" s="278"/>
      <c r="C990" s="278"/>
      <c r="D990" s="288"/>
      <c r="E990" s="278"/>
      <c r="F990" s="278"/>
      <c r="G990" s="278" t="s">
        <v>503</v>
      </c>
      <c r="H990" s="13">
        <v>1.48</v>
      </c>
      <c r="I990" s="13">
        <v>0.105</v>
      </c>
      <c r="J990" s="289" t="s">
        <v>24</v>
      </c>
      <c r="K990" s="289" t="s">
        <v>24</v>
      </c>
      <c r="L990" s="278"/>
      <c r="M990" s="280"/>
      <c r="N990" s="280"/>
    </row>
    <row r="991" spans="1:14">
      <c r="A991" s="9">
        <v>45576</v>
      </c>
      <c r="B991" s="278" t="s">
        <v>2085</v>
      </c>
      <c r="C991" s="278" t="s">
        <v>462</v>
      </c>
      <c r="D991" s="282">
        <v>5</v>
      </c>
      <c r="E991" s="278" t="s">
        <v>486</v>
      </c>
      <c r="F991" s="278" t="s">
        <v>1961</v>
      </c>
      <c r="G991" s="278" t="s">
        <v>1962</v>
      </c>
      <c r="H991" s="13">
        <v>1.58</v>
      </c>
      <c r="I991" s="13">
        <v>4.075</v>
      </c>
      <c r="J991" s="13" t="s">
        <v>1744</v>
      </c>
      <c r="K991" s="13">
        <v>2.4</v>
      </c>
      <c r="L991" s="278" t="s">
        <v>27</v>
      </c>
      <c r="M991" s="280"/>
      <c r="N991" s="280"/>
    </row>
    <row r="992" spans="1:14">
      <c r="A992" s="287"/>
      <c r="B992" s="278"/>
      <c r="C992" s="278"/>
      <c r="D992" s="288"/>
      <c r="E992" s="278"/>
      <c r="F992" s="278"/>
      <c r="G992" s="278" t="s">
        <v>1963</v>
      </c>
      <c r="H992" s="13">
        <v>2.03</v>
      </c>
      <c r="I992" s="13">
        <v>0.2</v>
      </c>
      <c r="J992" s="13" t="s">
        <v>1762</v>
      </c>
      <c r="K992" s="13">
        <v>2.5</v>
      </c>
      <c r="L992" s="278"/>
      <c r="M992" s="280"/>
      <c r="N992" s="280"/>
    </row>
    <row r="993" spans="1:14">
      <c r="A993" s="287"/>
      <c r="B993" s="278"/>
      <c r="C993" s="278"/>
      <c r="D993" s="288"/>
      <c r="E993" s="278"/>
      <c r="F993" s="278"/>
      <c r="G993" s="278" t="s">
        <v>2032</v>
      </c>
      <c r="H993" s="13">
        <v>3.07</v>
      </c>
      <c r="I993" s="13">
        <v>0.475</v>
      </c>
      <c r="J993" s="289" t="s">
        <v>24</v>
      </c>
      <c r="K993" s="289" t="s">
        <v>24</v>
      </c>
      <c r="L993" s="278"/>
      <c r="M993" s="280"/>
      <c r="N993" s="280"/>
    </row>
    <row r="994" spans="1:14">
      <c r="A994" s="287"/>
      <c r="B994" s="278"/>
      <c r="C994" s="278"/>
      <c r="D994" s="288"/>
      <c r="E994" s="278"/>
      <c r="F994" s="278"/>
      <c r="G994" s="278" t="s">
        <v>2033</v>
      </c>
      <c r="H994" s="13">
        <v>3.07</v>
      </c>
      <c r="I994" s="13">
        <v>0.25</v>
      </c>
      <c r="J994" s="289" t="s">
        <v>24</v>
      </c>
      <c r="K994" s="289" t="s">
        <v>24</v>
      </c>
      <c r="L994" s="278"/>
      <c r="M994" s="280"/>
      <c r="N994" s="280"/>
    </row>
    <row r="995" spans="1:14">
      <c r="A995" s="9">
        <v>45576</v>
      </c>
      <c r="B995" s="8" t="s">
        <v>2086</v>
      </c>
      <c r="C995" s="8" t="s">
        <v>462</v>
      </c>
      <c r="D995" s="282">
        <v>10</v>
      </c>
      <c r="E995" s="8" t="s">
        <v>1057</v>
      </c>
      <c r="F995" s="8" t="s">
        <v>2087</v>
      </c>
      <c r="G995" s="8" t="s">
        <v>1058</v>
      </c>
      <c r="H995" s="13">
        <v>1.12</v>
      </c>
      <c r="I995" s="13">
        <v>7</v>
      </c>
      <c r="J995" s="13" t="s">
        <v>1744</v>
      </c>
      <c r="K995" s="13">
        <v>2.4</v>
      </c>
      <c r="L995" s="8" t="s">
        <v>41</v>
      </c>
      <c r="M995" s="280"/>
      <c r="N995" s="280"/>
    </row>
    <row r="996" spans="1:14">
      <c r="A996" s="287"/>
      <c r="B996" s="8"/>
      <c r="C996" s="8"/>
      <c r="D996" s="288"/>
      <c r="E996" s="8"/>
      <c r="F996" s="8"/>
      <c r="G996" s="8" t="s">
        <v>1059</v>
      </c>
      <c r="H996" s="13">
        <v>1.28</v>
      </c>
      <c r="I996" s="13">
        <v>1.55</v>
      </c>
      <c r="J996" s="13" t="s">
        <v>1744</v>
      </c>
      <c r="K996" s="13">
        <v>2.5</v>
      </c>
      <c r="L996" s="8"/>
      <c r="M996" s="280"/>
      <c r="N996" s="280"/>
    </row>
    <row r="997" spans="1:14">
      <c r="A997" s="287"/>
      <c r="B997" s="8"/>
      <c r="C997" s="8"/>
      <c r="D997" s="288"/>
      <c r="E997" s="8"/>
      <c r="F997" s="8"/>
      <c r="G997" s="8" t="s">
        <v>1060</v>
      </c>
      <c r="H997" s="13">
        <v>1.32</v>
      </c>
      <c r="I997" s="13">
        <v>0.5</v>
      </c>
      <c r="J997" s="13" t="s">
        <v>1762</v>
      </c>
      <c r="K997" s="13">
        <v>2.6</v>
      </c>
      <c r="L997" s="8"/>
      <c r="M997" s="280"/>
      <c r="N997" s="280"/>
    </row>
    <row r="998" spans="1:14">
      <c r="A998" s="287"/>
      <c r="B998" s="8"/>
      <c r="C998" s="8"/>
      <c r="D998" s="288"/>
      <c r="E998" s="8"/>
      <c r="F998" s="8"/>
      <c r="G998" s="8" t="s">
        <v>1061</v>
      </c>
      <c r="H998" s="13">
        <v>1.41</v>
      </c>
      <c r="I998" s="13">
        <v>0.45</v>
      </c>
      <c r="J998" s="13" t="s">
        <v>1782</v>
      </c>
      <c r="K998" s="13">
        <v>4.7</v>
      </c>
      <c r="L998" s="8"/>
      <c r="M998" s="280"/>
      <c r="N998" s="280"/>
    </row>
    <row r="999" spans="1:14">
      <c r="A999" s="287"/>
      <c r="B999" s="8"/>
      <c r="C999" s="8"/>
      <c r="D999" s="288"/>
      <c r="E999" s="8"/>
      <c r="F999" s="8"/>
      <c r="G999" s="8" t="s">
        <v>503</v>
      </c>
      <c r="H999" s="13">
        <v>1.78</v>
      </c>
      <c r="I999" s="13">
        <v>0.5</v>
      </c>
      <c r="J999" s="289" t="s">
        <v>24</v>
      </c>
      <c r="K999" s="289" t="s">
        <v>24</v>
      </c>
      <c r="L999" s="8"/>
      <c r="M999" s="280"/>
      <c r="N999" s="280"/>
    </row>
    <row r="1000" spans="1:14">
      <c r="A1000" s="9">
        <v>45580</v>
      </c>
      <c r="B1000" s="278" t="s">
        <v>2088</v>
      </c>
      <c r="C1000" s="278" t="s">
        <v>462</v>
      </c>
      <c r="D1000" s="282">
        <v>10</v>
      </c>
      <c r="E1000" s="278" t="s">
        <v>477</v>
      </c>
      <c r="F1000" s="278" t="s">
        <v>1168</v>
      </c>
      <c r="G1000" s="278" t="s">
        <v>1962</v>
      </c>
      <c r="H1000" s="13">
        <v>1</v>
      </c>
      <c r="I1000" s="13">
        <v>9</v>
      </c>
      <c r="J1000" s="13" t="s">
        <v>1744</v>
      </c>
      <c r="K1000" s="13">
        <v>2.38</v>
      </c>
      <c r="L1000" s="278" t="s">
        <v>35</v>
      </c>
      <c r="M1000" s="280"/>
      <c r="N1000" s="280"/>
    </row>
    <row r="1001" spans="1:14">
      <c r="A1001" s="287"/>
      <c r="B1001" s="278"/>
      <c r="C1001" s="278"/>
      <c r="D1001" s="288"/>
      <c r="E1001" s="278"/>
      <c r="F1001" s="278"/>
      <c r="G1001" s="278" t="s">
        <v>1963</v>
      </c>
      <c r="H1001" s="13">
        <v>1.08</v>
      </c>
      <c r="I1001" s="13">
        <v>0.5</v>
      </c>
      <c r="J1001" s="13" t="s">
        <v>1762</v>
      </c>
      <c r="K1001" s="13">
        <v>2.57</v>
      </c>
      <c r="L1001" s="278"/>
      <c r="M1001" s="280"/>
      <c r="N1001" s="280"/>
    </row>
    <row r="1002" spans="1:14">
      <c r="A1002" s="287"/>
      <c r="B1002" s="278"/>
      <c r="C1002" s="278"/>
      <c r="D1002" s="288"/>
      <c r="E1002" s="278"/>
      <c r="F1002" s="278"/>
      <c r="G1002" s="278" t="s">
        <v>503</v>
      </c>
      <c r="H1002" s="13">
        <v>1.08</v>
      </c>
      <c r="I1002" s="13">
        <v>0.5</v>
      </c>
      <c r="J1002" s="289" t="s">
        <v>24</v>
      </c>
      <c r="K1002" s="289" t="s">
        <v>24</v>
      </c>
      <c r="L1002" s="278"/>
      <c r="M1002" s="280"/>
      <c r="N1002" s="280"/>
    </row>
    <row r="1003" spans="1:14">
      <c r="A1003" s="9">
        <v>45580</v>
      </c>
      <c r="B1003" s="278" t="s">
        <v>2089</v>
      </c>
      <c r="C1003" s="278" t="s">
        <v>462</v>
      </c>
      <c r="D1003" s="282">
        <v>10</v>
      </c>
      <c r="E1003" s="278" t="s">
        <v>477</v>
      </c>
      <c r="F1003" s="278" t="s">
        <v>1168</v>
      </c>
      <c r="G1003" s="278" t="s">
        <v>1962</v>
      </c>
      <c r="H1003" s="13">
        <v>1</v>
      </c>
      <c r="I1003" s="13">
        <v>9</v>
      </c>
      <c r="J1003" s="13" t="s">
        <v>1744</v>
      </c>
      <c r="K1003" s="13">
        <v>2.38</v>
      </c>
      <c r="L1003" s="278" t="s">
        <v>35</v>
      </c>
      <c r="M1003" s="280"/>
      <c r="N1003" s="280"/>
    </row>
    <row r="1004" spans="1:14">
      <c r="A1004" s="287"/>
      <c r="B1004" s="278"/>
      <c r="C1004" s="278"/>
      <c r="D1004" s="288"/>
      <c r="E1004" s="278"/>
      <c r="F1004" s="278"/>
      <c r="G1004" s="278" t="s">
        <v>1963</v>
      </c>
      <c r="H1004" s="13">
        <v>1.08</v>
      </c>
      <c r="I1004" s="13">
        <v>0.5</v>
      </c>
      <c r="J1004" s="13" t="s">
        <v>1762</v>
      </c>
      <c r="K1004" s="13">
        <v>2.58</v>
      </c>
      <c r="L1004" s="278"/>
      <c r="M1004" s="280"/>
      <c r="N1004" s="280"/>
    </row>
    <row r="1005" spans="1:14">
      <c r="A1005" s="287"/>
      <c r="B1005" s="278"/>
      <c r="C1005" s="278"/>
      <c r="D1005" s="288"/>
      <c r="E1005" s="278"/>
      <c r="F1005" s="278"/>
      <c r="G1005" s="278" t="s">
        <v>503</v>
      </c>
      <c r="H1005" s="13">
        <v>1.08</v>
      </c>
      <c r="I1005" s="13">
        <v>0.5</v>
      </c>
      <c r="J1005" s="289" t="s">
        <v>24</v>
      </c>
      <c r="K1005" s="289" t="s">
        <v>24</v>
      </c>
      <c r="L1005" s="278"/>
      <c r="M1005" s="280"/>
      <c r="N1005" s="280"/>
    </row>
    <row r="1006" spans="1:14">
      <c r="A1006" s="9">
        <v>45581</v>
      </c>
      <c r="B1006" s="278" t="s">
        <v>2090</v>
      </c>
      <c r="C1006" s="278" t="s">
        <v>459</v>
      </c>
      <c r="D1006" s="282">
        <v>10</v>
      </c>
      <c r="E1006" s="278" t="s">
        <v>1066</v>
      </c>
      <c r="F1006" s="278" t="s">
        <v>1054</v>
      </c>
      <c r="G1006" s="278" t="s">
        <v>1962</v>
      </c>
      <c r="H1006" s="13">
        <v>0.93</v>
      </c>
      <c r="I1006" s="13">
        <v>9</v>
      </c>
      <c r="J1006" s="13" t="s">
        <v>1744</v>
      </c>
      <c r="K1006" s="13">
        <v>2.39</v>
      </c>
      <c r="L1006" s="278" t="s">
        <v>35</v>
      </c>
      <c r="M1006" s="280"/>
      <c r="N1006" s="280"/>
    </row>
    <row r="1007" spans="1:14">
      <c r="A1007" s="287"/>
      <c r="B1007" s="278"/>
      <c r="C1007" s="278"/>
      <c r="D1007" s="288"/>
      <c r="E1007" s="278"/>
      <c r="F1007" s="278"/>
      <c r="G1007" s="278" t="s">
        <v>1963</v>
      </c>
      <c r="H1007" s="13">
        <v>0.93</v>
      </c>
      <c r="I1007" s="13">
        <v>0.3</v>
      </c>
      <c r="J1007" s="13" t="s">
        <v>1762</v>
      </c>
      <c r="K1007" s="13">
        <v>2.58</v>
      </c>
      <c r="L1007" s="278"/>
      <c r="M1007" s="280"/>
      <c r="N1007" s="280"/>
    </row>
    <row r="1008" spans="1:14">
      <c r="A1008" s="287"/>
      <c r="B1008" s="278"/>
      <c r="C1008" s="278"/>
      <c r="D1008" s="288"/>
      <c r="E1008" s="278"/>
      <c r="F1008" s="278"/>
      <c r="G1008" s="278" t="s">
        <v>503</v>
      </c>
      <c r="H1008" s="13">
        <v>2.85</v>
      </c>
      <c r="I1008" s="13">
        <v>0.7</v>
      </c>
      <c r="J1008" s="289" t="s">
        <v>24</v>
      </c>
      <c r="K1008" s="289" t="s">
        <v>24</v>
      </c>
      <c r="L1008" s="278"/>
      <c r="M1008" s="280"/>
      <c r="N1008" s="280"/>
    </row>
    <row r="1009" spans="1:14">
      <c r="A1009" s="9">
        <v>45587</v>
      </c>
      <c r="B1009" s="278" t="s">
        <v>2091</v>
      </c>
      <c r="C1009" s="278" t="s">
        <v>459</v>
      </c>
      <c r="D1009" s="282">
        <v>6</v>
      </c>
      <c r="E1009" s="278" t="s">
        <v>552</v>
      </c>
      <c r="F1009" s="278" t="s">
        <v>474</v>
      </c>
      <c r="G1009" s="278" t="s">
        <v>1962</v>
      </c>
      <c r="H1009" s="13">
        <v>1</v>
      </c>
      <c r="I1009" s="13">
        <v>5</v>
      </c>
      <c r="J1009" s="13" t="s">
        <v>1744</v>
      </c>
      <c r="K1009" s="13">
        <v>2.48</v>
      </c>
      <c r="L1009" s="13">
        <v>360</v>
      </c>
      <c r="M1009" s="280"/>
      <c r="N1009" s="280"/>
    </row>
    <row r="1010" spans="1:14">
      <c r="A1010" s="287"/>
      <c r="B1010" s="278"/>
      <c r="C1010" s="278"/>
      <c r="D1010" s="288"/>
      <c r="E1010" s="278"/>
      <c r="F1010" s="278"/>
      <c r="G1010" s="278" t="s">
        <v>1963</v>
      </c>
      <c r="H1010" s="13">
        <v>1</v>
      </c>
      <c r="I1010" s="13">
        <v>0.52</v>
      </c>
      <c r="J1010" s="13" t="s">
        <v>1762</v>
      </c>
      <c r="K1010" s="13">
        <v>2.85</v>
      </c>
      <c r="L1010" s="289"/>
      <c r="M1010" s="280"/>
      <c r="N1010" s="280"/>
    </row>
    <row r="1011" spans="1:14">
      <c r="A1011" s="287"/>
      <c r="B1011" s="278"/>
      <c r="C1011" s="278"/>
      <c r="D1011" s="288"/>
      <c r="E1011" s="278"/>
      <c r="F1011" s="278"/>
      <c r="G1011" s="278" t="s">
        <v>1972</v>
      </c>
      <c r="H1011" s="13">
        <v>1</v>
      </c>
      <c r="I1011" s="13">
        <v>0.18</v>
      </c>
      <c r="J1011" s="13" t="s">
        <v>1746</v>
      </c>
      <c r="K1011" s="13">
        <v>5</v>
      </c>
      <c r="L1011" s="289"/>
      <c r="M1011" s="280"/>
      <c r="N1011" s="280"/>
    </row>
    <row r="1012" spans="1:14">
      <c r="A1012" s="287"/>
      <c r="B1012" s="278"/>
      <c r="C1012" s="278"/>
      <c r="D1012" s="288"/>
      <c r="E1012" s="278"/>
      <c r="F1012" s="278"/>
      <c r="G1012" s="278" t="s">
        <v>503</v>
      </c>
      <c r="H1012" s="13">
        <v>1</v>
      </c>
      <c r="I1012" s="13">
        <v>0.3</v>
      </c>
      <c r="J1012" s="289" t="s">
        <v>24</v>
      </c>
      <c r="K1012" s="289" t="s">
        <v>24</v>
      </c>
      <c r="L1012" s="289"/>
      <c r="M1012" s="280"/>
      <c r="N1012" s="280"/>
    </row>
    <row r="1013" spans="1:14">
      <c r="A1013" s="9">
        <v>45582</v>
      </c>
      <c r="B1013" s="278" t="s">
        <v>2092</v>
      </c>
      <c r="C1013" s="278" t="s">
        <v>462</v>
      </c>
      <c r="D1013" s="282">
        <v>10</v>
      </c>
      <c r="E1013" s="278" t="s">
        <v>1066</v>
      </c>
      <c r="F1013" s="278" t="s">
        <v>1971</v>
      </c>
      <c r="G1013" s="278" t="s">
        <v>1962</v>
      </c>
      <c r="H1013" s="13">
        <v>0.59</v>
      </c>
      <c r="I1013" s="13">
        <v>9</v>
      </c>
      <c r="J1013" s="13" t="s">
        <v>1744</v>
      </c>
      <c r="K1013" s="13">
        <v>2.35</v>
      </c>
      <c r="L1013" s="278" t="s">
        <v>35</v>
      </c>
      <c r="M1013" s="280"/>
      <c r="N1013" s="280"/>
    </row>
    <row r="1014" spans="1:14">
      <c r="A1014" s="287"/>
      <c r="B1014" s="278"/>
      <c r="C1014" s="278"/>
      <c r="D1014" s="288"/>
      <c r="E1014" s="278"/>
      <c r="F1014" s="278"/>
      <c r="G1014" s="278" t="s">
        <v>1963</v>
      </c>
      <c r="H1014" s="13">
        <v>0.67</v>
      </c>
      <c r="I1014" s="13">
        <v>0.5</v>
      </c>
      <c r="J1014" s="13" t="s">
        <v>1762</v>
      </c>
      <c r="K1014" s="13">
        <v>2.55</v>
      </c>
      <c r="L1014" s="278"/>
      <c r="M1014" s="280"/>
      <c r="N1014" s="280"/>
    </row>
    <row r="1015" spans="1:14">
      <c r="A1015" s="287"/>
      <c r="B1015" s="278"/>
      <c r="C1015" s="278"/>
      <c r="D1015" s="288"/>
      <c r="E1015" s="278"/>
      <c r="F1015" s="278"/>
      <c r="G1015" s="278" t="s">
        <v>503</v>
      </c>
      <c r="H1015" s="13">
        <v>1.42</v>
      </c>
      <c r="I1015" s="13">
        <v>0.5</v>
      </c>
      <c r="J1015" s="289" t="s">
        <v>24</v>
      </c>
      <c r="K1015" s="289" t="s">
        <v>24</v>
      </c>
      <c r="L1015" s="278"/>
      <c r="M1015" s="280"/>
      <c r="N1015" s="280"/>
    </row>
    <row r="1016" spans="1:14">
      <c r="A1016" s="9">
        <v>45582</v>
      </c>
      <c r="B1016" s="278" t="s">
        <v>2093</v>
      </c>
      <c r="C1016" s="278" t="s">
        <v>462</v>
      </c>
      <c r="D1016" s="282">
        <v>3</v>
      </c>
      <c r="E1016" s="278" t="s">
        <v>536</v>
      </c>
      <c r="F1016" s="278" t="s">
        <v>460</v>
      </c>
      <c r="G1016" s="278" t="s">
        <v>1962</v>
      </c>
      <c r="H1016" s="13">
        <v>1.78</v>
      </c>
      <c r="I1016" s="13">
        <v>2.5</v>
      </c>
      <c r="J1016" s="13" t="s">
        <v>1744</v>
      </c>
      <c r="K1016" s="13">
        <v>2.34</v>
      </c>
      <c r="L1016" s="278" t="s">
        <v>27</v>
      </c>
      <c r="M1016" s="280"/>
      <c r="N1016" s="280"/>
    </row>
    <row r="1017" spans="1:14">
      <c r="A1017" s="287"/>
      <c r="B1017" s="278"/>
      <c r="C1017" s="278"/>
      <c r="D1017" s="288"/>
      <c r="E1017" s="278"/>
      <c r="F1017" s="278"/>
      <c r="G1017" s="278" t="s">
        <v>1963</v>
      </c>
      <c r="H1017" s="13">
        <v>1.78</v>
      </c>
      <c r="I1017" s="13">
        <v>0.18</v>
      </c>
      <c r="J1017" s="13" t="s">
        <v>1762</v>
      </c>
      <c r="K1017" s="13">
        <v>2.5</v>
      </c>
      <c r="L1017" s="278"/>
      <c r="M1017" s="280"/>
      <c r="N1017" s="280"/>
    </row>
    <row r="1018" spans="1:14">
      <c r="A1018" s="287"/>
      <c r="B1018" s="278"/>
      <c r="C1018" s="278"/>
      <c r="D1018" s="288"/>
      <c r="E1018" s="278"/>
      <c r="F1018" s="278"/>
      <c r="G1018" s="278" t="s">
        <v>1964</v>
      </c>
      <c r="H1018" s="13">
        <v>1.87</v>
      </c>
      <c r="I1018" s="13">
        <v>0.17</v>
      </c>
      <c r="J1018" s="289" t="s">
        <v>24</v>
      </c>
      <c r="K1018" s="289" t="s">
        <v>24</v>
      </c>
      <c r="L1018" s="278"/>
      <c r="M1018" s="280"/>
      <c r="N1018" s="280"/>
    </row>
    <row r="1019" spans="1:14">
      <c r="A1019" s="287"/>
      <c r="B1019" s="278"/>
      <c r="C1019" s="278"/>
      <c r="D1019" s="288"/>
      <c r="E1019" s="278"/>
      <c r="F1019" s="278"/>
      <c r="G1019" s="278" t="s">
        <v>1965</v>
      </c>
      <c r="H1019" s="13">
        <v>1.87</v>
      </c>
      <c r="I1019" s="13">
        <v>0.15</v>
      </c>
      <c r="J1019" s="289" t="s">
        <v>24</v>
      </c>
      <c r="K1019" s="289" t="s">
        <v>24</v>
      </c>
      <c r="L1019" s="278"/>
      <c r="M1019" s="280"/>
      <c r="N1019" s="280"/>
    </row>
    <row r="1020" spans="1:14">
      <c r="A1020" s="9">
        <v>45583</v>
      </c>
      <c r="B1020" s="278" t="s">
        <v>2094</v>
      </c>
      <c r="C1020" s="278" t="s">
        <v>459</v>
      </c>
      <c r="D1020" s="282">
        <v>10</v>
      </c>
      <c r="E1020" s="278" t="s">
        <v>1057</v>
      </c>
      <c r="F1020" s="278" t="s">
        <v>482</v>
      </c>
      <c r="G1020" s="278" t="s">
        <v>1958</v>
      </c>
      <c r="H1020" s="13">
        <v>1.08</v>
      </c>
      <c r="I1020" s="13">
        <v>7</v>
      </c>
      <c r="J1020" s="13" t="s">
        <v>1744</v>
      </c>
      <c r="K1020" s="13">
        <v>2.2</v>
      </c>
      <c r="L1020" s="278" t="s">
        <v>41</v>
      </c>
      <c r="M1020" s="280"/>
      <c r="N1020" s="280"/>
    </row>
    <row r="1021" spans="1:14">
      <c r="A1021" s="287"/>
      <c r="B1021" s="278"/>
      <c r="C1021" s="278"/>
      <c r="D1021" s="288"/>
      <c r="E1021" s="278"/>
      <c r="F1021" s="278"/>
      <c r="G1021" s="278" t="s">
        <v>1959</v>
      </c>
      <c r="H1021" s="13">
        <v>1.25</v>
      </c>
      <c r="I1021" s="13">
        <v>1.55</v>
      </c>
      <c r="J1021" s="13" t="s">
        <v>1744</v>
      </c>
      <c r="K1021" s="13">
        <v>2.3</v>
      </c>
      <c r="L1021" s="278"/>
      <c r="M1021" s="280"/>
      <c r="N1021" s="280"/>
    </row>
    <row r="1022" spans="1:14">
      <c r="A1022" s="287"/>
      <c r="B1022" s="278"/>
      <c r="C1022" s="278"/>
      <c r="D1022" s="288"/>
      <c r="E1022" s="278"/>
      <c r="F1022" s="278"/>
      <c r="G1022" s="278" t="s">
        <v>1963</v>
      </c>
      <c r="H1022" s="13">
        <v>1.32</v>
      </c>
      <c r="I1022" s="13">
        <v>0.5</v>
      </c>
      <c r="J1022" s="13" t="s">
        <v>1762</v>
      </c>
      <c r="K1022" s="13">
        <v>2.38</v>
      </c>
      <c r="L1022" s="278"/>
      <c r="M1022" s="280"/>
      <c r="N1022" s="280"/>
    </row>
    <row r="1023" spans="1:14">
      <c r="A1023" s="287"/>
      <c r="B1023" s="278"/>
      <c r="C1023" s="278"/>
      <c r="D1023" s="288"/>
      <c r="E1023" s="278"/>
      <c r="F1023" s="278"/>
      <c r="G1023" s="278" t="s">
        <v>1972</v>
      </c>
      <c r="H1023" s="13">
        <v>1.41</v>
      </c>
      <c r="I1023" s="13">
        <v>0.45</v>
      </c>
      <c r="J1023" s="13" t="s">
        <v>1782</v>
      </c>
      <c r="K1023" s="13">
        <v>4.9</v>
      </c>
      <c r="L1023" s="278"/>
      <c r="M1023" s="280"/>
      <c r="N1023" s="280"/>
    </row>
    <row r="1024" spans="1:14">
      <c r="A1024" s="287"/>
      <c r="B1024" s="278"/>
      <c r="C1024" s="278"/>
      <c r="D1024" s="288"/>
      <c r="E1024" s="278"/>
      <c r="F1024" s="278"/>
      <c r="G1024" s="278" t="s">
        <v>503</v>
      </c>
      <c r="H1024" s="13">
        <v>1.75</v>
      </c>
      <c r="I1024" s="13">
        <v>0.5</v>
      </c>
      <c r="J1024" s="289" t="s">
        <v>24</v>
      </c>
      <c r="K1024" s="289" t="s">
        <v>24</v>
      </c>
      <c r="L1024" s="278"/>
      <c r="M1024" s="280"/>
      <c r="N1024" s="280"/>
    </row>
    <row r="1025" spans="1:14">
      <c r="A1025" s="9">
        <v>45576</v>
      </c>
      <c r="B1025" s="278" t="s">
        <v>2095</v>
      </c>
      <c r="C1025" s="278" t="s">
        <v>462</v>
      </c>
      <c r="D1025" s="282">
        <v>6</v>
      </c>
      <c r="E1025" s="278" t="s">
        <v>477</v>
      </c>
      <c r="F1025" s="278" t="s">
        <v>523</v>
      </c>
      <c r="G1025" s="278" t="s">
        <v>1962</v>
      </c>
      <c r="H1025" s="13">
        <v>0.97</v>
      </c>
      <c r="I1025" s="13">
        <v>5.34</v>
      </c>
      <c r="J1025" s="13" t="s">
        <v>1744</v>
      </c>
      <c r="K1025" s="13">
        <v>2.35</v>
      </c>
      <c r="L1025" s="278" t="s">
        <v>112</v>
      </c>
      <c r="M1025" s="280"/>
      <c r="N1025" s="280"/>
    </row>
    <row r="1026" spans="1:14">
      <c r="A1026" s="287"/>
      <c r="B1026" s="278"/>
      <c r="C1026" s="278"/>
      <c r="D1026" s="288"/>
      <c r="E1026" s="278"/>
      <c r="F1026" s="278"/>
      <c r="G1026" s="278" t="s">
        <v>1963</v>
      </c>
      <c r="H1026" s="13">
        <v>1.97</v>
      </c>
      <c r="I1026" s="13">
        <v>0.36</v>
      </c>
      <c r="J1026" s="13" t="s">
        <v>1762</v>
      </c>
      <c r="K1026" s="13">
        <v>2.5</v>
      </c>
      <c r="L1026" s="278"/>
      <c r="M1026" s="280"/>
      <c r="N1026" s="280"/>
    </row>
    <row r="1027" spans="1:14">
      <c r="A1027" s="287"/>
      <c r="B1027" s="278"/>
      <c r="C1027" s="278"/>
      <c r="D1027" s="288"/>
      <c r="E1027" s="278"/>
      <c r="F1027" s="278"/>
      <c r="G1027" s="278" t="s">
        <v>2032</v>
      </c>
      <c r="H1027" s="13">
        <v>2.97</v>
      </c>
      <c r="I1027" s="13">
        <v>0.12</v>
      </c>
      <c r="J1027" s="289" t="s">
        <v>24</v>
      </c>
      <c r="K1027" s="289" t="s">
        <v>24</v>
      </c>
      <c r="L1027" s="278"/>
      <c r="M1027" s="280"/>
      <c r="N1027" s="280"/>
    </row>
    <row r="1028" spans="1:14">
      <c r="A1028" s="287"/>
      <c r="B1028" s="278"/>
      <c r="C1028" s="278"/>
      <c r="D1028" s="288"/>
      <c r="E1028" s="278"/>
      <c r="F1028" s="278"/>
      <c r="G1028" s="278" t="s">
        <v>2033</v>
      </c>
      <c r="H1028" s="13">
        <v>2.97</v>
      </c>
      <c r="I1028" s="13">
        <v>0.18</v>
      </c>
      <c r="J1028" s="289" t="s">
        <v>24</v>
      </c>
      <c r="K1028" s="289" t="s">
        <v>24</v>
      </c>
      <c r="L1028" s="278"/>
      <c r="M1028" s="280"/>
      <c r="N1028" s="280"/>
    </row>
    <row r="1029" spans="1:14">
      <c r="A1029" s="9">
        <v>45580</v>
      </c>
      <c r="B1029" s="278" t="s">
        <v>2096</v>
      </c>
      <c r="C1029" s="278" t="s">
        <v>462</v>
      </c>
      <c r="D1029" s="282">
        <v>5</v>
      </c>
      <c r="E1029" s="278" t="s">
        <v>1109</v>
      </c>
      <c r="F1029" s="278" t="s">
        <v>460</v>
      </c>
      <c r="G1029" s="278" t="s">
        <v>1962</v>
      </c>
      <c r="H1029" s="13">
        <v>1.96</v>
      </c>
      <c r="I1029" s="13">
        <v>4.125</v>
      </c>
      <c r="J1029" s="13" t="s">
        <v>1744</v>
      </c>
      <c r="K1029" s="13">
        <v>2.35</v>
      </c>
      <c r="L1029" s="278" t="s">
        <v>27</v>
      </c>
      <c r="M1029" s="280"/>
      <c r="N1029" s="280"/>
    </row>
    <row r="1030" spans="1:14">
      <c r="A1030" s="287"/>
      <c r="B1030" s="278"/>
      <c r="C1030" s="278"/>
      <c r="D1030" s="288"/>
      <c r="E1030" s="278"/>
      <c r="F1030" s="278"/>
      <c r="G1030" s="278" t="s">
        <v>1963</v>
      </c>
      <c r="H1030" s="13">
        <v>1.96</v>
      </c>
      <c r="I1030" s="13">
        <v>0.4</v>
      </c>
      <c r="J1030" s="13" t="s">
        <v>1762</v>
      </c>
      <c r="K1030" s="13">
        <v>2.5</v>
      </c>
      <c r="L1030" s="278"/>
      <c r="M1030" s="280"/>
      <c r="N1030" s="280"/>
    </row>
    <row r="1031" spans="1:14">
      <c r="A1031" s="287"/>
      <c r="B1031" s="278"/>
      <c r="C1031" s="278"/>
      <c r="D1031" s="288"/>
      <c r="E1031" s="278"/>
      <c r="F1031" s="278"/>
      <c r="G1031" s="278" t="s">
        <v>503</v>
      </c>
      <c r="H1031" s="13">
        <v>2.04</v>
      </c>
      <c r="I1031" s="13">
        <v>0.475</v>
      </c>
      <c r="J1031" s="289" t="s">
        <v>24</v>
      </c>
      <c r="K1031" s="289" t="s">
        <v>24</v>
      </c>
      <c r="L1031" s="278"/>
      <c r="M1031" s="280"/>
      <c r="N1031" s="280"/>
    </row>
    <row r="1032" spans="1:14">
      <c r="A1032" s="9">
        <v>45581</v>
      </c>
      <c r="B1032" s="278" t="s">
        <v>2097</v>
      </c>
      <c r="C1032" s="278" t="s">
        <v>462</v>
      </c>
      <c r="D1032" s="282">
        <v>10</v>
      </c>
      <c r="E1032" s="278" t="s">
        <v>1109</v>
      </c>
      <c r="F1032" s="278" t="s">
        <v>460</v>
      </c>
      <c r="G1032" s="278" t="s">
        <v>1962</v>
      </c>
      <c r="H1032" s="13">
        <v>1.54</v>
      </c>
      <c r="I1032" s="13">
        <v>8.46</v>
      </c>
      <c r="J1032" s="13" t="s">
        <v>1744</v>
      </c>
      <c r="K1032" s="13">
        <v>2.35</v>
      </c>
      <c r="L1032" s="278" t="s">
        <v>27</v>
      </c>
      <c r="M1032" s="280"/>
      <c r="N1032" s="280"/>
    </row>
    <row r="1033" spans="1:14">
      <c r="A1033" s="287"/>
      <c r="B1033" s="278"/>
      <c r="C1033" s="278"/>
      <c r="D1033" s="288"/>
      <c r="E1033" s="278"/>
      <c r="F1033" s="278"/>
      <c r="G1033" s="278" t="s">
        <v>1963</v>
      </c>
      <c r="H1033" s="13">
        <v>1.71</v>
      </c>
      <c r="I1033" s="13">
        <v>0.464</v>
      </c>
      <c r="J1033" s="13" t="s">
        <v>1762</v>
      </c>
      <c r="K1033" s="13">
        <v>2.5</v>
      </c>
      <c r="L1033" s="278"/>
      <c r="M1033" s="280"/>
      <c r="N1033" s="280"/>
    </row>
    <row r="1034" spans="1:14">
      <c r="A1034" s="287"/>
      <c r="B1034" s="278"/>
      <c r="C1034" s="278"/>
      <c r="D1034" s="288"/>
      <c r="E1034" s="278"/>
      <c r="F1034" s="278"/>
      <c r="G1034" s="278" t="s">
        <v>503</v>
      </c>
      <c r="H1034" s="13">
        <v>3.04</v>
      </c>
      <c r="I1034" s="13">
        <v>1.076</v>
      </c>
      <c r="J1034" s="289" t="s">
        <v>24</v>
      </c>
      <c r="K1034" s="289" t="s">
        <v>24</v>
      </c>
      <c r="L1034" s="278"/>
      <c r="M1034" s="280"/>
      <c r="N1034" s="280"/>
    </row>
    <row r="1035" spans="1:14">
      <c r="A1035" s="9">
        <v>45581</v>
      </c>
      <c r="B1035" s="8" t="s">
        <v>2098</v>
      </c>
      <c r="C1035" s="8" t="s">
        <v>459</v>
      </c>
      <c r="D1035" s="282">
        <v>10</v>
      </c>
      <c r="E1035" s="8" t="s">
        <v>1057</v>
      </c>
      <c r="F1035" s="8" t="s">
        <v>2087</v>
      </c>
      <c r="G1035" s="8" t="s">
        <v>1058</v>
      </c>
      <c r="H1035" s="13">
        <v>1.09</v>
      </c>
      <c r="I1035" s="13">
        <v>7</v>
      </c>
      <c r="J1035" s="13" t="s">
        <v>1744</v>
      </c>
      <c r="K1035" s="13">
        <v>2.28</v>
      </c>
      <c r="L1035" s="8" t="s">
        <v>41</v>
      </c>
      <c r="M1035" s="280"/>
      <c r="N1035" s="280"/>
    </row>
    <row r="1036" spans="1:14">
      <c r="A1036" s="287"/>
      <c r="B1036" s="8"/>
      <c r="C1036" s="8"/>
      <c r="D1036" s="288"/>
      <c r="E1036" s="8"/>
      <c r="F1036" s="8"/>
      <c r="G1036" s="8" t="s">
        <v>1059</v>
      </c>
      <c r="H1036" s="13">
        <v>1.22</v>
      </c>
      <c r="I1036" s="13">
        <v>1.55</v>
      </c>
      <c r="J1036" s="13" t="s">
        <v>1744</v>
      </c>
      <c r="K1036" s="13">
        <v>2.4</v>
      </c>
      <c r="L1036" s="8"/>
      <c r="M1036" s="280"/>
      <c r="N1036" s="280"/>
    </row>
    <row r="1037" spans="1:14">
      <c r="A1037" s="287"/>
      <c r="B1037" s="8"/>
      <c r="C1037" s="8"/>
      <c r="D1037" s="288"/>
      <c r="E1037" s="8"/>
      <c r="F1037" s="8"/>
      <c r="G1037" s="8" t="s">
        <v>1060</v>
      </c>
      <c r="H1037" s="13">
        <v>1.3</v>
      </c>
      <c r="I1037" s="13">
        <v>0.5</v>
      </c>
      <c r="J1037" s="13" t="s">
        <v>1762</v>
      </c>
      <c r="K1037" s="13">
        <v>2.5</v>
      </c>
      <c r="L1037" s="8"/>
      <c r="M1037" s="280"/>
      <c r="N1037" s="280"/>
    </row>
    <row r="1038" spans="1:14">
      <c r="A1038" s="287"/>
      <c r="B1038" s="8"/>
      <c r="C1038" s="8"/>
      <c r="D1038" s="288"/>
      <c r="E1038" s="8"/>
      <c r="F1038" s="8"/>
      <c r="G1038" s="8" t="s">
        <v>1061</v>
      </c>
      <c r="H1038" s="13">
        <v>1.38</v>
      </c>
      <c r="I1038" s="13">
        <v>0.45</v>
      </c>
      <c r="J1038" s="13" t="s">
        <v>1782</v>
      </c>
      <c r="K1038" s="13">
        <v>4.9</v>
      </c>
      <c r="L1038" s="8"/>
      <c r="M1038" s="280"/>
      <c r="N1038" s="280"/>
    </row>
    <row r="1039" spans="1:14">
      <c r="A1039" s="287"/>
      <c r="B1039" s="8"/>
      <c r="C1039" s="8"/>
      <c r="D1039" s="288"/>
      <c r="E1039" s="8"/>
      <c r="F1039" s="8"/>
      <c r="G1039" s="8" t="s">
        <v>503</v>
      </c>
      <c r="H1039" s="13">
        <v>1.76</v>
      </c>
      <c r="I1039" s="13">
        <v>0.5</v>
      </c>
      <c r="J1039" s="289" t="s">
        <v>24</v>
      </c>
      <c r="K1039" s="291"/>
      <c r="L1039" s="8"/>
      <c r="M1039" s="280"/>
      <c r="N1039" s="280"/>
    </row>
    <row r="1040" spans="1:14">
      <c r="A1040" s="9">
        <v>45589</v>
      </c>
      <c r="B1040" s="278" t="s">
        <v>2099</v>
      </c>
      <c r="C1040" s="278" t="s">
        <v>462</v>
      </c>
      <c r="D1040" s="282">
        <v>6</v>
      </c>
      <c r="E1040" s="278" t="s">
        <v>477</v>
      </c>
      <c r="F1040" s="278" t="s">
        <v>523</v>
      </c>
      <c r="G1040" s="278" t="s">
        <v>1962</v>
      </c>
      <c r="H1040" s="13">
        <v>0.62</v>
      </c>
      <c r="I1040" s="13">
        <v>5.37</v>
      </c>
      <c r="J1040" s="13" t="s">
        <v>1744</v>
      </c>
      <c r="K1040" s="13">
        <v>2.18</v>
      </c>
      <c r="L1040" s="278" t="s">
        <v>112</v>
      </c>
      <c r="M1040" s="280"/>
      <c r="N1040" s="280"/>
    </row>
    <row r="1041" spans="1:14">
      <c r="A1041" s="287"/>
      <c r="B1041" s="278"/>
      <c r="C1041" s="278"/>
      <c r="D1041" s="288"/>
      <c r="E1041" s="278"/>
      <c r="F1041" s="278"/>
      <c r="G1041" s="278" t="s">
        <v>1963</v>
      </c>
      <c r="H1041" s="13">
        <v>0.62</v>
      </c>
      <c r="I1041" s="13">
        <v>0.33</v>
      </c>
      <c r="J1041" s="13" t="s">
        <v>1762</v>
      </c>
      <c r="K1041" s="13">
        <v>2.3</v>
      </c>
      <c r="L1041" s="278"/>
      <c r="M1041" s="280"/>
      <c r="N1041" s="280"/>
    </row>
    <row r="1042" spans="1:14">
      <c r="A1042" s="287"/>
      <c r="B1042" s="278"/>
      <c r="C1042" s="278"/>
      <c r="D1042" s="288"/>
      <c r="E1042" s="278"/>
      <c r="F1042" s="278"/>
      <c r="G1042" s="278" t="s">
        <v>2032</v>
      </c>
      <c r="H1042" s="13">
        <v>3.03</v>
      </c>
      <c r="I1042" s="13">
        <v>0.12</v>
      </c>
      <c r="J1042" s="289" t="s">
        <v>24</v>
      </c>
      <c r="K1042" s="289" t="s">
        <v>24</v>
      </c>
      <c r="L1042" s="278"/>
      <c r="M1042" s="280"/>
      <c r="N1042" s="280"/>
    </row>
    <row r="1043" spans="1:14">
      <c r="A1043" s="287"/>
      <c r="B1043" s="278"/>
      <c r="C1043" s="278"/>
      <c r="D1043" s="288"/>
      <c r="E1043" s="278"/>
      <c r="F1043" s="278"/>
      <c r="G1043" s="278" t="s">
        <v>2033</v>
      </c>
      <c r="H1043" s="13">
        <v>3.03</v>
      </c>
      <c r="I1043" s="13">
        <v>0.18</v>
      </c>
      <c r="J1043" s="289" t="s">
        <v>24</v>
      </c>
      <c r="K1043" s="289" t="s">
        <v>24</v>
      </c>
      <c r="L1043" s="278"/>
      <c r="M1043" s="280"/>
      <c r="N1043" s="280"/>
    </row>
    <row r="1044" spans="1:14">
      <c r="A1044" s="9">
        <v>45589</v>
      </c>
      <c r="B1044" s="278" t="s">
        <v>2100</v>
      </c>
      <c r="C1044" s="278" t="s">
        <v>462</v>
      </c>
      <c r="D1044" s="282">
        <v>6</v>
      </c>
      <c r="E1044" s="278" t="s">
        <v>1743</v>
      </c>
      <c r="F1044" s="278" t="s">
        <v>460</v>
      </c>
      <c r="G1044" s="278" t="s">
        <v>1962</v>
      </c>
      <c r="H1044" s="13">
        <v>1.34</v>
      </c>
      <c r="I1044" s="13">
        <v>5.1</v>
      </c>
      <c r="J1044" s="13" t="s">
        <v>1744</v>
      </c>
      <c r="K1044" s="13">
        <v>2.25</v>
      </c>
      <c r="L1044" s="278" t="s">
        <v>27</v>
      </c>
      <c r="M1044" s="280"/>
      <c r="N1044" s="280"/>
    </row>
    <row r="1045" spans="1:14">
      <c r="A1045" s="287"/>
      <c r="B1045" s="278"/>
      <c r="C1045" s="278"/>
      <c r="D1045" s="288"/>
      <c r="E1045" s="278"/>
      <c r="F1045" s="278"/>
      <c r="G1045" s="278" t="s">
        <v>1963</v>
      </c>
      <c r="H1045" s="13">
        <v>1.34</v>
      </c>
      <c r="I1045" s="13">
        <v>0.36</v>
      </c>
      <c r="J1045" s="13" t="s">
        <v>1762</v>
      </c>
      <c r="K1045" s="13">
        <v>2.35</v>
      </c>
      <c r="L1045" s="278"/>
      <c r="M1045" s="280"/>
      <c r="N1045" s="280"/>
    </row>
    <row r="1046" spans="1:14">
      <c r="A1046" s="287"/>
      <c r="B1046" s="278"/>
      <c r="C1046" s="278"/>
      <c r="D1046" s="288"/>
      <c r="E1046" s="278"/>
      <c r="F1046" s="278"/>
      <c r="G1046" s="278" t="s">
        <v>2032</v>
      </c>
      <c r="H1046" s="13">
        <v>1.42</v>
      </c>
      <c r="I1046" s="13">
        <v>0.24</v>
      </c>
      <c r="J1046" s="289" t="s">
        <v>24</v>
      </c>
      <c r="K1046" s="289" t="s">
        <v>24</v>
      </c>
      <c r="L1046" s="278"/>
      <c r="M1046" s="280"/>
      <c r="N1046" s="280"/>
    </row>
    <row r="1047" spans="1:14">
      <c r="A1047" s="287"/>
      <c r="B1047" s="278"/>
      <c r="C1047" s="278"/>
      <c r="D1047" s="288"/>
      <c r="E1047" s="278"/>
      <c r="F1047" s="278"/>
      <c r="G1047" s="278" t="s">
        <v>2033</v>
      </c>
      <c r="H1047" s="13">
        <v>1.42</v>
      </c>
      <c r="I1047" s="13">
        <v>0.3</v>
      </c>
      <c r="J1047" s="289" t="s">
        <v>24</v>
      </c>
      <c r="K1047" s="289" t="s">
        <v>24</v>
      </c>
      <c r="L1047" s="278"/>
      <c r="M1047" s="280"/>
      <c r="N1047" s="280"/>
    </row>
    <row r="1048" spans="1:14">
      <c r="A1048" s="9">
        <v>45588</v>
      </c>
      <c r="B1048" s="278" t="s">
        <v>2101</v>
      </c>
      <c r="C1048" s="278" t="s">
        <v>462</v>
      </c>
      <c r="D1048" s="282">
        <v>5</v>
      </c>
      <c r="E1048" s="278" t="s">
        <v>486</v>
      </c>
      <c r="F1048" s="278" t="s">
        <v>1091</v>
      </c>
      <c r="G1048" s="278" t="s">
        <v>1962</v>
      </c>
      <c r="H1048" s="13">
        <v>1.01</v>
      </c>
      <c r="I1048" s="13">
        <v>4.19</v>
      </c>
      <c r="J1048" s="13" t="s">
        <v>1744</v>
      </c>
      <c r="K1048" s="13">
        <v>2.18</v>
      </c>
      <c r="L1048" s="278" t="s">
        <v>27</v>
      </c>
      <c r="M1048" s="280"/>
      <c r="N1048" s="280"/>
    </row>
    <row r="1049" spans="1:14">
      <c r="A1049" s="287"/>
      <c r="B1049" s="278"/>
      <c r="C1049" s="278"/>
      <c r="D1049" s="288"/>
      <c r="E1049" s="278"/>
      <c r="F1049" s="278"/>
      <c r="G1049" s="278" t="s">
        <v>1963</v>
      </c>
      <c r="H1049" s="13">
        <v>1.01</v>
      </c>
      <c r="I1049" s="13">
        <v>0.29</v>
      </c>
      <c r="J1049" s="13" t="s">
        <v>1762</v>
      </c>
      <c r="K1049" s="13">
        <v>2.25</v>
      </c>
      <c r="L1049" s="278"/>
      <c r="M1049" s="280"/>
      <c r="N1049" s="280"/>
    </row>
    <row r="1050" spans="1:14">
      <c r="A1050" s="287"/>
      <c r="B1050" s="278"/>
      <c r="C1050" s="278"/>
      <c r="D1050" s="288"/>
      <c r="E1050" s="278"/>
      <c r="F1050" s="278"/>
      <c r="G1050" s="278" t="s">
        <v>2032</v>
      </c>
      <c r="H1050" s="13">
        <v>1.51</v>
      </c>
      <c r="I1050" s="13">
        <v>0.27</v>
      </c>
      <c r="J1050" s="289" t="s">
        <v>24</v>
      </c>
      <c r="K1050" s="289" t="s">
        <v>24</v>
      </c>
      <c r="L1050" s="278"/>
      <c r="M1050" s="280"/>
      <c r="N1050" s="280"/>
    </row>
    <row r="1051" spans="1:14">
      <c r="A1051" s="287"/>
      <c r="B1051" s="278"/>
      <c r="C1051" s="278"/>
      <c r="D1051" s="288"/>
      <c r="E1051" s="278"/>
      <c r="F1051" s="278"/>
      <c r="G1051" s="278" t="s">
        <v>2033</v>
      </c>
      <c r="H1051" s="13">
        <v>1.51</v>
      </c>
      <c r="I1051" s="13">
        <v>0.25</v>
      </c>
      <c r="J1051" s="289" t="s">
        <v>24</v>
      </c>
      <c r="K1051" s="289" t="s">
        <v>24</v>
      </c>
      <c r="L1051" s="278"/>
      <c r="M1051" s="280"/>
      <c r="N1051" s="280"/>
    </row>
    <row r="1052" spans="1:14">
      <c r="A1052" s="9">
        <v>45582</v>
      </c>
      <c r="B1052" s="278" t="s">
        <v>2102</v>
      </c>
      <c r="C1052" s="278" t="s">
        <v>459</v>
      </c>
      <c r="D1052" s="282">
        <v>6</v>
      </c>
      <c r="E1052" s="278" t="s">
        <v>477</v>
      </c>
      <c r="F1052" s="278" t="s">
        <v>487</v>
      </c>
      <c r="G1052" s="278" t="s">
        <v>1962</v>
      </c>
      <c r="H1052" s="13">
        <v>1.05</v>
      </c>
      <c r="I1052" s="13">
        <v>5</v>
      </c>
      <c r="J1052" s="13" t="s">
        <v>1744</v>
      </c>
      <c r="K1052" s="13">
        <v>2.2</v>
      </c>
      <c r="L1052" s="278" t="s">
        <v>112</v>
      </c>
      <c r="M1052" s="280"/>
      <c r="N1052" s="280"/>
    </row>
    <row r="1053" spans="1:14">
      <c r="A1053" s="287"/>
      <c r="B1053" s="278"/>
      <c r="C1053" s="278"/>
      <c r="D1053" s="288"/>
      <c r="E1053" s="278"/>
      <c r="F1053" s="278"/>
      <c r="G1053" s="278" t="s">
        <v>1963</v>
      </c>
      <c r="H1053" s="13">
        <v>1.05</v>
      </c>
      <c r="I1053" s="13">
        <v>0.52</v>
      </c>
      <c r="J1053" s="13" t="s">
        <v>1762</v>
      </c>
      <c r="K1053" s="13">
        <v>2.34</v>
      </c>
      <c r="L1053" s="278"/>
      <c r="M1053" s="280"/>
      <c r="N1053" s="280"/>
    </row>
    <row r="1054" spans="1:14">
      <c r="A1054" s="287"/>
      <c r="B1054" s="278"/>
      <c r="C1054" s="278"/>
      <c r="D1054" s="288"/>
      <c r="E1054" s="278"/>
      <c r="F1054" s="278"/>
      <c r="G1054" s="278" t="s">
        <v>2032</v>
      </c>
      <c r="H1054" s="13">
        <v>1.05</v>
      </c>
      <c r="I1054" s="13">
        <v>0.18</v>
      </c>
      <c r="J1054" s="289" t="s">
        <v>24</v>
      </c>
      <c r="K1054" s="289" t="s">
        <v>24</v>
      </c>
      <c r="L1054" s="278"/>
      <c r="M1054" s="280"/>
      <c r="N1054" s="280"/>
    </row>
    <row r="1055" spans="1:14">
      <c r="A1055" s="287"/>
      <c r="B1055" s="278"/>
      <c r="C1055" s="278"/>
      <c r="D1055" s="288"/>
      <c r="E1055" s="278"/>
      <c r="F1055" s="278"/>
      <c r="G1055" s="278" t="s">
        <v>2033</v>
      </c>
      <c r="H1055" s="13">
        <v>1.05</v>
      </c>
      <c r="I1055" s="13">
        <v>0.3</v>
      </c>
      <c r="J1055" s="289" t="s">
        <v>24</v>
      </c>
      <c r="K1055" s="289" t="s">
        <v>24</v>
      </c>
      <c r="L1055" s="278"/>
      <c r="M1055" s="280"/>
      <c r="N1055" s="280"/>
    </row>
    <row r="1056" spans="1:14">
      <c r="A1056" s="9">
        <v>45583</v>
      </c>
      <c r="B1056" s="278" t="s">
        <v>2103</v>
      </c>
      <c r="C1056" s="278" t="s">
        <v>462</v>
      </c>
      <c r="D1056" s="282">
        <v>8</v>
      </c>
      <c r="E1056" s="278" t="s">
        <v>486</v>
      </c>
      <c r="F1056" s="278" t="s">
        <v>1153</v>
      </c>
      <c r="G1056" s="278" t="s">
        <v>1958</v>
      </c>
      <c r="H1056" s="13">
        <v>0.99</v>
      </c>
      <c r="I1056" s="13">
        <v>2.4</v>
      </c>
      <c r="J1056" s="13" t="s">
        <v>1744</v>
      </c>
      <c r="K1056" s="13">
        <v>2.4</v>
      </c>
      <c r="L1056" s="278" t="s">
        <v>1082</v>
      </c>
      <c r="M1056" s="280"/>
      <c r="N1056" s="280"/>
    </row>
    <row r="1057" spans="1:14">
      <c r="A1057" s="287"/>
      <c r="B1057" s="278"/>
      <c r="C1057" s="278"/>
      <c r="D1057" s="288"/>
      <c r="E1057" s="278"/>
      <c r="F1057" s="278"/>
      <c r="G1057" s="278" t="s">
        <v>1959</v>
      </c>
      <c r="H1057" s="13">
        <v>1.99</v>
      </c>
      <c r="I1057" s="13">
        <v>3.2</v>
      </c>
      <c r="J1057" s="13" t="s">
        <v>1744</v>
      </c>
      <c r="K1057" s="13">
        <v>2.8</v>
      </c>
      <c r="L1057" s="278"/>
      <c r="M1057" s="280"/>
      <c r="N1057" s="280"/>
    </row>
    <row r="1058" spans="1:14">
      <c r="A1058" s="287"/>
      <c r="B1058" s="278"/>
      <c r="C1058" s="278"/>
      <c r="D1058" s="288"/>
      <c r="E1058" s="278"/>
      <c r="F1058" s="278"/>
      <c r="G1058" s="278" t="s">
        <v>2007</v>
      </c>
      <c r="H1058" s="13">
        <v>2.99</v>
      </c>
      <c r="I1058" s="13">
        <v>2.28</v>
      </c>
      <c r="J1058" s="13" t="s">
        <v>1744</v>
      </c>
      <c r="K1058" s="13">
        <v>4.3</v>
      </c>
      <c r="L1058" s="278"/>
      <c r="M1058" s="280"/>
      <c r="N1058" s="280"/>
    </row>
    <row r="1059" spans="1:14">
      <c r="A1059" s="287"/>
      <c r="B1059" s="278"/>
      <c r="C1059" s="278"/>
      <c r="D1059" s="288"/>
      <c r="E1059" s="278"/>
      <c r="F1059" s="278"/>
      <c r="G1059" s="278" t="s">
        <v>503</v>
      </c>
      <c r="H1059" s="13">
        <v>2.99</v>
      </c>
      <c r="I1059" s="13">
        <v>0.12</v>
      </c>
      <c r="J1059" s="289" t="s">
        <v>24</v>
      </c>
      <c r="K1059" s="289" t="s">
        <v>24</v>
      </c>
      <c r="L1059" s="278"/>
      <c r="M1059" s="280"/>
      <c r="N1059" s="280"/>
    </row>
    <row r="1060" spans="1:14">
      <c r="A1060" s="9">
        <v>45583</v>
      </c>
      <c r="B1060" s="278" t="s">
        <v>2104</v>
      </c>
      <c r="C1060" s="278" t="s">
        <v>459</v>
      </c>
      <c r="D1060" s="282">
        <v>3</v>
      </c>
      <c r="E1060" s="278" t="s">
        <v>1136</v>
      </c>
      <c r="F1060" s="278" t="s">
        <v>1961</v>
      </c>
      <c r="G1060" s="278" t="s">
        <v>1962</v>
      </c>
      <c r="H1060" s="13">
        <v>1.02</v>
      </c>
      <c r="I1060" s="13">
        <v>2.6</v>
      </c>
      <c r="J1060" s="13" t="s">
        <v>1744</v>
      </c>
      <c r="K1060" s="13">
        <v>2.2</v>
      </c>
      <c r="L1060" s="278" t="s">
        <v>27</v>
      </c>
      <c r="M1060" s="280"/>
      <c r="N1060" s="280"/>
    </row>
    <row r="1061" spans="1:14">
      <c r="A1061" s="287"/>
      <c r="B1061" s="278"/>
      <c r="C1061" s="278"/>
      <c r="D1061" s="288"/>
      <c r="E1061" s="278"/>
      <c r="F1061" s="278"/>
      <c r="G1061" s="278" t="s">
        <v>1963</v>
      </c>
      <c r="H1061" s="13">
        <v>1.02</v>
      </c>
      <c r="I1061" s="13">
        <v>0.16</v>
      </c>
      <c r="J1061" s="13" t="s">
        <v>1762</v>
      </c>
      <c r="K1061" s="13">
        <v>2.35</v>
      </c>
      <c r="L1061" s="278"/>
      <c r="M1061" s="280"/>
      <c r="N1061" s="280"/>
    </row>
    <row r="1062" spans="1:14">
      <c r="A1062" s="287"/>
      <c r="B1062" s="278"/>
      <c r="C1062" s="278"/>
      <c r="D1062" s="288"/>
      <c r="E1062" s="278"/>
      <c r="F1062" s="278"/>
      <c r="G1062" s="278" t="s">
        <v>2032</v>
      </c>
      <c r="H1062" s="13">
        <v>1.6</v>
      </c>
      <c r="I1062" s="13">
        <v>0.09</v>
      </c>
      <c r="J1062" s="289" t="s">
        <v>24</v>
      </c>
      <c r="K1062" s="289" t="s">
        <v>24</v>
      </c>
      <c r="L1062" s="278"/>
      <c r="M1062" s="280"/>
      <c r="N1062" s="280"/>
    </row>
    <row r="1063" spans="1:14">
      <c r="A1063" s="287"/>
      <c r="B1063" s="278"/>
      <c r="C1063" s="278"/>
      <c r="D1063" s="288"/>
      <c r="E1063" s="278"/>
      <c r="F1063" s="278"/>
      <c r="G1063" s="278" t="s">
        <v>2033</v>
      </c>
      <c r="H1063" s="13">
        <v>1.6</v>
      </c>
      <c r="I1063" s="13">
        <v>0.15</v>
      </c>
      <c r="J1063" s="289" t="s">
        <v>24</v>
      </c>
      <c r="K1063" s="289" t="s">
        <v>24</v>
      </c>
      <c r="L1063" s="278"/>
      <c r="M1063" s="280"/>
      <c r="N1063" s="280"/>
    </row>
    <row r="1064" spans="1:14">
      <c r="A1064" s="9">
        <v>45582</v>
      </c>
      <c r="B1064" s="278" t="s">
        <v>2105</v>
      </c>
      <c r="C1064" s="278" t="s">
        <v>459</v>
      </c>
      <c r="D1064" s="282">
        <v>10</v>
      </c>
      <c r="E1064" s="278" t="s">
        <v>1066</v>
      </c>
      <c r="F1064" s="278" t="s">
        <v>460</v>
      </c>
      <c r="G1064" s="278" t="s">
        <v>1962</v>
      </c>
      <c r="H1064" s="13">
        <v>0.92</v>
      </c>
      <c r="I1064" s="13">
        <v>9</v>
      </c>
      <c r="J1064" s="13" t="s">
        <v>1744</v>
      </c>
      <c r="K1064" s="13">
        <v>2.45</v>
      </c>
      <c r="L1064" s="278" t="s">
        <v>35</v>
      </c>
      <c r="M1064" s="280"/>
      <c r="N1064" s="280"/>
    </row>
    <row r="1065" spans="1:14">
      <c r="A1065" s="287"/>
      <c r="B1065" s="278"/>
      <c r="C1065" s="278"/>
      <c r="D1065" s="288"/>
      <c r="E1065" s="278"/>
      <c r="F1065" s="278"/>
      <c r="G1065" s="278" t="s">
        <v>1963</v>
      </c>
      <c r="H1065" s="13">
        <v>0.92</v>
      </c>
      <c r="I1065" s="13">
        <v>0.3</v>
      </c>
      <c r="J1065" s="13" t="s">
        <v>1762</v>
      </c>
      <c r="K1065" s="13">
        <v>2.54</v>
      </c>
      <c r="L1065" s="278"/>
      <c r="M1065" s="280"/>
      <c r="N1065" s="280"/>
    </row>
    <row r="1066" spans="1:14">
      <c r="A1066" s="287"/>
      <c r="B1066" s="278"/>
      <c r="C1066" s="278"/>
      <c r="D1066" s="288"/>
      <c r="E1066" s="278"/>
      <c r="F1066" s="278"/>
      <c r="G1066" s="278" t="s">
        <v>503</v>
      </c>
      <c r="H1066" s="13">
        <v>2.83</v>
      </c>
      <c r="I1066" s="13">
        <v>0.7</v>
      </c>
      <c r="J1066" s="289" t="s">
        <v>24</v>
      </c>
      <c r="K1066" s="289" t="s">
        <v>24</v>
      </c>
      <c r="L1066" s="278"/>
      <c r="M1066" s="280"/>
      <c r="N1066" s="280"/>
    </row>
    <row r="1067" spans="1:14">
      <c r="A1067" s="9">
        <v>45582</v>
      </c>
      <c r="B1067" s="278" t="s">
        <v>2106</v>
      </c>
      <c r="C1067" s="278" t="s">
        <v>462</v>
      </c>
      <c r="D1067" s="282">
        <v>4.03</v>
      </c>
      <c r="E1067" s="278" t="s">
        <v>1139</v>
      </c>
      <c r="F1067" s="278" t="s">
        <v>482</v>
      </c>
      <c r="G1067" s="278" t="s">
        <v>1958</v>
      </c>
      <c r="H1067" s="13">
        <v>0.93</v>
      </c>
      <c r="I1067" s="13">
        <v>1.3</v>
      </c>
      <c r="J1067" s="13" t="s">
        <v>1744</v>
      </c>
      <c r="K1067" s="13">
        <v>2.1</v>
      </c>
      <c r="L1067" s="278" t="s">
        <v>435</v>
      </c>
      <c r="M1067" s="280"/>
      <c r="N1067" s="280"/>
    </row>
    <row r="1068" spans="1:14">
      <c r="A1068" s="287"/>
      <c r="B1068" s="278"/>
      <c r="C1068" s="278"/>
      <c r="D1068" s="288"/>
      <c r="E1068" s="278"/>
      <c r="F1068" s="278"/>
      <c r="G1068" s="278" t="s">
        <v>1959</v>
      </c>
      <c r="H1068" s="13">
        <v>1.93</v>
      </c>
      <c r="I1068" s="13">
        <v>1.48</v>
      </c>
      <c r="J1068" s="13" t="s">
        <v>1744</v>
      </c>
      <c r="K1068" s="13">
        <v>2.26</v>
      </c>
      <c r="L1068" s="278"/>
      <c r="M1068" s="280"/>
      <c r="N1068" s="280"/>
    </row>
    <row r="1069" spans="1:14">
      <c r="A1069" s="287"/>
      <c r="B1069" s="278"/>
      <c r="C1069" s="278"/>
      <c r="D1069" s="288"/>
      <c r="E1069" s="278"/>
      <c r="F1069" s="278"/>
      <c r="G1069" s="278" t="s">
        <v>2107</v>
      </c>
      <c r="H1069" s="13">
        <v>2.68</v>
      </c>
      <c r="I1069" s="13">
        <v>1.04</v>
      </c>
      <c r="J1069" s="13" t="s">
        <v>1744</v>
      </c>
      <c r="K1069" s="13">
        <v>2.35</v>
      </c>
      <c r="L1069" s="278"/>
      <c r="M1069" s="280"/>
      <c r="N1069" s="280"/>
    </row>
    <row r="1070" spans="1:14">
      <c r="A1070" s="287"/>
      <c r="B1070" s="278"/>
      <c r="C1070" s="278"/>
      <c r="D1070" s="288"/>
      <c r="E1070" s="278"/>
      <c r="F1070" s="278"/>
      <c r="G1070" s="278" t="s">
        <v>503</v>
      </c>
      <c r="H1070" s="13">
        <v>2.85</v>
      </c>
      <c r="I1070" s="13">
        <v>0.21</v>
      </c>
      <c r="J1070" s="289" t="s">
        <v>24</v>
      </c>
      <c r="K1070" s="289" t="s">
        <v>24</v>
      </c>
      <c r="L1070" s="278"/>
      <c r="M1070" s="280"/>
      <c r="N1070" s="280"/>
    </row>
    <row r="1071" spans="1:14">
      <c r="A1071" s="9">
        <v>45583</v>
      </c>
      <c r="B1071" s="278" t="s">
        <v>2108</v>
      </c>
      <c r="C1071" s="278" t="s">
        <v>462</v>
      </c>
      <c r="D1071" s="282">
        <v>4</v>
      </c>
      <c r="E1071" s="278" t="s">
        <v>486</v>
      </c>
      <c r="F1071" s="278" t="s">
        <v>1961</v>
      </c>
      <c r="G1071" s="278" t="s">
        <v>1962</v>
      </c>
      <c r="H1071" s="13">
        <v>1.02</v>
      </c>
      <c r="I1071" s="13">
        <v>3.35</v>
      </c>
      <c r="J1071" s="13" t="s">
        <v>1744</v>
      </c>
      <c r="K1071" s="13">
        <v>2.18</v>
      </c>
      <c r="L1071" s="278" t="s">
        <v>27</v>
      </c>
      <c r="M1071" s="280"/>
      <c r="N1071" s="280"/>
    </row>
    <row r="1072" spans="1:14">
      <c r="A1072" s="287"/>
      <c r="B1072" s="278"/>
      <c r="C1072" s="278"/>
      <c r="D1072" s="288"/>
      <c r="E1072" s="278"/>
      <c r="F1072" s="278"/>
      <c r="G1072" s="278" t="s">
        <v>1963</v>
      </c>
      <c r="H1072" s="13">
        <v>1.02</v>
      </c>
      <c r="I1072" s="13">
        <v>0.23</v>
      </c>
      <c r="J1072" s="13" t="s">
        <v>1762</v>
      </c>
      <c r="K1072" s="13">
        <v>2.3</v>
      </c>
      <c r="L1072" s="278"/>
      <c r="M1072" s="280"/>
      <c r="N1072" s="280"/>
    </row>
    <row r="1073" spans="1:14">
      <c r="A1073" s="287"/>
      <c r="B1073" s="278"/>
      <c r="C1073" s="278"/>
      <c r="D1073" s="288"/>
      <c r="E1073" s="278"/>
      <c r="F1073" s="278"/>
      <c r="G1073" s="278" t="s">
        <v>2032</v>
      </c>
      <c r="H1073" s="13">
        <v>1.52</v>
      </c>
      <c r="I1073" s="13">
        <v>0.22</v>
      </c>
      <c r="J1073" s="289" t="s">
        <v>24</v>
      </c>
      <c r="K1073" s="289" t="s">
        <v>24</v>
      </c>
      <c r="L1073" s="278"/>
      <c r="M1073" s="280"/>
      <c r="N1073" s="280"/>
    </row>
    <row r="1074" spans="1:14">
      <c r="A1074" s="287"/>
      <c r="B1074" s="278"/>
      <c r="C1074" s="278"/>
      <c r="D1074" s="288"/>
      <c r="E1074" s="278"/>
      <c r="F1074" s="278"/>
      <c r="G1074" s="278" t="s">
        <v>2033</v>
      </c>
      <c r="H1074" s="13">
        <v>1.52</v>
      </c>
      <c r="I1074" s="13">
        <v>0.2</v>
      </c>
      <c r="J1074" s="289" t="s">
        <v>24</v>
      </c>
      <c r="K1074" s="289" t="s">
        <v>24</v>
      </c>
      <c r="L1074" s="278"/>
      <c r="M1074" s="280"/>
      <c r="N1074" s="280"/>
    </row>
    <row r="1075" spans="1:14">
      <c r="A1075" s="9">
        <v>45583</v>
      </c>
      <c r="B1075" s="278" t="s">
        <v>2109</v>
      </c>
      <c r="C1075" s="278" t="s">
        <v>462</v>
      </c>
      <c r="D1075" s="282">
        <v>6</v>
      </c>
      <c r="E1075" s="278" t="s">
        <v>1079</v>
      </c>
      <c r="F1075" s="278" t="s">
        <v>1961</v>
      </c>
      <c r="G1075" s="278" t="s">
        <v>1962</v>
      </c>
      <c r="H1075" s="13">
        <v>0.99</v>
      </c>
      <c r="I1075" s="13">
        <v>5.1</v>
      </c>
      <c r="J1075" s="13" t="s">
        <v>1744</v>
      </c>
      <c r="K1075" s="13">
        <v>2.4</v>
      </c>
      <c r="L1075" s="278" t="s">
        <v>35</v>
      </c>
      <c r="M1075" s="280"/>
      <c r="N1075" s="280"/>
    </row>
    <row r="1076" spans="1:14">
      <c r="A1076" s="287"/>
      <c r="B1076" s="278"/>
      <c r="C1076" s="278"/>
      <c r="D1076" s="288"/>
      <c r="E1076" s="278"/>
      <c r="F1076" s="278"/>
      <c r="G1076" s="278" t="s">
        <v>1963</v>
      </c>
      <c r="H1076" s="13">
        <v>0.99</v>
      </c>
      <c r="I1076" s="13">
        <v>0.24</v>
      </c>
      <c r="J1076" s="13" t="s">
        <v>1762</v>
      </c>
      <c r="K1076" s="13">
        <v>2.58</v>
      </c>
      <c r="L1076" s="278"/>
      <c r="M1076" s="280"/>
      <c r="N1076" s="280"/>
    </row>
    <row r="1077" spans="1:14">
      <c r="A1077" s="287"/>
      <c r="B1077" s="278"/>
      <c r="C1077" s="278"/>
      <c r="D1077" s="288"/>
      <c r="E1077" s="278"/>
      <c r="F1077" s="278"/>
      <c r="G1077" s="278" t="s">
        <v>503</v>
      </c>
      <c r="H1077" s="13">
        <v>1.67</v>
      </c>
      <c r="I1077" s="13">
        <v>0.66</v>
      </c>
      <c r="J1077" s="289" t="s">
        <v>24</v>
      </c>
      <c r="K1077" s="289" t="s">
        <v>24</v>
      </c>
      <c r="L1077" s="278"/>
      <c r="M1077" s="280"/>
      <c r="N1077" s="280"/>
    </row>
    <row r="1078" spans="1:14">
      <c r="A1078" s="9">
        <v>45590</v>
      </c>
      <c r="B1078" s="278" t="s">
        <v>2110</v>
      </c>
      <c r="C1078" s="278" t="s">
        <v>462</v>
      </c>
      <c r="D1078" s="282">
        <v>3</v>
      </c>
      <c r="E1078" s="278" t="s">
        <v>536</v>
      </c>
      <c r="F1078" s="278" t="s">
        <v>460</v>
      </c>
      <c r="G1078" s="278" t="s">
        <v>1962</v>
      </c>
      <c r="H1078" s="13">
        <v>1.75</v>
      </c>
      <c r="I1078" s="13">
        <v>2.5</v>
      </c>
      <c r="J1078" s="13" t="s">
        <v>1744</v>
      </c>
      <c r="K1078" s="13">
        <v>2.24</v>
      </c>
      <c r="L1078" s="278" t="s">
        <v>27</v>
      </c>
      <c r="M1078" s="280"/>
      <c r="N1078" s="280"/>
    </row>
    <row r="1079" spans="1:14">
      <c r="A1079" s="287"/>
      <c r="B1079" s="278"/>
      <c r="C1079" s="278"/>
      <c r="D1079" s="288"/>
      <c r="E1079" s="278"/>
      <c r="F1079" s="278"/>
      <c r="G1079" s="278" t="s">
        <v>1963</v>
      </c>
      <c r="H1079" s="13">
        <v>1.75</v>
      </c>
      <c r="I1079" s="13">
        <v>0.18</v>
      </c>
      <c r="J1079" s="13" t="s">
        <v>1762</v>
      </c>
      <c r="K1079" s="13">
        <v>2.3</v>
      </c>
      <c r="L1079" s="278"/>
      <c r="M1079" s="280"/>
      <c r="N1079" s="280"/>
    </row>
    <row r="1080" spans="1:14">
      <c r="A1080" s="287"/>
      <c r="B1080" s="278"/>
      <c r="C1080" s="278"/>
      <c r="D1080" s="288"/>
      <c r="E1080" s="278"/>
      <c r="F1080" s="278"/>
      <c r="G1080" s="278" t="s">
        <v>2032</v>
      </c>
      <c r="H1080" s="13">
        <v>1.84</v>
      </c>
      <c r="I1080" s="13">
        <v>0.17</v>
      </c>
      <c r="J1080" s="289" t="s">
        <v>24</v>
      </c>
      <c r="K1080" s="289" t="s">
        <v>24</v>
      </c>
      <c r="L1080" s="278"/>
      <c r="M1080" s="280"/>
      <c r="N1080" s="280"/>
    </row>
    <row r="1081" spans="1:14">
      <c r="A1081" s="287"/>
      <c r="B1081" s="278"/>
      <c r="C1081" s="278"/>
      <c r="D1081" s="288"/>
      <c r="E1081" s="278"/>
      <c r="F1081" s="278"/>
      <c r="G1081" s="278" t="s">
        <v>2033</v>
      </c>
      <c r="H1081" s="13">
        <v>1.84</v>
      </c>
      <c r="I1081" s="13">
        <v>0.15</v>
      </c>
      <c r="J1081" s="289" t="s">
        <v>24</v>
      </c>
      <c r="K1081" s="289" t="s">
        <v>24</v>
      </c>
      <c r="L1081" s="278"/>
      <c r="M1081" s="280"/>
      <c r="N1081" s="280"/>
    </row>
    <row r="1082" spans="1:14">
      <c r="A1082" s="9">
        <v>45590</v>
      </c>
      <c r="B1082" s="278" t="s">
        <v>2111</v>
      </c>
      <c r="C1082" s="278" t="s">
        <v>459</v>
      </c>
      <c r="D1082" s="282">
        <v>6.2</v>
      </c>
      <c r="E1082" s="278" t="s">
        <v>477</v>
      </c>
      <c r="F1082" s="278" t="s">
        <v>490</v>
      </c>
      <c r="G1082" s="278" t="s">
        <v>1958</v>
      </c>
      <c r="H1082" s="13">
        <v>0.97</v>
      </c>
      <c r="I1082" s="13">
        <v>1.86</v>
      </c>
      <c r="J1082" s="13" t="s">
        <v>1744</v>
      </c>
      <c r="K1082" s="13">
        <v>2.45</v>
      </c>
      <c r="L1082" s="278" t="s">
        <v>1082</v>
      </c>
      <c r="M1082" s="280"/>
      <c r="N1082" s="280"/>
    </row>
    <row r="1083" spans="1:14">
      <c r="A1083" s="287"/>
      <c r="B1083" s="278"/>
      <c r="C1083" s="278"/>
      <c r="D1083" s="288"/>
      <c r="E1083" s="278"/>
      <c r="F1083" s="278"/>
      <c r="G1083" s="278" t="s">
        <v>1959</v>
      </c>
      <c r="H1083" s="13">
        <v>1.97</v>
      </c>
      <c r="I1083" s="13">
        <v>2.48</v>
      </c>
      <c r="J1083" s="13" t="s">
        <v>1744</v>
      </c>
      <c r="K1083" s="13">
        <v>2.8</v>
      </c>
      <c r="L1083" s="278"/>
      <c r="M1083" s="280"/>
      <c r="N1083" s="280"/>
    </row>
    <row r="1084" spans="1:14">
      <c r="A1084" s="287"/>
      <c r="B1084" s="278"/>
      <c r="C1084" s="278"/>
      <c r="D1084" s="288"/>
      <c r="E1084" s="278"/>
      <c r="F1084" s="278"/>
      <c r="G1084" s="278" t="s">
        <v>2007</v>
      </c>
      <c r="H1084" s="13">
        <v>2.97</v>
      </c>
      <c r="I1084" s="13">
        <v>1.767</v>
      </c>
      <c r="J1084" s="13" t="s">
        <v>1744</v>
      </c>
      <c r="K1084" s="13">
        <v>4.3</v>
      </c>
      <c r="L1084" s="278"/>
      <c r="M1084" s="280"/>
      <c r="N1084" s="280"/>
    </row>
    <row r="1085" spans="1:14">
      <c r="A1085" s="287"/>
      <c r="B1085" s="278"/>
      <c r="C1085" s="278"/>
      <c r="D1085" s="288"/>
      <c r="E1085" s="278"/>
      <c r="F1085" s="278"/>
      <c r="G1085" s="278" t="s">
        <v>503</v>
      </c>
      <c r="H1085" s="13">
        <v>3.25</v>
      </c>
      <c r="I1085" s="13">
        <v>0.093</v>
      </c>
      <c r="J1085" s="289" t="s">
        <v>24</v>
      </c>
      <c r="K1085" s="289" t="s">
        <v>24</v>
      </c>
      <c r="L1085" s="278"/>
      <c r="M1085" s="280"/>
      <c r="N1085" s="280"/>
    </row>
    <row r="1086" spans="1:14">
      <c r="A1086" s="9">
        <v>45589</v>
      </c>
      <c r="B1086" s="278" t="s">
        <v>2112</v>
      </c>
      <c r="C1086" s="278" t="s">
        <v>459</v>
      </c>
      <c r="D1086" s="282">
        <v>10</v>
      </c>
      <c r="E1086" s="278" t="s">
        <v>477</v>
      </c>
      <c r="F1086" s="278" t="s">
        <v>1938</v>
      </c>
      <c r="G1086" s="278" t="s">
        <v>1962</v>
      </c>
      <c r="H1086" s="13">
        <v>1.5</v>
      </c>
      <c r="I1086" s="13">
        <v>8.2</v>
      </c>
      <c r="J1086" s="13" t="s">
        <v>1744</v>
      </c>
      <c r="K1086" s="13">
        <v>2.45</v>
      </c>
      <c r="L1086" s="278" t="s">
        <v>35</v>
      </c>
      <c r="M1086" s="280"/>
      <c r="N1086" s="280"/>
    </row>
    <row r="1087" spans="1:14">
      <c r="A1087" s="287"/>
      <c r="B1087" s="278"/>
      <c r="C1087" s="278"/>
      <c r="D1087" s="288"/>
      <c r="E1087" s="278"/>
      <c r="F1087" s="278"/>
      <c r="G1087" s="278" t="s">
        <v>1963</v>
      </c>
      <c r="H1087" s="13">
        <v>1.5</v>
      </c>
      <c r="I1087" s="13">
        <v>0.4</v>
      </c>
      <c r="J1087" s="13" t="s">
        <v>1762</v>
      </c>
      <c r="K1087" s="13">
        <v>2.54</v>
      </c>
      <c r="L1087" s="278"/>
      <c r="M1087" s="280"/>
      <c r="N1087" s="280"/>
    </row>
    <row r="1088" spans="1:14">
      <c r="A1088" s="287"/>
      <c r="B1088" s="278"/>
      <c r="C1088" s="278"/>
      <c r="D1088" s="288"/>
      <c r="E1088" s="278"/>
      <c r="F1088" s="278"/>
      <c r="G1088" s="278" t="s">
        <v>1972</v>
      </c>
      <c r="H1088" s="13">
        <v>2</v>
      </c>
      <c r="I1088" s="13">
        <v>0.9</v>
      </c>
      <c r="J1088" s="13" t="s">
        <v>2043</v>
      </c>
      <c r="K1088" s="13">
        <v>3.7</v>
      </c>
      <c r="L1088" s="278"/>
      <c r="M1088" s="280"/>
      <c r="N1088" s="280"/>
    </row>
    <row r="1089" spans="1:14">
      <c r="A1089" s="287"/>
      <c r="B1089" s="278"/>
      <c r="C1089" s="278"/>
      <c r="D1089" s="288"/>
      <c r="E1089" s="278"/>
      <c r="F1089" s="278"/>
      <c r="G1089" s="278" t="s">
        <v>2033</v>
      </c>
      <c r="H1089" s="13">
        <v>2</v>
      </c>
      <c r="I1089" s="13">
        <v>0.5</v>
      </c>
      <c r="J1089" s="289" t="s">
        <v>24</v>
      </c>
      <c r="K1089" s="289" t="s">
        <v>24</v>
      </c>
      <c r="L1089" s="278"/>
      <c r="M1089" s="280"/>
      <c r="N1089" s="280"/>
    </row>
    <row r="1090" spans="1:14">
      <c r="A1090" s="9">
        <v>45595</v>
      </c>
      <c r="B1090" s="278" t="s">
        <v>2113</v>
      </c>
      <c r="C1090" s="278" t="s">
        <v>459</v>
      </c>
      <c r="D1090" s="282">
        <v>5</v>
      </c>
      <c r="E1090" s="278" t="s">
        <v>492</v>
      </c>
      <c r="F1090" s="278" t="s">
        <v>487</v>
      </c>
      <c r="G1090" s="278" t="s">
        <v>1962</v>
      </c>
      <c r="H1090" s="13">
        <v>1.82</v>
      </c>
      <c r="I1090" s="13">
        <v>4.05</v>
      </c>
      <c r="J1090" s="13" t="s">
        <v>1744</v>
      </c>
      <c r="K1090" s="13">
        <v>2.85</v>
      </c>
      <c r="L1090" s="278" t="s">
        <v>70</v>
      </c>
      <c r="M1090" s="280"/>
      <c r="N1090" s="280"/>
    </row>
    <row r="1091" spans="1:14">
      <c r="A1091" s="287"/>
      <c r="B1091" s="278"/>
      <c r="C1091" s="278"/>
      <c r="D1091" s="288"/>
      <c r="E1091" s="278"/>
      <c r="F1091" s="278"/>
      <c r="G1091" s="278" t="s">
        <v>1963</v>
      </c>
      <c r="H1091" s="13">
        <v>1.9</v>
      </c>
      <c r="I1091" s="13">
        <v>0.35</v>
      </c>
      <c r="J1091" s="13" t="s">
        <v>1762</v>
      </c>
      <c r="K1091" s="13">
        <v>3.4</v>
      </c>
      <c r="L1091" s="278"/>
      <c r="M1091" s="280"/>
      <c r="N1091" s="280"/>
    </row>
    <row r="1092" spans="1:14">
      <c r="A1092" s="287"/>
      <c r="B1092" s="278"/>
      <c r="C1092" s="278"/>
      <c r="D1092" s="288"/>
      <c r="E1092" s="278"/>
      <c r="F1092" s="278"/>
      <c r="G1092" s="278" t="s">
        <v>503</v>
      </c>
      <c r="H1092" s="13">
        <v>2.64</v>
      </c>
      <c r="I1092" s="13">
        <v>0.6</v>
      </c>
      <c r="J1092" s="289" t="s">
        <v>24</v>
      </c>
      <c r="K1092" s="289" t="s">
        <v>24</v>
      </c>
      <c r="L1092" s="278"/>
      <c r="M1092" s="280"/>
      <c r="N1092" s="280"/>
    </row>
    <row r="1093" spans="1:14">
      <c r="A1093" s="9">
        <v>45588</v>
      </c>
      <c r="B1093" s="278" t="s">
        <v>2114</v>
      </c>
      <c r="C1093" s="278" t="s">
        <v>462</v>
      </c>
      <c r="D1093" s="282">
        <v>1.03</v>
      </c>
      <c r="E1093" s="278" t="s">
        <v>492</v>
      </c>
      <c r="F1093" s="278" t="s">
        <v>1938</v>
      </c>
      <c r="G1093" s="278" t="s">
        <v>1962</v>
      </c>
      <c r="H1093" s="13">
        <v>0.97</v>
      </c>
      <c r="I1093" s="13">
        <v>0.92</v>
      </c>
      <c r="J1093" s="13" t="s">
        <v>1744</v>
      </c>
      <c r="K1093" s="13">
        <v>2.9</v>
      </c>
      <c r="L1093" s="278" t="s">
        <v>2115</v>
      </c>
      <c r="M1093" s="280"/>
      <c r="N1093" s="280"/>
    </row>
    <row r="1094" spans="1:14">
      <c r="A1094" s="287"/>
      <c r="B1094" s="278"/>
      <c r="C1094" s="278"/>
      <c r="D1094" s="288"/>
      <c r="E1094" s="278"/>
      <c r="F1094" s="278"/>
      <c r="G1094" s="278" t="s">
        <v>1963</v>
      </c>
      <c r="H1094" s="13">
        <v>0.97</v>
      </c>
      <c r="I1094" s="13">
        <v>0.05</v>
      </c>
      <c r="J1094" s="13" t="s">
        <v>1762</v>
      </c>
      <c r="K1094" s="13">
        <v>4.5</v>
      </c>
      <c r="L1094" s="278"/>
      <c r="M1094" s="280"/>
      <c r="N1094" s="280"/>
    </row>
    <row r="1095" spans="1:14">
      <c r="A1095" s="287"/>
      <c r="B1095" s="278"/>
      <c r="C1095" s="278"/>
      <c r="D1095" s="288"/>
      <c r="E1095" s="278"/>
      <c r="F1095" s="278"/>
      <c r="G1095" s="278" t="s">
        <v>503</v>
      </c>
      <c r="H1095" s="13">
        <v>0.97</v>
      </c>
      <c r="I1095" s="13">
        <v>0.055</v>
      </c>
      <c r="J1095" s="289" t="s">
        <v>24</v>
      </c>
      <c r="K1095" s="289" t="s">
        <v>24</v>
      </c>
      <c r="L1095" s="278"/>
      <c r="M1095" s="280"/>
      <c r="N1095" s="280"/>
    </row>
    <row r="1096" spans="1:14">
      <c r="A1096" s="9">
        <v>45595</v>
      </c>
      <c r="B1096" s="278" t="s">
        <v>2116</v>
      </c>
      <c r="C1096" s="278" t="s">
        <v>459</v>
      </c>
      <c r="D1096" s="282">
        <v>5</v>
      </c>
      <c r="E1096" s="278" t="s">
        <v>1079</v>
      </c>
      <c r="F1096" s="278" t="s">
        <v>482</v>
      </c>
      <c r="G1096" s="278" t="s">
        <v>531</v>
      </c>
      <c r="H1096" s="13">
        <v>2</v>
      </c>
      <c r="I1096" s="13">
        <v>4.5</v>
      </c>
      <c r="J1096" s="13" t="s">
        <v>1744</v>
      </c>
      <c r="K1096" s="13">
        <v>2.49</v>
      </c>
      <c r="L1096" s="278" t="s">
        <v>35</v>
      </c>
      <c r="M1096" s="280"/>
      <c r="N1096" s="280"/>
    </row>
    <row r="1097" spans="1:14">
      <c r="A1097" s="287"/>
      <c r="B1097" s="278"/>
      <c r="C1097" s="278"/>
      <c r="D1097" s="288"/>
      <c r="E1097" s="278"/>
      <c r="F1097" s="278"/>
      <c r="G1097" s="278" t="s">
        <v>503</v>
      </c>
      <c r="H1097" s="13">
        <v>2</v>
      </c>
      <c r="I1097" s="13">
        <v>0.5</v>
      </c>
      <c r="J1097" s="289" t="s">
        <v>24</v>
      </c>
      <c r="K1097" s="289" t="s">
        <v>24</v>
      </c>
      <c r="L1097" s="278"/>
      <c r="M1097" s="280"/>
      <c r="N1097" s="280"/>
    </row>
    <row r="1098" spans="1:14">
      <c r="A1098" s="9">
        <v>45595</v>
      </c>
      <c r="B1098" s="278" t="s">
        <v>2117</v>
      </c>
      <c r="C1098" s="278" t="s">
        <v>462</v>
      </c>
      <c r="D1098" s="282">
        <v>5</v>
      </c>
      <c r="E1098" s="278" t="s">
        <v>1079</v>
      </c>
      <c r="F1098" s="278" t="s">
        <v>482</v>
      </c>
      <c r="G1098" s="278" t="s">
        <v>1962</v>
      </c>
      <c r="H1098" s="13">
        <v>1.5</v>
      </c>
      <c r="I1098" s="13">
        <v>4.1</v>
      </c>
      <c r="J1098" s="13" t="s">
        <v>1744</v>
      </c>
      <c r="K1098" s="13">
        <v>2.5</v>
      </c>
      <c r="L1098" s="278" t="s">
        <v>35</v>
      </c>
      <c r="M1098" s="280"/>
      <c r="N1098" s="280"/>
    </row>
    <row r="1099" spans="1:14">
      <c r="A1099" s="287"/>
      <c r="B1099" s="278"/>
      <c r="C1099" s="278"/>
      <c r="D1099" s="288"/>
      <c r="E1099" s="278"/>
      <c r="F1099" s="278"/>
      <c r="G1099" s="278" t="s">
        <v>1963</v>
      </c>
      <c r="H1099" s="13">
        <v>1.5</v>
      </c>
      <c r="I1099" s="13">
        <v>0.2</v>
      </c>
      <c r="J1099" s="13" t="s">
        <v>1762</v>
      </c>
      <c r="K1099" s="13">
        <v>2.7</v>
      </c>
      <c r="L1099" s="278"/>
      <c r="M1099" s="280"/>
      <c r="N1099" s="280"/>
    </row>
    <row r="1100" spans="1:14">
      <c r="A1100" s="287"/>
      <c r="B1100" s="278"/>
      <c r="C1100" s="278"/>
      <c r="D1100" s="288"/>
      <c r="E1100" s="278"/>
      <c r="F1100" s="278"/>
      <c r="G1100" s="278" t="s">
        <v>2032</v>
      </c>
      <c r="H1100" s="13">
        <v>2</v>
      </c>
      <c r="I1100" s="13">
        <v>0.275</v>
      </c>
      <c r="J1100" s="289" t="s">
        <v>24</v>
      </c>
      <c r="K1100" s="13">
        <v>3.7</v>
      </c>
      <c r="L1100" s="278"/>
      <c r="M1100" s="280"/>
      <c r="N1100" s="280"/>
    </row>
    <row r="1101" spans="1:14">
      <c r="A1101" s="287"/>
      <c r="B1101" s="278"/>
      <c r="C1101" s="278"/>
      <c r="D1101" s="288"/>
      <c r="E1101" s="278"/>
      <c r="F1101" s="278"/>
      <c r="G1101" s="278" t="s">
        <v>2033</v>
      </c>
      <c r="H1101" s="13">
        <v>2</v>
      </c>
      <c r="I1101" s="13">
        <v>0.425</v>
      </c>
      <c r="J1101" s="289" t="s">
        <v>24</v>
      </c>
      <c r="K1101" s="289" t="s">
        <v>24</v>
      </c>
      <c r="L1101" s="278"/>
      <c r="M1101" s="280"/>
      <c r="N1101" s="280"/>
    </row>
    <row r="1102" spans="1:14">
      <c r="A1102" s="9">
        <v>45595</v>
      </c>
      <c r="B1102" s="278" t="s">
        <v>2118</v>
      </c>
      <c r="C1102" s="278" t="s">
        <v>459</v>
      </c>
      <c r="D1102" s="282">
        <v>5</v>
      </c>
      <c r="E1102" s="278" t="s">
        <v>477</v>
      </c>
      <c r="F1102" s="278" t="s">
        <v>474</v>
      </c>
      <c r="G1102" s="278" t="s">
        <v>1958</v>
      </c>
      <c r="H1102" s="13">
        <v>1.04</v>
      </c>
      <c r="I1102" s="13">
        <v>3.5</v>
      </c>
      <c r="J1102" s="13" t="s">
        <v>1744</v>
      </c>
      <c r="K1102" s="13">
        <v>2.22</v>
      </c>
      <c r="L1102" s="278" t="s">
        <v>41</v>
      </c>
      <c r="M1102" s="280"/>
      <c r="N1102" s="280"/>
    </row>
    <row r="1103" spans="1:14">
      <c r="A1103" s="287"/>
      <c r="B1103" s="278"/>
      <c r="C1103" s="278"/>
      <c r="D1103" s="288"/>
      <c r="E1103" s="278"/>
      <c r="F1103" s="278"/>
      <c r="G1103" s="278" t="s">
        <v>1959</v>
      </c>
      <c r="H1103" s="13">
        <v>1.16</v>
      </c>
      <c r="I1103" s="13">
        <v>0.7</v>
      </c>
      <c r="J1103" s="13" t="s">
        <v>1744</v>
      </c>
      <c r="K1103" s="13">
        <v>2.4</v>
      </c>
      <c r="L1103" s="278"/>
      <c r="M1103" s="280"/>
      <c r="N1103" s="280"/>
    </row>
    <row r="1104" spans="1:14">
      <c r="A1104" s="287"/>
      <c r="B1104" s="278"/>
      <c r="C1104" s="278"/>
      <c r="D1104" s="288"/>
      <c r="E1104" s="278"/>
      <c r="F1104" s="278"/>
      <c r="G1104" s="278" t="s">
        <v>1963</v>
      </c>
      <c r="H1104" s="13">
        <v>1.21</v>
      </c>
      <c r="I1104" s="13">
        <v>0.27</v>
      </c>
      <c r="J1104" s="13" t="s">
        <v>1762</v>
      </c>
      <c r="K1104" s="13">
        <v>2.5</v>
      </c>
      <c r="L1104" s="278"/>
      <c r="M1104" s="280"/>
      <c r="N1104" s="280"/>
    </row>
    <row r="1105" spans="1:14">
      <c r="A1105" s="287"/>
      <c r="B1105" s="278"/>
      <c r="C1105" s="278"/>
      <c r="D1105" s="288"/>
      <c r="E1105" s="278"/>
      <c r="F1105" s="278"/>
      <c r="G1105" s="278" t="s">
        <v>2032</v>
      </c>
      <c r="H1105" s="13">
        <v>1.25</v>
      </c>
      <c r="I1105" s="13">
        <v>0.28</v>
      </c>
      <c r="J1105" s="289" t="s">
        <v>24</v>
      </c>
      <c r="K1105" s="13">
        <v>4.9</v>
      </c>
      <c r="L1105" s="278"/>
      <c r="M1105" s="280"/>
      <c r="N1105" s="280"/>
    </row>
    <row r="1106" spans="1:14">
      <c r="A1106" s="287"/>
      <c r="B1106" s="278"/>
      <c r="C1106" s="278"/>
      <c r="D1106" s="288"/>
      <c r="E1106" s="278"/>
      <c r="F1106" s="278"/>
      <c r="G1106" s="278" t="s">
        <v>2033</v>
      </c>
      <c r="H1106" s="13">
        <v>1.75</v>
      </c>
      <c r="I1106" s="13">
        <v>0.25</v>
      </c>
      <c r="J1106" s="289" t="s">
        <v>24</v>
      </c>
      <c r="K1106" s="289" t="s">
        <v>24</v>
      </c>
      <c r="L1106" s="278"/>
      <c r="M1106" s="280"/>
      <c r="N1106" s="280"/>
    </row>
    <row r="1107" spans="1:14">
      <c r="A1107" s="9">
        <v>45596</v>
      </c>
      <c r="B1107" s="278" t="s">
        <v>2119</v>
      </c>
      <c r="C1107" s="278" t="s">
        <v>462</v>
      </c>
      <c r="D1107" s="282">
        <v>3</v>
      </c>
      <c r="E1107" s="278" t="s">
        <v>477</v>
      </c>
      <c r="F1107" s="278" t="s">
        <v>460</v>
      </c>
      <c r="G1107" s="278" t="s">
        <v>1962</v>
      </c>
      <c r="H1107" s="13">
        <v>1</v>
      </c>
      <c r="I1107" s="13">
        <v>2.38</v>
      </c>
      <c r="J1107" s="13" t="s">
        <v>1744</v>
      </c>
      <c r="K1107" s="13">
        <v>2.18</v>
      </c>
      <c r="L1107" s="278" t="s">
        <v>27</v>
      </c>
      <c r="M1107" s="280"/>
      <c r="N1107" s="280"/>
    </row>
    <row r="1108" spans="1:14">
      <c r="A1108" s="287"/>
      <c r="B1108" s="278"/>
      <c r="C1108" s="278"/>
      <c r="D1108" s="288"/>
      <c r="E1108" s="278"/>
      <c r="F1108" s="278"/>
      <c r="G1108" s="278" t="s">
        <v>1963</v>
      </c>
      <c r="H1108" s="13">
        <v>1</v>
      </c>
      <c r="I1108" s="13">
        <v>0.2</v>
      </c>
      <c r="J1108" s="13" t="s">
        <v>1762</v>
      </c>
      <c r="K1108" s="13">
        <v>2.28</v>
      </c>
      <c r="L1108" s="278"/>
      <c r="M1108" s="280"/>
      <c r="N1108" s="280"/>
    </row>
    <row r="1109" spans="1:14">
      <c r="A1109" s="287"/>
      <c r="B1109" s="278"/>
      <c r="C1109" s="278"/>
      <c r="D1109" s="288"/>
      <c r="E1109" s="278"/>
      <c r="F1109" s="278"/>
      <c r="G1109" s="278" t="s">
        <v>503</v>
      </c>
      <c r="H1109" s="13">
        <v>2.98</v>
      </c>
      <c r="I1109" s="13">
        <v>0.42</v>
      </c>
      <c r="J1109" s="289" t="s">
        <v>24</v>
      </c>
      <c r="K1109" s="289" t="s">
        <v>24</v>
      </c>
      <c r="L1109" s="278"/>
      <c r="M1109" s="280"/>
      <c r="N1109" s="280"/>
    </row>
    <row r="1110" spans="1:14">
      <c r="A1110" s="9">
        <v>45597</v>
      </c>
      <c r="B1110" s="278" t="s">
        <v>2120</v>
      </c>
      <c r="C1110" s="278" t="s">
        <v>459</v>
      </c>
      <c r="D1110" s="282">
        <v>10</v>
      </c>
      <c r="E1110" s="278" t="s">
        <v>536</v>
      </c>
      <c r="F1110" s="278" t="s">
        <v>482</v>
      </c>
      <c r="G1110" s="278" t="s">
        <v>1962</v>
      </c>
      <c r="H1110" s="13">
        <v>0.58</v>
      </c>
      <c r="I1110" s="13">
        <v>9</v>
      </c>
      <c r="J1110" s="13" t="s">
        <v>1744</v>
      </c>
      <c r="K1110" s="13">
        <v>2.3</v>
      </c>
      <c r="L1110" s="278" t="s">
        <v>35</v>
      </c>
      <c r="M1110" s="280"/>
      <c r="N1110" s="280"/>
    </row>
    <row r="1111" spans="1:14">
      <c r="A1111" s="287"/>
      <c r="B1111" s="278"/>
      <c r="C1111" s="278"/>
      <c r="D1111" s="288"/>
      <c r="E1111" s="278"/>
      <c r="F1111" s="278"/>
      <c r="G1111" s="278" t="s">
        <v>1963</v>
      </c>
      <c r="H1111" s="13">
        <v>0.66</v>
      </c>
      <c r="I1111" s="13">
        <v>0.5</v>
      </c>
      <c r="J1111" s="13" t="s">
        <v>1762</v>
      </c>
      <c r="K1111" s="13">
        <v>2.5</v>
      </c>
      <c r="L1111" s="278"/>
      <c r="M1111" s="280"/>
      <c r="N1111" s="280"/>
    </row>
    <row r="1112" spans="1:14">
      <c r="A1112" s="287"/>
      <c r="B1112" s="278"/>
      <c r="C1112" s="278"/>
      <c r="D1112" s="288"/>
      <c r="E1112" s="278"/>
      <c r="F1112" s="278"/>
      <c r="G1112" s="278" t="s">
        <v>503</v>
      </c>
      <c r="H1112" s="13">
        <v>1.41</v>
      </c>
      <c r="I1112" s="13">
        <v>0.5</v>
      </c>
      <c r="J1112" s="289" t="s">
        <v>24</v>
      </c>
      <c r="K1112" s="289" t="s">
        <v>24</v>
      </c>
      <c r="L1112" s="278"/>
      <c r="M1112" s="280"/>
      <c r="N1112" s="280"/>
    </row>
    <row r="1113" spans="1:14">
      <c r="A1113" s="292">
        <v>45659</v>
      </c>
      <c r="B1113" s="278" t="s">
        <v>2121</v>
      </c>
      <c r="C1113" s="278" t="s">
        <v>459</v>
      </c>
      <c r="D1113" s="282">
        <v>10</v>
      </c>
      <c r="E1113" s="278" t="s">
        <v>1066</v>
      </c>
      <c r="F1113" s="278" t="s">
        <v>460</v>
      </c>
      <c r="G1113" s="278" t="s">
        <v>1962</v>
      </c>
      <c r="H1113" s="278">
        <v>1</v>
      </c>
      <c r="I1113" s="13">
        <v>9</v>
      </c>
      <c r="J1113" s="278" t="s">
        <v>1744</v>
      </c>
      <c r="K1113" s="278">
        <v>1.9</v>
      </c>
      <c r="L1113" s="278" t="s">
        <v>35</v>
      </c>
      <c r="M1113" s="280"/>
      <c r="N1113" s="280"/>
    </row>
    <row r="1114" spans="1:14">
      <c r="A1114" s="278"/>
      <c r="B1114" s="278"/>
      <c r="C1114" s="278"/>
      <c r="D1114" s="288"/>
      <c r="E1114" s="278"/>
      <c r="F1114" s="278"/>
      <c r="G1114" s="278" t="s">
        <v>1963</v>
      </c>
      <c r="H1114" s="278">
        <v>1</v>
      </c>
      <c r="I1114" s="13">
        <v>0.3</v>
      </c>
      <c r="J1114" s="278" t="s">
        <v>1049</v>
      </c>
      <c r="K1114" s="278">
        <v>2.2</v>
      </c>
      <c r="L1114" s="278"/>
      <c r="M1114" s="280"/>
      <c r="N1114" s="280"/>
    </row>
    <row r="1115" spans="1:14">
      <c r="A1115" s="278"/>
      <c r="B1115" s="278"/>
      <c r="C1115" s="278"/>
      <c r="D1115" s="288"/>
      <c r="E1115" s="278"/>
      <c r="F1115" s="278"/>
      <c r="G1115" s="278" t="s">
        <v>509</v>
      </c>
      <c r="H1115" s="278">
        <v>2.92</v>
      </c>
      <c r="I1115" s="13">
        <v>0.2</v>
      </c>
      <c r="J1115" s="278" t="s">
        <v>506</v>
      </c>
      <c r="K1115" s="278">
        <v>3.7</v>
      </c>
      <c r="L1115" s="278"/>
      <c r="M1115" s="280"/>
      <c r="N1115" s="280"/>
    </row>
    <row r="1116" spans="1:14">
      <c r="A1116" s="278"/>
      <c r="B1116" s="278"/>
      <c r="C1116" s="278"/>
      <c r="D1116" s="288"/>
      <c r="E1116" s="278"/>
      <c r="F1116" s="278"/>
      <c r="G1116" s="278" t="s">
        <v>503</v>
      </c>
      <c r="H1116" s="278" t="s">
        <v>2020</v>
      </c>
      <c r="I1116" s="13">
        <v>0.5</v>
      </c>
      <c r="J1116" s="289" t="s">
        <v>24</v>
      </c>
      <c r="K1116" s="289" t="s">
        <v>24</v>
      </c>
      <c r="L1116" s="278"/>
      <c r="M1116" s="280"/>
      <c r="N1116" s="280"/>
    </row>
    <row r="1117" spans="1:14">
      <c r="A1117" s="9">
        <v>45596</v>
      </c>
      <c r="B1117" s="278" t="s">
        <v>2122</v>
      </c>
      <c r="C1117" s="278" t="s">
        <v>459</v>
      </c>
      <c r="D1117" s="282">
        <v>9</v>
      </c>
      <c r="E1117" s="278" t="s">
        <v>486</v>
      </c>
      <c r="F1117" s="278" t="s">
        <v>1961</v>
      </c>
      <c r="G1117" s="278" t="s">
        <v>1958</v>
      </c>
      <c r="H1117" s="13">
        <v>0.95</v>
      </c>
      <c r="I1117" s="13">
        <v>2.7</v>
      </c>
      <c r="J1117" s="13" t="s">
        <v>1744</v>
      </c>
      <c r="K1117" s="13">
        <v>2.5</v>
      </c>
      <c r="L1117" s="278" t="s">
        <v>1082</v>
      </c>
      <c r="M1117" s="280"/>
      <c r="N1117" s="280"/>
    </row>
    <row r="1118" spans="1:14">
      <c r="A1118" s="287"/>
      <c r="B1118" s="278"/>
      <c r="C1118" s="278"/>
      <c r="D1118" s="288"/>
      <c r="E1118" s="278"/>
      <c r="F1118" s="278"/>
      <c r="G1118" s="278" t="s">
        <v>1959</v>
      </c>
      <c r="H1118" s="13">
        <v>1.95</v>
      </c>
      <c r="I1118" s="13">
        <v>3.6</v>
      </c>
      <c r="J1118" s="13" t="s">
        <v>1744</v>
      </c>
      <c r="K1118" s="13">
        <v>2.8</v>
      </c>
      <c r="L1118" s="278"/>
      <c r="M1118" s="280"/>
      <c r="N1118" s="280"/>
    </row>
    <row r="1119" spans="1:14">
      <c r="A1119" s="287"/>
      <c r="B1119" s="278"/>
      <c r="C1119" s="278"/>
      <c r="D1119" s="288"/>
      <c r="E1119" s="278"/>
      <c r="F1119" s="278"/>
      <c r="G1119" s="278" t="s">
        <v>2007</v>
      </c>
      <c r="H1119" s="13">
        <v>2.95</v>
      </c>
      <c r="I1119" s="13">
        <v>2.565</v>
      </c>
      <c r="J1119" s="13" t="s">
        <v>1744</v>
      </c>
      <c r="K1119" s="13">
        <v>4.3</v>
      </c>
      <c r="L1119" s="278"/>
      <c r="M1119" s="280"/>
      <c r="N1119" s="280"/>
    </row>
    <row r="1120" spans="1:14">
      <c r="A1120" s="287"/>
      <c r="B1120" s="278"/>
      <c r="C1120" s="278"/>
      <c r="D1120" s="288"/>
      <c r="E1120" s="278"/>
      <c r="F1120" s="278"/>
      <c r="G1120" s="278" t="s">
        <v>503</v>
      </c>
      <c r="H1120" s="13">
        <v>3.04</v>
      </c>
      <c r="I1120" s="13">
        <v>0.135</v>
      </c>
      <c r="J1120" s="289" t="s">
        <v>24</v>
      </c>
      <c r="K1120" s="289" t="s">
        <v>24</v>
      </c>
      <c r="L1120" s="278"/>
      <c r="M1120" s="280"/>
      <c r="N1120" s="280"/>
    </row>
    <row r="1121" spans="1:14">
      <c r="A1121" s="9">
        <v>45602</v>
      </c>
      <c r="B1121" s="278" t="s">
        <v>2123</v>
      </c>
      <c r="C1121" s="278" t="s">
        <v>462</v>
      </c>
      <c r="D1121" s="282">
        <v>6</v>
      </c>
      <c r="E1121" s="278" t="s">
        <v>477</v>
      </c>
      <c r="F1121" s="278" t="s">
        <v>523</v>
      </c>
      <c r="G1121" s="278" t="s">
        <v>1962</v>
      </c>
      <c r="H1121" s="13">
        <v>1.04</v>
      </c>
      <c r="I1121" s="13">
        <v>5.34</v>
      </c>
      <c r="J1121" s="13" t="s">
        <v>1744</v>
      </c>
      <c r="K1121" s="13">
        <v>2.15</v>
      </c>
      <c r="L1121" s="278" t="s">
        <v>112</v>
      </c>
      <c r="M1121" s="280"/>
      <c r="N1121" s="280"/>
    </row>
    <row r="1122" spans="1:14">
      <c r="A1122" s="287"/>
      <c r="B1122" s="278"/>
      <c r="C1122" s="278"/>
      <c r="D1122" s="288"/>
      <c r="E1122" s="278"/>
      <c r="F1122" s="278"/>
      <c r="G1122" s="278" t="s">
        <v>1963</v>
      </c>
      <c r="H1122" s="13">
        <v>1.04</v>
      </c>
      <c r="I1122" s="13">
        <v>0.36</v>
      </c>
      <c r="J1122" s="13" t="s">
        <v>1762</v>
      </c>
      <c r="K1122" s="13">
        <v>2.4</v>
      </c>
      <c r="L1122" s="278"/>
      <c r="M1122" s="280"/>
      <c r="N1122" s="280"/>
    </row>
    <row r="1123" spans="1:14">
      <c r="A1123" s="287"/>
      <c r="B1123" s="278"/>
      <c r="C1123" s="278"/>
      <c r="D1123" s="288"/>
      <c r="E1123" s="278"/>
      <c r="F1123" s="278"/>
      <c r="G1123" s="278" t="s">
        <v>2032</v>
      </c>
      <c r="H1123" s="13">
        <v>1.04</v>
      </c>
      <c r="I1123" s="13">
        <v>0.12</v>
      </c>
      <c r="J1123" s="289" t="s">
        <v>24</v>
      </c>
      <c r="K1123" s="289" t="s">
        <v>24</v>
      </c>
      <c r="L1123" s="278"/>
      <c r="M1123" s="280"/>
      <c r="N1123" s="280"/>
    </row>
    <row r="1124" spans="1:14">
      <c r="A1124" s="287"/>
      <c r="B1124" s="278"/>
      <c r="C1124" s="278"/>
      <c r="D1124" s="288"/>
      <c r="E1124" s="278"/>
      <c r="F1124" s="278"/>
      <c r="G1124" s="278" t="s">
        <v>2033</v>
      </c>
      <c r="H1124" s="13">
        <v>1.04</v>
      </c>
      <c r="I1124" s="13">
        <v>0.18</v>
      </c>
      <c r="J1124" s="289" t="s">
        <v>24</v>
      </c>
      <c r="K1124" s="289" t="s">
        <v>24</v>
      </c>
      <c r="L1124" s="278"/>
      <c r="M1124" s="280"/>
      <c r="N1124" s="280"/>
    </row>
    <row r="1125" spans="1:14">
      <c r="A1125" s="9">
        <v>45611</v>
      </c>
      <c r="B1125" s="278" t="s">
        <v>2124</v>
      </c>
      <c r="C1125" s="278" t="s">
        <v>462</v>
      </c>
      <c r="D1125" s="282">
        <v>10</v>
      </c>
      <c r="E1125" s="278" t="s">
        <v>486</v>
      </c>
      <c r="F1125" s="278" t="s">
        <v>474</v>
      </c>
      <c r="G1125" s="278" t="s">
        <v>1958</v>
      </c>
      <c r="H1125" s="13">
        <v>1</v>
      </c>
      <c r="I1125" s="13">
        <v>3</v>
      </c>
      <c r="J1125" s="13" t="s">
        <v>1744</v>
      </c>
      <c r="K1125" s="13">
        <v>2.68</v>
      </c>
      <c r="L1125" s="278" t="s">
        <v>1082</v>
      </c>
      <c r="M1125" s="280"/>
      <c r="N1125" s="280"/>
    </row>
    <row r="1126" spans="1:14">
      <c r="A1126" s="287"/>
      <c r="B1126" s="278"/>
      <c r="C1126" s="278"/>
      <c r="D1126" s="288"/>
      <c r="E1126" s="278"/>
      <c r="F1126" s="278"/>
      <c r="G1126" s="278" t="s">
        <v>1959</v>
      </c>
      <c r="H1126" s="13">
        <v>1.99</v>
      </c>
      <c r="I1126" s="13">
        <v>4</v>
      </c>
      <c r="J1126" s="13" t="s">
        <v>1744</v>
      </c>
      <c r="K1126" s="13">
        <v>2.9</v>
      </c>
      <c r="L1126" s="278"/>
      <c r="M1126" s="280"/>
      <c r="N1126" s="280"/>
    </row>
    <row r="1127" spans="1:14">
      <c r="A1127" s="287"/>
      <c r="B1127" s="278"/>
      <c r="C1127" s="278"/>
      <c r="D1127" s="288"/>
      <c r="E1127" s="278"/>
      <c r="F1127" s="278"/>
      <c r="G1127" s="278" t="s">
        <v>2007</v>
      </c>
      <c r="H1127" s="13">
        <v>2.99</v>
      </c>
      <c r="I1127" s="13">
        <v>2.85</v>
      </c>
      <c r="J1127" s="13" t="s">
        <v>1744</v>
      </c>
      <c r="K1127" s="13">
        <v>4.3</v>
      </c>
      <c r="L1127" s="278"/>
      <c r="M1127" s="280"/>
      <c r="N1127" s="280"/>
    </row>
    <row r="1128" spans="1:14">
      <c r="A1128" s="287"/>
      <c r="B1128" s="278"/>
      <c r="C1128" s="278"/>
      <c r="D1128" s="288"/>
      <c r="E1128" s="278"/>
      <c r="F1128" s="278"/>
      <c r="G1128" s="278" t="s">
        <v>503</v>
      </c>
      <c r="H1128" s="13">
        <v>2.99</v>
      </c>
      <c r="I1128" s="13">
        <v>0.15</v>
      </c>
      <c r="J1128" s="289" t="s">
        <v>24</v>
      </c>
      <c r="K1128" s="289" t="s">
        <v>24</v>
      </c>
      <c r="L1128" s="278"/>
      <c r="M1128" s="280"/>
      <c r="N1128" s="280"/>
    </row>
    <row r="1129" spans="1:14">
      <c r="A1129" s="9">
        <v>45608</v>
      </c>
      <c r="B1129" s="278" t="s">
        <v>2125</v>
      </c>
      <c r="C1129" s="278" t="s">
        <v>459</v>
      </c>
      <c r="D1129" s="282">
        <v>6</v>
      </c>
      <c r="E1129" s="278" t="s">
        <v>477</v>
      </c>
      <c r="F1129" s="278" t="s">
        <v>487</v>
      </c>
      <c r="G1129" s="278" t="s">
        <v>1962</v>
      </c>
      <c r="H1129" s="13">
        <v>1.06</v>
      </c>
      <c r="I1129" s="13">
        <v>5.37</v>
      </c>
      <c r="J1129" s="13" t="s">
        <v>1744</v>
      </c>
      <c r="K1129" s="13">
        <v>2.14</v>
      </c>
      <c r="L1129" s="278" t="s">
        <v>112</v>
      </c>
      <c r="M1129" s="280"/>
      <c r="N1129" s="280"/>
    </row>
    <row r="1130" spans="1:14">
      <c r="A1130" s="287"/>
      <c r="B1130" s="278"/>
      <c r="C1130" s="278"/>
      <c r="D1130" s="288"/>
      <c r="E1130" s="278"/>
      <c r="F1130" s="278"/>
      <c r="G1130" s="278" t="s">
        <v>1963</v>
      </c>
      <c r="H1130" s="13">
        <v>1.06</v>
      </c>
      <c r="I1130" s="13">
        <v>0.33</v>
      </c>
      <c r="J1130" s="13" t="s">
        <v>1762</v>
      </c>
      <c r="K1130" s="13">
        <v>2.45</v>
      </c>
      <c r="L1130" s="278"/>
      <c r="M1130" s="280"/>
      <c r="N1130" s="280"/>
    </row>
    <row r="1131" spans="1:14">
      <c r="A1131" s="287"/>
      <c r="B1131" s="278"/>
      <c r="C1131" s="278"/>
      <c r="D1131" s="288"/>
      <c r="E1131" s="278"/>
      <c r="F1131" s="278"/>
      <c r="G1131" s="278" t="s">
        <v>2032</v>
      </c>
      <c r="H1131" s="13">
        <v>3.04</v>
      </c>
      <c r="I1131" s="13">
        <v>0.12</v>
      </c>
      <c r="J1131" s="289" t="s">
        <v>24</v>
      </c>
      <c r="K1131" s="289" t="s">
        <v>24</v>
      </c>
      <c r="L1131" s="278"/>
      <c r="M1131" s="280"/>
      <c r="N1131" s="280"/>
    </row>
    <row r="1132" spans="1:14">
      <c r="A1132" s="287"/>
      <c r="B1132" s="278"/>
      <c r="C1132" s="278"/>
      <c r="D1132" s="288"/>
      <c r="E1132" s="278"/>
      <c r="F1132" s="278"/>
      <c r="G1132" s="278" t="s">
        <v>2033</v>
      </c>
      <c r="H1132" s="13">
        <v>3.04</v>
      </c>
      <c r="I1132" s="13">
        <v>0.18</v>
      </c>
      <c r="J1132" s="289" t="s">
        <v>24</v>
      </c>
      <c r="K1132" s="289" t="s">
        <v>24</v>
      </c>
      <c r="L1132" s="278"/>
      <c r="M1132" s="280"/>
      <c r="N1132" s="280"/>
    </row>
    <row r="1133" spans="1:14">
      <c r="A1133" s="9">
        <v>45608</v>
      </c>
      <c r="B1133" s="278" t="s">
        <v>2126</v>
      </c>
      <c r="C1133" s="278" t="s">
        <v>459</v>
      </c>
      <c r="D1133" s="282">
        <v>4</v>
      </c>
      <c r="E1133" s="278" t="s">
        <v>492</v>
      </c>
      <c r="F1133" s="278" t="s">
        <v>487</v>
      </c>
      <c r="G1133" s="278" t="s">
        <v>1962</v>
      </c>
      <c r="H1133" s="13">
        <v>1.86</v>
      </c>
      <c r="I1133" s="13">
        <v>3.36</v>
      </c>
      <c r="J1133" s="13" t="s">
        <v>1744</v>
      </c>
      <c r="K1133" s="13">
        <v>2.82</v>
      </c>
      <c r="L1133" s="278" t="s">
        <v>70</v>
      </c>
      <c r="M1133" s="280"/>
      <c r="N1133" s="280"/>
    </row>
    <row r="1134" spans="1:14">
      <c r="A1134" s="287"/>
      <c r="B1134" s="278"/>
      <c r="C1134" s="278"/>
      <c r="D1134" s="288"/>
      <c r="E1134" s="278"/>
      <c r="F1134" s="278"/>
      <c r="G1134" s="278" t="s">
        <v>1963</v>
      </c>
      <c r="H1134" s="13">
        <v>1.94</v>
      </c>
      <c r="I1134" s="13">
        <v>0.16</v>
      </c>
      <c r="J1134" s="13" t="s">
        <v>1762</v>
      </c>
      <c r="K1134" s="13">
        <v>3.4</v>
      </c>
      <c r="L1134" s="278"/>
      <c r="M1134" s="280"/>
      <c r="N1134" s="280"/>
    </row>
    <row r="1135" spans="1:14">
      <c r="A1135" s="287"/>
      <c r="B1135" s="278"/>
      <c r="C1135" s="278"/>
      <c r="D1135" s="288"/>
      <c r="E1135" s="278"/>
      <c r="F1135" s="278"/>
      <c r="G1135" s="278" t="s">
        <v>503</v>
      </c>
      <c r="H1135" s="13">
        <v>2.69</v>
      </c>
      <c r="I1135" s="13">
        <v>0.48</v>
      </c>
      <c r="J1135" s="289" t="s">
        <v>24</v>
      </c>
      <c r="K1135" s="289" t="s">
        <v>24</v>
      </c>
      <c r="L1135" s="278"/>
      <c r="M1135" s="280"/>
      <c r="N1135" s="280"/>
    </row>
    <row r="1136" spans="1:14">
      <c r="A1136" s="9">
        <v>45611</v>
      </c>
      <c r="B1136" s="278" t="s">
        <v>2127</v>
      </c>
      <c r="C1136" s="278" t="s">
        <v>462</v>
      </c>
      <c r="D1136" s="282">
        <v>10</v>
      </c>
      <c r="E1136" s="278" t="s">
        <v>1066</v>
      </c>
      <c r="F1136" s="278" t="s">
        <v>1971</v>
      </c>
      <c r="G1136" s="278" t="s">
        <v>1962</v>
      </c>
      <c r="H1136" s="13">
        <v>0.58</v>
      </c>
      <c r="I1136" s="13">
        <v>9</v>
      </c>
      <c r="J1136" s="13" t="s">
        <v>1744</v>
      </c>
      <c r="K1136" s="13">
        <v>2.2</v>
      </c>
      <c r="L1136" s="278" t="s">
        <v>35</v>
      </c>
      <c r="M1136" s="280"/>
      <c r="N1136" s="280"/>
    </row>
    <row r="1137" spans="1:14">
      <c r="A1137" s="287"/>
      <c r="B1137" s="278"/>
      <c r="C1137" s="278"/>
      <c r="D1137" s="288"/>
      <c r="E1137" s="278"/>
      <c r="F1137" s="278"/>
      <c r="G1137" s="278" t="s">
        <v>1963</v>
      </c>
      <c r="H1137" s="13">
        <v>0.66</v>
      </c>
      <c r="I1137" s="13">
        <v>0.5</v>
      </c>
      <c r="J1137" s="13" t="s">
        <v>1762</v>
      </c>
      <c r="K1137" s="13">
        <v>2.4</v>
      </c>
      <c r="L1137" s="278"/>
      <c r="M1137" s="280"/>
      <c r="N1137" s="280"/>
    </row>
    <row r="1138" spans="1:14">
      <c r="A1138" s="287"/>
      <c r="B1138" s="278"/>
      <c r="C1138" s="278"/>
      <c r="D1138" s="288"/>
      <c r="E1138" s="278"/>
      <c r="F1138" s="278"/>
      <c r="G1138" s="278" t="s">
        <v>503</v>
      </c>
      <c r="H1138" s="13">
        <v>1.41</v>
      </c>
      <c r="I1138" s="13">
        <v>0.5</v>
      </c>
      <c r="J1138" s="289" t="s">
        <v>24</v>
      </c>
      <c r="K1138" s="289" t="s">
        <v>24</v>
      </c>
      <c r="L1138" s="278"/>
      <c r="M1138" s="280"/>
      <c r="N1138" s="280"/>
    </row>
    <row r="1139" spans="1:14">
      <c r="A1139" s="9">
        <v>45615</v>
      </c>
      <c r="B1139" s="278" t="s">
        <v>2128</v>
      </c>
      <c r="C1139" s="278" t="s">
        <v>462</v>
      </c>
      <c r="D1139" s="282">
        <v>10</v>
      </c>
      <c r="E1139" s="278" t="s">
        <v>1109</v>
      </c>
      <c r="F1139" s="278" t="s">
        <v>482</v>
      </c>
      <c r="G1139" s="278" t="s">
        <v>1962</v>
      </c>
      <c r="H1139" s="13">
        <v>1.93</v>
      </c>
      <c r="I1139" s="13">
        <v>8.35</v>
      </c>
      <c r="J1139" s="13" t="s">
        <v>1744</v>
      </c>
      <c r="K1139" s="13">
        <v>2.25</v>
      </c>
      <c r="L1139" s="278" t="s">
        <v>27</v>
      </c>
      <c r="M1139" s="280"/>
      <c r="N1139" s="280"/>
    </row>
    <row r="1140" spans="1:14">
      <c r="A1140" s="287"/>
      <c r="B1140" s="278"/>
      <c r="C1140" s="278"/>
      <c r="D1140" s="288"/>
      <c r="E1140" s="278"/>
      <c r="F1140" s="278"/>
      <c r="G1140" s="278" t="s">
        <v>1963</v>
      </c>
      <c r="H1140" s="13">
        <v>1.93</v>
      </c>
      <c r="I1140" s="13">
        <v>0.7</v>
      </c>
      <c r="J1140" s="13" t="s">
        <v>505</v>
      </c>
      <c r="K1140" s="13">
        <v>2.35</v>
      </c>
      <c r="L1140" s="278"/>
      <c r="M1140" s="280"/>
      <c r="N1140" s="280"/>
    </row>
    <row r="1141" spans="1:14">
      <c r="A1141" s="287"/>
      <c r="B1141" s="278"/>
      <c r="C1141" s="278"/>
      <c r="D1141" s="288"/>
      <c r="E1141" s="278"/>
      <c r="F1141" s="278"/>
      <c r="G1141" s="278" t="s">
        <v>503</v>
      </c>
      <c r="H1141" s="13">
        <v>2.02</v>
      </c>
      <c r="I1141" s="13">
        <v>0.95</v>
      </c>
      <c r="J1141" s="289" t="s">
        <v>24</v>
      </c>
      <c r="K1141" s="289" t="s">
        <v>24</v>
      </c>
      <c r="L1141" s="278"/>
      <c r="M1141" s="280"/>
      <c r="N1141" s="280"/>
    </row>
    <row r="1142" spans="1:14">
      <c r="A1142" s="9">
        <v>45604</v>
      </c>
      <c r="B1142" s="278" t="s">
        <v>2129</v>
      </c>
      <c r="C1142" s="278" t="s">
        <v>462</v>
      </c>
      <c r="D1142" s="282">
        <v>4</v>
      </c>
      <c r="E1142" s="278" t="s">
        <v>486</v>
      </c>
      <c r="F1142" s="278" t="s">
        <v>1091</v>
      </c>
      <c r="G1142" s="278" t="s">
        <v>1962</v>
      </c>
      <c r="H1142" s="13">
        <v>1.55</v>
      </c>
      <c r="I1142" s="13">
        <v>3.26</v>
      </c>
      <c r="J1142" s="13" t="s">
        <v>1744</v>
      </c>
      <c r="K1142" s="13">
        <v>2.31</v>
      </c>
      <c r="L1142" s="278" t="s">
        <v>27</v>
      </c>
      <c r="M1142" s="280"/>
      <c r="N1142" s="280"/>
    </row>
    <row r="1143" spans="1:14">
      <c r="A1143" s="287"/>
      <c r="B1143" s="278"/>
      <c r="C1143" s="278"/>
      <c r="D1143" s="288"/>
      <c r="E1143" s="278"/>
      <c r="F1143" s="278"/>
      <c r="G1143" s="278" t="s">
        <v>1963</v>
      </c>
      <c r="H1143" s="13">
        <v>1.99</v>
      </c>
      <c r="I1143" s="13">
        <v>0.16</v>
      </c>
      <c r="J1143" s="13" t="s">
        <v>1762</v>
      </c>
      <c r="K1143" s="13">
        <v>2.4</v>
      </c>
      <c r="L1143" s="278"/>
      <c r="M1143" s="280"/>
      <c r="N1143" s="280"/>
    </row>
    <row r="1144" spans="1:14">
      <c r="A1144" s="287"/>
      <c r="B1144" s="278"/>
      <c r="C1144" s="278"/>
      <c r="D1144" s="288"/>
      <c r="E1144" s="278"/>
      <c r="F1144" s="278"/>
      <c r="G1144" s="278" t="s">
        <v>2032</v>
      </c>
      <c r="H1144" s="13">
        <v>3.05</v>
      </c>
      <c r="I1144" s="13">
        <v>0.38</v>
      </c>
      <c r="J1144" s="289" t="s">
        <v>24</v>
      </c>
      <c r="K1144" s="289" t="s">
        <v>24</v>
      </c>
      <c r="L1144" s="278"/>
      <c r="M1144" s="280"/>
      <c r="N1144" s="280"/>
    </row>
    <row r="1145" spans="1:14">
      <c r="A1145" s="287"/>
      <c r="B1145" s="278"/>
      <c r="C1145" s="278"/>
      <c r="D1145" s="288"/>
      <c r="E1145" s="278"/>
      <c r="F1145" s="278"/>
      <c r="G1145" s="278" t="s">
        <v>2033</v>
      </c>
      <c r="H1145" s="13">
        <v>3.05</v>
      </c>
      <c r="I1145" s="13">
        <v>0.2</v>
      </c>
      <c r="J1145" s="289" t="s">
        <v>24</v>
      </c>
      <c r="K1145" s="289" t="s">
        <v>24</v>
      </c>
      <c r="L1145" s="278"/>
      <c r="M1145" s="280"/>
      <c r="N1145" s="280"/>
    </row>
    <row r="1146" spans="1:14">
      <c r="A1146" s="9">
        <v>45610</v>
      </c>
      <c r="B1146" s="278" t="s">
        <v>2130</v>
      </c>
      <c r="C1146" s="278" t="s">
        <v>462</v>
      </c>
      <c r="D1146" s="282">
        <v>10</v>
      </c>
      <c r="E1146" s="278" t="s">
        <v>1066</v>
      </c>
      <c r="F1146" s="278" t="s">
        <v>1961</v>
      </c>
      <c r="G1146" s="278" t="s">
        <v>1962</v>
      </c>
      <c r="H1146" s="13">
        <v>0.58</v>
      </c>
      <c r="I1146" s="13">
        <v>9</v>
      </c>
      <c r="J1146" s="13" t="s">
        <v>1744</v>
      </c>
      <c r="K1146" s="13">
        <v>2.1</v>
      </c>
      <c r="L1146" s="278" t="s">
        <v>35</v>
      </c>
      <c r="M1146" s="280"/>
      <c r="N1146" s="280"/>
    </row>
    <row r="1147" spans="1:14">
      <c r="A1147" s="287"/>
      <c r="B1147" s="278"/>
      <c r="C1147" s="278"/>
      <c r="D1147" s="288"/>
      <c r="E1147" s="278"/>
      <c r="F1147" s="278"/>
      <c r="G1147" s="278" t="s">
        <v>1963</v>
      </c>
      <c r="H1147" s="13">
        <v>0.66</v>
      </c>
      <c r="I1147" s="13">
        <v>0.5</v>
      </c>
      <c r="J1147" s="13" t="s">
        <v>1762</v>
      </c>
      <c r="K1147" s="13">
        <v>2.38</v>
      </c>
      <c r="L1147" s="278"/>
      <c r="M1147" s="280"/>
      <c r="N1147" s="280"/>
    </row>
    <row r="1148" spans="1:14">
      <c r="A1148" s="287"/>
      <c r="B1148" s="278"/>
      <c r="C1148" s="278"/>
      <c r="D1148" s="288"/>
      <c r="E1148" s="278"/>
      <c r="F1148" s="278"/>
      <c r="G1148" s="278" t="s">
        <v>503</v>
      </c>
      <c r="H1148" s="13">
        <v>1.41</v>
      </c>
      <c r="I1148" s="13">
        <v>0.5</v>
      </c>
      <c r="J1148" s="289" t="s">
        <v>24</v>
      </c>
      <c r="K1148" s="289" t="s">
        <v>24</v>
      </c>
      <c r="L1148" s="278"/>
      <c r="M1148" s="280"/>
      <c r="N1148" s="280"/>
    </row>
    <row r="1149" spans="1:14">
      <c r="A1149" s="9">
        <v>45615</v>
      </c>
      <c r="B1149" s="278" t="s">
        <v>2131</v>
      </c>
      <c r="C1149" s="278" t="s">
        <v>462</v>
      </c>
      <c r="D1149" s="293">
        <v>25</v>
      </c>
      <c r="E1149" s="278" t="s">
        <v>1265</v>
      </c>
      <c r="F1149" s="278" t="s">
        <v>482</v>
      </c>
      <c r="G1149" s="278" t="s">
        <v>1962</v>
      </c>
      <c r="H1149" s="13">
        <v>1</v>
      </c>
      <c r="I1149" s="13">
        <v>20</v>
      </c>
      <c r="J1149" s="13" t="s">
        <v>1744</v>
      </c>
      <c r="K1149" s="13">
        <v>2.02</v>
      </c>
      <c r="L1149" s="278" t="s">
        <v>1984</v>
      </c>
      <c r="M1149" s="280"/>
      <c r="N1149" s="280"/>
    </row>
    <row r="1150" spans="1:14">
      <c r="A1150" s="287"/>
      <c r="B1150" s="278"/>
      <c r="C1150" s="278"/>
      <c r="D1150" s="293"/>
      <c r="E1150" s="278"/>
      <c r="F1150" s="278"/>
      <c r="G1150" s="278" t="s">
        <v>1963</v>
      </c>
      <c r="H1150" s="13">
        <v>1</v>
      </c>
      <c r="I1150" s="13">
        <v>3.75</v>
      </c>
      <c r="J1150" s="13" t="s">
        <v>1762</v>
      </c>
      <c r="K1150" s="13">
        <v>11</v>
      </c>
      <c r="L1150" s="278"/>
      <c r="M1150" s="280"/>
      <c r="N1150" s="280"/>
    </row>
    <row r="1151" spans="1:14">
      <c r="A1151" s="287"/>
      <c r="B1151" s="278"/>
      <c r="C1151" s="278"/>
      <c r="D1151" s="293"/>
      <c r="E1151" s="278"/>
      <c r="F1151" s="278"/>
      <c r="G1151" s="278" t="s">
        <v>503</v>
      </c>
      <c r="H1151" s="13">
        <v>1</v>
      </c>
      <c r="I1151" s="13">
        <v>1.25</v>
      </c>
      <c r="J1151" s="289" t="s">
        <v>24</v>
      </c>
      <c r="K1151" s="289" t="s">
        <v>24</v>
      </c>
      <c r="L1151" s="278"/>
      <c r="M1151" s="280"/>
      <c r="N1151" s="280"/>
    </row>
    <row r="1152" spans="1:14">
      <c r="A1152" s="292">
        <v>45617</v>
      </c>
      <c r="B1152" s="278" t="s">
        <v>2132</v>
      </c>
      <c r="C1152" s="278" t="s">
        <v>462</v>
      </c>
      <c r="D1152" s="282">
        <v>5</v>
      </c>
      <c r="E1152" s="278" t="s">
        <v>1265</v>
      </c>
      <c r="F1152" s="278" t="s">
        <v>1678</v>
      </c>
      <c r="G1152" s="278" t="s">
        <v>1962</v>
      </c>
      <c r="H1152" s="278">
        <v>1</v>
      </c>
      <c r="I1152" s="13">
        <v>4</v>
      </c>
      <c r="J1152" s="278" t="s">
        <v>1744</v>
      </c>
      <c r="K1152" s="278">
        <v>2</v>
      </c>
      <c r="L1152" s="278" t="s">
        <v>1984</v>
      </c>
      <c r="M1152" s="280"/>
      <c r="N1152" s="280"/>
    </row>
    <row r="1153" spans="1:14">
      <c r="A1153" s="278"/>
      <c r="B1153" s="278"/>
      <c r="C1153" s="278"/>
      <c r="D1153" s="288"/>
      <c r="E1153" s="278"/>
      <c r="F1153" s="278"/>
      <c r="G1153" s="278" t="s">
        <v>1963</v>
      </c>
      <c r="H1153" s="278">
        <v>1</v>
      </c>
      <c r="I1153" s="13">
        <v>0.75</v>
      </c>
      <c r="J1153" s="278" t="s">
        <v>1049</v>
      </c>
      <c r="K1153" s="278">
        <v>11</v>
      </c>
      <c r="L1153" s="278"/>
      <c r="M1153" s="280"/>
      <c r="N1153" s="280"/>
    </row>
    <row r="1154" spans="1:14">
      <c r="A1154" s="278"/>
      <c r="B1154" s="278"/>
      <c r="C1154" s="278"/>
      <c r="D1154" s="288"/>
      <c r="E1154" s="278"/>
      <c r="F1154" s="278"/>
      <c r="G1154" s="278" t="s">
        <v>503</v>
      </c>
      <c r="H1154" s="278" t="s">
        <v>2020</v>
      </c>
      <c r="I1154" s="13">
        <v>0.25</v>
      </c>
      <c r="J1154" s="289" t="s">
        <v>24</v>
      </c>
      <c r="K1154" s="289" t="s">
        <v>24</v>
      </c>
      <c r="L1154" s="278"/>
      <c r="M1154" s="280"/>
      <c r="N1154" s="280"/>
    </row>
    <row r="1155" spans="1:14">
      <c r="A1155" s="9">
        <v>45616</v>
      </c>
      <c r="B1155" s="278" t="s">
        <v>2133</v>
      </c>
      <c r="C1155" s="278" t="s">
        <v>462</v>
      </c>
      <c r="D1155" s="282">
        <v>10</v>
      </c>
      <c r="E1155" s="278" t="s">
        <v>1109</v>
      </c>
      <c r="F1155" s="278" t="s">
        <v>460</v>
      </c>
      <c r="G1155" s="278" t="s">
        <v>1962</v>
      </c>
      <c r="H1155" s="13">
        <v>1.51</v>
      </c>
      <c r="I1155" s="13">
        <v>8.46</v>
      </c>
      <c r="J1155" s="13" t="s">
        <v>1744</v>
      </c>
      <c r="K1155" s="13">
        <v>2.25</v>
      </c>
      <c r="L1155" s="278" t="s">
        <v>27</v>
      </c>
      <c r="M1155" s="280"/>
      <c r="N1155" s="280"/>
    </row>
    <row r="1156" spans="1:14">
      <c r="A1156" s="287"/>
      <c r="B1156" s="278"/>
      <c r="C1156" s="278"/>
      <c r="D1156" s="288"/>
      <c r="E1156" s="278"/>
      <c r="F1156" s="278"/>
      <c r="G1156" s="278" t="s">
        <v>1963</v>
      </c>
      <c r="H1156" s="13">
        <v>1.68</v>
      </c>
      <c r="I1156" s="13">
        <v>0.464</v>
      </c>
      <c r="J1156" s="13" t="s">
        <v>1762</v>
      </c>
      <c r="K1156" s="13">
        <v>2.35</v>
      </c>
      <c r="L1156" s="278"/>
      <c r="M1156" s="280"/>
      <c r="N1156" s="280"/>
    </row>
    <row r="1157" spans="1:14">
      <c r="A1157" s="287"/>
      <c r="B1157" s="278"/>
      <c r="C1157" s="278"/>
      <c r="D1157" s="288"/>
      <c r="E1157" s="278"/>
      <c r="F1157" s="278"/>
      <c r="G1157" s="278" t="s">
        <v>503</v>
      </c>
      <c r="H1157" s="13">
        <v>3.02</v>
      </c>
      <c r="I1157" s="13">
        <v>1.076</v>
      </c>
      <c r="J1157" s="289" t="s">
        <v>24</v>
      </c>
      <c r="K1157" s="289" t="s">
        <v>24</v>
      </c>
      <c r="L1157" s="278"/>
      <c r="M1157" s="280"/>
      <c r="N1157" s="280"/>
    </row>
    <row r="1158" spans="1:14">
      <c r="A1158" s="9">
        <v>45617</v>
      </c>
      <c r="B1158" s="278" t="s">
        <v>2134</v>
      </c>
      <c r="C1158" s="278" t="s">
        <v>462</v>
      </c>
      <c r="D1158" s="282">
        <v>20</v>
      </c>
      <c r="E1158" s="278" t="s">
        <v>1470</v>
      </c>
      <c r="F1158" s="278" t="s">
        <v>1471</v>
      </c>
      <c r="G1158" s="13" t="s">
        <v>2135</v>
      </c>
      <c r="H1158" s="13">
        <v>1</v>
      </c>
      <c r="I1158" s="13">
        <v>18.4</v>
      </c>
      <c r="J1158" s="13" t="s">
        <v>1744</v>
      </c>
      <c r="K1158" s="13">
        <v>1.97</v>
      </c>
      <c r="L1158" s="278" t="s">
        <v>1472</v>
      </c>
      <c r="M1158" s="280"/>
      <c r="N1158" s="280"/>
    </row>
    <row r="1159" spans="1:14">
      <c r="A1159" s="287"/>
      <c r="B1159" s="278"/>
      <c r="C1159" s="278"/>
      <c r="D1159" s="288"/>
      <c r="E1159" s="278"/>
      <c r="F1159" s="278"/>
      <c r="G1159" s="13" t="s">
        <v>2136</v>
      </c>
      <c r="H1159" s="13">
        <v>1</v>
      </c>
      <c r="I1159" s="13">
        <v>1.6</v>
      </c>
      <c r="J1159" s="13" t="s">
        <v>505</v>
      </c>
      <c r="K1159" s="289" t="s">
        <v>24</v>
      </c>
      <c r="L1159" s="278"/>
      <c r="M1159" s="280"/>
      <c r="N1159" s="280"/>
    </row>
    <row r="1160" spans="1:14">
      <c r="A1160" s="9">
        <v>45611</v>
      </c>
      <c r="B1160" s="278" t="s">
        <v>2137</v>
      </c>
      <c r="C1160" s="278" t="s">
        <v>462</v>
      </c>
      <c r="D1160" s="282">
        <v>3</v>
      </c>
      <c r="E1160" s="278" t="s">
        <v>477</v>
      </c>
      <c r="F1160" s="278" t="s">
        <v>1091</v>
      </c>
      <c r="G1160" s="278" t="s">
        <v>1962</v>
      </c>
      <c r="H1160" s="13">
        <v>0.99</v>
      </c>
      <c r="I1160" s="13">
        <v>2.58</v>
      </c>
      <c r="J1160" s="13" t="s">
        <v>1744</v>
      </c>
      <c r="K1160" s="13">
        <v>2.43</v>
      </c>
      <c r="L1160" s="278" t="s">
        <v>35</v>
      </c>
      <c r="M1160" s="280"/>
      <c r="N1160" s="280"/>
    </row>
    <row r="1161" spans="1:14">
      <c r="A1161" s="287"/>
      <c r="B1161" s="278"/>
      <c r="C1161" s="278"/>
      <c r="D1161" s="288"/>
      <c r="E1161" s="278"/>
      <c r="F1161" s="278"/>
      <c r="G1161" s="278" t="s">
        <v>1963</v>
      </c>
      <c r="H1161" s="13">
        <v>0.99</v>
      </c>
      <c r="I1161" s="13">
        <v>0.12</v>
      </c>
      <c r="J1161" s="13" t="s">
        <v>1762</v>
      </c>
      <c r="K1161" s="13">
        <v>2.5</v>
      </c>
      <c r="L1161" s="278"/>
      <c r="M1161" s="280"/>
      <c r="N1161" s="280"/>
    </row>
    <row r="1162" spans="1:14">
      <c r="A1162" s="287"/>
      <c r="B1162" s="278"/>
      <c r="C1162" s="278"/>
      <c r="D1162" s="288"/>
      <c r="E1162" s="278"/>
      <c r="F1162" s="278"/>
      <c r="G1162" s="278" t="s">
        <v>1972</v>
      </c>
      <c r="H1162" s="13">
        <v>0.99</v>
      </c>
      <c r="I1162" s="13">
        <v>0.15</v>
      </c>
      <c r="J1162" s="13" t="s">
        <v>1875</v>
      </c>
      <c r="K1162" s="13">
        <v>3.6</v>
      </c>
      <c r="L1162" s="278"/>
      <c r="M1162" s="280"/>
      <c r="N1162" s="280"/>
    </row>
    <row r="1163" spans="1:14">
      <c r="A1163" s="287"/>
      <c r="B1163" s="278"/>
      <c r="C1163" s="278"/>
      <c r="D1163" s="288"/>
      <c r="E1163" s="278"/>
      <c r="F1163" s="278"/>
      <c r="G1163" s="278" t="s">
        <v>503</v>
      </c>
      <c r="H1163" s="13">
        <v>1.58</v>
      </c>
      <c r="I1163" s="13">
        <v>0.15</v>
      </c>
      <c r="J1163" s="289" t="s">
        <v>24</v>
      </c>
      <c r="K1163" s="289" t="s">
        <v>24</v>
      </c>
      <c r="L1163" s="278"/>
      <c r="M1163" s="280"/>
      <c r="N1163" s="280"/>
    </row>
    <row r="1164" spans="1:14">
      <c r="A1164" s="9">
        <v>45610</v>
      </c>
      <c r="B1164" s="278" t="s">
        <v>2138</v>
      </c>
      <c r="C1164" s="278" t="s">
        <v>462</v>
      </c>
      <c r="D1164" s="282">
        <v>5.46</v>
      </c>
      <c r="E1164" s="278" t="s">
        <v>486</v>
      </c>
      <c r="F1164" s="278" t="s">
        <v>460</v>
      </c>
      <c r="G1164" s="278" t="s">
        <v>1962</v>
      </c>
      <c r="H1164" s="13">
        <v>0.94</v>
      </c>
      <c r="I1164" s="13">
        <v>1.72</v>
      </c>
      <c r="J1164" s="13" t="s">
        <v>1744</v>
      </c>
      <c r="K1164" s="13">
        <v>2.05</v>
      </c>
      <c r="L1164" s="278" t="s">
        <v>435</v>
      </c>
      <c r="M1164" s="280"/>
      <c r="N1164" s="280"/>
    </row>
    <row r="1165" spans="1:14">
      <c r="A1165" s="287"/>
      <c r="B1165" s="278"/>
      <c r="C1165" s="278"/>
      <c r="D1165" s="288"/>
      <c r="E1165" s="278"/>
      <c r="F1165" s="278"/>
      <c r="G1165" s="278" t="s">
        <v>1963</v>
      </c>
      <c r="H1165" s="13">
        <v>1.94</v>
      </c>
      <c r="I1165" s="13">
        <v>1.86</v>
      </c>
      <c r="J1165" s="13" t="s">
        <v>1744</v>
      </c>
      <c r="K1165" s="13">
        <v>2.19</v>
      </c>
      <c r="L1165" s="278"/>
      <c r="M1165" s="280"/>
      <c r="N1165" s="280"/>
    </row>
    <row r="1166" spans="1:14">
      <c r="A1166" s="287"/>
      <c r="B1166" s="278"/>
      <c r="C1166" s="278"/>
      <c r="D1166" s="288"/>
      <c r="E1166" s="278"/>
      <c r="F1166" s="278"/>
      <c r="G1166" s="278" t="s">
        <v>1972</v>
      </c>
      <c r="H1166" s="13">
        <v>2.77</v>
      </c>
      <c r="I1166" s="13">
        <v>1.71</v>
      </c>
      <c r="J1166" s="13" t="s">
        <v>1744</v>
      </c>
      <c r="K1166" s="13">
        <v>2.33</v>
      </c>
      <c r="L1166" s="278"/>
      <c r="M1166" s="280"/>
      <c r="N1166" s="280"/>
    </row>
    <row r="1167" spans="1:14">
      <c r="A1167" s="287"/>
      <c r="B1167" s="278"/>
      <c r="C1167" s="278"/>
      <c r="D1167" s="288"/>
      <c r="E1167" s="278"/>
      <c r="F1167" s="278"/>
      <c r="G1167" s="278" t="s">
        <v>503</v>
      </c>
      <c r="H1167" s="13">
        <v>2.93</v>
      </c>
      <c r="I1167" s="13">
        <v>0.165</v>
      </c>
      <c r="J1167" s="13" t="s">
        <v>1744</v>
      </c>
      <c r="K1167" s="289" t="s">
        <v>24</v>
      </c>
      <c r="L1167" s="278"/>
      <c r="M1167" s="280"/>
      <c r="N1167" s="280"/>
    </row>
    <row r="1168" spans="1:14">
      <c r="A1168" s="9">
        <v>45615</v>
      </c>
      <c r="B1168" s="278" t="s">
        <v>2139</v>
      </c>
      <c r="C1168" s="278" t="s">
        <v>462</v>
      </c>
      <c r="D1168" s="282">
        <v>15</v>
      </c>
      <c r="E1168" s="278" t="s">
        <v>1057</v>
      </c>
      <c r="F1168" s="278" t="s">
        <v>474</v>
      </c>
      <c r="G1168" s="278" t="s">
        <v>1958</v>
      </c>
      <c r="H1168" s="13">
        <v>1.08</v>
      </c>
      <c r="I1168" s="13">
        <v>10.5</v>
      </c>
      <c r="J1168" s="13" t="s">
        <v>1744</v>
      </c>
      <c r="K1168" s="13">
        <v>2.12</v>
      </c>
      <c r="L1168" s="278" t="s">
        <v>41</v>
      </c>
      <c r="M1168" s="280"/>
      <c r="N1168" s="280"/>
    </row>
    <row r="1169" spans="1:14">
      <c r="A1169" s="287"/>
      <c r="B1169" s="278"/>
      <c r="C1169" s="278"/>
      <c r="D1169" s="288"/>
      <c r="E1169" s="278"/>
      <c r="F1169" s="278"/>
      <c r="G1169" s="278" t="s">
        <v>1959</v>
      </c>
      <c r="H1169" s="13">
        <v>1.24</v>
      </c>
      <c r="I1169" s="13">
        <v>2.325</v>
      </c>
      <c r="J1169" s="13" t="s">
        <v>1744</v>
      </c>
      <c r="K1169" s="13">
        <v>2.26</v>
      </c>
      <c r="L1169" s="278"/>
      <c r="M1169" s="280"/>
      <c r="N1169" s="280"/>
    </row>
    <row r="1170" spans="1:14">
      <c r="A1170" s="287"/>
      <c r="B1170" s="278"/>
      <c r="C1170" s="278"/>
      <c r="D1170" s="288"/>
      <c r="E1170" s="278"/>
      <c r="F1170" s="278"/>
      <c r="G1170" s="278" t="s">
        <v>1963</v>
      </c>
      <c r="H1170" s="13">
        <v>1.28</v>
      </c>
      <c r="I1170" s="13">
        <v>0.75</v>
      </c>
      <c r="J1170" s="13" t="s">
        <v>1762</v>
      </c>
      <c r="K1170" s="13">
        <v>2.35</v>
      </c>
      <c r="L1170" s="278"/>
      <c r="M1170" s="280"/>
      <c r="N1170" s="280"/>
    </row>
    <row r="1171" spans="1:14">
      <c r="A1171" s="287"/>
      <c r="B1171" s="278"/>
      <c r="C1171" s="278"/>
      <c r="D1171" s="288"/>
      <c r="E1171" s="278"/>
      <c r="F1171" s="278"/>
      <c r="G1171" s="278" t="s">
        <v>1972</v>
      </c>
      <c r="H1171" s="13">
        <v>1.37</v>
      </c>
      <c r="I1171" s="13">
        <v>0.675</v>
      </c>
      <c r="J1171" s="13" t="s">
        <v>1782</v>
      </c>
      <c r="K1171" s="13">
        <v>4.9</v>
      </c>
      <c r="L1171" s="278"/>
      <c r="M1171" s="280"/>
      <c r="N1171" s="280"/>
    </row>
    <row r="1172" spans="1:14">
      <c r="A1172" s="287"/>
      <c r="B1172" s="278"/>
      <c r="C1172" s="278"/>
      <c r="D1172" s="288"/>
      <c r="E1172" s="278"/>
      <c r="F1172" s="278"/>
      <c r="G1172" s="278" t="s">
        <v>503</v>
      </c>
      <c r="H1172" s="13">
        <v>1.75</v>
      </c>
      <c r="I1172" s="13">
        <v>0.75</v>
      </c>
      <c r="J1172" s="289" t="s">
        <v>24</v>
      </c>
      <c r="K1172" s="289" t="s">
        <v>24</v>
      </c>
      <c r="L1172" s="278"/>
      <c r="M1172" s="280"/>
      <c r="N1172" s="280"/>
    </row>
    <row r="1173" spans="1:14">
      <c r="A1173" s="9">
        <v>45610</v>
      </c>
      <c r="B1173" s="278" t="s">
        <v>2140</v>
      </c>
      <c r="C1173" s="278" t="s">
        <v>462</v>
      </c>
      <c r="D1173" s="282">
        <v>3</v>
      </c>
      <c r="E1173" s="278" t="s">
        <v>536</v>
      </c>
      <c r="F1173" s="278" t="s">
        <v>460</v>
      </c>
      <c r="G1173" s="278" t="s">
        <v>1962</v>
      </c>
      <c r="H1173" s="13">
        <v>1.78</v>
      </c>
      <c r="I1173" s="13">
        <v>2.47</v>
      </c>
      <c r="J1173" s="13" t="s">
        <v>1744</v>
      </c>
      <c r="K1173" s="13">
        <v>2.25</v>
      </c>
      <c r="L1173" s="278" t="s">
        <v>27</v>
      </c>
      <c r="M1173" s="280"/>
      <c r="N1173" s="280"/>
    </row>
    <row r="1174" spans="1:14">
      <c r="A1174" s="287"/>
      <c r="B1174" s="278"/>
      <c r="C1174" s="278"/>
      <c r="D1174" s="288"/>
      <c r="E1174" s="278"/>
      <c r="F1174" s="278"/>
      <c r="G1174" s="278" t="s">
        <v>1963</v>
      </c>
      <c r="H1174" s="13">
        <v>1.78</v>
      </c>
      <c r="I1174" s="13">
        <v>0.17</v>
      </c>
      <c r="J1174" s="13" t="s">
        <v>1762</v>
      </c>
      <c r="K1174" s="13">
        <v>2.3</v>
      </c>
      <c r="L1174" s="278"/>
      <c r="M1174" s="280"/>
      <c r="N1174" s="280"/>
    </row>
    <row r="1175" spans="1:14">
      <c r="A1175" s="287"/>
      <c r="B1175" s="278"/>
      <c r="C1175" s="278"/>
      <c r="D1175" s="288"/>
      <c r="E1175" s="278"/>
      <c r="F1175" s="278"/>
      <c r="G1175" s="278" t="s">
        <v>1964</v>
      </c>
      <c r="H1175" s="13">
        <v>1.87</v>
      </c>
      <c r="I1175" s="13">
        <v>0.21</v>
      </c>
      <c r="J1175" s="289" t="s">
        <v>24</v>
      </c>
      <c r="K1175" s="289" t="s">
        <v>24</v>
      </c>
      <c r="L1175" s="278"/>
      <c r="M1175" s="280"/>
      <c r="N1175" s="280"/>
    </row>
    <row r="1176" spans="1:14">
      <c r="A1176" s="287"/>
      <c r="B1176" s="278"/>
      <c r="C1176" s="278"/>
      <c r="D1176" s="288"/>
      <c r="E1176" s="278"/>
      <c r="F1176" s="278"/>
      <c r="G1176" s="278" t="s">
        <v>1965</v>
      </c>
      <c r="H1176" s="13">
        <v>1.87</v>
      </c>
      <c r="I1176" s="13">
        <v>0.15</v>
      </c>
      <c r="J1176" s="289" t="s">
        <v>24</v>
      </c>
      <c r="K1176" s="289" t="s">
        <v>24</v>
      </c>
      <c r="L1176" s="278"/>
      <c r="M1176" s="280"/>
      <c r="N1176" s="280"/>
    </row>
    <row r="1177" spans="1:14">
      <c r="A1177" s="9">
        <v>45611</v>
      </c>
      <c r="B1177" s="278" t="s">
        <v>2141</v>
      </c>
      <c r="C1177" s="278" t="s">
        <v>462</v>
      </c>
      <c r="D1177" s="282">
        <v>10</v>
      </c>
      <c r="E1177" s="278" t="s">
        <v>1109</v>
      </c>
      <c r="F1177" s="278" t="s">
        <v>460</v>
      </c>
      <c r="G1177" s="278" t="s">
        <v>1962</v>
      </c>
      <c r="H1177" s="13">
        <v>1.53</v>
      </c>
      <c r="I1177" s="13">
        <v>8.506</v>
      </c>
      <c r="J1177" s="13" t="s">
        <v>1744</v>
      </c>
      <c r="K1177" s="13">
        <v>2.12</v>
      </c>
      <c r="L1177" s="278" t="s">
        <v>27</v>
      </c>
      <c r="M1177" s="280"/>
      <c r="N1177" s="280"/>
    </row>
    <row r="1178" spans="1:14">
      <c r="A1178" s="287"/>
      <c r="B1178" s="278"/>
      <c r="C1178" s="278"/>
      <c r="D1178" s="288"/>
      <c r="E1178" s="278"/>
      <c r="F1178" s="278"/>
      <c r="G1178" s="278" t="s">
        <v>1963</v>
      </c>
      <c r="H1178" s="13">
        <v>1.7</v>
      </c>
      <c r="I1178" s="13">
        <v>0.464</v>
      </c>
      <c r="J1178" s="13" t="s">
        <v>1762</v>
      </c>
      <c r="K1178" s="13">
        <v>2.35</v>
      </c>
      <c r="L1178" s="278"/>
      <c r="M1178" s="280"/>
      <c r="N1178" s="280"/>
    </row>
    <row r="1179" spans="1:14">
      <c r="A1179" s="287"/>
      <c r="B1179" s="278"/>
      <c r="C1179" s="278"/>
      <c r="D1179" s="288"/>
      <c r="E1179" s="278"/>
      <c r="F1179" s="278"/>
      <c r="G1179" s="278" t="s">
        <v>503</v>
      </c>
      <c r="H1179" s="13">
        <v>3.03</v>
      </c>
      <c r="I1179" s="13">
        <v>1.03</v>
      </c>
      <c r="J1179" s="289" t="s">
        <v>24</v>
      </c>
      <c r="K1179" s="289" t="s">
        <v>24</v>
      </c>
      <c r="L1179" s="278"/>
      <c r="M1179" s="280"/>
      <c r="N1179" s="280"/>
    </row>
    <row r="1180" spans="1:14">
      <c r="A1180" s="9">
        <v>45610</v>
      </c>
      <c r="B1180" s="278" t="s">
        <v>2142</v>
      </c>
      <c r="C1180" s="278" t="s">
        <v>462</v>
      </c>
      <c r="D1180" s="282">
        <v>5</v>
      </c>
      <c r="E1180" s="278" t="s">
        <v>486</v>
      </c>
      <c r="F1180" s="278" t="s">
        <v>1091</v>
      </c>
      <c r="G1180" s="278" t="s">
        <v>1962</v>
      </c>
      <c r="H1180" s="13">
        <v>1.53</v>
      </c>
      <c r="I1180" s="13">
        <v>4.075</v>
      </c>
      <c r="J1180" s="13" t="s">
        <v>1744</v>
      </c>
      <c r="K1180" s="13">
        <v>2.31</v>
      </c>
      <c r="L1180" s="278" t="s">
        <v>27</v>
      </c>
      <c r="M1180" s="280"/>
      <c r="N1180" s="280"/>
    </row>
    <row r="1181" spans="1:14">
      <c r="A1181" s="287"/>
      <c r="B1181" s="278"/>
      <c r="C1181" s="278"/>
      <c r="D1181" s="288"/>
      <c r="E1181" s="278"/>
      <c r="F1181" s="278"/>
      <c r="G1181" s="278" t="s">
        <v>1963</v>
      </c>
      <c r="H1181" s="13">
        <v>1.99</v>
      </c>
      <c r="I1181" s="13">
        <v>0.2</v>
      </c>
      <c r="J1181" s="13" t="s">
        <v>1762</v>
      </c>
      <c r="K1181" s="13">
        <v>2.4</v>
      </c>
      <c r="L1181" s="278"/>
      <c r="M1181" s="280"/>
      <c r="N1181" s="280"/>
    </row>
    <row r="1182" spans="1:14">
      <c r="A1182" s="287"/>
      <c r="B1182" s="278"/>
      <c r="C1182" s="278"/>
      <c r="D1182" s="288"/>
      <c r="E1182" s="278"/>
      <c r="F1182" s="278"/>
      <c r="G1182" s="278" t="s">
        <v>1964</v>
      </c>
      <c r="H1182" s="13">
        <v>3.03</v>
      </c>
      <c r="I1182" s="13">
        <v>0.475</v>
      </c>
      <c r="J1182" s="289" t="s">
        <v>24</v>
      </c>
      <c r="K1182" s="289" t="s">
        <v>24</v>
      </c>
      <c r="L1182" s="278"/>
      <c r="M1182" s="280"/>
      <c r="N1182" s="280"/>
    </row>
    <row r="1183" spans="1:14">
      <c r="A1183" s="287"/>
      <c r="B1183" s="278"/>
      <c r="C1183" s="278"/>
      <c r="D1183" s="288"/>
      <c r="E1183" s="278"/>
      <c r="F1183" s="278"/>
      <c r="G1183" s="278" t="s">
        <v>1965</v>
      </c>
      <c r="H1183" s="13">
        <v>3.03</v>
      </c>
      <c r="I1183" s="13">
        <v>0.25</v>
      </c>
      <c r="J1183" s="289" t="s">
        <v>24</v>
      </c>
      <c r="K1183" s="289" t="s">
        <v>24</v>
      </c>
      <c r="L1183" s="278"/>
      <c r="M1183" s="280"/>
      <c r="N1183" s="280"/>
    </row>
    <row r="1184" spans="1:14">
      <c r="A1184" s="9">
        <v>45615</v>
      </c>
      <c r="B1184" s="278" t="s">
        <v>2143</v>
      </c>
      <c r="C1184" s="278" t="s">
        <v>462</v>
      </c>
      <c r="D1184" s="282">
        <v>15</v>
      </c>
      <c r="E1184" s="278" t="s">
        <v>1057</v>
      </c>
      <c r="F1184" s="278" t="s">
        <v>474</v>
      </c>
      <c r="G1184" s="278" t="s">
        <v>1958</v>
      </c>
      <c r="H1184" s="13">
        <v>1.08</v>
      </c>
      <c r="I1184" s="13">
        <v>10.5</v>
      </c>
      <c r="J1184" s="13" t="s">
        <v>1744</v>
      </c>
      <c r="K1184" s="13">
        <v>2.12</v>
      </c>
      <c r="L1184" s="278" t="s">
        <v>41</v>
      </c>
      <c r="M1184" s="280"/>
      <c r="N1184" s="280"/>
    </row>
    <row r="1185" spans="1:14">
      <c r="A1185" s="287"/>
      <c r="B1185" s="278"/>
      <c r="C1185" s="278"/>
      <c r="D1185" s="288"/>
      <c r="E1185" s="278"/>
      <c r="F1185" s="278"/>
      <c r="G1185" s="278" t="s">
        <v>1959</v>
      </c>
      <c r="H1185" s="13">
        <v>1.24</v>
      </c>
      <c r="I1185" s="13">
        <v>2.325</v>
      </c>
      <c r="J1185" s="13" t="s">
        <v>1744</v>
      </c>
      <c r="K1185" s="13">
        <v>2.25</v>
      </c>
      <c r="L1185" s="278"/>
      <c r="M1185" s="280"/>
      <c r="N1185" s="280"/>
    </row>
    <row r="1186" spans="1:14">
      <c r="A1186" s="287"/>
      <c r="B1186" s="278"/>
      <c r="C1186" s="278"/>
      <c r="D1186" s="288"/>
      <c r="E1186" s="278"/>
      <c r="F1186" s="278"/>
      <c r="G1186" s="278" t="s">
        <v>1963</v>
      </c>
      <c r="H1186" s="13">
        <v>1.28</v>
      </c>
      <c r="I1186" s="13">
        <v>0.75</v>
      </c>
      <c r="J1186" s="13" t="s">
        <v>1762</v>
      </c>
      <c r="K1186" s="13">
        <v>2.39</v>
      </c>
      <c r="L1186" s="278"/>
      <c r="M1186" s="280"/>
      <c r="N1186" s="280"/>
    </row>
    <row r="1187" spans="1:14">
      <c r="A1187" s="287"/>
      <c r="B1187" s="278"/>
      <c r="C1187" s="278"/>
      <c r="D1187" s="288"/>
      <c r="E1187" s="278"/>
      <c r="F1187" s="278"/>
      <c r="G1187" s="278" t="s">
        <v>1972</v>
      </c>
      <c r="H1187" s="13">
        <v>1.37</v>
      </c>
      <c r="I1187" s="13">
        <v>0.675</v>
      </c>
      <c r="J1187" s="13" t="s">
        <v>1782</v>
      </c>
      <c r="K1187" s="13">
        <v>4.9</v>
      </c>
      <c r="L1187" s="278"/>
      <c r="M1187" s="280"/>
      <c r="N1187" s="280"/>
    </row>
    <row r="1188" spans="1:14">
      <c r="A1188" s="287"/>
      <c r="B1188" s="278"/>
      <c r="C1188" s="278"/>
      <c r="D1188" s="288"/>
      <c r="E1188" s="278"/>
      <c r="F1188" s="278"/>
      <c r="G1188" s="278" t="s">
        <v>503</v>
      </c>
      <c r="H1188" s="13">
        <v>1.75</v>
      </c>
      <c r="I1188" s="13">
        <v>0.75</v>
      </c>
      <c r="J1188" s="289" t="s">
        <v>24</v>
      </c>
      <c r="K1188" s="289" t="s">
        <v>24</v>
      </c>
      <c r="L1188" s="278"/>
      <c r="M1188" s="280"/>
      <c r="N1188" s="280"/>
    </row>
    <row r="1189" spans="1:14">
      <c r="A1189" s="9">
        <v>45615</v>
      </c>
      <c r="B1189" s="278" t="s">
        <v>2144</v>
      </c>
      <c r="C1189" s="278" t="s">
        <v>462</v>
      </c>
      <c r="D1189" s="282">
        <v>10</v>
      </c>
      <c r="E1189" s="278" t="s">
        <v>1109</v>
      </c>
      <c r="F1189" s="278" t="s">
        <v>460</v>
      </c>
      <c r="G1189" s="278" t="s">
        <v>1962</v>
      </c>
      <c r="H1189" s="13">
        <v>1.52</v>
      </c>
      <c r="I1189" s="13">
        <v>8.46</v>
      </c>
      <c r="J1189" s="13" t="s">
        <v>1744</v>
      </c>
      <c r="K1189" s="13">
        <v>2.25</v>
      </c>
      <c r="L1189" s="278" t="s">
        <v>27</v>
      </c>
      <c r="M1189" s="280"/>
      <c r="N1189" s="280"/>
    </row>
    <row r="1190" spans="1:14">
      <c r="A1190" s="287"/>
      <c r="B1190" s="278"/>
      <c r="C1190" s="278"/>
      <c r="D1190" s="288"/>
      <c r="E1190" s="278"/>
      <c r="F1190" s="278"/>
      <c r="G1190" s="278" t="s">
        <v>1963</v>
      </c>
      <c r="H1190" s="13">
        <v>1.68</v>
      </c>
      <c r="I1190" s="13">
        <v>0.464</v>
      </c>
      <c r="J1190" s="13" t="s">
        <v>1762</v>
      </c>
      <c r="K1190" s="13">
        <v>2.35</v>
      </c>
      <c r="L1190" s="278"/>
      <c r="M1190" s="280"/>
      <c r="N1190" s="280"/>
    </row>
    <row r="1191" spans="1:14">
      <c r="A1191" s="287"/>
      <c r="B1191" s="278"/>
      <c r="C1191" s="278"/>
      <c r="D1191" s="288"/>
      <c r="E1191" s="278"/>
      <c r="F1191" s="278"/>
      <c r="G1191" s="278" t="s">
        <v>503</v>
      </c>
      <c r="H1191" s="13">
        <v>3.02</v>
      </c>
      <c r="I1191" s="13">
        <v>1.076</v>
      </c>
      <c r="J1191" s="289" t="s">
        <v>24</v>
      </c>
      <c r="K1191" s="289" t="s">
        <v>24</v>
      </c>
      <c r="L1191" s="278"/>
      <c r="M1191" s="280"/>
      <c r="N1191" s="280"/>
    </row>
    <row r="1192" spans="1:14">
      <c r="A1192" s="9">
        <v>45623</v>
      </c>
      <c r="B1192" s="278" t="s">
        <v>2145</v>
      </c>
      <c r="C1192" s="278" t="s">
        <v>462</v>
      </c>
      <c r="D1192" s="282">
        <v>3</v>
      </c>
      <c r="E1192" s="278" t="s">
        <v>477</v>
      </c>
      <c r="F1192" s="278" t="s">
        <v>474</v>
      </c>
      <c r="G1192" s="278" t="s">
        <v>1962</v>
      </c>
      <c r="H1192" s="13">
        <v>1.16</v>
      </c>
      <c r="I1192" s="13">
        <v>2.52</v>
      </c>
      <c r="J1192" s="13" t="s">
        <v>1744</v>
      </c>
      <c r="K1192" s="278">
        <v>2.22</v>
      </c>
      <c r="L1192" s="278" t="s">
        <v>27</v>
      </c>
      <c r="M1192" s="280"/>
      <c r="N1192" s="280"/>
    </row>
    <row r="1193" spans="1:14">
      <c r="A1193" s="287"/>
      <c r="B1193" s="278"/>
      <c r="C1193" s="278"/>
      <c r="D1193" s="288"/>
      <c r="E1193" s="278"/>
      <c r="F1193" s="278"/>
      <c r="G1193" s="278" t="s">
        <v>1963</v>
      </c>
      <c r="H1193" s="13">
        <v>1.16</v>
      </c>
      <c r="I1193" s="13">
        <v>0.17</v>
      </c>
      <c r="J1193" s="13" t="s">
        <v>1762</v>
      </c>
      <c r="K1193" s="278">
        <v>2.28</v>
      </c>
      <c r="L1193" s="278"/>
      <c r="M1193" s="280"/>
      <c r="N1193" s="280"/>
    </row>
    <row r="1194" spans="1:14">
      <c r="A1194" s="287"/>
      <c r="B1194" s="278"/>
      <c r="C1194" s="278"/>
      <c r="D1194" s="288"/>
      <c r="E1194" s="278"/>
      <c r="F1194" s="278"/>
      <c r="G1194" s="278" t="s">
        <v>503</v>
      </c>
      <c r="H1194" s="13">
        <v>1.16</v>
      </c>
      <c r="I1194" s="13">
        <v>0.31</v>
      </c>
      <c r="J1194" s="289" t="s">
        <v>24</v>
      </c>
      <c r="K1194" s="289" t="s">
        <v>24</v>
      </c>
      <c r="L1194" s="278"/>
      <c r="M1194" s="280"/>
      <c r="N1194" s="280"/>
    </row>
    <row r="1195" spans="1:14">
      <c r="A1195" s="9">
        <v>45622</v>
      </c>
      <c r="B1195" s="278" t="s">
        <v>2146</v>
      </c>
      <c r="C1195" s="278" t="s">
        <v>459</v>
      </c>
      <c r="D1195" s="282">
        <v>3</v>
      </c>
      <c r="E1195" s="278" t="s">
        <v>536</v>
      </c>
      <c r="F1195" s="278" t="s">
        <v>487</v>
      </c>
      <c r="G1195" s="278" t="s">
        <v>1962</v>
      </c>
      <c r="H1195" s="13">
        <v>1.17</v>
      </c>
      <c r="I1195" s="13">
        <v>2.6</v>
      </c>
      <c r="J1195" s="13" t="s">
        <v>1744</v>
      </c>
      <c r="K1195" s="13">
        <v>2.18</v>
      </c>
      <c r="L1195" s="278" t="s">
        <v>27</v>
      </c>
      <c r="M1195" s="280"/>
      <c r="N1195" s="280"/>
    </row>
    <row r="1196" spans="1:14">
      <c r="A1196" s="287"/>
      <c r="B1196" s="278"/>
      <c r="C1196" s="278"/>
      <c r="D1196" s="288"/>
      <c r="E1196" s="278"/>
      <c r="F1196" s="278"/>
      <c r="G1196" s="278" t="s">
        <v>1963</v>
      </c>
      <c r="H1196" s="13">
        <v>1.17</v>
      </c>
      <c r="I1196" s="13">
        <v>0.16</v>
      </c>
      <c r="J1196" s="13" t="s">
        <v>1762</v>
      </c>
      <c r="K1196" s="13">
        <v>2.3</v>
      </c>
      <c r="L1196" s="278"/>
      <c r="M1196" s="280"/>
      <c r="N1196" s="280"/>
    </row>
    <row r="1197" spans="1:14">
      <c r="A1197" s="287"/>
      <c r="B1197" s="278"/>
      <c r="C1197" s="278"/>
      <c r="D1197" s="288"/>
      <c r="E1197" s="278"/>
      <c r="F1197" s="278"/>
      <c r="G1197" s="278" t="s">
        <v>1964</v>
      </c>
      <c r="H1197" s="13">
        <v>1.75</v>
      </c>
      <c r="I1197" s="13">
        <v>0.09</v>
      </c>
      <c r="J1197" s="289" t="s">
        <v>24</v>
      </c>
      <c r="K1197" s="289" t="s">
        <v>24</v>
      </c>
      <c r="L1197" s="278"/>
      <c r="M1197" s="280"/>
      <c r="N1197" s="280"/>
    </row>
    <row r="1198" spans="1:14">
      <c r="A1198" s="287"/>
      <c r="B1198" s="278"/>
      <c r="C1198" s="278"/>
      <c r="D1198" s="288"/>
      <c r="E1198" s="278"/>
      <c r="F1198" s="278"/>
      <c r="G1198" s="278" t="s">
        <v>1965</v>
      </c>
      <c r="H1198" s="13">
        <v>1.75</v>
      </c>
      <c r="I1198" s="13">
        <v>0.15</v>
      </c>
      <c r="J1198" s="289" t="s">
        <v>24</v>
      </c>
      <c r="K1198" s="289" t="s">
        <v>24</v>
      </c>
      <c r="L1198" s="278"/>
      <c r="M1198" s="280"/>
      <c r="N1198" s="280"/>
    </row>
    <row r="1199" spans="1:14">
      <c r="A1199" s="9">
        <v>45618</v>
      </c>
      <c r="B1199" s="278" t="s">
        <v>2147</v>
      </c>
      <c r="C1199" s="278" t="s">
        <v>459</v>
      </c>
      <c r="D1199" s="282">
        <v>3</v>
      </c>
      <c r="E1199" s="278" t="s">
        <v>492</v>
      </c>
      <c r="F1199" s="278" t="s">
        <v>1136</v>
      </c>
      <c r="G1199" s="278" t="s">
        <v>1962</v>
      </c>
      <c r="H1199" s="13">
        <v>1.01</v>
      </c>
      <c r="I1199" s="13">
        <v>2.6</v>
      </c>
      <c r="J1199" s="13" t="s">
        <v>1744</v>
      </c>
      <c r="K1199" s="13">
        <v>2.12</v>
      </c>
      <c r="L1199" s="278" t="s">
        <v>27</v>
      </c>
      <c r="M1199" s="280"/>
      <c r="N1199" s="280"/>
    </row>
    <row r="1200" spans="1:14">
      <c r="A1200" s="287"/>
      <c r="B1200" s="278"/>
      <c r="C1200" s="278"/>
      <c r="D1200" s="288"/>
      <c r="E1200" s="278"/>
      <c r="F1200" s="278"/>
      <c r="G1200" s="278" t="s">
        <v>1963</v>
      </c>
      <c r="H1200" s="13">
        <v>1.01</v>
      </c>
      <c r="I1200" s="13">
        <v>0.16</v>
      </c>
      <c r="J1200" s="13" t="s">
        <v>1762</v>
      </c>
      <c r="K1200" s="13">
        <v>2.3</v>
      </c>
      <c r="L1200" s="278"/>
      <c r="M1200" s="280"/>
      <c r="N1200" s="280"/>
    </row>
    <row r="1201" spans="1:14">
      <c r="A1201" s="287"/>
      <c r="B1201" s="278"/>
      <c r="C1201" s="278"/>
      <c r="D1201" s="288"/>
      <c r="E1201" s="278"/>
      <c r="F1201" s="278"/>
      <c r="G1201" s="278" t="s">
        <v>1964</v>
      </c>
      <c r="H1201" s="13">
        <v>1.59</v>
      </c>
      <c r="I1201" s="13">
        <v>0.09</v>
      </c>
      <c r="J1201" s="289" t="s">
        <v>24</v>
      </c>
      <c r="K1201" s="289" t="s">
        <v>24</v>
      </c>
      <c r="L1201" s="278"/>
      <c r="M1201" s="280"/>
      <c r="N1201" s="280"/>
    </row>
    <row r="1202" spans="1:14">
      <c r="A1202" s="287"/>
      <c r="B1202" s="278"/>
      <c r="C1202" s="278"/>
      <c r="D1202" s="288"/>
      <c r="E1202" s="278"/>
      <c r="F1202" s="278"/>
      <c r="G1202" s="278" t="s">
        <v>1965</v>
      </c>
      <c r="H1202" s="13">
        <v>1.59</v>
      </c>
      <c r="I1202" s="13">
        <v>0.15</v>
      </c>
      <c r="J1202" s="289" t="s">
        <v>24</v>
      </c>
      <c r="K1202" s="289" t="s">
        <v>24</v>
      </c>
      <c r="L1202" s="278"/>
      <c r="M1202" s="280"/>
      <c r="N1202" s="280"/>
    </row>
    <row r="1203" spans="1:14">
      <c r="A1203" s="9">
        <v>45618</v>
      </c>
      <c r="B1203" s="278" t="s">
        <v>2148</v>
      </c>
      <c r="C1203" s="278" t="s">
        <v>462</v>
      </c>
      <c r="D1203" s="282">
        <v>4</v>
      </c>
      <c r="E1203" s="278" t="s">
        <v>536</v>
      </c>
      <c r="F1203" s="278" t="s">
        <v>1971</v>
      </c>
      <c r="G1203" s="278" t="s">
        <v>1962</v>
      </c>
      <c r="H1203" s="13">
        <v>1.76</v>
      </c>
      <c r="I1203" s="13">
        <v>3.3</v>
      </c>
      <c r="J1203" s="13" t="s">
        <v>1744</v>
      </c>
      <c r="K1203" s="13">
        <v>2.24</v>
      </c>
      <c r="L1203" s="278" t="s">
        <v>27</v>
      </c>
      <c r="M1203" s="280"/>
      <c r="N1203" s="280"/>
    </row>
    <row r="1204" spans="1:14">
      <c r="A1204" s="287"/>
      <c r="B1204" s="278"/>
      <c r="C1204" s="278"/>
      <c r="D1204" s="288"/>
      <c r="E1204" s="278"/>
      <c r="F1204" s="278"/>
      <c r="G1204" s="278" t="s">
        <v>1963</v>
      </c>
      <c r="H1204" s="13">
        <v>1.76</v>
      </c>
      <c r="I1204" s="13">
        <v>0.22</v>
      </c>
      <c r="J1204" s="13" t="s">
        <v>1762</v>
      </c>
      <c r="K1204" s="13">
        <v>2.3</v>
      </c>
      <c r="L1204" s="278"/>
      <c r="M1204" s="280"/>
      <c r="N1204" s="280"/>
    </row>
    <row r="1205" spans="1:14">
      <c r="A1205" s="287"/>
      <c r="B1205" s="278"/>
      <c r="C1205" s="278"/>
      <c r="D1205" s="288"/>
      <c r="E1205" s="278"/>
      <c r="F1205" s="278"/>
      <c r="G1205" s="278" t="s">
        <v>1964</v>
      </c>
      <c r="H1205" s="13">
        <v>1.85</v>
      </c>
      <c r="I1205" s="13">
        <v>0.28</v>
      </c>
      <c r="J1205" s="289" t="s">
        <v>24</v>
      </c>
      <c r="K1205" s="289" t="s">
        <v>24</v>
      </c>
      <c r="L1205" s="278"/>
      <c r="M1205" s="280"/>
      <c r="N1205" s="280"/>
    </row>
    <row r="1206" spans="1:14">
      <c r="A1206" s="287"/>
      <c r="B1206" s="278"/>
      <c r="C1206" s="278"/>
      <c r="D1206" s="288"/>
      <c r="E1206" s="278"/>
      <c r="F1206" s="278"/>
      <c r="G1206" s="278" t="s">
        <v>1965</v>
      </c>
      <c r="H1206" s="13">
        <v>1.85</v>
      </c>
      <c r="I1206" s="13">
        <v>0.2</v>
      </c>
      <c r="J1206" s="289" t="s">
        <v>24</v>
      </c>
      <c r="K1206" s="289" t="s">
        <v>24</v>
      </c>
      <c r="L1206" s="278"/>
      <c r="M1206" s="280"/>
      <c r="N1206" s="280"/>
    </row>
    <row r="1207" spans="1:14">
      <c r="A1207" s="9">
        <v>45617</v>
      </c>
      <c r="B1207" s="278" t="s">
        <v>2149</v>
      </c>
      <c r="C1207" s="278" t="s">
        <v>459</v>
      </c>
      <c r="D1207" s="282">
        <v>10</v>
      </c>
      <c r="E1207" s="278" t="s">
        <v>477</v>
      </c>
      <c r="F1207" s="278" t="s">
        <v>1971</v>
      </c>
      <c r="G1207" s="278" t="s">
        <v>1962</v>
      </c>
      <c r="H1207" s="13">
        <v>1.49</v>
      </c>
      <c r="I1207" s="13">
        <v>8.2</v>
      </c>
      <c r="J1207" s="13" t="s">
        <v>1744</v>
      </c>
      <c r="K1207" s="13">
        <v>2.4</v>
      </c>
      <c r="L1207" s="278" t="s">
        <v>35</v>
      </c>
      <c r="M1207" s="280"/>
      <c r="N1207" s="280"/>
    </row>
    <row r="1208" spans="1:14">
      <c r="A1208" s="287"/>
      <c r="B1208" s="278"/>
      <c r="C1208" s="278"/>
      <c r="D1208" s="288"/>
      <c r="E1208" s="278"/>
      <c r="F1208" s="278"/>
      <c r="G1208" s="278" t="s">
        <v>1963</v>
      </c>
      <c r="H1208" s="13">
        <v>1.49</v>
      </c>
      <c r="I1208" s="13">
        <v>0.4</v>
      </c>
      <c r="J1208" s="13" t="s">
        <v>1762</v>
      </c>
      <c r="K1208" s="13">
        <v>2.53</v>
      </c>
      <c r="L1208" s="278"/>
      <c r="M1208" s="280"/>
      <c r="N1208" s="280"/>
    </row>
    <row r="1209" spans="1:14">
      <c r="A1209" s="287"/>
      <c r="B1209" s="278"/>
      <c r="C1209" s="278"/>
      <c r="D1209" s="288"/>
      <c r="E1209" s="278"/>
      <c r="F1209" s="278"/>
      <c r="G1209" s="278" t="s">
        <v>1972</v>
      </c>
      <c r="H1209" s="13">
        <v>1.99</v>
      </c>
      <c r="I1209" s="13">
        <v>0.9</v>
      </c>
      <c r="J1209" s="13" t="s">
        <v>2043</v>
      </c>
      <c r="K1209" s="13">
        <v>3.7</v>
      </c>
      <c r="L1209" s="278"/>
      <c r="M1209" s="280"/>
      <c r="N1209" s="280"/>
    </row>
    <row r="1210" spans="1:14">
      <c r="A1210" s="287"/>
      <c r="B1210" s="278"/>
      <c r="C1210" s="278"/>
      <c r="D1210" s="288"/>
      <c r="E1210" s="278"/>
      <c r="F1210" s="278"/>
      <c r="G1210" s="278" t="s">
        <v>503</v>
      </c>
      <c r="H1210" s="13">
        <v>1.99</v>
      </c>
      <c r="I1210" s="13">
        <v>0.5</v>
      </c>
      <c r="J1210" s="289" t="s">
        <v>24</v>
      </c>
      <c r="K1210" s="289" t="s">
        <v>24</v>
      </c>
      <c r="L1210" s="278"/>
      <c r="M1210" s="280"/>
      <c r="N1210" s="280"/>
    </row>
    <row r="1211" spans="1:14">
      <c r="A1211" s="9">
        <v>45629</v>
      </c>
      <c r="B1211" s="278" t="s">
        <v>2150</v>
      </c>
      <c r="C1211" s="278" t="s">
        <v>462</v>
      </c>
      <c r="D1211" s="282">
        <v>10</v>
      </c>
      <c r="E1211" s="278" t="s">
        <v>1079</v>
      </c>
      <c r="F1211" s="278" t="s">
        <v>1961</v>
      </c>
      <c r="G1211" s="278" t="s">
        <v>1962</v>
      </c>
      <c r="H1211" s="13">
        <v>1.5</v>
      </c>
      <c r="I1211" s="13">
        <v>8.9</v>
      </c>
      <c r="J1211" s="13" t="s">
        <v>1744</v>
      </c>
      <c r="K1211" s="13">
        <v>2.2</v>
      </c>
      <c r="L1211" s="278" t="s">
        <v>35</v>
      </c>
      <c r="M1211" s="280"/>
      <c r="N1211" s="280"/>
    </row>
    <row r="1212" spans="1:14">
      <c r="A1212" s="287"/>
      <c r="B1212" s="278"/>
      <c r="C1212" s="278"/>
      <c r="D1212" s="288"/>
      <c r="E1212" s="278"/>
      <c r="F1212" s="278"/>
      <c r="G1212" s="278" t="s">
        <v>1963</v>
      </c>
      <c r="H1212" s="13">
        <v>1.5</v>
      </c>
      <c r="I1212" s="13">
        <v>0.3</v>
      </c>
      <c r="J1212" s="13" t="s">
        <v>1762</v>
      </c>
      <c r="K1212" s="13">
        <v>2.4</v>
      </c>
      <c r="L1212" s="278"/>
      <c r="M1212" s="280"/>
      <c r="N1212" s="280"/>
    </row>
    <row r="1213" spans="1:14">
      <c r="A1213" s="287"/>
      <c r="B1213" s="278"/>
      <c r="C1213" s="278"/>
      <c r="D1213" s="288"/>
      <c r="E1213" s="278"/>
      <c r="F1213" s="278"/>
      <c r="G1213" s="278" t="s">
        <v>509</v>
      </c>
      <c r="H1213" s="13">
        <v>1.58</v>
      </c>
      <c r="I1213" s="13">
        <v>0.3</v>
      </c>
      <c r="J1213" s="13" t="s">
        <v>1879</v>
      </c>
      <c r="K1213" s="13">
        <v>3.7</v>
      </c>
      <c r="L1213" s="278"/>
      <c r="M1213" s="280"/>
      <c r="N1213" s="280"/>
    </row>
    <row r="1214" spans="1:14">
      <c r="A1214" s="287"/>
      <c r="B1214" s="278"/>
      <c r="C1214" s="278"/>
      <c r="D1214" s="288"/>
      <c r="E1214" s="278"/>
      <c r="F1214" s="278"/>
      <c r="G1214" s="278" t="s">
        <v>503</v>
      </c>
      <c r="H1214" s="13">
        <v>2</v>
      </c>
      <c r="I1214" s="13">
        <v>0.5</v>
      </c>
      <c r="J1214" s="289" t="s">
        <v>24</v>
      </c>
      <c r="K1214" s="289" t="s">
        <v>24</v>
      </c>
      <c r="L1214" s="278"/>
      <c r="M1214" s="280"/>
      <c r="N1214" s="280"/>
    </row>
    <row r="1215" spans="1:14">
      <c r="A1215" s="9">
        <v>45629</v>
      </c>
      <c r="B1215" s="278" t="s">
        <v>2151</v>
      </c>
      <c r="C1215" s="278" t="s">
        <v>462</v>
      </c>
      <c r="D1215" s="282">
        <v>5</v>
      </c>
      <c r="E1215" s="278" t="s">
        <v>1079</v>
      </c>
      <c r="F1215" s="278" t="s">
        <v>1091</v>
      </c>
      <c r="G1215" s="278" t="s">
        <v>1962</v>
      </c>
      <c r="H1215" s="13">
        <v>1.5</v>
      </c>
      <c r="I1215" s="13">
        <v>4.1</v>
      </c>
      <c r="J1215" s="13" t="s">
        <v>1744</v>
      </c>
      <c r="K1215" s="278">
        <v>2.4</v>
      </c>
      <c r="L1215" s="278" t="s">
        <v>35</v>
      </c>
      <c r="M1215" s="280"/>
      <c r="N1215" s="280"/>
    </row>
    <row r="1216" spans="1:14">
      <c r="A1216" s="287"/>
      <c r="B1216" s="278"/>
      <c r="C1216" s="278"/>
      <c r="D1216" s="288"/>
      <c r="E1216" s="278"/>
      <c r="F1216" s="278"/>
      <c r="G1216" s="278" t="s">
        <v>1963</v>
      </c>
      <c r="H1216" s="13">
        <v>1.5</v>
      </c>
      <c r="I1216" s="13">
        <v>0.2</v>
      </c>
      <c r="J1216" s="13" t="s">
        <v>1762</v>
      </c>
      <c r="K1216" s="278">
        <v>2.6</v>
      </c>
      <c r="L1216" s="278"/>
      <c r="M1216" s="280"/>
      <c r="N1216" s="280"/>
    </row>
    <row r="1217" spans="1:14">
      <c r="A1217" s="287"/>
      <c r="B1217" s="278"/>
      <c r="C1217" s="278"/>
      <c r="D1217" s="288"/>
      <c r="E1217" s="278"/>
      <c r="F1217" s="278"/>
      <c r="G1217" s="278" t="s">
        <v>1972</v>
      </c>
      <c r="H1217" s="13">
        <v>2</v>
      </c>
      <c r="I1217" s="13">
        <v>0.45</v>
      </c>
      <c r="J1217" s="13" t="s">
        <v>2043</v>
      </c>
      <c r="K1217" s="278">
        <v>3.7</v>
      </c>
      <c r="L1217" s="278"/>
      <c r="M1217" s="280"/>
      <c r="N1217" s="280"/>
    </row>
    <row r="1218" spans="1:14">
      <c r="A1218" s="287"/>
      <c r="B1218" s="278"/>
      <c r="C1218" s="278"/>
      <c r="D1218" s="288"/>
      <c r="E1218" s="278"/>
      <c r="F1218" s="278"/>
      <c r="G1218" s="278" t="s">
        <v>2152</v>
      </c>
      <c r="H1218" s="13">
        <v>2</v>
      </c>
      <c r="I1218" s="13">
        <v>0.25</v>
      </c>
      <c r="J1218" s="289" t="s">
        <v>24</v>
      </c>
      <c r="K1218" s="278">
        <v>0</v>
      </c>
      <c r="L1218" s="278"/>
      <c r="M1218" s="280"/>
      <c r="N1218" s="280"/>
    </row>
    <row r="1219" spans="1:14">
      <c r="A1219" s="9">
        <v>45630</v>
      </c>
      <c r="B1219" s="278" t="s">
        <v>2153</v>
      </c>
      <c r="C1219" s="278" t="s">
        <v>459</v>
      </c>
      <c r="D1219" s="282">
        <v>5</v>
      </c>
      <c r="E1219" s="278" t="s">
        <v>477</v>
      </c>
      <c r="F1219" s="278" t="s">
        <v>474</v>
      </c>
      <c r="G1219" s="278" t="s">
        <v>1958</v>
      </c>
      <c r="H1219" s="13">
        <v>1.04</v>
      </c>
      <c r="I1219" s="13">
        <v>3.5</v>
      </c>
      <c r="J1219" s="13" t="s">
        <v>1744</v>
      </c>
      <c r="K1219" s="13">
        <v>2.11</v>
      </c>
      <c r="L1219" s="278" t="s">
        <v>41</v>
      </c>
      <c r="M1219" s="280"/>
      <c r="N1219" s="280"/>
    </row>
    <row r="1220" spans="1:14">
      <c r="A1220" s="287"/>
      <c r="B1220" s="278"/>
      <c r="C1220" s="278"/>
      <c r="D1220" s="288"/>
      <c r="E1220" s="278"/>
      <c r="F1220" s="278"/>
      <c r="G1220" s="278" t="s">
        <v>1959</v>
      </c>
      <c r="H1220" s="13">
        <v>1.16</v>
      </c>
      <c r="I1220" s="13">
        <v>0.7</v>
      </c>
      <c r="J1220" s="13" t="s">
        <v>1744</v>
      </c>
      <c r="K1220" s="13">
        <v>2.13</v>
      </c>
      <c r="L1220" s="278"/>
      <c r="M1220" s="280"/>
      <c r="N1220" s="280"/>
    </row>
    <row r="1221" spans="1:14">
      <c r="A1221" s="287"/>
      <c r="B1221" s="278"/>
      <c r="C1221" s="278"/>
      <c r="D1221" s="288"/>
      <c r="E1221" s="278"/>
      <c r="F1221" s="278"/>
      <c r="G1221" s="278" t="s">
        <v>1963</v>
      </c>
      <c r="H1221" s="13">
        <v>1.21</v>
      </c>
      <c r="I1221" s="13">
        <v>0.27</v>
      </c>
      <c r="J1221" s="13" t="s">
        <v>1762</v>
      </c>
      <c r="K1221" s="13">
        <v>2.3</v>
      </c>
      <c r="L1221" s="278"/>
      <c r="M1221" s="280"/>
      <c r="N1221" s="280"/>
    </row>
    <row r="1222" spans="1:14">
      <c r="A1222" s="287"/>
      <c r="B1222" s="278"/>
      <c r="C1222" s="278"/>
      <c r="D1222" s="288"/>
      <c r="E1222" s="278"/>
      <c r="F1222" s="278"/>
      <c r="G1222" s="278" t="s">
        <v>1972</v>
      </c>
      <c r="H1222" s="13">
        <v>1.25</v>
      </c>
      <c r="I1222" s="13">
        <v>0.28</v>
      </c>
      <c r="J1222" s="13" t="s">
        <v>1782</v>
      </c>
      <c r="K1222" s="13">
        <v>12.15</v>
      </c>
      <c r="L1222" s="278"/>
      <c r="M1222" s="280"/>
      <c r="N1222" s="280"/>
    </row>
    <row r="1223" spans="1:14">
      <c r="A1223" s="287"/>
      <c r="B1223" s="278"/>
      <c r="C1223" s="278"/>
      <c r="D1223" s="288"/>
      <c r="E1223" s="278"/>
      <c r="F1223" s="278"/>
      <c r="G1223" s="278" t="s">
        <v>503</v>
      </c>
      <c r="H1223" s="13">
        <v>1.75</v>
      </c>
      <c r="I1223" s="13">
        <v>0.25</v>
      </c>
      <c r="J1223" s="289" t="s">
        <v>24</v>
      </c>
      <c r="K1223" s="289" t="s">
        <v>24</v>
      </c>
      <c r="L1223" s="278"/>
      <c r="M1223" s="280"/>
      <c r="N1223" s="280"/>
    </row>
    <row r="1224" spans="1:14">
      <c r="A1224" s="9">
        <v>45629</v>
      </c>
      <c r="B1224" s="278" t="s">
        <v>2154</v>
      </c>
      <c r="C1224" s="278" t="s">
        <v>462</v>
      </c>
      <c r="D1224" s="282">
        <v>10</v>
      </c>
      <c r="E1224" s="278" t="s">
        <v>1079</v>
      </c>
      <c r="F1224" s="278" t="s">
        <v>1961</v>
      </c>
      <c r="G1224" s="278" t="s">
        <v>1962</v>
      </c>
      <c r="H1224" s="13">
        <v>1.5</v>
      </c>
      <c r="I1224" s="13">
        <v>8.2</v>
      </c>
      <c r="J1224" s="13" t="s">
        <v>1744</v>
      </c>
      <c r="K1224" s="13">
        <v>2.4</v>
      </c>
      <c r="L1224" s="278" t="s">
        <v>35</v>
      </c>
      <c r="M1224" s="280"/>
      <c r="N1224" s="280"/>
    </row>
    <row r="1225" spans="1:14">
      <c r="A1225" s="287"/>
      <c r="B1225" s="278"/>
      <c r="C1225" s="278"/>
      <c r="D1225" s="288"/>
      <c r="E1225" s="278"/>
      <c r="F1225" s="278"/>
      <c r="G1225" s="278" t="s">
        <v>1963</v>
      </c>
      <c r="H1225" s="13">
        <v>1.5</v>
      </c>
      <c r="I1225" s="13">
        <v>0.4</v>
      </c>
      <c r="J1225" s="13" t="s">
        <v>1762</v>
      </c>
      <c r="K1225" s="13">
        <v>2.5</v>
      </c>
      <c r="L1225" s="278"/>
      <c r="M1225" s="280"/>
      <c r="N1225" s="280"/>
    </row>
    <row r="1226" spans="1:14">
      <c r="A1226" s="287"/>
      <c r="B1226" s="278"/>
      <c r="C1226" s="278"/>
      <c r="D1226" s="288"/>
      <c r="E1226" s="278"/>
      <c r="F1226" s="278"/>
      <c r="G1226" s="278" t="s">
        <v>509</v>
      </c>
      <c r="H1226" s="13">
        <v>2</v>
      </c>
      <c r="I1226" s="13">
        <v>0.9</v>
      </c>
      <c r="J1226" s="13" t="s">
        <v>2043</v>
      </c>
      <c r="K1226" s="13">
        <v>3.7</v>
      </c>
      <c r="L1226" s="278"/>
      <c r="M1226" s="280"/>
      <c r="N1226" s="280"/>
    </row>
    <row r="1227" spans="1:14">
      <c r="A1227" s="287"/>
      <c r="B1227" s="278"/>
      <c r="C1227" s="278"/>
      <c r="D1227" s="288"/>
      <c r="E1227" s="278"/>
      <c r="F1227" s="278"/>
      <c r="G1227" s="278" t="s">
        <v>1962</v>
      </c>
      <c r="H1227" s="13">
        <v>1.5</v>
      </c>
      <c r="I1227" s="13">
        <v>8.2</v>
      </c>
      <c r="J1227" s="13" t="s">
        <v>1744</v>
      </c>
      <c r="K1227" s="13">
        <v>2.4</v>
      </c>
      <c r="L1227" s="278"/>
      <c r="M1227" s="280"/>
      <c r="N1227" s="280"/>
    </row>
    <row r="1228" s="278" customFormat="1" spans="1:14">
      <c r="A1228" s="287"/>
      <c r="B1228" s="278"/>
      <c r="C1228" s="278"/>
      <c r="D1228" s="288"/>
      <c r="E1228" s="278"/>
      <c r="F1228" s="278"/>
      <c r="G1228" s="278" t="s">
        <v>1963</v>
      </c>
      <c r="H1228" s="278">
        <v>1.5</v>
      </c>
      <c r="I1228" s="278">
        <v>0.4</v>
      </c>
      <c r="J1228" s="13" t="s">
        <v>1762</v>
      </c>
      <c r="K1228" s="278">
        <v>2.5</v>
      </c>
    </row>
    <row r="1229" spans="1:14">
      <c r="A1229" s="287"/>
      <c r="B1229" s="278"/>
      <c r="C1229" s="278"/>
      <c r="D1229" s="288"/>
      <c r="E1229" s="278"/>
      <c r="F1229" s="278"/>
      <c r="G1229" s="278" t="s">
        <v>1972</v>
      </c>
      <c r="H1229" s="13">
        <v>2</v>
      </c>
      <c r="I1229" s="13">
        <v>0.9</v>
      </c>
      <c r="J1229" s="13" t="s">
        <v>2043</v>
      </c>
      <c r="K1229" s="278">
        <v>3.7</v>
      </c>
      <c r="L1229" s="278"/>
      <c r="M1229" s="280"/>
      <c r="N1229" s="280"/>
    </row>
    <row r="1230" spans="1:14">
      <c r="A1230" s="9">
        <v>45625</v>
      </c>
      <c r="B1230" s="278" t="s">
        <v>2155</v>
      </c>
      <c r="C1230" s="278" t="s">
        <v>462</v>
      </c>
      <c r="D1230" s="282">
        <v>6</v>
      </c>
      <c r="E1230" s="278" t="s">
        <v>1136</v>
      </c>
      <c r="F1230" s="278" t="s">
        <v>530</v>
      </c>
      <c r="G1230" s="278" t="s">
        <v>531</v>
      </c>
      <c r="H1230" s="13">
        <v>1</v>
      </c>
      <c r="I1230" s="13">
        <v>5.91</v>
      </c>
      <c r="J1230" s="13" t="s">
        <v>1744</v>
      </c>
      <c r="K1230" s="278">
        <v>2.9</v>
      </c>
      <c r="L1230" s="278" t="s">
        <v>1082</v>
      </c>
      <c r="M1230" s="280"/>
      <c r="N1230" s="280"/>
    </row>
    <row r="1231" spans="1:14">
      <c r="A1231" s="287"/>
      <c r="B1231" s="278"/>
      <c r="C1231" s="278"/>
      <c r="D1231" s="288"/>
      <c r="E1231" s="278"/>
      <c r="F1231" s="278"/>
      <c r="G1231" s="278" t="s">
        <v>503</v>
      </c>
      <c r="H1231" s="13">
        <v>3</v>
      </c>
      <c r="I1231" s="13">
        <v>0.09</v>
      </c>
      <c r="J1231" s="289" t="s">
        <v>24</v>
      </c>
      <c r="K1231" s="278">
        <v>15</v>
      </c>
      <c r="L1231" s="278"/>
      <c r="M1231" s="280"/>
      <c r="N1231" s="280"/>
    </row>
    <row r="1232" spans="1:14">
      <c r="A1232" s="9">
        <v>45625</v>
      </c>
      <c r="B1232" s="278" t="s">
        <v>2156</v>
      </c>
      <c r="C1232" s="278" t="s">
        <v>459</v>
      </c>
      <c r="D1232" s="282">
        <v>5</v>
      </c>
      <c r="E1232" s="278" t="s">
        <v>477</v>
      </c>
      <c r="F1232" s="278" t="s">
        <v>1938</v>
      </c>
      <c r="G1232" s="278" t="s">
        <v>1962</v>
      </c>
      <c r="H1232" s="13">
        <v>1.5</v>
      </c>
      <c r="I1232" s="13">
        <v>4.1</v>
      </c>
      <c r="J1232" s="13" t="s">
        <v>1744</v>
      </c>
      <c r="K1232" s="13">
        <v>2.4</v>
      </c>
      <c r="L1232" s="278" t="s">
        <v>35</v>
      </c>
      <c r="M1232" s="280"/>
      <c r="N1232" s="280"/>
    </row>
    <row r="1233" spans="1:14">
      <c r="A1233" s="287"/>
      <c r="B1233" s="278"/>
      <c r="C1233" s="278"/>
      <c r="D1233" s="288"/>
      <c r="E1233" s="278"/>
      <c r="F1233" s="278"/>
      <c r="G1233" s="278" t="s">
        <v>1963</v>
      </c>
      <c r="H1233" s="13">
        <v>1.5</v>
      </c>
      <c r="I1233" s="13">
        <v>0.2</v>
      </c>
      <c r="J1233" s="13" t="s">
        <v>1762</v>
      </c>
      <c r="K1233" s="13">
        <v>2.54</v>
      </c>
      <c r="L1233" s="278"/>
      <c r="M1233" s="280"/>
      <c r="N1233" s="280"/>
    </row>
    <row r="1234" spans="1:14">
      <c r="A1234" s="287"/>
      <c r="B1234" s="278"/>
      <c r="C1234" s="278"/>
      <c r="D1234" s="288"/>
      <c r="E1234" s="278"/>
      <c r="F1234" s="278"/>
      <c r="G1234" s="278" t="s">
        <v>509</v>
      </c>
      <c r="H1234" s="13">
        <v>1.99</v>
      </c>
      <c r="I1234" s="13">
        <v>0.45</v>
      </c>
      <c r="J1234" s="13" t="s">
        <v>2043</v>
      </c>
      <c r="K1234" s="13">
        <v>3.7</v>
      </c>
      <c r="L1234" s="278"/>
      <c r="M1234" s="280"/>
      <c r="N1234" s="280"/>
    </row>
    <row r="1235" spans="1:14">
      <c r="A1235" s="287"/>
      <c r="B1235" s="278"/>
      <c r="C1235" s="278"/>
      <c r="D1235" s="288"/>
      <c r="E1235" s="278"/>
      <c r="F1235" s="278"/>
      <c r="G1235" s="278" t="s">
        <v>503</v>
      </c>
      <c r="H1235" s="13">
        <v>1.99</v>
      </c>
      <c r="I1235" s="13">
        <v>0.25</v>
      </c>
      <c r="J1235" s="289" t="s">
        <v>24</v>
      </c>
      <c r="K1235" s="289" t="s">
        <v>24</v>
      </c>
      <c r="L1235" s="278"/>
      <c r="M1235" s="280"/>
      <c r="N1235" s="280"/>
    </row>
    <row r="1236" spans="1:14">
      <c r="A1236" s="9">
        <v>45638</v>
      </c>
      <c r="B1236" s="8" t="s">
        <v>2157</v>
      </c>
      <c r="C1236" s="8" t="s">
        <v>462</v>
      </c>
      <c r="D1236" s="282">
        <v>1.228</v>
      </c>
      <c r="E1236" s="8" t="s">
        <v>486</v>
      </c>
      <c r="F1236" s="8" t="s">
        <v>1768</v>
      </c>
      <c r="G1236" s="8" t="s">
        <v>531</v>
      </c>
      <c r="H1236" s="13">
        <v>0.96</v>
      </c>
      <c r="I1236" s="13">
        <v>1.166</v>
      </c>
      <c r="J1236" s="13" t="s">
        <v>1744</v>
      </c>
      <c r="K1236" s="8" t="s">
        <v>2158</v>
      </c>
      <c r="L1236" s="8" t="s">
        <v>1790</v>
      </c>
      <c r="M1236" s="280"/>
      <c r="N1236" s="280"/>
    </row>
    <row r="1237" spans="1:14">
      <c r="A1237" s="287"/>
      <c r="B1237" s="8"/>
      <c r="C1237" s="8"/>
      <c r="D1237" s="288"/>
      <c r="E1237" s="8"/>
      <c r="F1237" s="8"/>
      <c r="G1237" s="8" t="s">
        <v>503</v>
      </c>
      <c r="H1237" s="13">
        <v>1.21</v>
      </c>
      <c r="I1237" s="13">
        <v>0.062</v>
      </c>
      <c r="J1237" s="289" t="s">
        <v>24</v>
      </c>
      <c r="K1237" s="289" t="s">
        <v>24</v>
      </c>
      <c r="L1237" s="8"/>
      <c r="M1237" s="280"/>
      <c r="N1237" s="280"/>
    </row>
    <row r="1238" spans="1:14">
      <c r="A1238" s="9">
        <v>45636</v>
      </c>
      <c r="B1238" s="8" t="s">
        <v>2159</v>
      </c>
      <c r="C1238" s="8" t="s">
        <v>459</v>
      </c>
      <c r="D1238" s="282">
        <v>5</v>
      </c>
      <c r="E1238" s="8" t="s">
        <v>477</v>
      </c>
      <c r="F1238" s="8" t="s">
        <v>474</v>
      </c>
      <c r="G1238" s="8" t="s">
        <v>1058</v>
      </c>
      <c r="H1238" s="13">
        <v>1.05</v>
      </c>
      <c r="I1238" s="13">
        <v>3.5</v>
      </c>
      <c r="J1238" s="13" t="s">
        <v>1744</v>
      </c>
      <c r="K1238" s="13">
        <v>2.03</v>
      </c>
      <c r="L1238" s="8" t="s">
        <v>41</v>
      </c>
      <c r="M1238" s="280"/>
      <c r="N1238" s="280"/>
    </row>
    <row r="1239" spans="1:14">
      <c r="A1239" s="287"/>
      <c r="B1239" s="8"/>
      <c r="C1239" s="8"/>
      <c r="D1239" s="288"/>
      <c r="E1239" s="8"/>
      <c r="F1239" s="8"/>
      <c r="G1239" s="8" t="s">
        <v>1059</v>
      </c>
      <c r="H1239" s="13">
        <v>1.17</v>
      </c>
      <c r="I1239" s="13">
        <v>0.7</v>
      </c>
      <c r="J1239" s="13" t="s">
        <v>1744</v>
      </c>
      <c r="K1239" s="13">
        <v>2.21</v>
      </c>
      <c r="L1239" s="8"/>
      <c r="M1239" s="280"/>
      <c r="N1239" s="280"/>
    </row>
    <row r="1240" spans="1:14">
      <c r="A1240" s="287"/>
      <c r="B1240" s="8"/>
      <c r="C1240" s="8"/>
      <c r="D1240" s="288"/>
      <c r="E1240" s="8"/>
      <c r="F1240" s="8"/>
      <c r="G1240" s="8" t="s">
        <v>1060</v>
      </c>
      <c r="H1240" s="13">
        <v>1.21</v>
      </c>
      <c r="I1240" s="13">
        <v>0.27</v>
      </c>
      <c r="J1240" s="13" t="s">
        <v>1762</v>
      </c>
      <c r="K1240" s="13">
        <v>2.4</v>
      </c>
      <c r="L1240" s="8"/>
      <c r="M1240" s="280"/>
      <c r="N1240" s="280"/>
    </row>
    <row r="1241" spans="1:14">
      <c r="A1241" s="287"/>
      <c r="B1241" s="8"/>
      <c r="C1241" s="8"/>
      <c r="D1241" s="288"/>
      <c r="E1241" s="8"/>
      <c r="F1241" s="8"/>
      <c r="G1241" s="8" t="s">
        <v>1061</v>
      </c>
      <c r="H1241" s="13">
        <v>1.3</v>
      </c>
      <c r="I1241" s="13">
        <v>0.28</v>
      </c>
      <c r="J1241" s="13" t="s">
        <v>1782</v>
      </c>
      <c r="K1241" s="13">
        <v>4.9</v>
      </c>
      <c r="L1241" s="8"/>
      <c r="M1241" s="280"/>
      <c r="N1241" s="280"/>
    </row>
    <row r="1242" spans="1:14">
      <c r="A1242" s="287"/>
      <c r="B1242" s="8"/>
      <c r="C1242" s="8"/>
      <c r="D1242" s="288"/>
      <c r="E1242" s="8"/>
      <c r="F1242" s="8"/>
      <c r="G1242" s="8" t="s">
        <v>503</v>
      </c>
      <c r="H1242" s="13">
        <v>1.76</v>
      </c>
      <c r="I1242" s="13">
        <v>0.25</v>
      </c>
      <c r="J1242" s="289" t="s">
        <v>24</v>
      </c>
      <c r="K1242" s="289" t="s">
        <v>24</v>
      </c>
      <c r="L1242" s="8"/>
      <c r="M1242" s="280"/>
      <c r="N1242" s="280"/>
    </row>
    <row r="1243" spans="1:14">
      <c r="A1243" s="9">
        <v>45637</v>
      </c>
      <c r="B1243" s="8" t="s">
        <v>2160</v>
      </c>
      <c r="C1243" s="8" t="s">
        <v>462</v>
      </c>
      <c r="D1243" s="282">
        <v>4</v>
      </c>
      <c r="E1243" s="8" t="s">
        <v>536</v>
      </c>
      <c r="F1243" s="8" t="s">
        <v>460</v>
      </c>
      <c r="G1243" s="8" t="s">
        <v>1064</v>
      </c>
      <c r="H1243" s="13">
        <v>1.8</v>
      </c>
      <c r="I1243" s="13">
        <v>3.3</v>
      </c>
      <c r="J1243" s="13" t="s">
        <v>1744</v>
      </c>
      <c r="K1243" s="13">
        <v>2.6</v>
      </c>
      <c r="L1243" s="8" t="s">
        <v>27</v>
      </c>
      <c r="M1243" s="280"/>
      <c r="N1243" s="280"/>
    </row>
    <row r="1244" spans="1:14">
      <c r="A1244" s="287"/>
      <c r="B1244" s="8"/>
      <c r="C1244" s="8"/>
      <c r="D1244" s="288"/>
      <c r="E1244" s="8"/>
      <c r="F1244" s="8"/>
      <c r="G1244" s="8" t="s">
        <v>1060</v>
      </c>
      <c r="H1244" s="13">
        <v>1.8</v>
      </c>
      <c r="I1244" s="13">
        <v>0.22</v>
      </c>
      <c r="J1244" s="13" t="s">
        <v>1762</v>
      </c>
      <c r="K1244" s="13">
        <v>2.28</v>
      </c>
      <c r="L1244" s="8"/>
      <c r="M1244" s="280"/>
      <c r="N1244" s="280"/>
    </row>
    <row r="1245" spans="1:14">
      <c r="A1245" s="287"/>
      <c r="B1245" s="8"/>
      <c r="C1245" s="8"/>
      <c r="D1245" s="288"/>
      <c r="E1245" s="8"/>
      <c r="F1245" s="8"/>
      <c r="G1245" s="8" t="s">
        <v>1086</v>
      </c>
      <c r="H1245" s="13">
        <v>1.87</v>
      </c>
      <c r="I1245" s="13">
        <v>0.28</v>
      </c>
      <c r="J1245" s="289" t="s">
        <v>24</v>
      </c>
      <c r="K1245" s="289" t="s">
        <v>24</v>
      </c>
      <c r="L1245" s="8"/>
      <c r="M1245" s="280"/>
      <c r="N1245" s="280"/>
    </row>
    <row r="1246" spans="1:14">
      <c r="A1246" s="287"/>
      <c r="B1246" s="8"/>
      <c r="C1246" s="8"/>
      <c r="D1246" s="288"/>
      <c r="E1246" s="8"/>
      <c r="F1246" s="8"/>
      <c r="G1246" s="8" t="s">
        <v>1087</v>
      </c>
      <c r="H1246" s="13">
        <v>1.87</v>
      </c>
      <c r="I1246" s="13">
        <v>0.2</v>
      </c>
      <c r="J1246" s="289" t="s">
        <v>24</v>
      </c>
      <c r="K1246" s="289" t="s">
        <v>24</v>
      </c>
      <c r="L1246" s="8"/>
      <c r="M1246" s="280"/>
      <c r="N1246" s="280"/>
    </row>
    <row r="1247" spans="1:14">
      <c r="A1247" s="9">
        <v>45636</v>
      </c>
      <c r="B1247" s="8" t="s">
        <v>2161</v>
      </c>
      <c r="C1247" s="8" t="s">
        <v>459</v>
      </c>
      <c r="D1247" s="282">
        <v>6</v>
      </c>
      <c r="E1247" s="8" t="s">
        <v>477</v>
      </c>
      <c r="F1247" s="8" t="s">
        <v>487</v>
      </c>
      <c r="G1247" s="8" t="s">
        <v>1064</v>
      </c>
      <c r="H1247" s="13">
        <v>1.08</v>
      </c>
      <c r="I1247" s="13">
        <v>5.37</v>
      </c>
      <c r="J1247" s="13" t="s">
        <v>1744</v>
      </c>
      <c r="K1247" s="13">
        <v>1.94</v>
      </c>
      <c r="L1247" s="8" t="s">
        <v>112</v>
      </c>
      <c r="M1247" s="280"/>
      <c r="N1247" s="280"/>
    </row>
    <row r="1248" spans="1:14">
      <c r="A1248" s="287"/>
      <c r="B1248" s="8"/>
      <c r="C1248" s="8"/>
      <c r="D1248" s="288"/>
      <c r="E1248" s="8"/>
      <c r="F1248" s="8"/>
      <c r="G1248" s="8" t="s">
        <v>1060</v>
      </c>
      <c r="H1248" s="13">
        <v>1.08</v>
      </c>
      <c r="I1248" s="13">
        <v>0.33</v>
      </c>
      <c r="J1248" s="13" t="s">
        <v>1762</v>
      </c>
      <c r="K1248" s="13">
        <v>2.2</v>
      </c>
      <c r="L1248" s="8"/>
      <c r="M1248" s="280"/>
      <c r="N1248" s="280"/>
    </row>
    <row r="1249" spans="1:14">
      <c r="A1249" s="287"/>
      <c r="B1249" s="8"/>
      <c r="C1249" s="8"/>
      <c r="D1249" s="288"/>
      <c r="E1249" s="8"/>
      <c r="F1249" s="8"/>
      <c r="G1249" s="8" t="s">
        <v>1086</v>
      </c>
      <c r="H1249" s="13">
        <v>1.08</v>
      </c>
      <c r="I1249" s="13">
        <v>0.12</v>
      </c>
      <c r="J1249" s="289" t="s">
        <v>24</v>
      </c>
      <c r="K1249" s="289" t="s">
        <v>24</v>
      </c>
      <c r="L1249" s="8"/>
      <c r="M1249" s="280"/>
      <c r="N1249" s="280"/>
    </row>
    <row r="1250" spans="1:14">
      <c r="A1250" s="287"/>
      <c r="B1250" s="8"/>
      <c r="C1250" s="8"/>
      <c r="D1250" s="288"/>
      <c r="E1250" s="8"/>
      <c r="F1250" s="8"/>
      <c r="G1250" s="8" t="s">
        <v>1087</v>
      </c>
      <c r="H1250" s="13">
        <v>1.08</v>
      </c>
      <c r="I1250" s="13">
        <v>0.18</v>
      </c>
      <c r="J1250" s="289" t="s">
        <v>24</v>
      </c>
      <c r="K1250" s="289" t="s">
        <v>24</v>
      </c>
      <c r="L1250" s="8"/>
      <c r="M1250" s="280"/>
      <c r="N1250" s="280"/>
    </row>
    <row r="1251" spans="1:14">
      <c r="A1251" s="9">
        <v>45636</v>
      </c>
      <c r="B1251" s="8" t="s">
        <v>2162</v>
      </c>
      <c r="C1251" s="8" t="s">
        <v>462</v>
      </c>
      <c r="D1251" s="282">
        <v>3</v>
      </c>
      <c r="E1251" s="8" t="s">
        <v>477</v>
      </c>
      <c r="F1251" s="8" t="s">
        <v>460</v>
      </c>
      <c r="G1251" s="8" t="s">
        <v>1064</v>
      </c>
      <c r="H1251" s="13">
        <v>1.18</v>
      </c>
      <c r="I1251" s="13">
        <v>2.51</v>
      </c>
      <c r="J1251" s="13" t="s">
        <v>1744</v>
      </c>
      <c r="K1251" s="13">
        <v>2.13</v>
      </c>
      <c r="L1251" s="8" t="s">
        <v>27</v>
      </c>
      <c r="M1251" s="280"/>
      <c r="N1251" s="280"/>
    </row>
    <row r="1252" spans="1:14">
      <c r="A1252" s="287"/>
      <c r="B1252" s="8"/>
      <c r="C1252" s="8"/>
      <c r="D1252" s="288"/>
      <c r="E1252" s="8"/>
      <c r="F1252" s="8"/>
      <c r="G1252" s="8" t="s">
        <v>1060</v>
      </c>
      <c r="H1252" s="13">
        <v>1.18</v>
      </c>
      <c r="I1252" s="13">
        <v>0.17</v>
      </c>
      <c r="J1252" s="13" t="s">
        <v>1762</v>
      </c>
      <c r="K1252" s="13">
        <v>2.28</v>
      </c>
      <c r="L1252" s="8"/>
      <c r="M1252" s="280"/>
      <c r="N1252" s="280"/>
    </row>
    <row r="1253" spans="1:14">
      <c r="A1253" s="287"/>
      <c r="B1253" s="8"/>
      <c r="C1253" s="8"/>
      <c r="D1253" s="288"/>
      <c r="E1253" s="8"/>
      <c r="F1253" s="8"/>
      <c r="G1253" s="8" t="s">
        <v>503</v>
      </c>
      <c r="H1253" s="13">
        <v>1.18</v>
      </c>
      <c r="I1253" s="13">
        <v>0.32</v>
      </c>
      <c r="J1253" s="289" t="s">
        <v>24</v>
      </c>
      <c r="K1253" s="289" t="s">
        <v>24</v>
      </c>
      <c r="L1253" s="8"/>
      <c r="M1253" s="280"/>
      <c r="N1253" s="280"/>
    </row>
    <row r="1254" spans="1:14">
      <c r="A1254" s="9">
        <v>45632</v>
      </c>
      <c r="B1254" s="8" t="s">
        <v>2163</v>
      </c>
      <c r="C1254" s="8" t="s">
        <v>459</v>
      </c>
      <c r="D1254" s="282">
        <v>3</v>
      </c>
      <c r="E1254" s="8" t="s">
        <v>1136</v>
      </c>
      <c r="F1254" s="8" t="s">
        <v>1768</v>
      </c>
      <c r="G1254" s="8" t="s">
        <v>1064</v>
      </c>
      <c r="H1254" s="13">
        <v>0.56</v>
      </c>
      <c r="I1254" s="13">
        <v>2.6</v>
      </c>
      <c r="J1254" s="13" t="s">
        <v>1744</v>
      </c>
      <c r="K1254" s="13">
        <v>2</v>
      </c>
      <c r="L1254" s="8" t="s">
        <v>27</v>
      </c>
      <c r="M1254" s="280"/>
      <c r="N1254" s="280"/>
    </row>
    <row r="1255" spans="1:14">
      <c r="A1255" s="287"/>
      <c r="B1255" s="8"/>
      <c r="C1255" s="8"/>
      <c r="D1255" s="288"/>
      <c r="E1255" s="8"/>
      <c r="F1255" s="8"/>
      <c r="G1255" s="8" t="s">
        <v>1060</v>
      </c>
      <c r="H1255" s="13">
        <v>0.81</v>
      </c>
      <c r="I1255" s="13">
        <v>0.16</v>
      </c>
      <c r="J1255" s="13" t="s">
        <v>1762</v>
      </c>
      <c r="K1255" s="13">
        <v>2.25</v>
      </c>
      <c r="L1255" s="8"/>
      <c r="M1255" s="280"/>
      <c r="N1255" s="280"/>
    </row>
    <row r="1256" spans="1:14">
      <c r="A1256" s="287"/>
      <c r="B1256" s="8"/>
      <c r="C1256" s="8"/>
      <c r="D1256" s="288"/>
      <c r="E1256" s="8"/>
      <c r="F1256" s="8"/>
      <c r="G1256" s="8" t="s">
        <v>1086</v>
      </c>
      <c r="H1256" s="13">
        <v>0.97</v>
      </c>
      <c r="I1256" s="13">
        <v>0.09</v>
      </c>
      <c r="J1256" s="289" t="s">
        <v>24</v>
      </c>
      <c r="K1256" s="289" t="s">
        <v>24</v>
      </c>
      <c r="L1256" s="8"/>
      <c r="M1256" s="280"/>
      <c r="N1256" s="280"/>
    </row>
    <row r="1257" spans="1:14">
      <c r="A1257" s="287"/>
      <c r="B1257" s="8"/>
      <c r="C1257" s="8"/>
      <c r="D1257" s="288"/>
      <c r="E1257" s="8"/>
      <c r="F1257" s="8"/>
      <c r="G1257" s="8" t="s">
        <v>1087</v>
      </c>
      <c r="H1257" s="13">
        <v>0.97</v>
      </c>
      <c r="I1257" s="13">
        <v>0.15</v>
      </c>
      <c r="J1257" s="289" t="s">
        <v>24</v>
      </c>
      <c r="K1257" s="289" t="s">
        <v>24</v>
      </c>
      <c r="L1257" s="8"/>
      <c r="M1257" s="280"/>
      <c r="N1257" s="280"/>
    </row>
    <row r="1258" spans="1:14">
      <c r="A1258" s="9">
        <v>45644</v>
      </c>
      <c r="B1258" s="8" t="s">
        <v>2164</v>
      </c>
      <c r="C1258" s="8" t="s">
        <v>462</v>
      </c>
      <c r="D1258" s="282">
        <v>1.23</v>
      </c>
      <c r="E1258" s="8" t="s">
        <v>492</v>
      </c>
      <c r="F1258" s="8" t="s">
        <v>1779</v>
      </c>
      <c r="G1258" s="8" t="s">
        <v>1064</v>
      </c>
      <c r="H1258" s="13">
        <v>1.05</v>
      </c>
      <c r="I1258" s="13">
        <v>1.11</v>
      </c>
      <c r="J1258" s="13" t="s">
        <v>1744</v>
      </c>
      <c r="K1258" s="8">
        <v>2.8</v>
      </c>
      <c r="L1258" s="8" t="s">
        <v>1842</v>
      </c>
      <c r="M1258" s="280"/>
      <c r="N1258" s="280"/>
    </row>
    <row r="1259" spans="1:14">
      <c r="A1259" s="287"/>
      <c r="B1259" s="8"/>
      <c r="C1259" s="8"/>
      <c r="D1259" s="288"/>
      <c r="E1259" s="8"/>
      <c r="F1259" s="8"/>
      <c r="G1259" s="8" t="s">
        <v>1060</v>
      </c>
      <c r="H1259" s="13">
        <v>1.05</v>
      </c>
      <c r="I1259" s="13">
        <v>0.05</v>
      </c>
      <c r="J1259" s="13" t="s">
        <v>1762</v>
      </c>
      <c r="K1259" s="8">
        <v>4</v>
      </c>
      <c r="L1259" s="8"/>
      <c r="M1259" s="280"/>
      <c r="N1259" s="280"/>
    </row>
    <row r="1260" spans="1:14">
      <c r="A1260" s="287"/>
      <c r="B1260" s="8"/>
      <c r="C1260" s="8"/>
      <c r="D1260" s="288"/>
      <c r="E1260" s="8"/>
      <c r="F1260" s="8"/>
      <c r="G1260" s="8" t="s">
        <v>503</v>
      </c>
      <c r="H1260" s="13">
        <v>1.05</v>
      </c>
      <c r="I1260" s="13">
        <v>0.07</v>
      </c>
      <c r="J1260" s="289" t="s">
        <v>24</v>
      </c>
      <c r="K1260" s="8">
        <v>0</v>
      </c>
      <c r="L1260" s="8"/>
      <c r="M1260" s="280"/>
      <c r="N1260" s="280"/>
    </row>
    <row r="1261" spans="1:14">
      <c r="A1261" s="9">
        <v>45643</v>
      </c>
      <c r="B1261" s="8" t="s">
        <v>2165</v>
      </c>
      <c r="C1261" s="8" t="s">
        <v>462</v>
      </c>
      <c r="D1261" s="282">
        <v>5</v>
      </c>
      <c r="E1261" s="8" t="s">
        <v>486</v>
      </c>
      <c r="F1261" s="8" t="s">
        <v>1091</v>
      </c>
      <c r="G1261" s="8" t="s">
        <v>1064</v>
      </c>
      <c r="H1261" s="13">
        <v>1.52</v>
      </c>
      <c r="I1261" s="13">
        <v>4.075</v>
      </c>
      <c r="J1261" s="13" t="s">
        <v>1744</v>
      </c>
      <c r="K1261" s="13">
        <v>2.22</v>
      </c>
      <c r="L1261" s="8" t="s">
        <v>27</v>
      </c>
      <c r="M1261" s="280"/>
      <c r="N1261" s="280"/>
    </row>
    <row r="1262" spans="1:14">
      <c r="A1262" s="287"/>
      <c r="B1262" s="8"/>
      <c r="C1262" s="8"/>
      <c r="D1262" s="288"/>
      <c r="E1262" s="8"/>
      <c r="F1262" s="8"/>
      <c r="G1262" s="8" t="s">
        <v>1060</v>
      </c>
      <c r="H1262" s="13">
        <v>1.98</v>
      </c>
      <c r="I1262" s="13">
        <v>0.2</v>
      </c>
      <c r="J1262" s="13" t="s">
        <v>1762</v>
      </c>
      <c r="K1262" s="13">
        <v>2.35</v>
      </c>
      <c r="L1262" s="8"/>
      <c r="M1262" s="280"/>
      <c r="N1262" s="280"/>
    </row>
    <row r="1263" spans="1:14">
      <c r="A1263" s="287"/>
      <c r="B1263" s="8"/>
      <c r="C1263" s="8"/>
      <c r="D1263" s="288"/>
      <c r="E1263" s="8"/>
      <c r="F1263" s="8"/>
      <c r="G1263" s="8" t="s">
        <v>1086</v>
      </c>
      <c r="H1263" s="13">
        <v>3.03</v>
      </c>
      <c r="I1263" s="13">
        <v>0.475</v>
      </c>
      <c r="J1263" s="289" t="s">
        <v>24</v>
      </c>
      <c r="K1263" s="289" t="s">
        <v>24</v>
      </c>
      <c r="L1263" s="8"/>
      <c r="M1263" s="280"/>
      <c r="N1263" s="280"/>
    </row>
    <row r="1264" spans="1:14">
      <c r="A1264" s="287"/>
      <c r="B1264" s="8"/>
      <c r="C1264" s="8"/>
      <c r="D1264" s="288"/>
      <c r="E1264" s="8"/>
      <c r="F1264" s="8"/>
      <c r="G1264" s="8" t="s">
        <v>1087</v>
      </c>
      <c r="H1264" s="13">
        <v>3.03</v>
      </c>
      <c r="I1264" s="13">
        <v>0.25</v>
      </c>
      <c r="J1264" s="289" t="s">
        <v>24</v>
      </c>
      <c r="K1264" s="289" t="s">
        <v>24</v>
      </c>
      <c r="L1264" s="8"/>
      <c r="M1264" s="280"/>
      <c r="N1264" s="280"/>
    </row>
    <row r="1265" spans="1:14">
      <c r="A1265" s="9">
        <v>45643</v>
      </c>
      <c r="B1265" s="8" t="s">
        <v>2166</v>
      </c>
      <c r="C1265" s="8" t="s">
        <v>462</v>
      </c>
      <c r="D1265" s="282">
        <v>2.9</v>
      </c>
      <c r="E1265" s="8" t="s">
        <v>486</v>
      </c>
      <c r="F1265" s="8" t="s">
        <v>1768</v>
      </c>
      <c r="G1265" s="8" t="s">
        <v>1058</v>
      </c>
      <c r="H1265" s="13">
        <v>0.99</v>
      </c>
      <c r="I1265" s="13">
        <v>1.1</v>
      </c>
      <c r="J1265" s="13" t="s">
        <v>1744</v>
      </c>
      <c r="K1265" s="13">
        <v>2.3</v>
      </c>
      <c r="L1265" s="8" t="s">
        <v>1790</v>
      </c>
      <c r="M1265" s="280"/>
      <c r="N1265" s="280"/>
    </row>
    <row r="1266" spans="1:14">
      <c r="A1266" s="287"/>
      <c r="B1266" s="8"/>
      <c r="C1266" s="8"/>
      <c r="D1266" s="288"/>
      <c r="E1266" s="8"/>
      <c r="F1266" s="8"/>
      <c r="G1266" s="8" t="s">
        <v>1059</v>
      </c>
      <c r="H1266" s="13">
        <v>1.99</v>
      </c>
      <c r="I1266" s="13">
        <v>1.11</v>
      </c>
      <c r="J1266" s="13" t="s">
        <v>1744</v>
      </c>
      <c r="K1266" s="13">
        <v>2.49</v>
      </c>
      <c r="L1266" s="8"/>
      <c r="M1266" s="280"/>
      <c r="N1266" s="280"/>
    </row>
    <row r="1267" spans="1:14">
      <c r="A1267" s="287"/>
      <c r="B1267" s="8"/>
      <c r="C1267" s="8"/>
      <c r="D1267" s="288"/>
      <c r="E1267" s="8"/>
      <c r="F1267" s="8"/>
      <c r="G1267" s="8" t="s">
        <v>1099</v>
      </c>
      <c r="H1267" s="13">
        <v>2.99</v>
      </c>
      <c r="I1267" s="13">
        <v>0.58</v>
      </c>
      <c r="J1267" s="13" t="s">
        <v>1744</v>
      </c>
      <c r="K1267" s="13">
        <v>2.63</v>
      </c>
      <c r="L1267" s="8"/>
      <c r="M1267" s="280"/>
      <c r="N1267" s="280"/>
    </row>
    <row r="1268" spans="1:14">
      <c r="A1268" s="287"/>
      <c r="B1268" s="8"/>
      <c r="C1268" s="8"/>
      <c r="D1268" s="288"/>
      <c r="E1268" s="8"/>
      <c r="F1268" s="8"/>
      <c r="G1268" s="8" t="s">
        <v>503</v>
      </c>
      <c r="H1268" s="13">
        <v>3.24</v>
      </c>
      <c r="I1268" s="13">
        <v>0.11</v>
      </c>
      <c r="J1268" s="289" t="s">
        <v>24</v>
      </c>
      <c r="K1268" s="289" t="s">
        <v>24</v>
      </c>
      <c r="L1268" s="8"/>
      <c r="M1268" s="280"/>
      <c r="N1268" s="280"/>
    </row>
    <row r="1269" spans="1:14">
      <c r="A1269" s="9">
        <v>45645</v>
      </c>
      <c r="B1269" s="8" t="s">
        <v>2167</v>
      </c>
      <c r="C1269" s="8" t="s">
        <v>459</v>
      </c>
      <c r="D1269" s="282">
        <v>4.6</v>
      </c>
      <c r="E1269" s="8" t="s">
        <v>477</v>
      </c>
      <c r="F1269" s="8" t="s">
        <v>474</v>
      </c>
      <c r="G1269" s="8" t="s">
        <v>1058</v>
      </c>
      <c r="H1269" s="13">
        <v>0.99</v>
      </c>
      <c r="I1269" s="13">
        <v>1.38</v>
      </c>
      <c r="J1269" s="13" t="s">
        <v>1744</v>
      </c>
      <c r="K1269" s="8">
        <v>2.8</v>
      </c>
      <c r="L1269" s="8" t="s">
        <v>1082</v>
      </c>
      <c r="M1269" s="280"/>
      <c r="N1269" s="280"/>
    </row>
    <row r="1270" spans="1:14">
      <c r="A1270" s="287"/>
      <c r="B1270" s="8"/>
      <c r="C1270" s="8"/>
      <c r="D1270" s="288"/>
      <c r="E1270" s="8"/>
      <c r="F1270" s="8"/>
      <c r="G1270" s="8" t="s">
        <v>1059</v>
      </c>
      <c r="H1270" s="13">
        <v>1.99</v>
      </c>
      <c r="I1270" s="13">
        <v>1.84</v>
      </c>
      <c r="J1270" s="13" t="s">
        <v>1744</v>
      </c>
      <c r="K1270" s="8">
        <v>3.1</v>
      </c>
      <c r="L1270" s="8"/>
      <c r="M1270" s="280"/>
      <c r="N1270" s="280"/>
    </row>
    <row r="1271" spans="1:14">
      <c r="A1271" s="287"/>
      <c r="B1271" s="8"/>
      <c r="C1271" s="8"/>
      <c r="D1271" s="288"/>
      <c r="E1271" s="8"/>
      <c r="F1271" s="8"/>
      <c r="G1271" s="8" t="s">
        <v>1099</v>
      </c>
      <c r="H1271" s="13">
        <v>2.99</v>
      </c>
      <c r="I1271" s="13">
        <v>1.311</v>
      </c>
      <c r="J1271" s="13" t="s">
        <v>1744</v>
      </c>
      <c r="K1271" s="8">
        <v>4.2</v>
      </c>
      <c r="L1271" s="8"/>
      <c r="M1271" s="280"/>
      <c r="N1271" s="280"/>
    </row>
    <row r="1272" spans="1:14">
      <c r="A1272" s="287"/>
      <c r="B1272" s="8"/>
      <c r="C1272" s="8"/>
      <c r="D1272" s="288"/>
      <c r="E1272" s="8"/>
      <c r="F1272" s="8"/>
      <c r="G1272" s="8" t="s">
        <v>503</v>
      </c>
      <c r="H1272" s="13">
        <v>2.99</v>
      </c>
      <c r="I1272" s="13">
        <v>0.069</v>
      </c>
      <c r="J1272" s="289" t="s">
        <v>24</v>
      </c>
      <c r="K1272" s="289" t="s">
        <v>24</v>
      </c>
      <c r="L1272" s="8"/>
      <c r="M1272" s="280"/>
      <c r="N1272" s="280"/>
    </row>
    <row r="1273" spans="1:14">
      <c r="A1273" s="9">
        <v>45638</v>
      </c>
      <c r="B1273" s="8" t="s">
        <v>2168</v>
      </c>
      <c r="C1273" s="8" t="s">
        <v>462</v>
      </c>
      <c r="D1273" s="282">
        <v>4</v>
      </c>
      <c r="E1273" s="8" t="s">
        <v>1277</v>
      </c>
      <c r="F1273" s="8" t="s">
        <v>460</v>
      </c>
      <c r="G1273" s="8" t="s">
        <v>1064</v>
      </c>
      <c r="H1273" s="13">
        <v>1.99</v>
      </c>
      <c r="I1273" s="13">
        <v>3.28</v>
      </c>
      <c r="J1273" s="13" t="s">
        <v>1744</v>
      </c>
      <c r="K1273" s="13">
        <v>2.29</v>
      </c>
      <c r="L1273" s="8" t="s">
        <v>355</v>
      </c>
      <c r="M1273" s="280"/>
      <c r="N1273" s="280"/>
    </row>
    <row r="1274" spans="1:14">
      <c r="A1274" s="287"/>
      <c r="B1274" s="8"/>
      <c r="C1274" s="8"/>
      <c r="D1274" s="288"/>
      <c r="E1274" s="8"/>
      <c r="F1274" s="8"/>
      <c r="G1274" s="8" t="s">
        <v>1060</v>
      </c>
      <c r="H1274" s="13">
        <v>1.99</v>
      </c>
      <c r="I1274" s="13">
        <v>0.18</v>
      </c>
      <c r="J1274" s="13" t="s">
        <v>1762</v>
      </c>
      <c r="K1274" s="13">
        <v>2.8</v>
      </c>
      <c r="L1274" s="8"/>
      <c r="M1274" s="280"/>
      <c r="N1274" s="280"/>
    </row>
    <row r="1275" spans="1:14">
      <c r="A1275" s="287"/>
      <c r="B1275" s="8"/>
      <c r="C1275" s="8"/>
      <c r="D1275" s="288"/>
      <c r="E1275" s="8"/>
      <c r="F1275" s="8"/>
      <c r="G1275" s="8" t="s">
        <v>1061</v>
      </c>
      <c r="H1275" s="13">
        <v>1.99</v>
      </c>
      <c r="I1275" s="13">
        <v>0.16</v>
      </c>
      <c r="J1275" s="13" t="s">
        <v>1782</v>
      </c>
      <c r="K1275" s="13">
        <v>3.1</v>
      </c>
      <c r="L1275" s="8"/>
      <c r="M1275" s="280"/>
      <c r="N1275" s="280"/>
    </row>
    <row r="1276" spans="1:14">
      <c r="A1276" s="287"/>
      <c r="B1276" s="8"/>
      <c r="C1276" s="8"/>
      <c r="D1276" s="288"/>
      <c r="E1276" s="8"/>
      <c r="F1276" s="8"/>
      <c r="G1276" s="8" t="s">
        <v>503</v>
      </c>
      <c r="H1276" s="13">
        <v>1.99</v>
      </c>
      <c r="I1276" s="13">
        <v>0.38</v>
      </c>
      <c r="J1276" s="289" t="s">
        <v>24</v>
      </c>
      <c r="K1276" s="289" t="s">
        <v>24</v>
      </c>
      <c r="L1276" s="8"/>
      <c r="M1276" s="280"/>
      <c r="N1276" s="280"/>
    </row>
    <row r="1277" spans="1:14">
      <c r="A1277" s="9">
        <v>45651</v>
      </c>
      <c r="B1277" s="8" t="s">
        <v>2169</v>
      </c>
      <c r="C1277" s="8" t="s">
        <v>459</v>
      </c>
      <c r="D1277" s="282">
        <v>10</v>
      </c>
      <c r="E1277" s="8" t="s">
        <v>1066</v>
      </c>
      <c r="F1277" s="8" t="s">
        <v>1054</v>
      </c>
      <c r="G1277" s="8" t="s">
        <v>1064</v>
      </c>
      <c r="H1277" s="13">
        <v>1</v>
      </c>
      <c r="I1277" s="13">
        <v>9</v>
      </c>
      <c r="J1277" s="13" t="s">
        <v>1744</v>
      </c>
      <c r="K1277" s="8">
        <v>1.95</v>
      </c>
      <c r="L1277" s="8" t="s">
        <v>35</v>
      </c>
      <c r="M1277" s="280"/>
      <c r="N1277" s="280"/>
    </row>
    <row r="1278" spans="1:14">
      <c r="A1278" s="287"/>
      <c r="B1278" s="8"/>
      <c r="C1278" s="8"/>
      <c r="D1278" s="288"/>
      <c r="E1278" s="8"/>
      <c r="F1278" s="8"/>
      <c r="G1278" s="8" t="s">
        <v>1060</v>
      </c>
      <c r="H1278" s="13">
        <v>1</v>
      </c>
      <c r="I1278" s="13">
        <v>0.3</v>
      </c>
      <c r="J1278" s="13" t="s">
        <v>1762</v>
      </c>
      <c r="K1278" s="8">
        <v>2.28</v>
      </c>
      <c r="L1278" s="8"/>
      <c r="M1278" s="280"/>
      <c r="N1278" s="280"/>
    </row>
    <row r="1279" spans="1:14">
      <c r="A1279" s="287"/>
      <c r="B1279" s="8"/>
      <c r="C1279" s="8"/>
      <c r="D1279" s="288"/>
      <c r="E1279" s="8"/>
      <c r="F1279" s="8"/>
      <c r="G1279" s="8" t="s">
        <v>509</v>
      </c>
      <c r="H1279" s="13">
        <v>2.92</v>
      </c>
      <c r="I1279" s="13">
        <v>0.2</v>
      </c>
      <c r="J1279" s="13" t="s">
        <v>1822</v>
      </c>
      <c r="K1279" s="8">
        <v>3.7</v>
      </c>
      <c r="L1279" s="8"/>
      <c r="M1279" s="280"/>
      <c r="N1279" s="280"/>
    </row>
    <row r="1280" spans="1:14">
      <c r="A1280" s="287"/>
      <c r="B1280" s="8"/>
      <c r="C1280" s="8"/>
      <c r="D1280" s="288"/>
      <c r="E1280" s="8"/>
      <c r="F1280" s="8"/>
      <c r="G1280" s="8" t="s">
        <v>503</v>
      </c>
      <c r="H1280" s="13">
        <v>2.92</v>
      </c>
      <c r="I1280" s="13">
        <v>0.5</v>
      </c>
      <c r="J1280" s="289" t="s">
        <v>24</v>
      </c>
      <c r="K1280" s="8">
        <v>5</v>
      </c>
      <c r="L1280" s="8"/>
      <c r="M1280" s="280"/>
      <c r="N1280" s="280"/>
    </row>
    <row r="1281" spans="1:14">
      <c r="A1281" s="287"/>
      <c r="B1281" s="8"/>
      <c r="C1281" s="8"/>
      <c r="D1281" s="288"/>
      <c r="E1281" s="8"/>
      <c r="F1281" s="8"/>
      <c r="G1281" s="8" t="s">
        <v>503</v>
      </c>
      <c r="H1281" s="13">
        <v>2.92</v>
      </c>
      <c r="I1281" s="13">
        <v>0.5</v>
      </c>
      <c r="J1281" s="289" t="s">
        <v>24</v>
      </c>
      <c r="K1281" s="289" t="s">
        <v>24</v>
      </c>
      <c r="L1281" s="8"/>
      <c r="M1281" s="280"/>
      <c r="N1281" s="280"/>
    </row>
    <row r="1282" spans="1:14">
      <c r="A1282" s="9">
        <v>45650</v>
      </c>
      <c r="B1282" s="8" t="s">
        <v>2170</v>
      </c>
      <c r="C1282" s="8" t="s">
        <v>459</v>
      </c>
      <c r="D1282" s="282">
        <v>4</v>
      </c>
      <c r="E1282" s="8" t="s">
        <v>477</v>
      </c>
      <c r="F1282" s="8" t="s">
        <v>1140</v>
      </c>
      <c r="G1282" s="8" t="s">
        <v>1064</v>
      </c>
      <c r="H1282" s="13">
        <v>1.51</v>
      </c>
      <c r="I1282" s="13">
        <v>3.36</v>
      </c>
      <c r="J1282" s="13" t="s">
        <v>1744</v>
      </c>
      <c r="K1282" s="13">
        <v>2.49</v>
      </c>
      <c r="L1282" s="8" t="s">
        <v>112</v>
      </c>
      <c r="M1282" s="280"/>
      <c r="N1282" s="280"/>
    </row>
    <row r="1283" spans="1:14">
      <c r="A1283" s="287"/>
      <c r="B1283" s="8"/>
      <c r="C1283" s="8"/>
      <c r="D1283" s="288"/>
      <c r="E1283" s="8"/>
      <c r="F1283" s="8"/>
      <c r="G1283" s="8" t="s">
        <v>1060</v>
      </c>
      <c r="H1283" s="13">
        <v>1.51</v>
      </c>
      <c r="I1283" s="13">
        <v>0.28</v>
      </c>
      <c r="J1283" s="13" t="s">
        <v>1762</v>
      </c>
      <c r="K1283" s="13">
        <v>2.59</v>
      </c>
      <c r="L1283" s="8"/>
      <c r="M1283" s="280"/>
      <c r="N1283" s="280"/>
    </row>
    <row r="1284" spans="1:14">
      <c r="A1284" s="287"/>
      <c r="B1284" s="8"/>
      <c r="C1284" s="8"/>
      <c r="D1284" s="288"/>
      <c r="E1284" s="8"/>
      <c r="F1284" s="8"/>
      <c r="G1284" s="8" t="s">
        <v>503</v>
      </c>
      <c r="H1284" s="13">
        <v>1.51</v>
      </c>
      <c r="I1284" s="13">
        <v>0.36</v>
      </c>
      <c r="J1284" s="289" t="s">
        <v>24</v>
      </c>
      <c r="K1284" s="289" t="s">
        <v>24</v>
      </c>
      <c r="L1284" s="8"/>
      <c r="M1284" s="280"/>
      <c r="N1284" s="280"/>
    </row>
    <row r="1285" spans="1:14">
      <c r="A1285" s="9">
        <v>45650</v>
      </c>
      <c r="B1285" s="8" t="s">
        <v>2171</v>
      </c>
      <c r="C1285" s="8" t="s">
        <v>459</v>
      </c>
      <c r="D1285" s="282">
        <v>10</v>
      </c>
      <c r="E1285" s="8" t="s">
        <v>1066</v>
      </c>
      <c r="F1285" s="8" t="s">
        <v>1054</v>
      </c>
      <c r="G1285" s="8" t="s">
        <v>1064</v>
      </c>
      <c r="H1285" s="13">
        <v>1</v>
      </c>
      <c r="I1285" s="13">
        <v>9</v>
      </c>
      <c r="J1285" s="13" t="s">
        <v>1744</v>
      </c>
      <c r="K1285" s="13">
        <v>2</v>
      </c>
      <c r="L1285" s="8" t="s">
        <v>35</v>
      </c>
      <c r="M1285" s="280"/>
      <c r="N1285" s="280"/>
    </row>
    <row r="1286" spans="1:14">
      <c r="A1286" s="287"/>
      <c r="B1286" s="8"/>
      <c r="C1286" s="8"/>
      <c r="D1286" s="288"/>
      <c r="E1286" s="8"/>
      <c r="F1286" s="8"/>
      <c r="G1286" s="8" t="s">
        <v>1060</v>
      </c>
      <c r="H1286" s="13">
        <v>1</v>
      </c>
      <c r="I1286" s="13">
        <v>0.3</v>
      </c>
      <c r="J1286" s="13" t="s">
        <v>1762</v>
      </c>
      <c r="K1286" s="13">
        <v>2.29</v>
      </c>
      <c r="L1286" s="8"/>
      <c r="M1286" s="280"/>
      <c r="N1286" s="280"/>
    </row>
    <row r="1287" spans="1:14">
      <c r="A1287" s="287"/>
      <c r="B1287" s="8"/>
      <c r="C1287" s="8"/>
      <c r="D1287" s="288"/>
      <c r="E1287" s="8"/>
      <c r="F1287" s="8"/>
      <c r="G1287" s="8" t="s">
        <v>509</v>
      </c>
      <c r="H1287" s="13">
        <v>2.92</v>
      </c>
      <c r="I1287" s="13">
        <v>0.2</v>
      </c>
      <c r="J1287" s="13" t="s">
        <v>1822</v>
      </c>
      <c r="K1287" s="13">
        <v>3.7</v>
      </c>
      <c r="L1287" s="8"/>
      <c r="M1287" s="280"/>
      <c r="N1287" s="280"/>
    </row>
    <row r="1288" spans="1:14">
      <c r="A1288" s="287"/>
      <c r="B1288" s="8"/>
      <c r="C1288" s="8"/>
      <c r="D1288" s="288"/>
      <c r="E1288" s="8"/>
      <c r="F1288" s="8"/>
      <c r="G1288" s="8" t="s">
        <v>503</v>
      </c>
      <c r="H1288" s="13">
        <v>2.92</v>
      </c>
      <c r="I1288" s="13">
        <v>0.5</v>
      </c>
      <c r="J1288" s="289" t="s">
        <v>24</v>
      </c>
      <c r="K1288" s="289" t="s">
        <v>24</v>
      </c>
      <c r="L1288" s="8"/>
      <c r="M1288" s="280"/>
      <c r="N1288" s="280"/>
    </row>
    <row r="1289" spans="1:14">
      <c r="A1289" s="9">
        <v>45650</v>
      </c>
      <c r="B1289" s="8" t="s">
        <v>2172</v>
      </c>
      <c r="C1289" s="8" t="s">
        <v>462</v>
      </c>
      <c r="D1289" s="282">
        <v>3</v>
      </c>
      <c r="E1289" s="8" t="s">
        <v>477</v>
      </c>
      <c r="F1289" s="8" t="s">
        <v>460</v>
      </c>
      <c r="G1289" s="8" t="s">
        <v>1064</v>
      </c>
      <c r="H1289" s="13">
        <v>1.12</v>
      </c>
      <c r="I1289" s="13">
        <v>2.51</v>
      </c>
      <c r="J1289" s="13" t="s">
        <v>1744</v>
      </c>
      <c r="K1289" s="13">
        <v>2.05</v>
      </c>
      <c r="L1289" s="8" t="s">
        <v>27</v>
      </c>
      <c r="M1289" s="280"/>
      <c r="N1289" s="280"/>
    </row>
    <row r="1290" spans="1:14">
      <c r="A1290" s="287"/>
      <c r="B1290" s="8"/>
      <c r="C1290" s="8"/>
      <c r="D1290" s="288"/>
      <c r="E1290" s="8"/>
      <c r="F1290" s="8"/>
      <c r="G1290" s="8" t="s">
        <v>1060</v>
      </c>
      <c r="H1290" s="13">
        <v>1.12</v>
      </c>
      <c r="I1290" s="13">
        <v>0.17</v>
      </c>
      <c r="J1290" s="13" t="s">
        <v>1762</v>
      </c>
      <c r="K1290" s="13">
        <v>2.1</v>
      </c>
      <c r="L1290" s="8"/>
      <c r="M1290" s="280"/>
      <c r="N1290" s="280"/>
    </row>
    <row r="1291" spans="1:14">
      <c r="A1291" s="287"/>
      <c r="B1291" s="8"/>
      <c r="C1291" s="8"/>
      <c r="D1291" s="288"/>
      <c r="E1291" s="8"/>
      <c r="F1291" s="8"/>
      <c r="G1291" s="8" t="s">
        <v>503</v>
      </c>
      <c r="H1291" s="13">
        <v>1.12</v>
      </c>
      <c r="I1291" s="13">
        <v>0.32</v>
      </c>
      <c r="J1291" s="289" t="s">
        <v>24</v>
      </c>
      <c r="K1291" s="289" t="s">
        <v>24</v>
      </c>
      <c r="L1291" s="8"/>
      <c r="M1291" s="280"/>
      <c r="N1291" s="280"/>
    </row>
    <row r="1292" spans="1:14">
      <c r="A1292" s="9">
        <v>45650</v>
      </c>
      <c r="B1292" s="8" t="s">
        <v>2173</v>
      </c>
      <c r="C1292" s="8" t="s">
        <v>462</v>
      </c>
      <c r="D1292" s="282">
        <v>10</v>
      </c>
      <c r="E1292" s="8" t="s">
        <v>1057</v>
      </c>
      <c r="F1292" s="8" t="s">
        <v>474</v>
      </c>
      <c r="G1292" s="8" t="s">
        <v>1058</v>
      </c>
      <c r="H1292" s="13">
        <v>1.08</v>
      </c>
      <c r="I1292" s="13">
        <v>7</v>
      </c>
      <c r="J1292" s="13" t="s">
        <v>1744</v>
      </c>
      <c r="K1292" s="8">
        <v>1.98</v>
      </c>
      <c r="L1292" s="8" t="s">
        <v>41</v>
      </c>
      <c r="M1292" s="280"/>
      <c r="N1292" s="280"/>
    </row>
    <row r="1293" spans="1:14">
      <c r="A1293" s="287"/>
      <c r="B1293" s="8"/>
      <c r="C1293" s="8"/>
      <c r="D1293" s="288"/>
      <c r="E1293" s="8"/>
      <c r="F1293" s="8"/>
      <c r="G1293" s="8" t="s">
        <v>1059</v>
      </c>
      <c r="H1293" s="13">
        <v>1.24</v>
      </c>
      <c r="I1293" s="13">
        <v>1.55</v>
      </c>
      <c r="J1293" s="13" t="s">
        <v>1744</v>
      </c>
      <c r="K1293" s="8">
        <v>2.15</v>
      </c>
      <c r="L1293" s="8"/>
      <c r="M1293" s="280"/>
      <c r="N1293" s="280"/>
    </row>
    <row r="1294" spans="1:14">
      <c r="A1294" s="287"/>
      <c r="B1294" s="8"/>
      <c r="C1294" s="8"/>
      <c r="D1294" s="288"/>
      <c r="E1294" s="8"/>
      <c r="F1294" s="8"/>
      <c r="G1294" s="8" t="s">
        <v>1060</v>
      </c>
      <c r="H1294" s="13">
        <v>1.29</v>
      </c>
      <c r="I1294" s="13">
        <v>0.5</v>
      </c>
      <c r="J1294" s="13" t="s">
        <v>1762</v>
      </c>
      <c r="K1294" s="8">
        <v>2.3</v>
      </c>
      <c r="L1294" s="8"/>
      <c r="M1294" s="280"/>
      <c r="N1294" s="280"/>
    </row>
    <row r="1295" spans="1:14">
      <c r="A1295" s="287"/>
      <c r="B1295" s="8"/>
      <c r="C1295" s="8"/>
      <c r="D1295" s="288"/>
      <c r="E1295" s="8"/>
      <c r="F1295" s="8"/>
      <c r="G1295" s="8" t="s">
        <v>1061</v>
      </c>
      <c r="H1295" s="13">
        <v>1.37</v>
      </c>
      <c r="I1295" s="13">
        <v>0.45</v>
      </c>
      <c r="J1295" s="13" t="s">
        <v>1782</v>
      </c>
      <c r="K1295" s="8">
        <v>4.9</v>
      </c>
      <c r="L1295" s="8"/>
      <c r="M1295" s="280"/>
      <c r="N1295" s="280"/>
    </row>
    <row r="1296" spans="1:14">
      <c r="A1296" s="287"/>
      <c r="B1296" s="8"/>
      <c r="C1296" s="8"/>
      <c r="D1296" s="288"/>
      <c r="E1296" s="8"/>
      <c r="F1296" s="8"/>
      <c r="G1296" s="8" t="s">
        <v>503</v>
      </c>
      <c r="H1296" s="13">
        <v>1.75</v>
      </c>
      <c r="I1296" s="13">
        <v>0.5</v>
      </c>
      <c r="J1296" s="289" t="s">
        <v>24</v>
      </c>
      <c r="K1296" s="289" t="s">
        <v>24</v>
      </c>
      <c r="L1296" s="8"/>
      <c r="M1296" s="280"/>
      <c r="N1296" s="280"/>
    </row>
    <row r="1297" spans="1:14">
      <c r="A1297" s="9">
        <v>45646</v>
      </c>
      <c r="B1297" s="8" t="s">
        <v>2174</v>
      </c>
      <c r="C1297" s="8" t="s">
        <v>462</v>
      </c>
      <c r="D1297" s="282">
        <v>4</v>
      </c>
      <c r="E1297" s="8" t="s">
        <v>492</v>
      </c>
      <c r="F1297" s="8" t="s">
        <v>543</v>
      </c>
      <c r="G1297" s="8" t="s">
        <v>1064</v>
      </c>
      <c r="H1297" s="13">
        <v>1.84</v>
      </c>
      <c r="I1297" s="13">
        <v>3.12</v>
      </c>
      <c r="J1297" s="13" t="s">
        <v>1744</v>
      </c>
      <c r="K1297" s="13">
        <v>2.2</v>
      </c>
      <c r="L1297" s="8" t="s">
        <v>70</v>
      </c>
      <c r="M1297" s="280"/>
      <c r="N1297" s="280"/>
    </row>
    <row r="1298" spans="1:14">
      <c r="A1298" s="287"/>
      <c r="B1298" s="8"/>
      <c r="C1298" s="8"/>
      <c r="D1298" s="288"/>
      <c r="E1298" s="8"/>
      <c r="F1298" s="8"/>
      <c r="G1298" s="8" t="s">
        <v>1060</v>
      </c>
      <c r="H1298" s="13">
        <v>1.93</v>
      </c>
      <c r="I1298" s="13">
        <v>0.28</v>
      </c>
      <c r="J1298" s="13" t="s">
        <v>1762</v>
      </c>
      <c r="K1298" s="13">
        <v>3.3</v>
      </c>
      <c r="L1298" s="8"/>
      <c r="M1298" s="280"/>
      <c r="N1298" s="280"/>
    </row>
    <row r="1299" spans="1:14">
      <c r="A1299" s="287"/>
      <c r="B1299" s="8"/>
      <c r="C1299" s="8"/>
      <c r="D1299" s="288"/>
      <c r="E1299" s="8"/>
      <c r="F1299" s="8"/>
      <c r="G1299" s="8" t="s">
        <v>503</v>
      </c>
      <c r="H1299" s="13">
        <v>2.67</v>
      </c>
      <c r="I1299" s="13">
        <v>0.6</v>
      </c>
      <c r="J1299" s="289" t="s">
        <v>24</v>
      </c>
      <c r="K1299" s="289" t="s">
        <v>24</v>
      </c>
      <c r="L1299" s="8"/>
      <c r="M1299" s="280"/>
      <c r="N1299" s="280"/>
    </row>
    <row r="1300" spans="1:14">
      <c r="A1300" s="9">
        <v>45651</v>
      </c>
      <c r="B1300" s="8" t="s">
        <v>2175</v>
      </c>
      <c r="C1300" s="8" t="s">
        <v>462</v>
      </c>
      <c r="D1300" s="282">
        <v>10</v>
      </c>
      <c r="E1300" s="8" t="s">
        <v>1057</v>
      </c>
      <c r="F1300" s="8" t="s">
        <v>474</v>
      </c>
      <c r="G1300" s="8" t="s">
        <v>1058</v>
      </c>
      <c r="H1300" s="13">
        <v>1.08</v>
      </c>
      <c r="I1300" s="13">
        <v>7</v>
      </c>
      <c r="J1300" s="13" t="s">
        <v>1744</v>
      </c>
      <c r="K1300" s="8">
        <v>1.9</v>
      </c>
      <c r="L1300" s="8" t="s">
        <v>41</v>
      </c>
      <c r="M1300" s="280"/>
      <c r="N1300" s="280"/>
    </row>
    <row r="1301" spans="1:14">
      <c r="A1301" s="287"/>
      <c r="B1301" s="8"/>
      <c r="C1301" s="8"/>
      <c r="D1301" s="288"/>
      <c r="E1301" s="8"/>
      <c r="F1301" s="8"/>
      <c r="G1301" s="8" t="s">
        <v>1059</v>
      </c>
      <c r="H1301" s="13">
        <v>1.24</v>
      </c>
      <c r="I1301" s="13">
        <v>1.55</v>
      </c>
      <c r="J1301" s="13" t="s">
        <v>1744</v>
      </c>
      <c r="K1301" s="8">
        <v>2.12</v>
      </c>
      <c r="L1301" s="8"/>
      <c r="M1301" s="280"/>
      <c r="N1301" s="280"/>
    </row>
    <row r="1302" spans="1:14">
      <c r="A1302" s="287"/>
      <c r="B1302" s="8"/>
      <c r="C1302" s="8"/>
      <c r="D1302" s="288"/>
      <c r="E1302" s="8"/>
      <c r="F1302" s="8"/>
      <c r="G1302" s="8" t="s">
        <v>1060</v>
      </c>
      <c r="H1302" s="13">
        <v>1.29</v>
      </c>
      <c r="I1302" s="13">
        <v>0.5</v>
      </c>
      <c r="J1302" s="13" t="s">
        <v>1762</v>
      </c>
      <c r="K1302" s="8">
        <v>2.28</v>
      </c>
      <c r="L1302" s="8"/>
      <c r="M1302" s="280"/>
      <c r="N1302" s="280"/>
    </row>
    <row r="1303" spans="1:14">
      <c r="A1303" s="287"/>
      <c r="B1303" s="8"/>
      <c r="C1303" s="8"/>
      <c r="D1303" s="288"/>
      <c r="E1303" s="8"/>
      <c r="F1303" s="8"/>
      <c r="G1303" s="8" t="s">
        <v>1061</v>
      </c>
      <c r="H1303" s="13">
        <v>1.37</v>
      </c>
      <c r="I1303" s="13">
        <v>0.45</v>
      </c>
      <c r="J1303" s="13" t="s">
        <v>1782</v>
      </c>
      <c r="K1303" s="8">
        <v>4.9</v>
      </c>
      <c r="L1303" s="8"/>
      <c r="M1303" s="280"/>
      <c r="N1303" s="280"/>
    </row>
    <row r="1304" spans="1:14">
      <c r="A1304" s="287"/>
      <c r="B1304" s="8"/>
      <c r="C1304" s="8"/>
      <c r="D1304" s="288"/>
      <c r="E1304" s="8"/>
      <c r="F1304" s="8"/>
      <c r="G1304" s="8" t="s">
        <v>503</v>
      </c>
      <c r="H1304" s="13">
        <v>1.75</v>
      </c>
      <c r="I1304" s="13">
        <v>0.5</v>
      </c>
      <c r="J1304" s="289" t="s">
        <v>24</v>
      </c>
      <c r="K1304" s="289" t="s">
        <v>24</v>
      </c>
      <c r="L1304" s="8"/>
      <c r="M1304" s="280"/>
      <c r="N1304" s="280"/>
    </row>
    <row r="1305" spans="1:14">
      <c r="A1305" s="9">
        <v>45650</v>
      </c>
      <c r="B1305" s="8" t="s">
        <v>2176</v>
      </c>
      <c r="C1305" s="8" t="s">
        <v>462</v>
      </c>
      <c r="D1305" s="282">
        <v>2.14</v>
      </c>
      <c r="E1305" s="8" t="s">
        <v>1139</v>
      </c>
      <c r="F1305" s="8" t="s">
        <v>482</v>
      </c>
      <c r="G1305" s="8" t="s">
        <v>1058</v>
      </c>
      <c r="H1305" s="13">
        <v>0.92</v>
      </c>
      <c r="I1305" s="13">
        <v>0.7</v>
      </c>
      <c r="J1305" s="13" t="s">
        <v>1744</v>
      </c>
      <c r="K1305" s="13">
        <v>1.89</v>
      </c>
      <c r="L1305" s="8" t="s">
        <v>435</v>
      </c>
      <c r="M1305" s="280"/>
      <c r="N1305" s="280"/>
    </row>
    <row r="1306" spans="1:14">
      <c r="A1306" s="287"/>
      <c r="B1306" s="8"/>
      <c r="C1306" s="8"/>
      <c r="D1306" s="288"/>
      <c r="E1306" s="8"/>
      <c r="F1306" s="8"/>
      <c r="G1306" s="8" t="s">
        <v>1059</v>
      </c>
      <c r="H1306" s="13">
        <v>2</v>
      </c>
      <c r="I1306" s="13">
        <v>0.78</v>
      </c>
      <c r="J1306" s="13" t="s">
        <v>1744</v>
      </c>
      <c r="K1306" s="13">
        <v>2.12</v>
      </c>
      <c r="L1306" s="8"/>
      <c r="M1306" s="280"/>
      <c r="N1306" s="280"/>
    </row>
    <row r="1307" spans="1:14">
      <c r="A1307" s="287"/>
      <c r="B1307" s="8"/>
      <c r="C1307" s="8"/>
      <c r="D1307" s="288"/>
      <c r="E1307" s="8"/>
      <c r="F1307" s="8"/>
      <c r="G1307" s="8" t="s">
        <v>1099</v>
      </c>
      <c r="H1307" s="13">
        <v>2.67</v>
      </c>
      <c r="I1307" s="13">
        <v>0.55</v>
      </c>
      <c r="J1307" s="13" t="s">
        <v>1744</v>
      </c>
      <c r="K1307" s="13">
        <v>2.32</v>
      </c>
      <c r="L1307" s="8"/>
      <c r="M1307" s="280"/>
      <c r="N1307" s="280"/>
    </row>
    <row r="1308" spans="1:14">
      <c r="A1308" s="287"/>
      <c r="B1308" s="8"/>
      <c r="C1308" s="8"/>
      <c r="D1308" s="288"/>
      <c r="E1308" s="8"/>
      <c r="F1308" s="8"/>
      <c r="G1308" s="8" t="s">
        <v>503</v>
      </c>
      <c r="H1308" s="13">
        <v>2.83</v>
      </c>
      <c r="I1308" s="13">
        <v>0.11</v>
      </c>
      <c r="J1308" s="289" t="s">
        <v>24</v>
      </c>
      <c r="K1308" s="289" t="s">
        <v>24</v>
      </c>
      <c r="L1308" s="8"/>
      <c r="M1308" s="280"/>
      <c r="N1308" s="280"/>
    </row>
    <row r="1309" spans="1:14">
      <c r="A1309" s="9">
        <v>45646</v>
      </c>
      <c r="B1309" s="8" t="s">
        <v>2177</v>
      </c>
      <c r="C1309" s="8" t="s">
        <v>459</v>
      </c>
      <c r="D1309" s="282">
        <v>5</v>
      </c>
      <c r="E1309" s="8" t="s">
        <v>486</v>
      </c>
      <c r="F1309" s="8" t="s">
        <v>487</v>
      </c>
      <c r="G1309" s="8" t="s">
        <v>1064</v>
      </c>
      <c r="H1309" s="13">
        <v>1.85</v>
      </c>
      <c r="I1309" s="13">
        <v>4.4</v>
      </c>
      <c r="J1309" s="13" t="s">
        <v>1744</v>
      </c>
      <c r="K1309" s="13">
        <v>1.9</v>
      </c>
      <c r="L1309" s="8" t="s">
        <v>86</v>
      </c>
      <c r="M1309" s="280"/>
      <c r="N1309" s="280"/>
    </row>
    <row r="1310" spans="1:14">
      <c r="A1310" s="287"/>
      <c r="B1310" s="8"/>
      <c r="C1310" s="8"/>
      <c r="D1310" s="288"/>
      <c r="E1310" s="8"/>
      <c r="F1310" s="8"/>
      <c r="G1310" s="8" t="s">
        <v>1060</v>
      </c>
      <c r="H1310" s="13">
        <v>1.93</v>
      </c>
      <c r="I1310" s="13">
        <v>0.3</v>
      </c>
      <c r="J1310" s="13" t="s">
        <v>1762</v>
      </c>
      <c r="K1310" s="13">
        <v>2.15</v>
      </c>
      <c r="L1310" s="8"/>
      <c r="M1310" s="280"/>
      <c r="N1310" s="280"/>
    </row>
    <row r="1311" spans="1:14">
      <c r="A1311" s="287"/>
      <c r="B1311" s="8"/>
      <c r="C1311" s="8"/>
      <c r="D1311" s="288"/>
      <c r="E1311" s="8"/>
      <c r="F1311" s="8"/>
      <c r="G1311" s="8" t="s">
        <v>503</v>
      </c>
      <c r="H1311" s="13">
        <v>2.01</v>
      </c>
      <c r="I1311" s="13">
        <v>0.3</v>
      </c>
      <c r="J1311" s="289" t="s">
        <v>24</v>
      </c>
      <c r="K1311" s="289" t="s">
        <v>24</v>
      </c>
      <c r="L1311" s="8"/>
      <c r="M1311" s="280"/>
      <c r="N1311" s="280"/>
    </row>
    <row r="1312" spans="1:14">
      <c r="A1312" s="9">
        <v>45646</v>
      </c>
      <c r="B1312" s="8" t="s">
        <v>2178</v>
      </c>
      <c r="C1312" s="8" t="s">
        <v>462</v>
      </c>
      <c r="D1312" s="282">
        <v>5</v>
      </c>
      <c r="E1312" s="8" t="s">
        <v>486</v>
      </c>
      <c r="F1312" s="8" t="s">
        <v>1768</v>
      </c>
      <c r="G1312" s="8" t="s">
        <v>1064</v>
      </c>
      <c r="H1312" s="13">
        <v>1.02</v>
      </c>
      <c r="I1312" s="13">
        <v>4.2</v>
      </c>
      <c r="J1312" s="13" t="s">
        <v>1744</v>
      </c>
      <c r="K1312" s="13">
        <v>2.08</v>
      </c>
      <c r="L1312" s="8" t="s">
        <v>27</v>
      </c>
      <c r="M1312" s="280"/>
      <c r="N1312" s="280"/>
    </row>
    <row r="1313" spans="1:14">
      <c r="A1313" s="287"/>
      <c r="B1313" s="8"/>
      <c r="C1313" s="8"/>
      <c r="D1313" s="288"/>
      <c r="E1313" s="8"/>
      <c r="F1313" s="8"/>
      <c r="G1313" s="8" t="s">
        <v>1060</v>
      </c>
      <c r="H1313" s="13">
        <v>1.02</v>
      </c>
      <c r="I1313" s="13">
        <v>0.3</v>
      </c>
      <c r="J1313" s="13" t="s">
        <v>1762</v>
      </c>
      <c r="K1313" s="13">
        <v>2.3</v>
      </c>
      <c r="L1313" s="8"/>
      <c r="M1313" s="280"/>
      <c r="N1313" s="280"/>
    </row>
    <row r="1314" spans="1:14">
      <c r="A1314" s="287"/>
      <c r="B1314" s="8"/>
      <c r="C1314" s="8"/>
      <c r="D1314" s="288"/>
      <c r="E1314" s="8"/>
      <c r="F1314" s="8"/>
      <c r="G1314" s="8" t="s">
        <v>1321</v>
      </c>
      <c r="H1314" s="13">
        <v>1.52</v>
      </c>
      <c r="I1314" s="13">
        <v>0.25</v>
      </c>
      <c r="J1314" s="289" t="s">
        <v>24</v>
      </c>
      <c r="K1314" s="289" t="s">
        <v>24</v>
      </c>
      <c r="L1314" s="8"/>
      <c r="M1314" s="280"/>
      <c r="N1314" s="280"/>
    </row>
    <row r="1315" spans="1:14">
      <c r="A1315" s="287"/>
      <c r="B1315" s="8"/>
      <c r="C1315" s="8"/>
      <c r="D1315" s="288"/>
      <c r="E1315" s="8"/>
      <c r="F1315" s="8"/>
      <c r="G1315" s="8" t="s">
        <v>1322</v>
      </c>
      <c r="H1315" s="13">
        <v>1.52</v>
      </c>
      <c r="I1315" s="13">
        <v>0.25</v>
      </c>
      <c r="J1315" s="289" t="s">
        <v>24</v>
      </c>
      <c r="K1315" s="289" t="s">
        <v>24</v>
      </c>
      <c r="L1315" s="8"/>
      <c r="M1315" s="280"/>
      <c r="N1315" s="280"/>
    </row>
    <row r="1316" spans="1:14">
      <c r="A1316" s="9">
        <v>45646</v>
      </c>
      <c r="B1316" s="8" t="s">
        <v>2179</v>
      </c>
      <c r="C1316" s="8" t="s">
        <v>462</v>
      </c>
      <c r="D1316" s="282">
        <v>5</v>
      </c>
      <c r="E1316" s="8" t="s">
        <v>1079</v>
      </c>
      <c r="F1316" s="8" t="s">
        <v>1768</v>
      </c>
      <c r="G1316" s="8" t="s">
        <v>1064</v>
      </c>
      <c r="H1316" s="13">
        <v>0.99</v>
      </c>
      <c r="I1316" s="13">
        <v>4.25</v>
      </c>
      <c r="J1316" s="13" t="s">
        <v>1744</v>
      </c>
      <c r="K1316" s="13">
        <v>2.04</v>
      </c>
      <c r="L1316" s="8" t="s">
        <v>35</v>
      </c>
      <c r="M1316" s="280"/>
      <c r="N1316" s="280"/>
    </row>
    <row r="1317" spans="1:14">
      <c r="A1317" s="287"/>
      <c r="B1317" s="8"/>
      <c r="C1317" s="8"/>
      <c r="D1317" s="288"/>
      <c r="E1317" s="8"/>
      <c r="F1317" s="8"/>
      <c r="G1317" s="8" t="s">
        <v>1060</v>
      </c>
      <c r="H1317" s="13">
        <v>0.99</v>
      </c>
      <c r="I1317" s="13">
        <v>0.2</v>
      </c>
      <c r="J1317" s="13" t="s">
        <v>1762</v>
      </c>
      <c r="K1317" s="13">
        <v>2.3</v>
      </c>
      <c r="L1317" s="8"/>
      <c r="M1317" s="280"/>
      <c r="N1317" s="280"/>
    </row>
    <row r="1318" spans="1:14">
      <c r="A1318" s="287"/>
      <c r="B1318" s="8"/>
      <c r="C1318" s="8"/>
      <c r="D1318" s="288"/>
      <c r="E1318" s="8"/>
      <c r="F1318" s="8"/>
      <c r="G1318" s="8" t="s">
        <v>503</v>
      </c>
      <c r="H1318" s="13">
        <v>1.67</v>
      </c>
      <c r="I1318" s="13">
        <v>0.55</v>
      </c>
      <c r="J1318" s="289" t="s">
        <v>24</v>
      </c>
      <c r="K1318" s="289" t="s">
        <v>24</v>
      </c>
      <c r="L1318" s="8"/>
      <c r="M1318" s="280"/>
      <c r="N1318" s="280"/>
    </row>
    <row r="1319" spans="1:14">
      <c r="A1319" s="9">
        <v>45645</v>
      </c>
      <c r="B1319" s="8" t="s">
        <v>2180</v>
      </c>
      <c r="C1319" s="8" t="s">
        <v>462</v>
      </c>
      <c r="D1319" s="282">
        <v>3</v>
      </c>
      <c r="E1319" s="8" t="s">
        <v>536</v>
      </c>
      <c r="F1319" s="8" t="s">
        <v>460</v>
      </c>
      <c r="G1319" s="8" t="s">
        <v>1064</v>
      </c>
      <c r="H1319" s="13">
        <v>1.77</v>
      </c>
      <c r="I1319" s="13">
        <v>2.47</v>
      </c>
      <c r="J1319" s="13" t="s">
        <v>1744</v>
      </c>
      <c r="K1319" s="13">
        <v>2.13</v>
      </c>
      <c r="L1319" s="8" t="s">
        <v>27</v>
      </c>
      <c r="M1319" s="280"/>
      <c r="N1319" s="280"/>
    </row>
    <row r="1320" spans="1:14">
      <c r="A1320" s="287"/>
      <c r="B1320" s="8"/>
      <c r="C1320" s="8"/>
      <c r="D1320" s="288"/>
      <c r="E1320" s="8"/>
      <c r="F1320" s="8"/>
      <c r="G1320" s="8" t="s">
        <v>1060</v>
      </c>
      <c r="H1320" s="13">
        <v>1.77</v>
      </c>
      <c r="I1320" s="13">
        <v>0.17</v>
      </c>
      <c r="J1320" s="13" t="s">
        <v>1762</v>
      </c>
      <c r="K1320" s="13">
        <v>2.25</v>
      </c>
      <c r="L1320" s="8"/>
      <c r="M1320" s="280"/>
      <c r="N1320" s="280"/>
    </row>
    <row r="1321" spans="1:14">
      <c r="A1321" s="287"/>
      <c r="B1321" s="8"/>
      <c r="C1321" s="8"/>
      <c r="D1321" s="288"/>
      <c r="E1321" s="8"/>
      <c r="F1321" s="8"/>
      <c r="G1321" s="8" t="s">
        <v>1321</v>
      </c>
      <c r="H1321" s="13">
        <v>1.85</v>
      </c>
      <c r="I1321" s="13">
        <v>0.21</v>
      </c>
      <c r="J1321" s="289" t="s">
        <v>24</v>
      </c>
      <c r="K1321" s="289" t="s">
        <v>24</v>
      </c>
      <c r="L1321" s="8"/>
      <c r="M1321" s="280"/>
      <c r="N1321" s="280"/>
    </row>
    <row r="1322" spans="1:14">
      <c r="A1322" s="287"/>
      <c r="B1322" s="8"/>
      <c r="C1322" s="8"/>
      <c r="D1322" s="288"/>
      <c r="E1322" s="8"/>
      <c r="F1322" s="8"/>
      <c r="G1322" s="8" t="s">
        <v>1322</v>
      </c>
      <c r="H1322" s="13">
        <v>1.85</v>
      </c>
      <c r="I1322" s="13">
        <v>0.15</v>
      </c>
      <c r="J1322" s="289" t="s">
        <v>24</v>
      </c>
      <c r="K1322" s="289" t="s">
        <v>24</v>
      </c>
      <c r="L1322" s="8"/>
      <c r="M1322" s="280"/>
      <c r="N1322" s="280"/>
    </row>
    <row r="1323" spans="1:14">
      <c r="A1323" s="9">
        <v>45645</v>
      </c>
      <c r="B1323" s="8" t="s">
        <v>2181</v>
      </c>
      <c r="C1323" s="8" t="s">
        <v>459</v>
      </c>
      <c r="D1323" s="282">
        <v>10</v>
      </c>
      <c r="E1323" s="8" t="s">
        <v>477</v>
      </c>
      <c r="F1323" s="8" t="s">
        <v>1768</v>
      </c>
      <c r="G1323" s="8" t="s">
        <v>1064</v>
      </c>
      <c r="H1323" s="13">
        <v>1.49</v>
      </c>
      <c r="I1323" s="13">
        <v>8.2</v>
      </c>
      <c r="J1323" s="13" t="s">
        <v>1744</v>
      </c>
      <c r="K1323" s="13">
        <v>2.27</v>
      </c>
      <c r="L1323" s="8" t="s">
        <v>35</v>
      </c>
      <c r="M1323" s="280"/>
      <c r="N1323" s="280"/>
    </row>
    <row r="1324" spans="1:14">
      <c r="A1324" s="287"/>
      <c r="B1324" s="8"/>
      <c r="C1324" s="8"/>
      <c r="D1324" s="288"/>
      <c r="E1324" s="8"/>
      <c r="F1324" s="8"/>
      <c r="G1324" s="8" t="s">
        <v>1060</v>
      </c>
      <c r="H1324" s="13">
        <v>1.49</v>
      </c>
      <c r="I1324" s="13">
        <v>0.4</v>
      </c>
      <c r="J1324" s="13" t="s">
        <v>1762</v>
      </c>
      <c r="K1324" s="13">
        <v>2.3</v>
      </c>
      <c r="L1324" s="8"/>
      <c r="M1324" s="280"/>
      <c r="N1324" s="280"/>
    </row>
    <row r="1325" spans="1:14">
      <c r="A1325" s="287"/>
      <c r="B1325" s="8"/>
      <c r="C1325" s="8"/>
      <c r="D1325" s="288"/>
      <c r="E1325" s="8"/>
      <c r="F1325" s="8"/>
      <c r="G1325" s="8" t="s">
        <v>1061</v>
      </c>
      <c r="H1325" s="13">
        <v>1.99</v>
      </c>
      <c r="I1325" s="13">
        <v>0.9</v>
      </c>
      <c r="J1325" s="13" t="s">
        <v>2043</v>
      </c>
      <c r="K1325" s="13">
        <v>3.7</v>
      </c>
      <c r="L1325" s="8"/>
      <c r="M1325" s="280"/>
      <c r="N1325" s="280"/>
    </row>
    <row r="1326" spans="1:14">
      <c r="A1326" s="287"/>
      <c r="B1326" s="8"/>
      <c r="C1326" s="8"/>
      <c r="D1326" s="288"/>
      <c r="E1326" s="8"/>
      <c r="F1326" s="8"/>
      <c r="G1326" s="8" t="s">
        <v>503</v>
      </c>
      <c r="H1326" s="13">
        <v>1.99</v>
      </c>
      <c r="I1326" s="13">
        <v>0.5</v>
      </c>
      <c r="J1326" s="289" t="s">
        <v>24</v>
      </c>
      <c r="K1326" s="289" t="s">
        <v>24</v>
      </c>
      <c r="L1326" s="8"/>
      <c r="M1326" s="280"/>
      <c r="N1326" s="280"/>
    </row>
    <row r="1327" spans="1:14">
      <c r="A1327" s="9">
        <v>45646</v>
      </c>
      <c r="B1327" s="8" t="s">
        <v>2182</v>
      </c>
      <c r="C1327" s="8" t="s">
        <v>462</v>
      </c>
      <c r="D1327" s="282">
        <v>6.4</v>
      </c>
      <c r="E1327" s="8" t="s">
        <v>486</v>
      </c>
      <c r="F1327" s="8" t="s">
        <v>530</v>
      </c>
      <c r="G1327" s="8" t="s">
        <v>531</v>
      </c>
      <c r="H1327" s="13">
        <v>1.07</v>
      </c>
      <c r="I1327" s="13">
        <v>6.3</v>
      </c>
      <c r="J1327" s="13" t="s">
        <v>1744</v>
      </c>
      <c r="K1327" s="13">
        <v>2.9</v>
      </c>
      <c r="L1327" s="8" t="s">
        <v>1082</v>
      </c>
      <c r="M1327" s="280"/>
      <c r="N1327" s="280"/>
    </row>
    <row r="1328" spans="1:14">
      <c r="A1328" s="287"/>
      <c r="B1328" s="8"/>
      <c r="C1328" s="8"/>
      <c r="D1328" s="288"/>
      <c r="E1328" s="8"/>
      <c r="F1328" s="8"/>
      <c r="G1328" s="8" t="s">
        <v>503</v>
      </c>
      <c r="H1328" s="13">
        <v>3.07</v>
      </c>
      <c r="I1328" s="13">
        <v>0.1</v>
      </c>
      <c r="J1328" s="289" t="s">
        <v>24</v>
      </c>
      <c r="K1328" s="13">
        <v>15</v>
      </c>
      <c r="L1328" s="8"/>
      <c r="M1328" s="280"/>
      <c r="N1328" s="280"/>
    </row>
    <row r="1329" spans="1:14">
      <c r="A1329" s="9">
        <v>45657</v>
      </c>
      <c r="B1329" s="8" t="s">
        <v>2183</v>
      </c>
      <c r="C1329" s="8" t="s">
        <v>462</v>
      </c>
      <c r="D1329" s="282">
        <v>2.1</v>
      </c>
      <c r="E1329" s="8" t="s">
        <v>2184</v>
      </c>
      <c r="F1329" s="8" t="s">
        <v>1779</v>
      </c>
      <c r="G1329" s="8" t="s">
        <v>1064</v>
      </c>
      <c r="H1329" s="13">
        <v>2.81</v>
      </c>
      <c r="I1329" s="13">
        <v>1.365</v>
      </c>
      <c r="J1329" s="13" t="s">
        <v>1744</v>
      </c>
      <c r="K1329" s="8">
        <v>1.76</v>
      </c>
      <c r="L1329" s="8" t="s">
        <v>2185</v>
      </c>
      <c r="M1329" s="280"/>
      <c r="N1329" s="280"/>
    </row>
    <row r="1330" spans="1:14">
      <c r="A1330" s="287"/>
      <c r="B1330" s="8"/>
      <c r="C1330" s="8"/>
      <c r="D1330" s="288"/>
      <c r="E1330" s="8"/>
      <c r="F1330" s="8"/>
      <c r="G1330" s="8" t="s">
        <v>1060</v>
      </c>
      <c r="H1330" s="13">
        <v>2.81</v>
      </c>
      <c r="I1330" s="13">
        <v>0.315</v>
      </c>
      <c r="J1330" s="13" t="s">
        <v>1762</v>
      </c>
      <c r="K1330" s="8">
        <v>1.89</v>
      </c>
      <c r="L1330" s="8"/>
      <c r="M1330" s="280"/>
      <c r="N1330" s="280"/>
    </row>
    <row r="1331" spans="1:14">
      <c r="A1331" s="287"/>
      <c r="B1331" s="8"/>
      <c r="C1331" s="8"/>
      <c r="D1331" s="288"/>
      <c r="E1331" s="8"/>
      <c r="F1331" s="8"/>
      <c r="G1331" s="8" t="s">
        <v>1061</v>
      </c>
      <c r="H1331" s="13">
        <v>2.81</v>
      </c>
      <c r="I1331" s="13">
        <v>0.315</v>
      </c>
      <c r="J1331" s="13" t="s">
        <v>505</v>
      </c>
      <c r="K1331" s="8">
        <v>2.05</v>
      </c>
      <c r="L1331" s="8"/>
      <c r="M1331" s="280"/>
      <c r="N1331" s="280"/>
    </row>
    <row r="1332" spans="1:14">
      <c r="A1332" s="287"/>
      <c r="B1332" s="8"/>
      <c r="C1332" s="8"/>
      <c r="D1332" s="288"/>
      <c r="E1332" s="8"/>
      <c r="F1332" s="8"/>
      <c r="G1332" s="8" t="s">
        <v>503</v>
      </c>
      <c r="H1332" s="13">
        <v>2.81</v>
      </c>
      <c r="I1332" s="13">
        <v>0.105</v>
      </c>
      <c r="J1332" s="289" t="s">
        <v>24</v>
      </c>
      <c r="K1332" s="289" t="s">
        <v>24</v>
      </c>
      <c r="L1332" s="8"/>
      <c r="M1332" s="280"/>
      <c r="N1332" s="280"/>
    </row>
    <row r="1333" spans="1:14">
      <c r="A1333" s="9">
        <v>45657</v>
      </c>
      <c r="B1333" s="8" t="s">
        <v>2186</v>
      </c>
      <c r="C1333" s="8" t="s">
        <v>462</v>
      </c>
      <c r="D1333" s="282">
        <v>4</v>
      </c>
      <c r="E1333" s="8" t="s">
        <v>477</v>
      </c>
      <c r="F1333" s="8" t="s">
        <v>487</v>
      </c>
      <c r="G1333" s="8" t="s">
        <v>1064</v>
      </c>
      <c r="H1333" s="13">
        <v>1.99</v>
      </c>
      <c r="I1333" s="13">
        <v>3</v>
      </c>
      <c r="J1333" s="13" t="s">
        <v>1744</v>
      </c>
      <c r="K1333" s="13">
        <v>2.9</v>
      </c>
      <c r="L1333" s="8" t="s">
        <v>310</v>
      </c>
      <c r="M1333" s="280"/>
      <c r="N1333" s="280"/>
    </row>
    <row r="1334" spans="1:14">
      <c r="A1334" s="287"/>
      <c r="B1334" s="8"/>
      <c r="C1334" s="8"/>
      <c r="D1334" s="288"/>
      <c r="E1334" s="8"/>
      <c r="F1334" s="8"/>
      <c r="G1334" s="8" t="s">
        <v>1060</v>
      </c>
      <c r="H1334" s="13">
        <v>1.99</v>
      </c>
      <c r="I1334" s="13">
        <v>0.68</v>
      </c>
      <c r="J1334" s="13" t="s">
        <v>1762</v>
      </c>
      <c r="K1334" s="13">
        <v>2.95</v>
      </c>
      <c r="L1334" s="8"/>
      <c r="M1334" s="280"/>
      <c r="N1334" s="280"/>
    </row>
    <row r="1335" spans="1:14">
      <c r="A1335" s="287"/>
      <c r="B1335" s="8"/>
      <c r="C1335" s="8"/>
      <c r="D1335" s="288"/>
      <c r="E1335" s="8"/>
      <c r="F1335" s="8"/>
      <c r="G1335" s="8" t="s">
        <v>503</v>
      </c>
      <c r="H1335" s="13">
        <v>1.99</v>
      </c>
      <c r="I1335" s="13">
        <v>0.32</v>
      </c>
      <c r="J1335" s="289" t="s">
        <v>24</v>
      </c>
      <c r="K1335" s="289" t="s">
        <v>24</v>
      </c>
      <c r="L1335" s="8"/>
      <c r="M1335" s="280"/>
      <c r="N1335" s="280"/>
    </row>
    <row r="1336" spans="1:14">
      <c r="A1336" s="9">
        <v>45657</v>
      </c>
      <c r="B1336" s="8" t="s">
        <v>2187</v>
      </c>
      <c r="C1336" s="8" t="s">
        <v>462</v>
      </c>
      <c r="D1336" s="282">
        <v>5</v>
      </c>
      <c r="E1336" s="8" t="s">
        <v>492</v>
      </c>
      <c r="F1336" s="8" t="s">
        <v>487</v>
      </c>
      <c r="G1336" s="8" t="s">
        <v>1058</v>
      </c>
      <c r="H1336" s="13">
        <v>0.94</v>
      </c>
      <c r="I1336" s="13">
        <v>3.5</v>
      </c>
      <c r="J1336" s="13" t="s">
        <v>1744</v>
      </c>
      <c r="K1336" s="13">
        <v>1.9</v>
      </c>
      <c r="L1336" s="8" t="s">
        <v>74</v>
      </c>
      <c r="M1336" s="280"/>
      <c r="N1336" s="280"/>
    </row>
    <row r="1337" spans="1:14">
      <c r="A1337" s="287"/>
      <c r="B1337" s="8"/>
      <c r="C1337" s="8"/>
      <c r="D1337" s="288"/>
      <c r="E1337" s="8"/>
      <c r="F1337" s="8"/>
      <c r="G1337" s="8" t="s">
        <v>1059</v>
      </c>
      <c r="H1337" s="13">
        <v>1.19</v>
      </c>
      <c r="I1337" s="13">
        <v>1</v>
      </c>
      <c r="J1337" s="13" t="s">
        <v>1744</v>
      </c>
      <c r="K1337" s="13">
        <v>1.95</v>
      </c>
      <c r="L1337" s="8"/>
      <c r="M1337" s="280"/>
      <c r="N1337" s="280"/>
    </row>
    <row r="1338" spans="1:14">
      <c r="A1338" s="287"/>
      <c r="B1338" s="8"/>
      <c r="C1338" s="8"/>
      <c r="D1338" s="288"/>
      <c r="E1338" s="8"/>
      <c r="F1338" s="8"/>
      <c r="G1338" s="8" t="s">
        <v>1060</v>
      </c>
      <c r="H1338" s="13">
        <v>1.19</v>
      </c>
      <c r="I1338" s="13">
        <v>0.15</v>
      </c>
      <c r="J1338" s="13" t="s">
        <v>1762</v>
      </c>
      <c r="K1338" s="13">
        <v>2.2</v>
      </c>
      <c r="L1338" s="8"/>
      <c r="M1338" s="280"/>
      <c r="N1338" s="280"/>
    </row>
    <row r="1339" spans="1:14">
      <c r="A1339" s="287"/>
      <c r="B1339" s="8"/>
      <c r="C1339" s="8"/>
      <c r="D1339" s="288"/>
      <c r="E1339" s="8"/>
      <c r="F1339" s="8"/>
      <c r="G1339" s="8" t="s">
        <v>503</v>
      </c>
      <c r="H1339" s="13">
        <v>1.69</v>
      </c>
      <c r="I1339" s="13">
        <v>0.35</v>
      </c>
      <c r="J1339" s="289" t="s">
        <v>24</v>
      </c>
      <c r="K1339" s="289" t="s">
        <v>24</v>
      </c>
      <c r="L1339" s="8"/>
      <c r="M1339" s="280"/>
      <c r="N1339" s="280"/>
    </row>
    <row r="1340" spans="1:14">
      <c r="A1340" s="9">
        <v>45659</v>
      </c>
      <c r="B1340" s="8" t="s">
        <v>2188</v>
      </c>
      <c r="C1340" s="8" t="s">
        <v>459</v>
      </c>
      <c r="D1340" s="282">
        <v>4.7</v>
      </c>
      <c r="E1340" s="8" t="s">
        <v>486</v>
      </c>
      <c r="F1340" s="8" t="s">
        <v>1284</v>
      </c>
      <c r="G1340" s="8" t="s">
        <v>1058</v>
      </c>
      <c r="H1340" s="13">
        <v>1</v>
      </c>
      <c r="I1340" s="13">
        <v>3.49</v>
      </c>
      <c r="J1340" s="13" t="s">
        <v>1744</v>
      </c>
      <c r="K1340" s="13">
        <v>1.95</v>
      </c>
      <c r="L1340" s="8" t="s">
        <v>27</v>
      </c>
      <c r="M1340" s="280"/>
      <c r="N1340" s="280"/>
    </row>
    <row r="1341" spans="1:14">
      <c r="A1341" s="287"/>
      <c r="B1341" s="8"/>
      <c r="C1341" s="8"/>
      <c r="D1341" s="288"/>
      <c r="E1341" s="8"/>
      <c r="F1341" s="8"/>
      <c r="G1341" s="8" t="s">
        <v>1059</v>
      </c>
      <c r="H1341" s="13">
        <v>1.84</v>
      </c>
      <c r="I1341" s="13">
        <v>1.07</v>
      </c>
      <c r="J1341" s="13" t="s">
        <v>1744</v>
      </c>
      <c r="K1341" s="13">
        <v>2.12</v>
      </c>
      <c r="L1341" s="8"/>
      <c r="M1341" s="280"/>
      <c r="N1341" s="280"/>
    </row>
    <row r="1342" spans="1:14">
      <c r="A1342" s="287"/>
      <c r="B1342" s="8"/>
      <c r="C1342" s="8"/>
      <c r="D1342" s="288"/>
      <c r="E1342" s="8"/>
      <c r="F1342" s="8"/>
      <c r="G1342" s="8" t="s">
        <v>503</v>
      </c>
      <c r="H1342" s="13">
        <v>2.17</v>
      </c>
      <c r="I1342" s="13">
        <v>0.14</v>
      </c>
      <c r="J1342" s="289" t="s">
        <v>24</v>
      </c>
      <c r="K1342" s="289" t="s">
        <v>24</v>
      </c>
      <c r="L1342" s="8"/>
      <c r="M1342" s="280"/>
      <c r="N1342" s="280"/>
    </row>
    <row r="1343" spans="1:14">
      <c r="A1343" s="9">
        <v>45653</v>
      </c>
      <c r="B1343" s="8" t="s">
        <v>2189</v>
      </c>
      <c r="C1343" s="8" t="s">
        <v>462</v>
      </c>
      <c r="D1343" s="282">
        <v>4</v>
      </c>
      <c r="E1343" s="8" t="s">
        <v>477</v>
      </c>
      <c r="F1343" s="8" t="s">
        <v>523</v>
      </c>
      <c r="G1343" s="8" t="s">
        <v>1064</v>
      </c>
      <c r="H1343" s="13">
        <v>1.03</v>
      </c>
      <c r="I1343" s="13">
        <v>3.56</v>
      </c>
      <c r="J1343" s="13" t="s">
        <v>1744</v>
      </c>
      <c r="K1343" s="13">
        <v>1.89</v>
      </c>
      <c r="L1343" s="8" t="s">
        <v>112</v>
      </c>
      <c r="M1343" s="280"/>
      <c r="N1343" s="280"/>
    </row>
    <row r="1344" spans="1:14">
      <c r="A1344" s="287"/>
      <c r="B1344" s="8"/>
      <c r="C1344" s="8"/>
      <c r="D1344" s="288"/>
      <c r="E1344" s="8"/>
      <c r="F1344" s="8"/>
      <c r="G1344" s="8" t="s">
        <v>1060</v>
      </c>
      <c r="H1344" s="13">
        <v>1.03</v>
      </c>
      <c r="I1344" s="13">
        <v>0.24</v>
      </c>
      <c r="J1344" s="13" t="s">
        <v>1762</v>
      </c>
      <c r="K1344" s="13">
        <v>2</v>
      </c>
      <c r="L1344" s="8"/>
      <c r="M1344" s="280"/>
      <c r="N1344" s="280"/>
    </row>
    <row r="1345" spans="1:14">
      <c r="A1345" s="287"/>
      <c r="B1345" s="8"/>
      <c r="C1345" s="8"/>
      <c r="D1345" s="288"/>
      <c r="E1345" s="8"/>
      <c r="F1345" s="8"/>
      <c r="G1345" s="8" t="s">
        <v>1086</v>
      </c>
      <c r="H1345" s="13">
        <v>1.03</v>
      </c>
      <c r="I1345" s="13">
        <v>0.08</v>
      </c>
      <c r="J1345" s="289" t="s">
        <v>24</v>
      </c>
      <c r="K1345" s="289" t="s">
        <v>24</v>
      </c>
      <c r="L1345" s="8"/>
      <c r="M1345" s="280"/>
      <c r="N1345" s="280"/>
    </row>
    <row r="1346" spans="1:14">
      <c r="A1346" s="287"/>
      <c r="B1346" s="8"/>
      <c r="C1346" s="8"/>
      <c r="D1346" s="288"/>
      <c r="E1346" s="8"/>
      <c r="F1346" s="8"/>
      <c r="G1346" s="8" t="s">
        <v>1087</v>
      </c>
      <c r="H1346" s="13">
        <v>1.03</v>
      </c>
      <c r="I1346" s="13">
        <v>0.12</v>
      </c>
      <c r="J1346" s="289" t="s">
        <v>24</v>
      </c>
      <c r="K1346" s="289" t="s">
        <v>24</v>
      </c>
      <c r="L1346" s="8"/>
      <c r="M1346" s="280"/>
      <c r="N1346" s="280"/>
    </row>
    <row r="1347" spans="1:14">
      <c r="A1347" s="9">
        <v>45652</v>
      </c>
      <c r="B1347" s="8" t="s">
        <v>2190</v>
      </c>
      <c r="C1347" s="8" t="s">
        <v>459</v>
      </c>
      <c r="D1347" s="282">
        <v>5</v>
      </c>
      <c r="E1347" s="8" t="s">
        <v>1057</v>
      </c>
      <c r="F1347" s="8" t="s">
        <v>474</v>
      </c>
      <c r="G1347" s="8" t="s">
        <v>1058</v>
      </c>
      <c r="H1347" s="13">
        <v>1.07</v>
      </c>
      <c r="I1347" s="13">
        <v>3.5</v>
      </c>
      <c r="J1347" s="13" t="s">
        <v>1744</v>
      </c>
      <c r="K1347" s="13">
        <v>1.9</v>
      </c>
      <c r="L1347" s="8" t="s">
        <v>41</v>
      </c>
      <c r="M1347" s="280"/>
      <c r="N1347" s="280"/>
    </row>
    <row r="1348" spans="1:14">
      <c r="A1348" s="287"/>
      <c r="B1348" s="8"/>
      <c r="C1348" s="8"/>
      <c r="D1348" s="288"/>
      <c r="E1348" s="8"/>
      <c r="F1348" s="8"/>
      <c r="G1348" s="8" t="s">
        <v>1059</v>
      </c>
      <c r="H1348" s="13">
        <v>1.2</v>
      </c>
      <c r="I1348" s="13">
        <v>0.77</v>
      </c>
      <c r="J1348" s="13" t="s">
        <v>1744</v>
      </c>
      <c r="K1348" s="13">
        <v>2</v>
      </c>
      <c r="L1348" s="8"/>
      <c r="M1348" s="280"/>
      <c r="N1348" s="280"/>
    </row>
    <row r="1349" spans="1:14">
      <c r="A1349" s="287"/>
      <c r="B1349" s="8"/>
      <c r="C1349" s="8"/>
      <c r="D1349" s="288"/>
      <c r="E1349" s="8"/>
      <c r="F1349" s="8"/>
      <c r="G1349" s="8" t="s">
        <v>1060</v>
      </c>
      <c r="H1349" s="13">
        <v>1.28</v>
      </c>
      <c r="I1349" s="13">
        <v>0.25</v>
      </c>
      <c r="J1349" s="13" t="s">
        <v>1762</v>
      </c>
      <c r="K1349" s="13">
        <v>2.25</v>
      </c>
      <c r="L1349" s="8"/>
      <c r="M1349" s="280"/>
      <c r="N1349" s="280"/>
    </row>
    <row r="1350" spans="1:14">
      <c r="A1350" s="287"/>
      <c r="B1350" s="8"/>
      <c r="C1350" s="8"/>
      <c r="D1350" s="288"/>
      <c r="E1350" s="8"/>
      <c r="F1350" s="8"/>
      <c r="G1350" s="8" t="s">
        <v>1061</v>
      </c>
      <c r="H1350" s="13">
        <v>1.36</v>
      </c>
      <c r="I1350" s="13">
        <v>0.23</v>
      </c>
      <c r="J1350" s="13" t="s">
        <v>1782</v>
      </c>
      <c r="K1350" s="13">
        <v>4.9</v>
      </c>
      <c r="L1350" s="8"/>
      <c r="M1350" s="280"/>
      <c r="N1350" s="280"/>
    </row>
    <row r="1351" spans="1:14">
      <c r="A1351" s="287"/>
      <c r="B1351" s="8"/>
      <c r="C1351" s="8"/>
      <c r="D1351" s="288"/>
      <c r="E1351" s="8"/>
      <c r="F1351" s="8"/>
      <c r="G1351" s="8" t="s">
        <v>503</v>
      </c>
      <c r="H1351" s="13">
        <v>1.74</v>
      </c>
      <c r="I1351" s="13">
        <v>0.25</v>
      </c>
      <c r="J1351" s="289" t="s">
        <v>24</v>
      </c>
      <c r="K1351" s="289" t="s">
        <v>24</v>
      </c>
      <c r="L1351" s="8"/>
      <c r="M1351" s="280"/>
      <c r="N1351" s="280"/>
    </row>
    <row r="1352" spans="1:14">
      <c r="A1352" s="9">
        <v>45651</v>
      </c>
      <c r="B1352" s="8" t="s">
        <v>2191</v>
      </c>
      <c r="C1352" s="8" t="s">
        <v>462</v>
      </c>
      <c r="D1352" s="282">
        <v>4</v>
      </c>
      <c r="E1352" s="8" t="s">
        <v>486</v>
      </c>
      <c r="F1352" s="8" t="s">
        <v>1091</v>
      </c>
      <c r="G1352" s="8" t="s">
        <v>1064</v>
      </c>
      <c r="H1352" s="13">
        <v>1.5</v>
      </c>
      <c r="I1352" s="13">
        <v>3.26</v>
      </c>
      <c r="J1352" s="13" t="s">
        <v>1744</v>
      </c>
      <c r="K1352" s="13">
        <v>2.14</v>
      </c>
      <c r="L1352" s="8" t="s">
        <v>27</v>
      </c>
      <c r="M1352" s="280"/>
      <c r="N1352" s="280"/>
    </row>
    <row r="1353" spans="1:14">
      <c r="A1353" s="287"/>
      <c r="B1353" s="8"/>
      <c r="C1353" s="8"/>
      <c r="D1353" s="288"/>
      <c r="E1353" s="8"/>
      <c r="F1353" s="8"/>
      <c r="G1353" s="8" t="s">
        <v>1060</v>
      </c>
      <c r="H1353" s="13">
        <v>1.98</v>
      </c>
      <c r="I1353" s="13">
        <v>0.16</v>
      </c>
      <c r="J1353" s="13" t="s">
        <v>1762</v>
      </c>
      <c r="K1353" s="13">
        <v>2.35</v>
      </c>
      <c r="L1353" s="8"/>
      <c r="M1353" s="280"/>
      <c r="N1353" s="280"/>
    </row>
    <row r="1354" spans="1:14">
      <c r="A1354" s="287"/>
      <c r="B1354" s="8"/>
      <c r="C1354" s="8"/>
      <c r="D1354" s="288"/>
      <c r="E1354" s="8"/>
      <c r="F1354" s="8"/>
      <c r="G1354" s="8" t="s">
        <v>1086</v>
      </c>
      <c r="H1354" s="13">
        <v>3</v>
      </c>
      <c r="I1354" s="13">
        <v>0.38</v>
      </c>
      <c r="J1354" s="289" t="s">
        <v>24</v>
      </c>
      <c r="K1354" s="289" t="s">
        <v>24</v>
      </c>
      <c r="L1354" s="8"/>
      <c r="M1354" s="280"/>
      <c r="N1354" s="280"/>
    </row>
    <row r="1355" spans="1:14">
      <c r="A1355" s="287"/>
      <c r="B1355" s="8"/>
      <c r="C1355" s="8"/>
      <c r="D1355" s="288"/>
      <c r="E1355" s="8"/>
      <c r="F1355" s="8"/>
      <c r="G1355" s="8" t="s">
        <v>1087</v>
      </c>
      <c r="H1355" s="13">
        <v>3</v>
      </c>
      <c r="I1355" s="13">
        <v>0.2</v>
      </c>
      <c r="J1355" s="289" t="s">
        <v>24</v>
      </c>
      <c r="K1355" s="289" t="s">
        <v>24</v>
      </c>
      <c r="L1355" s="8"/>
      <c r="M1355" s="280"/>
      <c r="N1355" s="280"/>
    </row>
  </sheetData>
  <autoFilter xmlns:etc="http://www.wps.cn/officeDocument/2017/etCustomData" ref="A1:L1355" etc:filterBottomFollowUsedRange="0">
    <extLst/>
  </autoFilter>
  <mergeCells count="2611">
    <mergeCell ref="A2:A5"/>
    <mergeCell ref="A6:A11"/>
    <mergeCell ref="A12:A15"/>
    <mergeCell ref="A16:A19"/>
    <mergeCell ref="A20:A22"/>
    <mergeCell ref="A23:A26"/>
    <mergeCell ref="A27:A30"/>
    <mergeCell ref="A31:A34"/>
    <mergeCell ref="A35:A38"/>
    <mergeCell ref="A39:A42"/>
    <mergeCell ref="A43:A44"/>
    <mergeCell ref="A45:A46"/>
    <mergeCell ref="A47:A49"/>
    <mergeCell ref="A50:A53"/>
    <mergeCell ref="A54:A57"/>
    <mergeCell ref="A58:A60"/>
    <mergeCell ref="A61:A63"/>
    <mergeCell ref="A64:A67"/>
    <mergeCell ref="A68:A69"/>
    <mergeCell ref="A70:A74"/>
    <mergeCell ref="A75:A77"/>
    <mergeCell ref="A78:A80"/>
    <mergeCell ref="A81:A84"/>
    <mergeCell ref="A85:A88"/>
    <mergeCell ref="A89:A90"/>
    <mergeCell ref="A91:A93"/>
    <mergeCell ref="A94:A97"/>
    <mergeCell ref="A98:A100"/>
    <mergeCell ref="A101:A104"/>
    <mergeCell ref="A105:A107"/>
    <mergeCell ref="A108:A111"/>
    <mergeCell ref="A112:A115"/>
    <mergeCell ref="A116:A120"/>
    <mergeCell ref="A121:A124"/>
    <mergeCell ref="A125:A128"/>
    <mergeCell ref="A129:A132"/>
    <mergeCell ref="A133:A136"/>
    <mergeCell ref="A137:A140"/>
    <mergeCell ref="A141:A144"/>
    <mergeCell ref="A145:A149"/>
    <mergeCell ref="A150:A153"/>
    <mergeCell ref="A154:A157"/>
    <mergeCell ref="A158:A161"/>
    <mergeCell ref="A162:A165"/>
    <mergeCell ref="A166:A169"/>
    <mergeCell ref="A170:A173"/>
    <mergeCell ref="A174:A177"/>
    <mergeCell ref="A178:A180"/>
    <mergeCell ref="A181:A183"/>
    <mergeCell ref="A184:A187"/>
    <mergeCell ref="A188:A191"/>
    <mergeCell ref="A192:A194"/>
    <mergeCell ref="A195:A197"/>
    <mergeCell ref="A198:A200"/>
    <mergeCell ref="A201:A204"/>
    <mergeCell ref="A205:A207"/>
    <mergeCell ref="A208:A209"/>
    <mergeCell ref="A210:A212"/>
    <mergeCell ref="A213:A216"/>
    <mergeCell ref="A217:A219"/>
    <mergeCell ref="A220:A223"/>
    <mergeCell ref="A224:A226"/>
    <mergeCell ref="A227:A229"/>
    <mergeCell ref="A230:A233"/>
    <mergeCell ref="A234:A237"/>
    <mergeCell ref="A238:A241"/>
    <mergeCell ref="A242:A245"/>
    <mergeCell ref="A246:A249"/>
    <mergeCell ref="A250:A252"/>
    <mergeCell ref="A253:A255"/>
    <mergeCell ref="A256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7"/>
    <mergeCell ref="A288:A291"/>
    <mergeCell ref="A292:A295"/>
    <mergeCell ref="A296:A299"/>
    <mergeCell ref="A300:A303"/>
    <mergeCell ref="A304:A307"/>
    <mergeCell ref="A308:A311"/>
    <mergeCell ref="A312:A314"/>
    <mergeCell ref="A315:A319"/>
    <mergeCell ref="A320:A323"/>
    <mergeCell ref="A324:A326"/>
    <mergeCell ref="A327:A331"/>
    <mergeCell ref="A332:A336"/>
    <mergeCell ref="A337:A340"/>
    <mergeCell ref="A341:A344"/>
    <mergeCell ref="A345:A349"/>
    <mergeCell ref="A350:A352"/>
    <mergeCell ref="A353:A356"/>
    <mergeCell ref="A357:A359"/>
    <mergeCell ref="A360:A362"/>
    <mergeCell ref="A363:A366"/>
    <mergeCell ref="A367:A370"/>
    <mergeCell ref="A371:A373"/>
    <mergeCell ref="A374:A376"/>
    <mergeCell ref="A377:A380"/>
    <mergeCell ref="A381:A384"/>
    <mergeCell ref="A385:A388"/>
    <mergeCell ref="A389:A392"/>
    <mergeCell ref="A393:A395"/>
    <mergeCell ref="A396:A398"/>
    <mergeCell ref="A399:A401"/>
    <mergeCell ref="A402:A405"/>
    <mergeCell ref="A406:A409"/>
    <mergeCell ref="A410:A414"/>
    <mergeCell ref="A415:A417"/>
    <mergeCell ref="A418:A421"/>
    <mergeCell ref="A422:A425"/>
    <mergeCell ref="A426:A429"/>
    <mergeCell ref="A430:A433"/>
    <mergeCell ref="A434:A437"/>
    <mergeCell ref="A438:A440"/>
    <mergeCell ref="A441:A443"/>
    <mergeCell ref="A444:A447"/>
    <mergeCell ref="A448:A450"/>
    <mergeCell ref="A451:A453"/>
    <mergeCell ref="A454:A457"/>
    <mergeCell ref="A458:A461"/>
    <mergeCell ref="A462:A464"/>
    <mergeCell ref="A465:A468"/>
    <mergeCell ref="A469:A473"/>
    <mergeCell ref="A474:A476"/>
    <mergeCell ref="A477:A479"/>
    <mergeCell ref="A480:A482"/>
    <mergeCell ref="A483:A485"/>
    <mergeCell ref="A486:A490"/>
    <mergeCell ref="A491:A494"/>
    <mergeCell ref="A495:A498"/>
    <mergeCell ref="A499:A501"/>
    <mergeCell ref="A502:A505"/>
    <mergeCell ref="A506:A509"/>
    <mergeCell ref="A510:A512"/>
    <mergeCell ref="A513:A516"/>
    <mergeCell ref="A517:A519"/>
    <mergeCell ref="A520:A522"/>
    <mergeCell ref="A523:A526"/>
    <mergeCell ref="A527:A529"/>
    <mergeCell ref="A530:A533"/>
    <mergeCell ref="A534:A537"/>
    <mergeCell ref="A538:A540"/>
    <mergeCell ref="A541:A543"/>
    <mergeCell ref="A544:A547"/>
    <mergeCell ref="A548:A549"/>
    <mergeCell ref="A550:A553"/>
    <mergeCell ref="A554:A556"/>
    <mergeCell ref="A557:A559"/>
    <mergeCell ref="A560:A562"/>
    <mergeCell ref="A563:A565"/>
    <mergeCell ref="A566:A569"/>
    <mergeCell ref="A570:A571"/>
    <mergeCell ref="A572:A575"/>
    <mergeCell ref="A576:A579"/>
    <mergeCell ref="A580:A583"/>
    <mergeCell ref="A584:A586"/>
    <mergeCell ref="A587:A589"/>
    <mergeCell ref="A590:A593"/>
    <mergeCell ref="A594:A597"/>
    <mergeCell ref="A598:A601"/>
    <mergeCell ref="A602:A606"/>
    <mergeCell ref="A607:A610"/>
    <mergeCell ref="A611:A613"/>
    <mergeCell ref="A614:A617"/>
    <mergeCell ref="A618:A620"/>
    <mergeCell ref="A621:A624"/>
    <mergeCell ref="A625:A626"/>
    <mergeCell ref="A627:A629"/>
    <mergeCell ref="A630:A632"/>
    <mergeCell ref="A633:A637"/>
    <mergeCell ref="A638:A641"/>
    <mergeCell ref="A642:A645"/>
    <mergeCell ref="A646:A649"/>
    <mergeCell ref="A650:A653"/>
    <mergeCell ref="A654:A657"/>
    <mergeCell ref="A658:A661"/>
    <mergeCell ref="A662:A663"/>
    <mergeCell ref="A664:A668"/>
    <mergeCell ref="A669:A671"/>
    <mergeCell ref="A672:A674"/>
    <mergeCell ref="A675:A677"/>
    <mergeCell ref="A678:A680"/>
    <mergeCell ref="A681:A683"/>
    <mergeCell ref="A684:A688"/>
    <mergeCell ref="A689:A693"/>
    <mergeCell ref="A694:A696"/>
    <mergeCell ref="A697:A698"/>
    <mergeCell ref="A699:A700"/>
    <mergeCell ref="A701:A704"/>
    <mergeCell ref="A705:A707"/>
    <mergeCell ref="A708:A711"/>
    <mergeCell ref="A712:A715"/>
    <mergeCell ref="A716:A718"/>
    <mergeCell ref="A719:A722"/>
    <mergeCell ref="A723:A725"/>
    <mergeCell ref="A726:A728"/>
    <mergeCell ref="A729:A731"/>
    <mergeCell ref="A732:A734"/>
    <mergeCell ref="A735:A738"/>
    <mergeCell ref="A739:A741"/>
    <mergeCell ref="A742:A745"/>
    <mergeCell ref="A746:A749"/>
    <mergeCell ref="A750:A752"/>
    <mergeCell ref="A753:A757"/>
    <mergeCell ref="A758:A760"/>
    <mergeCell ref="A761:A763"/>
    <mergeCell ref="A764:A767"/>
    <mergeCell ref="A768:A769"/>
    <mergeCell ref="A770:A773"/>
    <mergeCell ref="A774:A776"/>
    <mergeCell ref="A777:A780"/>
    <mergeCell ref="A781:A783"/>
    <mergeCell ref="A784:A787"/>
    <mergeCell ref="A788:A789"/>
    <mergeCell ref="A790:A792"/>
    <mergeCell ref="A793:A795"/>
    <mergeCell ref="A796:A799"/>
    <mergeCell ref="A800:A802"/>
    <mergeCell ref="A803:A807"/>
    <mergeCell ref="A808:A811"/>
    <mergeCell ref="A812:A815"/>
    <mergeCell ref="A816:A819"/>
    <mergeCell ref="A820:A823"/>
    <mergeCell ref="A824:A826"/>
    <mergeCell ref="A827:A830"/>
    <mergeCell ref="A831:A833"/>
    <mergeCell ref="A834:A837"/>
    <mergeCell ref="A838:A841"/>
    <mergeCell ref="A842:A844"/>
    <mergeCell ref="A845:A847"/>
    <mergeCell ref="A848:A851"/>
    <mergeCell ref="A852:A855"/>
    <mergeCell ref="A856:A858"/>
    <mergeCell ref="A859:A862"/>
    <mergeCell ref="A863:A866"/>
    <mergeCell ref="A867:A870"/>
    <mergeCell ref="A871:A875"/>
    <mergeCell ref="A876:A880"/>
    <mergeCell ref="A881:A885"/>
    <mergeCell ref="A886:A888"/>
    <mergeCell ref="A889:A892"/>
    <mergeCell ref="A893:A896"/>
    <mergeCell ref="A897:A899"/>
    <mergeCell ref="A900:A903"/>
    <mergeCell ref="A904:A907"/>
    <mergeCell ref="A908:A911"/>
    <mergeCell ref="A912:A913"/>
    <mergeCell ref="A914:A916"/>
    <mergeCell ref="A917:A919"/>
    <mergeCell ref="A920:A922"/>
    <mergeCell ref="A923:A925"/>
    <mergeCell ref="A926:A930"/>
    <mergeCell ref="A931:A933"/>
    <mergeCell ref="A934:A936"/>
    <mergeCell ref="A937:A939"/>
    <mergeCell ref="A940:A943"/>
    <mergeCell ref="A944:A946"/>
    <mergeCell ref="A947:A950"/>
    <mergeCell ref="A951:A953"/>
    <mergeCell ref="A954:A957"/>
    <mergeCell ref="A958:A961"/>
    <mergeCell ref="A962:A965"/>
    <mergeCell ref="A966:A968"/>
    <mergeCell ref="A969:A972"/>
    <mergeCell ref="A973:A975"/>
    <mergeCell ref="A976:A979"/>
    <mergeCell ref="A980:A982"/>
    <mergeCell ref="A983:A986"/>
    <mergeCell ref="A987:A990"/>
    <mergeCell ref="A991:A994"/>
    <mergeCell ref="A995:A999"/>
    <mergeCell ref="A1000:A1002"/>
    <mergeCell ref="A1003:A1005"/>
    <mergeCell ref="A1006:A1008"/>
    <mergeCell ref="A1009:A1012"/>
    <mergeCell ref="A1013:A1015"/>
    <mergeCell ref="A1016:A1019"/>
    <mergeCell ref="A1020:A1024"/>
    <mergeCell ref="A1025:A1028"/>
    <mergeCell ref="A1029:A1031"/>
    <mergeCell ref="A1032:A1034"/>
    <mergeCell ref="A1035:A1039"/>
    <mergeCell ref="A1040:A1043"/>
    <mergeCell ref="A1044:A1047"/>
    <mergeCell ref="A1048:A1051"/>
    <mergeCell ref="A1052:A1055"/>
    <mergeCell ref="A1056:A1059"/>
    <mergeCell ref="A1060:A1063"/>
    <mergeCell ref="A1064:A1066"/>
    <mergeCell ref="A1067:A1070"/>
    <mergeCell ref="A1071:A1074"/>
    <mergeCell ref="A1075:A1077"/>
    <mergeCell ref="A1078:A1081"/>
    <mergeCell ref="A1082:A1085"/>
    <mergeCell ref="A1086:A1089"/>
    <mergeCell ref="A1090:A1092"/>
    <mergeCell ref="A1093:A1095"/>
    <mergeCell ref="A1096:A1097"/>
    <mergeCell ref="A1098:A1101"/>
    <mergeCell ref="A1102:A1106"/>
    <mergeCell ref="A1107:A1109"/>
    <mergeCell ref="A1110:A1112"/>
    <mergeCell ref="A1113:A1116"/>
    <mergeCell ref="A1117:A1120"/>
    <mergeCell ref="A1121:A1124"/>
    <mergeCell ref="A1125:A1128"/>
    <mergeCell ref="A1129:A1132"/>
    <mergeCell ref="A1133:A1135"/>
    <mergeCell ref="A1136:A1138"/>
    <mergeCell ref="A1139:A1141"/>
    <mergeCell ref="A1142:A1145"/>
    <mergeCell ref="A1146:A1148"/>
    <mergeCell ref="A1149:A1151"/>
    <mergeCell ref="A1152:A1154"/>
    <mergeCell ref="A1155:A1157"/>
    <mergeCell ref="A1158:A1159"/>
    <mergeCell ref="A1160:A1163"/>
    <mergeCell ref="A1164:A1167"/>
    <mergeCell ref="A1168:A1172"/>
    <mergeCell ref="A1173:A1176"/>
    <mergeCell ref="A1177:A1179"/>
    <mergeCell ref="A1180:A1183"/>
    <mergeCell ref="A1184:A1188"/>
    <mergeCell ref="A1189:A1191"/>
    <mergeCell ref="A1192:A1194"/>
    <mergeCell ref="A1195:A1198"/>
    <mergeCell ref="A1199:A1202"/>
    <mergeCell ref="A1203:A1206"/>
    <mergeCell ref="A1207:A1210"/>
    <mergeCell ref="A1211:A1214"/>
    <mergeCell ref="A1215:A1218"/>
    <mergeCell ref="A1219:A1223"/>
    <mergeCell ref="A1224:A1229"/>
    <mergeCell ref="A1230:A1231"/>
    <mergeCell ref="A1232:A1235"/>
    <mergeCell ref="A1236:A1237"/>
    <mergeCell ref="A1238:A1242"/>
    <mergeCell ref="A1243:A1246"/>
    <mergeCell ref="A1247:A1250"/>
    <mergeCell ref="A1251:A1253"/>
    <mergeCell ref="A1254:A1257"/>
    <mergeCell ref="A1258:A1260"/>
    <mergeCell ref="A1261:A1264"/>
    <mergeCell ref="A1265:A1268"/>
    <mergeCell ref="A1269:A1272"/>
    <mergeCell ref="A1273:A1276"/>
    <mergeCell ref="A1277:A1281"/>
    <mergeCell ref="A1282:A1284"/>
    <mergeCell ref="A1285:A1288"/>
    <mergeCell ref="A1289:A1291"/>
    <mergeCell ref="A1292:A1296"/>
    <mergeCell ref="A1297:A1299"/>
    <mergeCell ref="A1300:A1304"/>
    <mergeCell ref="A1305:A1308"/>
    <mergeCell ref="A1309:A1311"/>
    <mergeCell ref="A1312:A1315"/>
    <mergeCell ref="A1316:A1318"/>
    <mergeCell ref="A1319:A1322"/>
    <mergeCell ref="A1323:A1326"/>
    <mergeCell ref="A1327:A1328"/>
    <mergeCell ref="A1329:A1332"/>
    <mergeCell ref="A1333:A1335"/>
    <mergeCell ref="A1336:A1339"/>
    <mergeCell ref="A1340:A1342"/>
    <mergeCell ref="A1343:A1346"/>
    <mergeCell ref="A1347:A1351"/>
    <mergeCell ref="A1352:A1355"/>
    <mergeCell ref="B2:B5"/>
    <mergeCell ref="B6:B11"/>
    <mergeCell ref="B12:B15"/>
    <mergeCell ref="B16:B19"/>
    <mergeCell ref="B20:B22"/>
    <mergeCell ref="B23:B26"/>
    <mergeCell ref="B27:B30"/>
    <mergeCell ref="B31:B34"/>
    <mergeCell ref="B35:B38"/>
    <mergeCell ref="B39:B42"/>
    <mergeCell ref="B43:B44"/>
    <mergeCell ref="B45:B46"/>
    <mergeCell ref="B47:B49"/>
    <mergeCell ref="B50:B53"/>
    <mergeCell ref="B54:B57"/>
    <mergeCell ref="B58:B60"/>
    <mergeCell ref="B61:B63"/>
    <mergeCell ref="B64:B67"/>
    <mergeCell ref="B68:B69"/>
    <mergeCell ref="B70:B74"/>
    <mergeCell ref="B75:B77"/>
    <mergeCell ref="B78:B80"/>
    <mergeCell ref="B81:B84"/>
    <mergeCell ref="B85:B88"/>
    <mergeCell ref="B89:B90"/>
    <mergeCell ref="B91:B93"/>
    <mergeCell ref="B94:B97"/>
    <mergeCell ref="B98:B100"/>
    <mergeCell ref="B101:B104"/>
    <mergeCell ref="B105:B107"/>
    <mergeCell ref="B108:B111"/>
    <mergeCell ref="B112:B115"/>
    <mergeCell ref="B116:B120"/>
    <mergeCell ref="B121:B124"/>
    <mergeCell ref="B125:B128"/>
    <mergeCell ref="B129:B132"/>
    <mergeCell ref="B133:B136"/>
    <mergeCell ref="B137:B140"/>
    <mergeCell ref="B141:B144"/>
    <mergeCell ref="B145:B149"/>
    <mergeCell ref="B150:B153"/>
    <mergeCell ref="B154:B157"/>
    <mergeCell ref="B158:B161"/>
    <mergeCell ref="B162:B165"/>
    <mergeCell ref="B166:B169"/>
    <mergeCell ref="B170:B173"/>
    <mergeCell ref="B174:B177"/>
    <mergeCell ref="B178:B180"/>
    <mergeCell ref="B181:B183"/>
    <mergeCell ref="B184:B187"/>
    <mergeCell ref="B188:B191"/>
    <mergeCell ref="B192:B194"/>
    <mergeCell ref="B195:B197"/>
    <mergeCell ref="B198:B200"/>
    <mergeCell ref="B201:B204"/>
    <mergeCell ref="B205:B207"/>
    <mergeCell ref="B208:B209"/>
    <mergeCell ref="B210:B212"/>
    <mergeCell ref="B213:B216"/>
    <mergeCell ref="B217:B219"/>
    <mergeCell ref="B220:B223"/>
    <mergeCell ref="B224:B226"/>
    <mergeCell ref="B227:B229"/>
    <mergeCell ref="B230:B233"/>
    <mergeCell ref="B234:B237"/>
    <mergeCell ref="B238:B241"/>
    <mergeCell ref="B242:B245"/>
    <mergeCell ref="B246:B249"/>
    <mergeCell ref="B250:B252"/>
    <mergeCell ref="B253:B255"/>
    <mergeCell ref="B256:B259"/>
    <mergeCell ref="B260:B262"/>
    <mergeCell ref="B263:B265"/>
    <mergeCell ref="B266:B268"/>
    <mergeCell ref="B269:B271"/>
    <mergeCell ref="B272:B274"/>
    <mergeCell ref="B275:B277"/>
    <mergeCell ref="B278:B280"/>
    <mergeCell ref="B281:B283"/>
    <mergeCell ref="B284:B287"/>
    <mergeCell ref="B288:B291"/>
    <mergeCell ref="B292:B295"/>
    <mergeCell ref="B296:B299"/>
    <mergeCell ref="B300:B303"/>
    <mergeCell ref="B304:B307"/>
    <mergeCell ref="B308:B311"/>
    <mergeCell ref="B312:B314"/>
    <mergeCell ref="B315:B319"/>
    <mergeCell ref="B320:B323"/>
    <mergeCell ref="B324:B326"/>
    <mergeCell ref="B327:B331"/>
    <mergeCell ref="B332:B336"/>
    <mergeCell ref="B337:B340"/>
    <mergeCell ref="B341:B344"/>
    <mergeCell ref="B345:B349"/>
    <mergeCell ref="B350:B352"/>
    <mergeCell ref="B353:B356"/>
    <mergeCell ref="B357:B359"/>
    <mergeCell ref="B360:B362"/>
    <mergeCell ref="B363:B366"/>
    <mergeCell ref="B367:B370"/>
    <mergeCell ref="B371:B373"/>
    <mergeCell ref="B374:B376"/>
    <mergeCell ref="B377:B380"/>
    <mergeCell ref="B381:B384"/>
    <mergeCell ref="B385:B388"/>
    <mergeCell ref="B389:B392"/>
    <mergeCell ref="B393:B395"/>
    <mergeCell ref="B396:B398"/>
    <mergeCell ref="B399:B401"/>
    <mergeCell ref="B402:B405"/>
    <mergeCell ref="B406:B409"/>
    <mergeCell ref="B410:B414"/>
    <mergeCell ref="B415:B417"/>
    <mergeCell ref="B418:B421"/>
    <mergeCell ref="B422:B425"/>
    <mergeCell ref="B426:B429"/>
    <mergeCell ref="B430:B433"/>
    <mergeCell ref="B434:B437"/>
    <mergeCell ref="B438:B440"/>
    <mergeCell ref="B441:B443"/>
    <mergeCell ref="B444:B447"/>
    <mergeCell ref="B448:B450"/>
    <mergeCell ref="B451:B453"/>
    <mergeCell ref="B454:B457"/>
    <mergeCell ref="B458:B461"/>
    <mergeCell ref="B462:B464"/>
    <mergeCell ref="B465:B468"/>
    <mergeCell ref="B469:B473"/>
    <mergeCell ref="B474:B476"/>
    <mergeCell ref="B477:B479"/>
    <mergeCell ref="B480:B482"/>
    <mergeCell ref="B483:B485"/>
    <mergeCell ref="B486:B490"/>
    <mergeCell ref="B491:B494"/>
    <mergeCell ref="B495:B498"/>
    <mergeCell ref="B499:B501"/>
    <mergeCell ref="B502:B505"/>
    <mergeCell ref="B506:B509"/>
    <mergeCell ref="B510:B512"/>
    <mergeCell ref="B513:B516"/>
    <mergeCell ref="B517:B519"/>
    <mergeCell ref="B520:B522"/>
    <mergeCell ref="B523:B526"/>
    <mergeCell ref="B527:B529"/>
    <mergeCell ref="B530:B533"/>
    <mergeCell ref="B534:B537"/>
    <mergeCell ref="B538:B540"/>
    <mergeCell ref="B541:B543"/>
    <mergeCell ref="B544:B547"/>
    <mergeCell ref="B548:B549"/>
    <mergeCell ref="B550:B553"/>
    <mergeCell ref="B554:B556"/>
    <mergeCell ref="B557:B559"/>
    <mergeCell ref="B560:B562"/>
    <mergeCell ref="B563:B565"/>
    <mergeCell ref="B566:B569"/>
    <mergeCell ref="B570:B571"/>
    <mergeCell ref="B572:B575"/>
    <mergeCell ref="B576:B579"/>
    <mergeCell ref="B580:B583"/>
    <mergeCell ref="B584:B586"/>
    <mergeCell ref="B587:B589"/>
    <mergeCell ref="B590:B593"/>
    <mergeCell ref="B594:B597"/>
    <mergeCell ref="B598:B601"/>
    <mergeCell ref="B602:B606"/>
    <mergeCell ref="B607:B610"/>
    <mergeCell ref="B611:B613"/>
    <mergeCell ref="B614:B617"/>
    <mergeCell ref="B618:B620"/>
    <mergeCell ref="B621:B624"/>
    <mergeCell ref="B625:B626"/>
    <mergeCell ref="B627:B629"/>
    <mergeCell ref="B630:B632"/>
    <mergeCell ref="B633:B637"/>
    <mergeCell ref="B638:B641"/>
    <mergeCell ref="B642:B645"/>
    <mergeCell ref="B646:B649"/>
    <mergeCell ref="B650:B653"/>
    <mergeCell ref="B654:B657"/>
    <mergeCell ref="B658:B661"/>
    <mergeCell ref="B662:B663"/>
    <mergeCell ref="B664:B668"/>
    <mergeCell ref="B669:B671"/>
    <mergeCell ref="B672:B674"/>
    <mergeCell ref="B675:B677"/>
    <mergeCell ref="B678:B680"/>
    <mergeCell ref="B681:B683"/>
    <mergeCell ref="B684:B688"/>
    <mergeCell ref="B689:B693"/>
    <mergeCell ref="B694:B696"/>
    <mergeCell ref="B697:B698"/>
    <mergeCell ref="B699:B700"/>
    <mergeCell ref="B701:B704"/>
    <mergeCell ref="B705:B707"/>
    <mergeCell ref="B708:B711"/>
    <mergeCell ref="B712:B715"/>
    <mergeCell ref="B716:B718"/>
    <mergeCell ref="B719:B722"/>
    <mergeCell ref="B723:B725"/>
    <mergeCell ref="B726:B728"/>
    <mergeCell ref="B729:B731"/>
    <mergeCell ref="B732:B734"/>
    <mergeCell ref="B735:B738"/>
    <mergeCell ref="B739:B741"/>
    <mergeCell ref="B742:B745"/>
    <mergeCell ref="B746:B749"/>
    <mergeCell ref="B750:B752"/>
    <mergeCell ref="B753:B757"/>
    <mergeCell ref="B758:B760"/>
    <mergeCell ref="B761:B763"/>
    <mergeCell ref="B764:B767"/>
    <mergeCell ref="B768:B769"/>
    <mergeCell ref="B770:B773"/>
    <mergeCell ref="B774:B776"/>
    <mergeCell ref="B777:B780"/>
    <mergeCell ref="B781:B783"/>
    <mergeCell ref="B784:B787"/>
    <mergeCell ref="B788:B789"/>
    <mergeCell ref="B790:B792"/>
    <mergeCell ref="B793:B795"/>
    <mergeCell ref="B796:B799"/>
    <mergeCell ref="B800:B802"/>
    <mergeCell ref="B803:B807"/>
    <mergeCell ref="B808:B811"/>
    <mergeCell ref="B812:B815"/>
    <mergeCell ref="B816:B819"/>
    <mergeCell ref="B820:B823"/>
    <mergeCell ref="B824:B826"/>
    <mergeCell ref="B827:B830"/>
    <mergeCell ref="B831:B833"/>
    <mergeCell ref="B834:B837"/>
    <mergeCell ref="B838:B841"/>
    <mergeCell ref="B842:B844"/>
    <mergeCell ref="B845:B847"/>
    <mergeCell ref="B848:B851"/>
    <mergeCell ref="B852:B855"/>
    <mergeCell ref="B856:B858"/>
    <mergeCell ref="B859:B862"/>
    <mergeCell ref="B863:B866"/>
    <mergeCell ref="B867:B870"/>
    <mergeCell ref="B871:B875"/>
    <mergeCell ref="B876:B880"/>
    <mergeCell ref="B881:B885"/>
    <mergeCell ref="B886:B888"/>
    <mergeCell ref="B889:B892"/>
    <mergeCell ref="B893:B896"/>
    <mergeCell ref="B897:B899"/>
    <mergeCell ref="B900:B903"/>
    <mergeCell ref="B904:B907"/>
    <mergeCell ref="B908:B911"/>
    <mergeCell ref="B912:B913"/>
    <mergeCell ref="B914:B916"/>
    <mergeCell ref="B917:B919"/>
    <mergeCell ref="B920:B922"/>
    <mergeCell ref="B923:B925"/>
    <mergeCell ref="B926:B930"/>
    <mergeCell ref="B931:B933"/>
    <mergeCell ref="B934:B936"/>
    <mergeCell ref="B937:B939"/>
    <mergeCell ref="B940:B943"/>
    <mergeCell ref="B944:B946"/>
    <mergeCell ref="B947:B950"/>
    <mergeCell ref="B951:B953"/>
    <mergeCell ref="B954:B957"/>
    <mergeCell ref="B958:B961"/>
    <mergeCell ref="B962:B965"/>
    <mergeCell ref="B966:B968"/>
    <mergeCell ref="B969:B972"/>
    <mergeCell ref="B973:B975"/>
    <mergeCell ref="B976:B979"/>
    <mergeCell ref="B980:B982"/>
    <mergeCell ref="B983:B986"/>
    <mergeCell ref="B987:B990"/>
    <mergeCell ref="B991:B994"/>
    <mergeCell ref="B995:B999"/>
    <mergeCell ref="B1000:B1002"/>
    <mergeCell ref="B1003:B1005"/>
    <mergeCell ref="B1006:B1008"/>
    <mergeCell ref="B1009:B1012"/>
    <mergeCell ref="B1013:B1015"/>
    <mergeCell ref="B1016:B1019"/>
    <mergeCell ref="B1020:B1024"/>
    <mergeCell ref="B1025:B1028"/>
    <mergeCell ref="B1029:B1031"/>
    <mergeCell ref="B1032:B1034"/>
    <mergeCell ref="B1035:B1039"/>
    <mergeCell ref="B1040:B1043"/>
    <mergeCell ref="B1044:B1047"/>
    <mergeCell ref="B1048:B1051"/>
    <mergeCell ref="B1052:B1055"/>
    <mergeCell ref="B1056:B1059"/>
    <mergeCell ref="B1060:B1063"/>
    <mergeCell ref="B1064:B1066"/>
    <mergeCell ref="B1067:B1070"/>
    <mergeCell ref="B1071:B1074"/>
    <mergeCell ref="B1075:B1077"/>
    <mergeCell ref="B1078:B1081"/>
    <mergeCell ref="B1082:B1085"/>
    <mergeCell ref="B1086:B1089"/>
    <mergeCell ref="B1090:B1092"/>
    <mergeCell ref="B1093:B1095"/>
    <mergeCell ref="B1096:B1097"/>
    <mergeCell ref="B1098:B1101"/>
    <mergeCell ref="B1102:B1106"/>
    <mergeCell ref="B1107:B1109"/>
    <mergeCell ref="B1110:B1112"/>
    <mergeCell ref="B1113:B1116"/>
    <mergeCell ref="B1117:B1120"/>
    <mergeCell ref="B1121:B1124"/>
    <mergeCell ref="B1125:B1128"/>
    <mergeCell ref="B1129:B1132"/>
    <mergeCell ref="B1133:B1135"/>
    <mergeCell ref="B1136:B1138"/>
    <mergeCell ref="B1139:B1141"/>
    <mergeCell ref="B1142:B1145"/>
    <mergeCell ref="B1146:B1148"/>
    <mergeCell ref="B1149:B1151"/>
    <mergeCell ref="B1152:B1154"/>
    <mergeCell ref="B1155:B1157"/>
    <mergeCell ref="B1158:B1159"/>
    <mergeCell ref="B1160:B1163"/>
    <mergeCell ref="B1164:B1167"/>
    <mergeCell ref="B1168:B1172"/>
    <mergeCell ref="B1173:B1176"/>
    <mergeCell ref="B1177:B1179"/>
    <mergeCell ref="B1180:B1183"/>
    <mergeCell ref="B1184:B1188"/>
    <mergeCell ref="B1189:B1191"/>
    <mergeCell ref="B1192:B1194"/>
    <mergeCell ref="B1195:B1198"/>
    <mergeCell ref="B1199:B1202"/>
    <mergeCell ref="B1203:B1206"/>
    <mergeCell ref="B1207:B1210"/>
    <mergeCell ref="B1211:B1214"/>
    <mergeCell ref="B1215:B1218"/>
    <mergeCell ref="B1219:B1223"/>
    <mergeCell ref="B1224:B1229"/>
    <mergeCell ref="B1230:B1231"/>
    <mergeCell ref="B1232:B1235"/>
    <mergeCell ref="B1236:B1237"/>
    <mergeCell ref="B1238:B1242"/>
    <mergeCell ref="B1243:B1246"/>
    <mergeCell ref="B1247:B1250"/>
    <mergeCell ref="B1251:B1253"/>
    <mergeCell ref="B1254:B1257"/>
    <mergeCell ref="B1258:B1260"/>
    <mergeCell ref="B1261:B1264"/>
    <mergeCell ref="B1265:B1268"/>
    <mergeCell ref="B1269:B1272"/>
    <mergeCell ref="B1273:B1276"/>
    <mergeCell ref="B1277:B1281"/>
    <mergeCell ref="B1282:B1284"/>
    <mergeCell ref="B1285:B1288"/>
    <mergeCell ref="B1289:B1291"/>
    <mergeCell ref="B1292:B1296"/>
    <mergeCell ref="B1297:B1299"/>
    <mergeCell ref="B1300:B1304"/>
    <mergeCell ref="B1305:B1308"/>
    <mergeCell ref="B1309:B1311"/>
    <mergeCell ref="B1312:B1315"/>
    <mergeCell ref="B1316:B1318"/>
    <mergeCell ref="B1319:B1322"/>
    <mergeCell ref="B1323:B1326"/>
    <mergeCell ref="B1327:B1328"/>
    <mergeCell ref="B1329:B1332"/>
    <mergeCell ref="B1333:B1335"/>
    <mergeCell ref="B1336:B1339"/>
    <mergeCell ref="B1340:B1342"/>
    <mergeCell ref="B1343:B1346"/>
    <mergeCell ref="B1347:B1351"/>
    <mergeCell ref="B1352:B1355"/>
    <mergeCell ref="C2:C5"/>
    <mergeCell ref="C6:C11"/>
    <mergeCell ref="C12:C15"/>
    <mergeCell ref="C16:C19"/>
    <mergeCell ref="C20:C22"/>
    <mergeCell ref="C23:C26"/>
    <mergeCell ref="C27:C30"/>
    <mergeCell ref="C31:C34"/>
    <mergeCell ref="C35:C38"/>
    <mergeCell ref="C39:C42"/>
    <mergeCell ref="C43:C44"/>
    <mergeCell ref="C45:C46"/>
    <mergeCell ref="C47:C49"/>
    <mergeCell ref="C50:C53"/>
    <mergeCell ref="C54:C57"/>
    <mergeCell ref="C58:C60"/>
    <mergeCell ref="C61:C63"/>
    <mergeCell ref="C64:C67"/>
    <mergeCell ref="C68:C69"/>
    <mergeCell ref="C70:C74"/>
    <mergeCell ref="C75:C77"/>
    <mergeCell ref="C78:C80"/>
    <mergeCell ref="C81:C84"/>
    <mergeCell ref="C85:C88"/>
    <mergeCell ref="C89:C90"/>
    <mergeCell ref="C91:C93"/>
    <mergeCell ref="C94:C97"/>
    <mergeCell ref="C98:C100"/>
    <mergeCell ref="C101:C104"/>
    <mergeCell ref="C105:C107"/>
    <mergeCell ref="C108:C111"/>
    <mergeCell ref="C112:C115"/>
    <mergeCell ref="C116:C120"/>
    <mergeCell ref="C121:C124"/>
    <mergeCell ref="C125:C128"/>
    <mergeCell ref="C129:C132"/>
    <mergeCell ref="C133:C136"/>
    <mergeCell ref="C137:C140"/>
    <mergeCell ref="C141:C144"/>
    <mergeCell ref="C145:C149"/>
    <mergeCell ref="C150:C153"/>
    <mergeCell ref="C154:C157"/>
    <mergeCell ref="C158:C161"/>
    <mergeCell ref="C162:C165"/>
    <mergeCell ref="C166:C169"/>
    <mergeCell ref="C170:C173"/>
    <mergeCell ref="C174:C177"/>
    <mergeCell ref="C178:C180"/>
    <mergeCell ref="C181:C183"/>
    <mergeCell ref="C184:C187"/>
    <mergeCell ref="C188:C191"/>
    <mergeCell ref="C192:C194"/>
    <mergeCell ref="C195:C197"/>
    <mergeCell ref="C198:C200"/>
    <mergeCell ref="C201:C204"/>
    <mergeCell ref="C205:C207"/>
    <mergeCell ref="C208:C209"/>
    <mergeCell ref="C210:C212"/>
    <mergeCell ref="C213:C216"/>
    <mergeCell ref="C217:C219"/>
    <mergeCell ref="C220:C223"/>
    <mergeCell ref="C224:C226"/>
    <mergeCell ref="C227:C229"/>
    <mergeCell ref="C230:C233"/>
    <mergeCell ref="C234:C237"/>
    <mergeCell ref="C238:C241"/>
    <mergeCell ref="C242:C245"/>
    <mergeCell ref="C246:C249"/>
    <mergeCell ref="C250:C252"/>
    <mergeCell ref="C253:C255"/>
    <mergeCell ref="C256:C259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7"/>
    <mergeCell ref="C288:C291"/>
    <mergeCell ref="C292:C295"/>
    <mergeCell ref="C296:C299"/>
    <mergeCell ref="C300:C303"/>
    <mergeCell ref="C304:C307"/>
    <mergeCell ref="C308:C311"/>
    <mergeCell ref="C312:C314"/>
    <mergeCell ref="C315:C319"/>
    <mergeCell ref="C320:C323"/>
    <mergeCell ref="C324:C326"/>
    <mergeCell ref="C327:C331"/>
    <mergeCell ref="C332:C336"/>
    <mergeCell ref="C337:C340"/>
    <mergeCell ref="C341:C344"/>
    <mergeCell ref="C345:C349"/>
    <mergeCell ref="C350:C352"/>
    <mergeCell ref="C353:C356"/>
    <mergeCell ref="C357:C359"/>
    <mergeCell ref="C360:C362"/>
    <mergeCell ref="C363:C366"/>
    <mergeCell ref="C367:C370"/>
    <mergeCell ref="C371:C373"/>
    <mergeCell ref="C374:C376"/>
    <mergeCell ref="C377:C380"/>
    <mergeCell ref="C381:C384"/>
    <mergeCell ref="C385:C388"/>
    <mergeCell ref="C389:C392"/>
    <mergeCell ref="C393:C395"/>
    <mergeCell ref="C396:C398"/>
    <mergeCell ref="C399:C401"/>
    <mergeCell ref="C402:C405"/>
    <mergeCell ref="C406:C409"/>
    <mergeCell ref="C410:C414"/>
    <mergeCell ref="C415:C417"/>
    <mergeCell ref="C418:C421"/>
    <mergeCell ref="C422:C425"/>
    <mergeCell ref="C426:C429"/>
    <mergeCell ref="C430:C433"/>
    <mergeCell ref="C434:C437"/>
    <mergeCell ref="C438:C440"/>
    <mergeCell ref="C441:C443"/>
    <mergeCell ref="C444:C447"/>
    <mergeCell ref="C448:C450"/>
    <mergeCell ref="C451:C453"/>
    <mergeCell ref="C454:C457"/>
    <mergeCell ref="C458:C461"/>
    <mergeCell ref="C462:C464"/>
    <mergeCell ref="C465:C468"/>
    <mergeCell ref="C469:C473"/>
    <mergeCell ref="C474:C476"/>
    <mergeCell ref="C477:C479"/>
    <mergeCell ref="C480:C482"/>
    <mergeCell ref="C483:C485"/>
    <mergeCell ref="C486:C490"/>
    <mergeCell ref="C491:C494"/>
    <mergeCell ref="C495:C498"/>
    <mergeCell ref="C499:C501"/>
    <mergeCell ref="C502:C505"/>
    <mergeCell ref="C506:C509"/>
    <mergeCell ref="C510:C512"/>
    <mergeCell ref="C513:C516"/>
    <mergeCell ref="C517:C519"/>
    <mergeCell ref="C520:C522"/>
    <mergeCell ref="C523:C526"/>
    <mergeCell ref="C527:C529"/>
    <mergeCell ref="C530:C533"/>
    <mergeCell ref="C534:C537"/>
    <mergeCell ref="C538:C540"/>
    <mergeCell ref="C541:C543"/>
    <mergeCell ref="C544:C547"/>
    <mergeCell ref="C548:C549"/>
    <mergeCell ref="C550:C553"/>
    <mergeCell ref="C554:C556"/>
    <mergeCell ref="C557:C559"/>
    <mergeCell ref="C560:C562"/>
    <mergeCell ref="C563:C565"/>
    <mergeCell ref="C566:C569"/>
    <mergeCell ref="C570:C571"/>
    <mergeCell ref="C572:C575"/>
    <mergeCell ref="C576:C579"/>
    <mergeCell ref="C580:C583"/>
    <mergeCell ref="C584:C586"/>
    <mergeCell ref="C587:C589"/>
    <mergeCell ref="C590:C593"/>
    <mergeCell ref="C594:C597"/>
    <mergeCell ref="C598:C601"/>
    <mergeCell ref="C602:C606"/>
    <mergeCell ref="C607:C610"/>
    <mergeCell ref="C611:C613"/>
    <mergeCell ref="C614:C617"/>
    <mergeCell ref="C618:C620"/>
    <mergeCell ref="C621:C624"/>
    <mergeCell ref="C625:C626"/>
    <mergeCell ref="C627:C629"/>
    <mergeCell ref="C630:C632"/>
    <mergeCell ref="C633:C637"/>
    <mergeCell ref="C638:C641"/>
    <mergeCell ref="C642:C645"/>
    <mergeCell ref="C646:C649"/>
    <mergeCell ref="C650:C653"/>
    <mergeCell ref="C654:C657"/>
    <mergeCell ref="C658:C661"/>
    <mergeCell ref="C662:C663"/>
    <mergeCell ref="C664:C668"/>
    <mergeCell ref="C669:C671"/>
    <mergeCell ref="C672:C674"/>
    <mergeCell ref="C675:C677"/>
    <mergeCell ref="C678:C680"/>
    <mergeCell ref="C681:C683"/>
    <mergeCell ref="C684:C688"/>
    <mergeCell ref="C689:C693"/>
    <mergeCell ref="C694:C696"/>
    <mergeCell ref="C697:C698"/>
    <mergeCell ref="C699:C700"/>
    <mergeCell ref="C701:C704"/>
    <mergeCell ref="C705:C707"/>
    <mergeCell ref="C708:C711"/>
    <mergeCell ref="C712:C715"/>
    <mergeCell ref="C716:C718"/>
    <mergeCell ref="C719:C722"/>
    <mergeCell ref="C723:C725"/>
    <mergeCell ref="C726:C728"/>
    <mergeCell ref="C729:C731"/>
    <mergeCell ref="C732:C734"/>
    <mergeCell ref="C735:C738"/>
    <mergeCell ref="C739:C741"/>
    <mergeCell ref="C742:C745"/>
    <mergeCell ref="C746:C749"/>
    <mergeCell ref="C750:C752"/>
    <mergeCell ref="C753:C757"/>
    <mergeCell ref="C758:C760"/>
    <mergeCell ref="C761:C763"/>
    <mergeCell ref="C764:C767"/>
    <mergeCell ref="C768:C769"/>
    <mergeCell ref="C770:C773"/>
    <mergeCell ref="C774:C776"/>
    <mergeCell ref="C777:C780"/>
    <mergeCell ref="C781:C783"/>
    <mergeCell ref="C784:C787"/>
    <mergeCell ref="C788:C789"/>
    <mergeCell ref="C790:C792"/>
    <mergeCell ref="C793:C795"/>
    <mergeCell ref="C796:C799"/>
    <mergeCell ref="C800:C802"/>
    <mergeCell ref="C803:C807"/>
    <mergeCell ref="C808:C811"/>
    <mergeCell ref="C812:C815"/>
    <mergeCell ref="C816:C819"/>
    <mergeCell ref="C820:C823"/>
    <mergeCell ref="C824:C826"/>
    <mergeCell ref="C827:C830"/>
    <mergeCell ref="C831:C833"/>
    <mergeCell ref="C834:C837"/>
    <mergeCell ref="C838:C841"/>
    <mergeCell ref="C842:C844"/>
    <mergeCell ref="C845:C847"/>
    <mergeCell ref="C848:C851"/>
    <mergeCell ref="C852:C855"/>
    <mergeCell ref="C856:C858"/>
    <mergeCell ref="C859:C862"/>
    <mergeCell ref="C863:C866"/>
    <mergeCell ref="C867:C870"/>
    <mergeCell ref="C871:C875"/>
    <mergeCell ref="C876:C880"/>
    <mergeCell ref="C881:C885"/>
    <mergeCell ref="C886:C888"/>
    <mergeCell ref="C889:C892"/>
    <mergeCell ref="C893:C896"/>
    <mergeCell ref="C897:C899"/>
    <mergeCell ref="C900:C903"/>
    <mergeCell ref="C904:C907"/>
    <mergeCell ref="C908:C911"/>
    <mergeCell ref="C912:C913"/>
    <mergeCell ref="C914:C916"/>
    <mergeCell ref="C917:C919"/>
    <mergeCell ref="C920:C922"/>
    <mergeCell ref="C923:C925"/>
    <mergeCell ref="C926:C930"/>
    <mergeCell ref="C931:C933"/>
    <mergeCell ref="C934:C936"/>
    <mergeCell ref="C937:C939"/>
    <mergeCell ref="C940:C943"/>
    <mergeCell ref="C944:C946"/>
    <mergeCell ref="C947:C950"/>
    <mergeCell ref="C951:C953"/>
    <mergeCell ref="C954:C957"/>
    <mergeCell ref="C958:C961"/>
    <mergeCell ref="C962:C965"/>
    <mergeCell ref="C966:C968"/>
    <mergeCell ref="C969:C972"/>
    <mergeCell ref="C973:C975"/>
    <mergeCell ref="C976:C979"/>
    <mergeCell ref="C980:C982"/>
    <mergeCell ref="C983:C986"/>
    <mergeCell ref="C987:C990"/>
    <mergeCell ref="C991:C994"/>
    <mergeCell ref="C995:C999"/>
    <mergeCell ref="C1000:C1002"/>
    <mergeCell ref="C1003:C1005"/>
    <mergeCell ref="C1006:C1008"/>
    <mergeCell ref="C1009:C1012"/>
    <mergeCell ref="C1013:C1015"/>
    <mergeCell ref="C1016:C1019"/>
    <mergeCell ref="C1020:C1024"/>
    <mergeCell ref="C1025:C1028"/>
    <mergeCell ref="C1029:C1031"/>
    <mergeCell ref="C1032:C1034"/>
    <mergeCell ref="C1035:C1039"/>
    <mergeCell ref="C1040:C1043"/>
    <mergeCell ref="C1044:C1047"/>
    <mergeCell ref="C1048:C1051"/>
    <mergeCell ref="C1052:C1055"/>
    <mergeCell ref="C1056:C1059"/>
    <mergeCell ref="C1060:C1063"/>
    <mergeCell ref="C1064:C1066"/>
    <mergeCell ref="C1067:C1070"/>
    <mergeCell ref="C1071:C1074"/>
    <mergeCell ref="C1075:C1077"/>
    <mergeCell ref="C1078:C1081"/>
    <mergeCell ref="C1082:C1085"/>
    <mergeCell ref="C1086:C1089"/>
    <mergeCell ref="C1090:C1092"/>
    <mergeCell ref="C1093:C1095"/>
    <mergeCell ref="C1096:C1097"/>
    <mergeCell ref="C1098:C1101"/>
    <mergeCell ref="C1102:C1106"/>
    <mergeCell ref="C1107:C1109"/>
    <mergeCell ref="C1110:C1112"/>
    <mergeCell ref="C1113:C1116"/>
    <mergeCell ref="C1117:C1120"/>
    <mergeCell ref="C1121:C1124"/>
    <mergeCell ref="C1125:C1128"/>
    <mergeCell ref="C1129:C1132"/>
    <mergeCell ref="C1133:C1135"/>
    <mergeCell ref="C1136:C1138"/>
    <mergeCell ref="C1139:C1141"/>
    <mergeCell ref="C1142:C1145"/>
    <mergeCell ref="C1146:C1148"/>
    <mergeCell ref="C1149:C1151"/>
    <mergeCell ref="C1152:C1154"/>
    <mergeCell ref="C1155:C1157"/>
    <mergeCell ref="C1158:C1159"/>
    <mergeCell ref="C1160:C1163"/>
    <mergeCell ref="C1164:C1167"/>
    <mergeCell ref="C1168:C1172"/>
    <mergeCell ref="C1173:C1176"/>
    <mergeCell ref="C1177:C1179"/>
    <mergeCell ref="C1180:C1183"/>
    <mergeCell ref="C1184:C1188"/>
    <mergeCell ref="C1189:C1191"/>
    <mergeCell ref="C1192:C1194"/>
    <mergeCell ref="C1195:C1198"/>
    <mergeCell ref="C1199:C1202"/>
    <mergeCell ref="C1203:C1206"/>
    <mergeCell ref="C1207:C1210"/>
    <mergeCell ref="C1211:C1214"/>
    <mergeCell ref="C1215:C1218"/>
    <mergeCell ref="C1219:C1223"/>
    <mergeCell ref="C1224:C1229"/>
    <mergeCell ref="C1230:C1231"/>
    <mergeCell ref="C1232:C1235"/>
    <mergeCell ref="C1236:C1237"/>
    <mergeCell ref="C1238:C1242"/>
    <mergeCell ref="C1243:C1246"/>
    <mergeCell ref="C1247:C1250"/>
    <mergeCell ref="C1251:C1253"/>
    <mergeCell ref="C1254:C1257"/>
    <mergeCell ref="C1258:C1260"/>
    <mergeCell ref="C1261:C1264"/>
    <mergeCell ref="C1265:C1268"/>
    <mergeCell ref="C1269:C1272"/>
    <mergeCell ref="C1273:C1276"/>
    <mergeCell ref="C1277:C1281"/>
    <mergeCell ref="C1282:C1284"/>
    <mergeCell ref="C1285:C1288"/>
    <mergeCell ref="C1289:C1291"/>
    <mergeCell ref="C1292:C1296"/>
    <mergeCell ref="C1297:C1299"/>
    <mergeCell ref="C1300:C1304"/>
    <mergeCell ref="C1305:C1308"/>
    <mergeCell ref="C1309:C1311"/>
    <mergeCell ref="C1312:C1315"/>
    <mergeCell ref="C1316:C1318"/>
    <mergeCell ref="C1319:C1322"/>
    <mergeCell ref="C1323:C1326"/>
    <mergeCell ref="C1327:C1328"/>
    <mergeCell ref="C1329:C1332"/>
    <mergeCell ref="C1333:C1335"/>
    <mergeCell ref="C1336:C1339"/>
    <mergeCell ref="C1340:C1342"/>
    <mergeCell ref="C1343:C1346"/>
    <mergeCell ref="C1347:C1351"/>
    <mergeCell ref="C1352:C1355"/>
    <mergeCell ref="D2:D5"/>
    <mergeCell ref="D6:D11"/>
    <mergeCell ref="D12:D15"/>
    <mergeCell ref="D16:D19"/>
    <mergeCell ref="D20:D22"/>
    <mergeCell ref="D23:D26"/>
    <mergeCell ref="D27:D30"/>
    <mergeCell ref="D31:D34"/>
    <mergeCell ref="D35:D38"/>
    <mergeCell ref="D39:D42"/>
    <mergeCell ref="D43:D44"/>
    <mergeCell ref="D45:D46"/>
    <mergeCell ref="D47:D49"/>
    <mergeCell ref="D50:D53"/>
    <mergeCell ref="D54:D57"/>
    <mergeCell ref="D58:D60"/>
    <mergeCell ref="D61:D63"/>
    <mergeCell ref="D64:D67"/>
    <mergeCell ref="D68:D69"/>
    <mergeCell ref="D70:D74"/>
    <mergeCell ref="D75:D77"/>
    <mergeCell ref="D78:D80"/>
    <mergeCell ref="D81:D84"/>
    <mergeCell ref="D85:D88"/>
    <mergeCell ref="D89:D90"/>
    <mergeCell ref="D91:D93"/>
    <mergeCell ref="D94:D97"/>
    <mergeCell ref="D98:D100"/>
    <mergeCell ref="D101:D104"/>
    <mergeCell ref="D105:D107"/>
    <mergeCell ref="D108:D111"/>
    <mergeCell ref="D112:D115"/>
    <mergeCell ref="D116:D120"/>
    <mergeCell ref="D121:D124"/>
    <mergeCell ref="D125:D128"/>
    <mergeCell ref="D129:D132"/>
    <mergeCell ref="D133:D136"/>
    <mergeCell ref="D137:D140"/>
    <mergeCell ref="D141:D144"/>
    <mergeCell ref="D145:D149"/>
    <mergeCell ref="D150:D153"/>
    <mergeCell ref="D154:D157"/>
    <mergeCell ref="D158:D161"/>
    <mergeCell ref="D162:D165"/>
    <mergeCell ref="D166:D169"/>
    <mergeCell ref="D170:D173"/>
    <mergeCell ref="D174:D177"/>
    <mergeCell ref="D178:D180"/>
    <mergeCell ref="D181:D183"/>
    <mergeCell ref="D184:D187"/>
    <mergeCell ref="D188:D191"/>
    <mergeCell ref="D192:D194"/>
    <mergeCell ref="D195:D197"/>
    <mergeCell ref="D198:D200"/>
    <mergeCell ref="D201:D204"/>
    <mergeCell ref="D205:D207"/>
    <mergeCell ref="D208:D209"/>
    <mergeCell ref="D210:D212"/>
    <mergeCell ref="D213:D216"/>
    <mergeCell ref="D217:D219"/>
    <mergeCell ref="D220:D223"/>
    <mergeCell ref="D224:D226"/>
    <mergeCell ref="D227:D229"/>
    <mergeCell ref="D230:D233"/>
    <mergeCell ref="D234:D237"/>
    <mergeCell ref="D238:D241"/>
    <mergeCell ref="D242:D245"/>
    <mergeCell ref="D246:D249"/>
    <mergeCell ref="D250:D252"/>
    <mergeCell ref="D253:D255"/>
    <mergeCell ref="D256:D259"/>
    <mergeCell ref="D260:D262"/>
    <mergeCell ref="D263:D265"/>
    <mergeCell ref="D266:D268"/>
    <mergeCell ref="D269:D271"/>
    <mergeCell ref="D272:D274"/>
    <mergeCell ref="D275:D277"/>
    <mergeCell ref="D278:D280"/>
    <mergeCell ref="D281:D283"/>
    <mergeCell ref="D284:D287"/>
    <mergeCell ref="D288:D291"/>
    <mergeCell ref="D292:D295"/>
    <mergeCell ref="D296:D299"/>
    <mergeCell ref="D300:D303"/>
    <mergeCell ref="D304:D307"/>
    <mergeCell ref="D308:D311"/>
    <mergeCell ref="D312:D314"/>
    <mergeCell ref="D315:D319"/>
    <mergeCell ref="D320:D323"/>
    <mergeCell ref="D324:D326"/>
    <mergeCell ref="D327:D331"/>
    <mergeCell ref="D332:D336"/>
    <mergeCell ref="D337:D340"/>
    <mergeCell ref="D341:D344"/>
    <mergeCell ref="D345:D349"/>
    <mergeCell ref="D350:D352"/>
    <mergeCell ref="D353:D356"/>
    <mergeCell ref="D357:D359"/>
    <mergeCell ref="D360:D362"/>
    <mergeCell ref="D363:D366"/>
    <mergeCell ref="D367:D370"/>
    <mergeCell ref="D371:D373"/>
    <mergeCell ref="D374:D376"/>
    <mergeCell ref="D377:D380"/>
    <mergeCell ref="D381:D384"/>
    <mergeCell ref="D385:D388"/>
    <mergeCell ref="D389:D392"/>
    <mergeCell ref="D393:D395"/>
    <mergeCell ref="D396:D398"/>
    <mergeCell ref="D399:D401"/>
    <mergeCell ref="D402:D405"/>
    <mergeCell ref="D406:D409"/>
    <mergeCell ref="D410:D414"/>
    <mergeCell ref="D415:D417"/>
    <mergeCell ref="D418:D421"/>
    <mergeCell ref="D422:D425"/>
    <mergeCell ref="D426:D429"/>
    <mergeCell ref="D430:D433"/>
    <mergeCell ref="D434:D437"/>
    <mergeCell ref="D438:D440"/>
    <mergeCell ref="D441:D443"/>
    <mergeCell ref="D444:D447"/>
    <mergeCell ref="D448:D450"/>
    <mergeCell ref="D451:D453"/>
    <mergeCell ref="D454:D457"/>
    <mergeCell ref="D458:D461"/>
    <mergeCell ref="D462:D464"/>
    <mergeCell ref="D465:D468"/>
    <mergeCell ref="D469:D473"/>
    <mergeCell ref="D474:D476"/>
    <mergeCell ref="D477:D479"/>
    <mergeCell ref="D480:D482"/>
    <mergeCell ref="D483:D485"/>
    <mergeCell ref="D486:D490"/>
    <mergeCell ref="D491:D494"/>
    <mergeCell ref="D495:D498"/>
    <mergeCell ref="D499:D501"/>
    <mergeCell ref="D502:D505"/>
    <mergeCell ref="D506:D509"/>
    <mergeCell ref="D510:D512"/>
    <mergeCell ref="D513:D516"/>
    <mergeCell ref="D517:D519"/>
    <mergeCell ref="D520:D522"/>
    <mergeCell ref="D523:D526"/>
    <mergeCell ref="D527:D529"/>
    <mergeCell ref="D530:D533"/>
    <mergeCell ref="D534:D537"/>
    <mergeCell ref="D538:D540"/>
    <mergeCell ref="D541:D543"/>
    <mergeCell ref="D544:D547"/>
    <mergeCell ref="D548:D549"/>
    <mergeCell ref="D550:D553"/>
    <mergeCell ref="D554:D556"/>
    <mergeCell ref="D557:D559"/>
    <mergeCell ref="D560:D562"/>
    <mergeCell ref="D563:D565"/>
    <mergeCell ref="D566:D569"/>
    <mergeCell ref="D570:D571"/>
    <mergeCell ref="D572:D575"/>
    <mergeCell ref="D576:D579"/>
    <mergeCell ref="D580:D583"/>
    <mergeCell ref="D584:D586"/>
    <mergeCell ref="D587:D589"/>
    <mergeCell ref="D590:D593"/>
    <mergeCell ref="D594:D597"/>
    <mergeCell ref="D598:D601"/>
    <mergeCell ref="D602:D606"/>
    <mergeCell ref="D607:D610"/>
    <mergeCell ref="D611:D613"/>
    <mergeCell ref="D614:D617"/>
    <mergeCell ref="D618:D620"/>
    <mergeCell ref="D621:D624"/>
    <mergeCell ref="D625:D626"/>
    <mergeCell ref="D627:D629"/>
    <mergeCell ref="D630:D632"/>
    <mergeCell ref="D633:D637"/>
    <mergeCell ref="D638:D641"/>
    <mergeCell ref="D642:D645"/>
    <mergeCell ref="D646:D649"/>
    <mergeCell ref="D650:D653"/>
    <mergeCell ref="D654:D657"/>
    <mergeCell ref="D658:D661"/>
    <mergeCell ref="D662:D663"/>
    <mergeCell ref="D664:D668"/>
    <mergeCell ref="D669:D671"/>
    <mergeCell ref="D672:D674"/>
    <mergeCell ref="D675:D677"/>
    <mergeCell ref="D678:D680"/>
    <mergeCell ref="D681:D683"/>
    <mergeCell ref="D684:D688"/>
    <mergeCell ref="D689:D693"/>
    <mergeCell ref="D694:D696"/>
    <mergeCell ref="D697:D698"/>
    <mergeCell ref="D699:D700"/>
    <mergeCell ref="D701:D704"/>
    <mergeCell ref="D705:D707"/>
    <mergeCell ref="D708:D711"/>
    <mergeCell ref="D712:D715"/>
    <mergeCell ref="D716:D718"/>
    <mergeCell ref="D719:D722"/>
    <mergeCell ref="D723:D725"/>
    <mergeCell ref="D726:D728"/>
    <mergeCell ref="D729:D731"/>
    <mergeCell ref="D732:D734"/>
    <mergeCell ref="D735:D738"/>
    <mergeCell ref="D739:D741"/>
    <mergeCell ref="D742:D745"/>
    <mergeCell ref="D746:D749"/>
    <mergeCell ref="D750:D752"/>
    <mergeCell ref="D753:D757"/>
    <mergeCell ref="D758:D760"/>
    <mergeCell ref="D761:D763"/>
    <mergeCell ref="D764:D767"/>
    <mergeCell ref="D768:D769"/>
    <mergeCell ref="D770:D773"/>
    <mergeCell ref="D774:D776"/>
    <mergeCell ref="D777:D780"/>
    <mergeCell ref="D781:D783"/>
    <mergeCell ref="D784:D787"/>
    <mergeCell ref="D788:D789"/>
    <mergeCell ref="D790:D792"/>
    <mergeCell ref="D793:D795"/>
    <mergeCell ref="D796:D799"/>
    <mergeCell ref="D800:D802"/>
    <mergeCell ref="D803:D807"/>
    <mergeCell ref="D808:D811"/>
    <mergeCell ref="D812:D815"/>
    <mergeCell ref="D816:D819"/>
    <mergeCell ref="D820:D823"/>
    <mergeCell ref="D824:D826"/>
    <mergeCell ref="D827:D830"/>
    <mergeCell ref="D831:D833"/>
    <mergeCell ref="D834:D837"/>
    <mergeCell ref="D838:D841"/>
    <mergeCell ref="D842:D844"/>
    <mergeCell ref="D845:D847"/>
    <mergeCell ref="D848:D851"/>
    <mergeCell ref="D852:D855"/>
    <mergeCell ref="D856:D858"/>
    <mergeCell ref="D859:D862"/>
    <mergeCell ref="D863:D866"/>
    <mergeCell ref="D867:D870"/>
    <mergeCell ref="D871:D875"/>
    <mergeCell ref="D876:D880"/>
    <mergeCell ref="D881:D885"/>
    <mergeCell ref="D886:D888"/>
    <mergeCell ref="D889:D892"/>
    <mergeCell ref="D893:D896"/>
    <mergeCell ref="D897:D899"/>
    <mergeCell ref="D900:D903"/>
    <mergeCell ref="D904:D907"/>
    <mergeCell ref="D908:D911"/>
    <mergeCell ref="D912:D913"/>
    <mergeCell ref="D914:D916"/>
    <mergeCell ref="D917:D919"/>
    <mergeCell ref="D920:D922"/>
    <mergeCell ref="D923:D925"/>
    <mergeCell ref="D926:D930"/>
    <mergeCell ref="D931:D933"/>
    <mergeCell ref="D934:D936"/>
    <mergeCell ref="D937:D939"/>
    <mergeCell ref="D940:D943"/>
    <mergeCell ref="D944:D946"/>
    <mergeCell ref="D947:D950"/>
    <mergeCell ref="D951:D953"/>
    <mergeCell ref="D954:D957"/>
    <mergeCell ref="D958:D961"/>
    <mergeCell ref="D962:D965"/>
    <mergeCell ref="D966:D968"/>
    <mergeCell ref="D969:D972"/>
    <mergeCell ref="D973:D975"/>
    <mergeCell ref="D976:D979"/>
    <mergeCell ref="D980:D982"/>
    <mergeCell ref="D983:D986"/>
    <mergeCell ref="D987:D990"/>
    <mergeCell ref="D991:D994"/>
    <mergeCell ref="D995:D999"/>
    <mergeCell ref="D1000:D1002"/>
    <mergeCell ref="D1003:D1005"/>
    <mergeCell ref="D1006:D1008"/>
    <mergeCell ref="D1009:D1012"/>
    <mergeCell ref="D1013:D1015"/>
    <mergeCell ref="D1016:D1019"/>
    <mergeCell ref="D1020:D1024"/>
    <mergeCell ref="D1025:D1028"/>
    <mergeCell ref="D1029:D1031"/>
    <mergeCell ref="D1032:D1034"/>
    <mergeCell ref="D1035:D1039"/>
    <mergeCell ref="D1040:D1043"/>
    <mergeCell ref="D1044:D1047"/>
    <mergeCell ref="D1048:D1051"/>
    <mergeCell ref="D1052:D1055"/>
    <mergeCell ref="D1056:D1059"/>
    <mergeCell ref="D1060:D1063"/>
    <mergeCell ref="D1064:D1066"/>
    <mergeCell ref="D1067:D1070"/>
    <mergeCell ref="D1071:D1074"/>
    <mergeCell ref="D1075:D1077"/>
    <mergeCell ref="D1078:D1081"/>
    <mergeCell ref="D1082:D1085"/>
    <mergeCell ref="D1086:D1089"/>
    <mergeCell ref="D1090:D1092"/>
    <mergeCell ref="D1093:D1095"/>
    <mergeCell ref="D1096:D1097"/>
    <mergeCell ref="D1098:D1101"/>
    <mergeCell ref="D1102:D1106"/>
    <mergeCell ref="D1107:D1109"/>
    <mergeCell ref="D1110:D1112"/>
    <mergeCell ref="D1113:D1116"/>
    <mergeCell ref="D1117:D1120"/>
    <mergeCell ref="D1121:D1124"/>
    <mergeCell ref="D1125:D1128"/>
    <mergeCell ref="D1129:D1132"/>
    <mergeCell ref="D1133:D1135"/>
    <mergeCell ref="D1136:D1138"/>
    <mergeCell ref="D1139:D1141"/>
    <mergeCell ref="D1142:D1145"/>
    <mergeCell ref="D1146:D1148"/>
    <mergeCell ref="D1149:D1151"/>
    <mergeCell ref="D1152:D1154"/>
    <mergeCell ref="D1155:D1157"/>
    <mergeCell ref="D1158:D1159"/>
    <mergeCell ref="D1160:D1163"/>
    <mergeCell ref="D1164:D1167"/>
    <mergeCell ref="D1168:D1172"/>
    <mergeCell ref="D1173:D1176"/>
    <mergeCell ref="D1177:D1179"/>
    <mergeCell ref="D1180:D1183"/>
    <mergeCell ref="D1184:D1188"/>
    <mergeCell ref="D1189:D1191"/>
    <mergeCell ref="D1192:D1194"/>
    <mergeCell ref="D1195:D1198"/>
    <mergeCell ref="D1199:D1202"/>
    <mergeCell ref="D1203:D1206"/>
    <mergeCell ref="D1207:D1210"/>
    <mergeCell ref="D1211:D1214"/>
    <mergeCell ref="D1215:D1218"/>
    <mergeCell ref="D1219:D1223"/>
    <mergeCell ref="D1224:D1229"/>
    <mergeCell ref="D1230:D1231"/>
    <mergeCell ref="D1232:D1235"/>
    <mergeCell ref="D1236:D1237"/>
    <mergeCell ref="D1238:D1242"/>
    <mergeCell ref="D1243:D1246"/>
    <mergeCell ref="D1247:D1250"/>
    <mergeCell ref="D1251:D1253"/>
    <mergeCell ref="D1254:D1257"/>
    <mergeCell ref="D1258:D1260"/>
    <mergeCell ref="D1261:D1264"/>
    <mergeCell ref="D1265:D1268"/>
    <mergeCell ref="D1269:D1272"/>
    <mergeCell ref="D1273:D1276"/>
    <mergeCell ref="D1277:D1281"/>
    <mergeCell ref="D1282:D1284"/>
    <mergeCell ref="D1285:D1288"/>
    <mergeCell ref="D1289:D1291"/>
    <mergeCell ref="D1292:D1296"/>
    <mergeCell ref="D1297:D1299"/>
    <mergeCell ref="D1300:D1304"/>
    <mergeCell ref="D1305:D1308"/>
    <mergeCell ref="D1309:D1311"/>
    <mergeCell ref="D1312:D1315"/>
    <mergeCell ref="D1316:D1318"/>
    <mergeCell ref="D1319:D1322"/>
    <mergeCell ref="D1323:D1326"/>
    <mergeCell ref="D1327:D1328"/>
    <mergeCell ref="D1329:D1332"/>
    <mergeCell ref="D1333:D1335"/>
    <mergeCell ref="D1336:D1339"/>
    <mergeCell ref="D1340:D1342"/>
    <mergeCell ref="D1343:D1346"/>
    <mergeCell ref="D1347:D1351"/>
    <mergeCell ref="D1352:D1355"/>
    <mergeCell ref="E2:E5"/>
    <mergeCell ref="E6:E11"/>
    <mergeCell ref="E12:E15"/>
    <mergeCell ref="E16:E19"/>
    <mergeCell ref="E20:E22"/>
    <mergeCell ref="E23:E26"/>
    <mergeCell ref="E27:E30"/>
    <mergeCell ref="E31:E34"/>
    <mergeCell ref="E35:E38"/>
    <mergeCell ref="E39:E42"/>
    <mergeCell ref="E43:E44"/>
    <mergeCell ref="E45:E46"/>
    <mergeCell ref="E47:E49"/>
    <mergeCell ref="E50:E53"/>
    <mergeCell ref="E54:E57"/>
    <mergeCell ref="E58:E60"/>
    <mergeCell ref="E61:E63"/>
    <mergeCell ref="E64:E67"/>
    <mergeCell ref="E68:E69"/>
    <mergeCell ref="E70:E74"/>
    <mergeCell ref="E75:E77"/>
    <mergeCell ref="E78:E80"/>
    <mergeCell ref="E81:E84"/>
    <mergeCell ref="E85:E88"/>
    <mergeCell ref="E89:E90"/>
    <mergeCell ref="E91:E93"/>
    <mergeCell ref="E94:E97"/>
    <mergeCell ref="E98:E100"/>
    <mergeCell ref="E101:E104"/>
    <mergeCell ref="E105:E107"/>
    <mergeCell ref="E108:E111"/>
    <mergeCell ref="E112:E115"/>
    <mergeCell ref="E116:E120"/>
    <mergeCell ref="E121:E124"/>
    <mergeCell ref="E125:E128"/>
    <mergeCell ref="E129:E132"/>
    <mergeCell ref="E133:E136"/>
    <mergeCell ref="E137:E140"/>
    <mergeCell ref="E141:E144"/>
    <mergeCell ref="E145:E149"/>
    <mergeCell ref="E150:E153"/>
    <mergeCell ref="E154:E157"/>
    <mergeCell ref="E158:E161"/>
    <mergeCell ref="E162:E165"/>
    <mergeCell ref="E166:E169"/>
    <mergeCell ref="E170:E173"/>
    <mergeCell ref="E174:E177"/>
    <mergeCell ref="E178:E180"/>
    <mergeCell ref="E181:E183"/>
    <mergeCell ref="E184:E187"/>
    <mergeCell ref="E188:E191"/>
    <mergeCell ref="E192:E194"/>
    <mergeCell ref="E195:E197"/>
    <mergeCell ref="E198:E200"/>
    <mergeCell ref="E201:E204"/>
    <mergeCell ref="E205:E207"/>
    <mergeCell ref="E208:E209"/>
    <mergeCell ref="E210:E212"/>
    <mergeCell ref="E213:E216"/>
    <mergeCell ref="E217:E219"/>
    <mergeCell ref="E220:E223"/>
    <mergeCell ref="E224:E226"/>
    <mergeCell ref="E227:E229"/>
    <mergeCell ref="E230:E233"/>
    <mergeCell ref="E234:E237"/>
    <mergeCell ref="E238:E241"/>
    <mergeCell ref="E242:E245"/>
    <mergeCell ref="E246:E249"/>
    <mergeCell ref="E250:E252"/>
    <mergeCell ref="E253:E255"/>
    <mergeCell ref="E256:E259"/>
    <mergeCell ref="E260:E262"/>
    <mergeCell ref="E263:E265"/>
    <mergeCell ref="E266:E268"/>
    <mergeCell ref="E269:E271"/>
    <mergeCell ref="E272:E274"/>
    <mergeCell ref="E275:E277"/>
    <mergeCell ref="E278:E280"/>
    <mergeCell ref="E281:E283"/>
    <mergeCell ref="E284:E287"/>
    <mergeCell ref="E288:E291"/>
    <mergeCell ref="E292:E295"/>
    <mergeCell ref="E296:E299"/>
    <mergeCell ref="E300:E303"/>
    <mergeCell ref="E304:E307"/>
    <mergeCell ref="E308:E311"/>
    <mergeCell ref="E312:E314"/>
    <mergeCell ref="E315:E319"/>
    <mergeCell ref="E320:E323"/>
    <mergeCell ref="E324:E326"/>
    <mergeCell ref="E327:E331"/>
    <mergeCell ref="E332:E336"/>
    <mergeCell ref="E337:E340"/>
    <mergeCell ref="E341:E344"/>
    <mergeCell ref="E345:E349"/>
    <mergeCell ref="E350:E352"/>
    <mergeCell ref="E353:E356"/>
    <mergeCell ref="E357:E359"/>
    <mergeCell ref="E360:E362"/>
    <mergeCell ref="E363:E366"/>
    <mergeCell ref="E367:E370"/>
    <mergeCell ref="E371:E373"/>
    <mergeCell ref="E374:E376"/>
    <mergeCell ref="E377:E380"/>
    <mergeCell ref="E381:E384"/>
    <mergeCell ref="E385:E388"/>
    <mergeCell ref="E389:E392"/>
    <mergeCell ref="E393:E395"/>
    <mergeCell ref="E396:E398"/>
    <mergeCell ref="E399:E401"/>
    <mergeCell ref="E402:E405"/>
    <mergeCell ref="E406:E409"/>
    <mergeCell ref="E410:E414"/>
    <mergeCell ref="E415:E417"/>
    <mergeCell ref="E418:E421"/>
    <mergeCell ref="E422:E425"/>
    <mergeCell ref="E426:E429"/>
    <mergeCell ref="E430:E433"/>
    <mergeCell ref="E434:E437"/>
    <mergeCell ref="E438:E440"/>
    <mergeCell ref="E441:E443"/>
    <mergeCell ref="E444:E447"/>
    <mergeCell ref="E448:E450"/>
    <mergeCell ref="E451:E453"/>
    <mergeCell ref="E454:E457"/>
    <mergeCell ref="E458:E461"/>
    <mergeCell ref="E462:E464"/>
    <mergeCell ref="E465:E468"/>
    <mergeCell ref="E469:E473"/>
    <mergeCell ref="E474:E476"/>
    <mergeCell ref="E477:E479"/>
    <mergeCell ref="E480:E482"/>
    <mergeCell ref="E483:E485"/>
    <mergeCell ref="E486:E490"/>
    <mergeCell ref="E491:E494"/>
    <mergeCell ref="E495:E498"/>
    <mergeCell ref="E499:E501"/>
    <mergeCell ref="E502:E505"/>
    <mergeCell ref="E506:E509"/>
    <mergeCell ref="E510:E512"/>
    <mergeCell ref="E513:E516"/>
    <mergeCell ref="E517:E519"/>
    <mergeCell ref="E520:E522"/>
    <mergeCell ref="E523:E526"/>
    <mergeCell ref="E527:E529"/>
    <mergeCell ref="E530:E533"/>
    <mergeCell ref="E534:E537"/>
    <mergeCell ref="E538:E540"/>
    <mergeCell ref="E541:E543"/>
    <mergeCell ref="E544:E547"/>
    <mergeCell ref="E548:E549"/>
    <mergeCell ref="E550:E553"/>
    <mergeCell ref="E554:E556"/>
    <mergeCell ref="E557:E559"/>
    <mergeCell ref="E560:E562"/>
    <mergeCell ref="E563:E565"/>
    <mergeCell ref="E566:E569"/>
    <mergeCell ref="E570:E571"/>
    <mergeCell ref="E572:E575"/>
    <mergeCell ref="E576:E579"/>
    <mergeCell ref="E580:E583"/>
    <mergeCell ref="E584:E586"/>
    <mergeCell ref="E587:E589"/>
    <mergeCell ref="E590:E593"/>
    <mergeCell ref="E594:E597"/>
    <mergeCell ref="E598:E601"/>
    <mergeCell ref="E602:E606"/>
    <mergeCell ref="E607:E610"/>
    <mergeCell ref="E611:E613"/>
    <mergeCell ref="E614:E617"/>
    <mergeCell ref="E618:E620"/>
    <mergeCell ref="E621:E624"/>
    <mergeCell ref="E625:E626"/>
    <mergeCell ref="E627:E629"/>
    <mergeCell ref="E630:E632"/>
    <mergeCell ref="E633:E637"/>
    <mergeCell ref="E638:E641"/>
    <mergeCell ref="E642:E645"/>
    <mergeCell ref="E646:E649"/>
    <mergeCell ref="E650:E653"/>
    <mergeCell ref="E654:E657"/>
    <mergeCell ref="E658:E661"/>
    <mergeCell ref="E662:E663"/>
    <mergeCell ref="E664:E668"/>
    <mergeCell ref="E669:E671"/>
    <mergeCell ref="E672:E674"/>
    <mergeCell ref="E675:E677"/>
    <mergeCell ref="E678:E680"/>
    <mergeCell ref="E681:E683"/>
    <mergeCell ref="E684:E688"/>
    <mergeCell ref="E689:E693"/>
    <mergeCell ref="E694:E696"/>
    <mergeCell ref="E697:E698"/>
    <mergeCell ref="E699:E700"/>
    <mergeCell ref="E701:E704"/>
    <mergeCell ref="E705:E707"/>
    <mergeCell ref="E708:E711"/>
    <mergeCell ref="E712:E715"/>
    <mergeCell ref="E716:E718"/>
    <mergeCell ref="E719:E722"/>
    <mergeCell ref="E723:E725"/>
    <mergeCell ref="E726:E728"/>
    <mergeCell ref="E729:E731"/>
    <mergeCell ref="E732:E734"/>
    <mergeCell ref="E735:E738"/>
    <mergeCell ref="E739:E741"/>
    <mergeCell ref="E742:E745"/>
    <mergeCell ref="E746:E749"/>
    <mergeCell ref="E750:E752"/>
    <mergeCell ref="E753:E757"/>
    <mergeCell ref="E758:E760"/>
    <mergeCell ref="E761:E763"/>
    <mergeCell ref="E764:E767"/>
    <mergeCell ref="E768:E769"/>
    <mergeCell ref="E770:E773"/>
    <mergeCell ref="E774:E776"/>
    <mergeCell ref="E777:E780"/>
    <mergeCell ref="E781:E783"/>
    <mergeCell ref="E784:E787"/>
    <mergeCell ref="E788:E789"/>
    <mergeCell ref="E790:E792"/>
    <mergeCell ref="E793:E795"/>
    <mergeCell ref="E796:E799"/>
    <mergeCell ref="E800:E802"/>
    <mergeCell ref="E803:E807"/>
    <mergeCell ref="E808:E811"/>
    <mergeCell ref="E812:E815"/>
    <mergeCell ref="E816:E819"/>
    <mergeCell ref="E820:E823"/>
    <mergeCell ref="E824:E826"/>
    <mergeCell ref="E827:E830"/>
    <mergeCell ref="E831:E833"/>
    <mergeCell ref="E834:E837"/>
    <mergeCell ref="E838:E841"/>
    <mergeCell ref="E842:E844"/>
    <mergeCell ref="E845:E847"/>
    <mergeCell ref="E848:E851"/>
    <mergeCell ref="E852:E855"/>
    <mergeCell ref="E856:E858"/>
    <mergeCell ref="E859:E862"/>
    <mergeCell ref="E863:E866"/>
    <mergeCell ref="E867:E870"/>
    <mergeCell ref="E871:E875"/>
    <mergeCell ref="E876:E880"/>
    <mergeCell ref="E881:E885"/>
    <mergeCell ref="E886:E888"/>
    <mergeCell ref="E889:E892"/>
    <mergeCell ref="E893:E896"/>
    <mergeCell ref="E897:E899"/>
    <mergeCell ref="E900:E903"/>
    <mergeCell ref="E904:E907"/>
    <mergeCell ref="E908:E911"/>
    <mergeCell ref="E912:E913"/>
    <mergeCell ref="E914:E916"/>
    <mergeCell ref="E917:E919"/>
    <mergeCell ref="E920:E922"/>
    <mergeCell ref="E923:E925"/>
    <mergeCell ref="E926:E930"/>
    <mergeCell ref="E931:E933"/>
    <mergeCell ref="E934:E936"/>
    <mergeCell ref="E937:E939"/>
    <mergeCell ref="E940:E943"/>
    <mergeCell ref="E944:E946"/>
    <mergeCell ref="E947:E950"/>
    <mergeCell ref="E951:E953"/>
    <mergeCell ref="E954:E957"/>
    <mergeCell ref="E958:E961"/>
    <mergeCell ref="E962:E965"/>
    <mergeCell ref="E966:E968"/>
    <mergeCell ref="E969:E972"/>
    <mergeCell ref="E973:E975"/>
    <mergeCell ref="E976:E979"/>
    <mergeCell ref="E980:E982"/>
    <mergeCell ref="E983:E986"/>
    <mergeCell ref="E987:E990"/>
    <mergeCell ref="E991:E994"/>
    <mergeCell ref="E995:E999"/>
    <mergeCell ref="E1000:E1002"/>
    <mergeCell ref="E1003:E1005"/>
    <mergeCell ref="E1006:E1008"/>
    <mergeCell ref="E1009:E1012"/>
    <mergeCell ref="E1013:E1015"/>
    <mergeCell ref="E1016:E1019"/>
    <mergeCell ref="E1020:E1024"/>
    <mergeCell ref="E1025:E1028"/>
    <mergeCell ref="E1029:E1031"/>
    <mergeCell ref="E1032:E1034"/>
    <mergeCell ref="E1035:E1039"/>
    <mergeCell ref="E1040:E1043"/>
    <mergeCell ref="E1044:E1047"/>
    <mergeCell ref="E1048:E1051"/>
    <mergeCell ref="E1052:E1055"/>
    <mergeCell ref="E1056:E1059"/>
    <mergeCell ref="E1060:E1063"/>
    <mergeCell ref="E1064:E1066"/>
    <mergeCell ref="E1067:E1070"/>
    <mergeCell ref="E1071:E1074"/>
    <mergeCell ref="E1075:E1077"/>
    <mergeCell ref="E1078:E1081"/>
    <mergeCell ref="E1082:E1085"/>
    <mergeCell ref="E1086:E1089"/>
    <mergeCell ref="E1090:E1092"/>
    <mergeCell ref="E1093:E1095"/>
    <mergeCell ref="E1096:E1097"/>
    <mergeCell ref="E1098:E1101"/>
    <mergeCell ref="E1102:E1106"/>
    <mergeCell ref="E1107:E1109"/>
    <mergeCell ref="E1110:E1112"/>
    <mergeCell ref="E1113:E1116"/>
    <mergeCell ref="E1117:E1120"/>
    <mergeCell ref="E1121:E1124"/>
    <mergeCell ref="E1125:E1128"/>
    <mergeCell ref="E1129:E1132"/>
    <mergeCell ref="E1133:E1135"/>
    <mergeCell ref="E1136:E1138"/>
    <mergeCell ref="E1139:E1141"/>
    <mergeCell ref="E1142:E1145"/>
    <mergeCell ref="E1146:E1148"/>
    <mergeCell ref="E1149:E1151"/>
    <mergeCell ref="E1152:E1154"/>
    <mergeCell ref="E1155:E1157"/>
    <mergeCell ref="E1158:E1159"/>
    <mergeCell ref="E1160:E1163"/>
    <mergeCell ref="E1164:E1167"/>
    <mergeCell ref="E1168:E1172"/>
    <mergeCell ref="E1173:E1176"/>
    <mergeCell ref="E1177:E1179"/>
    <mergeCell ref="E1180:E1183"/>
    <mergeCell ref="E1184:E1188"/>
    <mergeCell ref="E1189:E1191"/>
    <mergeCell ref="E1192:E1194"/>
    <mergeCell ref="E1195:E1198"/>
    <mergeCell ref="E1199:E1202"/>
    <mergeCell ref="E1203:E1206"/>
    <mergeCell ref="E1207:E1210"/>
    <mergeCell ref="E1211:E1214"/>
    <mergeCell ref="E1215:E1218"/>
    <mergeCell ref="E1219:E1223"/>
    <mergeCell ref="E1224:E1229"/>
    <mergeCell ref="E1230:E1231"/>
    <mergeCell ref="E1232:E1235"/>
    <mergeCell ref="E1236:E1237"/>
    <mergeCell ref="E1238:E1242"/>
    <mergeCell ref="E1243:E1246"/>
    <mergeCell ref="E1247:E1250"/>
    <mergeCell ref="E1251:E1253"/>
    <mergeCell ref="E1254:E1257"/>
    <mergeCell ref="E1258:E1260"/>
    <mergeCell ref="E1261:E1264"/>
    <mergeCell ref="E1265:E1268"/>
    <mergeCell ref="E1269:E1272"/>
    <mergeCell ref="E1273:E1276"/>
    <mergeCell ref="E1277:E1281"/>
    <mergeCell ref="E1282:E1284"/>
    <mergeCell ref="E1285:E1288"/>
    <mergeCell ref="E1289:E1291"/>
    <mergeCell ref="E1292:E1296"/>
    <mergeCell ref="E1297:E1299"/>
    <mergeCell ref="E1300:E1304"/>
    <mergeCell ref="E1305:E1308"/>
    <mergeCell ref="E1309:E1311"/>
    <mergeCell ref="E1312:E1315"/>
    <mergeCell ref="E1316:E1318"/>
    <mergeCell ref="E1319:E1322"/>
    <mergeCell ref="E1323:E1326"/>
    <mergeCell ref="E1327:E1328"/>
    <mergeCell ref="E1329:E1332"/>
    <mergeCell ref="E1333:E1335"/>
    <mergeCell ref="E1336:E1339"/>
    <mergeCell ref="E1340:E1342"/>
    <mergeCell ref="E1343:E1346"/>
    <mergeCell ref="E1347:E1351"/>
    <mergeCell ref="E1352:E1355"/>
    <mergeCell ref="F2:F5"/>
    <mergeCell ref="F6:F11"/>
    <mergeCell ref="F12:F15"/>
    <mergeCell ref="F16:F19"/>
    <mergeCell ref="F20:F22"/>
    <mergeCell ref="F23:F26"/>
    <mergeCell ref="F27:F30"/>
    <mergeCell ref="F31:F34"/>
    <mergeCell ref="F35:F38"/>
    <mergeCell ref="F39:F42"/>
    <mergeCell ref="F43:F44"/>
    <mergeCell ref="F45:F46"/>
    <mergeCell ref="F47:F49"/>
    <mergeCell ref="F50:F53"/>
    <mergeCell ref="F54:F57"/>
    <mergeCell ref="F58:F60"/>
    <mergeCell ref="F61:F63"/>
    <mergeCell ref="F64:F67"/>
    <mergeCell ref="F68:F69"/>
    <mergeCell ref="F70:F74"/>
    <mergeCell ref="F75:F77"/>
    <mergeCell ref="F78:F80"/>
    <mergeCell ref="F81:F84"/>
    <mergeCell ref="F85:F88"/>
    <mergeCell ref="F89:F90"/>
    <mergeCell ref="F91:F93"/>
    <mergeCell ref="F94:F97"/>
    <mergeCell ref="F98:F100"/>
    <mergeCell ref="F101:F104"/>
    <mergeCell ref="F105:F107"/>
    <mergeCell ref="F108:F111"/>
    <mergeCell ref="F112:F115"/>
    <mergeCell ref="F116:F120"/>
    <mergeCell ref="F121:F124"/>
    <mergeCell ref="F125:F128"/>
    <mergeCell ref="F129:F132"/>
    <mergeCell ref="F133:F136"/>
    <mergeCell ref="F137:F140"/>
    <mergeCell ref="F141:F144"/>
    <mergeCell ref="F145:F149"/>
    <mergeCell ref="F150:F153"/>
    <mergeCell ref="F154:F157"/>
    <mergeCell ref="F158:F161"/>
    <mergeCell ref="F162:F165"/>
    <mergeCell ref="F166:F169"/>
    <mergeCell ref="F170:F173"/>
    <mergeCell ref="F174:F177"/>
    <mergeCell ref="F178:F180"/>
    <mergeCell ref="F181:F183"/>
    <mergeCell ref="F184:F187"/>
    <mergeCell ref="F188:F191"/>
    <mergeCell ref="F192:F194"/>
    <mergeCell ref="F195:F197"/>
    <mergeCell ref="F198:F200"/>
    <mergeCell ref="F201:F204"/>
    <mergeCell ref="F205:F207"/>
    <mergeCell ref="F208:F209"/>
    <mergeCell ref="F210:F212"/>
    <mergeCell ref="F213:F216"/>
    <mergeCell ref="F217:F219"/>
    <mergeCell ref="F220:F223"/>
    <mergeCell ref="F224:F226"/>
    <mergeCell ref="F227:F229"/>
    <mergeCell ref="F230:F233"/>
    <mergeCell ref="F234:F237"/>
    <mergeCell ref="F238:F241"/>
    <mergeCell ref="F242:F245"/>
    <mergeCell ref="F246:F249"/>
    <mergeCell ref="F250:F252"/>
    <mergeCell ref="F253:F255"/>
    <mergeCell ref="F256:F259"/>
    <mergeCell ref="F260:F262"/>
    <mergeCell ref="F263:F265"/>
    <mergeCell ref="F266:F268"/>
    <mergeCell ref="F269:F271"/>
    <mergeCell ref="F272:F274"/>
    <mergeCell ref="F275:F277"/>
    <mergeCell ref="F278:F280"/>
    <mergeCell ref="F281:F283"/>
    <mergeCell ref="F284:F287"/>
    <mergeCell ref="F288:F291"/>
    <mergeCell ref="F292:F295"/>
    <mergeCell ref="F296:F299"/>
    <mergeCell ref="F300:F303"/>
    <mergeCell ref="F304:F307"/>
    <mergeCell ref="F308:F311"/>
    <mergeCell ref="F312:F314"/>
    <mergeCell ref="F315:F319"/>
    <mergeCell ref="F320:F323"/>
    <mergeCell ref="F324:F326"/>
    <mergeCell ref="F327:F331"/>
    <mergeCell ref="F332:F336"/>
    <mergeCell ref="F337:F340"/>
    <mergeCell ref="F341:F344"/>
    <mergeCell ref="F345:F349"/>
    <mergeCell ref="F350:F352"/>
    <mergeCell ref="F353:F356"/>
    <mergeCell ref="F357:F359"/>
    <mergeCell ref="F360:F362"/>
    <mergeCell ref="F363:F366"/>
    <mergeCell ref="F367:F370"/>
    <mergeCell ref="F371:F373"/>
    <mergeCell ref="F374:F376"/>
    <mergeCell ref="F377:F380"/>
    <mergeCell ref="F381:F384"/>
    <mergeCell ref="F385:F388"/>
    <mergeCell ref="F389:F392"/>
    <mergeCell ref="F393:F395"/>
    <mergeCell ref="F396:F398"/>
    <mergeCell ref="F399:F401"/>
    <mergeCell ref="F402:F405"/>
    <mergeCell ref="F406:F409"/>
    <mergeCell ref="F410:F414"/>
    <mergeCell ref="F415:F417"/>
    <mergeCell ref="F418:F421"/>
    <mergeCell ref="F422:F425"/>
    <mergeCell ref="F426:F429"/>
    <mergeCell ref="F430:F433"/>
    <mergeCell ref="F434:F437"/>
    <mergeCell ref="F438:F440"/>
    <mergeCell ref="F441:F443"/>
    <mergeCell ref="F444:F447"/>
    <mergeCell ref="F448:F450"/>
    <mergeCell ref="F451:F453"/>
    <mergeCell ref="F454:F457"/>
    <mergeCell ref="F458:F461"/>
    <mergeCell ref="F462:F464"/>
    <mergeCell ref="F465:F468"/>
    <mergeCell ref="F469:F473"/>
    <mergeCell ref="F474:F476"/>
    <mergeCell ref="F477:F479"/>
    <mergeCell ref="F480:F482"/>
    <mergeCell ref="F483:F485"/>
    <mergeCell ref="F486:F490"/>
    <mergeCell ref="F491:F494"/>
    <mergeCell ref="F495:F498"/>
    <mergeCell ref="F499:F501"/>
    <mergeCell ref="F502:F505"/>
    <mergeCell ref="F506:F509"/>
    <mergeCell ref="F510:F512"/>
    <mergeCell ref="F513:F516"/>
    <mergeCell ref="F517:F519"/>
    <mergeCell ref="F520:F522"/>
    <mergeCell ref="F523:F526"/>
    <mergeCell ref="F527:F529"/>
    <mergeCell ref="F530:F533"/>
    <mergeCell ref="F534:F537"/>
    <mergeCell ref="F538:F540"/>
    <mergeCell ref="F541:F543"/>
    <mergeCell ref="F544:F547"/>
    <mergeCell ref="F548:F549"/>
    <mergeCell ref="F550:F553"/>
    <mergeCell ref="F554:F556"/>
    <mergeCell ref="F557:F559"/>
    <mergeCell ref="F560:F562"/>
    <mergeCell ref="F563:F565"/>
    <mergeCell ref="F566:F569"/>
    <mergeCell ref="F570:F571"/>
    <mergeCell ref="F572:F575"/>
    <mergeCell ref="F576:F579"/>
    <mergeCell ref="F580:F583"/>
    <mergeCell ref="F584:F586"/>
    <mergeCell ref="F587:F589"/>
    <mergeCell ref="F590:F593"/>
    <mergeCell ref="F594:F597"/>
    <mergeCell ref="F598:F601"/>
    <mergeCell ref="F602:F606"/>
    <mergeCell ref="F607:F610"/>
    <mergeCell ref="F611:F613"/>
    <mergeCell ref="F614:F617"/>
    <mergeCell ref="F618:F620"/>
    <mergeCell ref="F621:F624"/>
    <mergeCell ref="F625:F626"/>
    <mergeCell ref="F627:F629"/>
    <mergeCell ref="F630:F632"/>
    <mergeCell ref="F633:F637"/>
    <mergeCell ref="F638:F641"/>
    <mergeCell ref="F642:F645"/>
    <mergeCell ref="F646:F649"/>
    <mergeCell ref="F650:F653"/>
    <mergeCell ref="F654:F657"/>
    <mergeCell ref="F658:F661"/>
    <mergeCell ref="F662:F663"/>
    <mergeCell ref="F664:F668"/>
    <mergeCell ref="F669:F671"/>
    <mergeCell ref="F672:F674"/>
    <mergeCell ref="F675:F677"/>
    <mergeCell ref="F678:F680"/>
    <mergeCell ref="F681:F683"/>
    <mergeCell ref="F684:F688"/>
    <mergeCell ref="F689:F693"/>
    <mergeCell ref="F694:F696"/>
    <mergeCell ref="F697:F698"/>
    <mergeCell ref="F699:F700"/>
    <mergeCell ref="F701:F704"/>
    <mergeCell ref="F705:F707"/>
    <mergeCell ref="F708:F711"/>
    <mergeCell ref="F712:F715"/>
    <mergeCell ref="F716:F718"/>
    <mergeCell ref="F719:F722"/>
    <mergeCell ref="F723:F725"/>
    <mergeCell ref="F726:F728"/>
    <mergeCell ref="F729:F731"/>
    <mergeCell ref="F732:F734"/>
    <mergeCell ref="F735:F738"/>
    <mergeCell ref="F739:F741"/>
    <mergeCell ref="F742:F745"/>
    <mergeCell ref="F746:F749"/>
    <mergeCell ref="F750:F752"/>
    <mergeCell ref="F753:F757"/>
    <mergeCell ref="F758:F760"/>
    <mergeCell ref="F761:F763"/>
    <mergeCell ref="F764:F767"/>
    <mergeCell ref="F768:F769"/>
    <mergeCell ref="F770:F773"/>
    <mergeCell ref="F774:F776"/>
    <mergeCell ref="F777:F780"/>
    <mergeCell ref="F781:F783"/>
    <mergeCell ref="F784:F787"/>
    <mergeCell ref="F788:F789"/>
    <mergeCell ref="F790:F792"/>
    <mergeCell ref="F793:F795"/>
    <mergeCell ref="F796:F799"/>
    <mergeCell ref="F800:F802"/>
    <mergeCell ref="F803:F807"/>
    <mergeCell ref="F808:F811"/>
    <mergeCell ref="F812:F815"/>
    <mergeCell ref="F816:F819"/>
    <mergeCell ref="F820:F823"/>
    <mergeCell ref="F824:F826"/>
    <mergeCell ref="F827:F830"/>
    <mergeCell ref="F831:F833"/>
    <mergeCell ref="F834:F837"/>
    <mergeCell ref="F838:F841"/>
    <mergeCell ref="F842:F844"/>
    <mergeCell ref="F845:F847"/>
    <mergeCell ref="F848:F851"/>
    <mergeCell ref="F852:F855"/>
    <mergeCell ref="F856:F858"/>
    <mergeCell ref="F859:F862"/>
    <mergeCell ref="F863:F866"/>
    <mergeCell ref="F867:F870"/>
    <mergeCell ref="F871:F875"/>
    <mergeCell ref="F876:F880"/>
    <mergeCell ref="F881:F885"/>
    <mergeCell ref="F886:F888"/>
    <mergeCell ref="F889:F892"/>
    <mergeCell ref="F893:F896"/>
    <mergeCell ref="F897:F899"/>
    <mergeCell ref="F900:F903"/>
    <mergeCell ref="F904:F907"/>
    <mergeCell ref="F908:F911"/>
    <mergeCell ref="F912:F913"/>
    <mergeCell ref="F914:F916"/>
    <mergeCell ref="F917:F919"/>
    <mergeCell ref="F920:F922"/>
    <mergeCell ref="F923:F925"/>
    <mergeCell ref="F926:F930"/>
    <mergeCell ref="F931:F933"/>
    <mergeCell ref="F934:F936"/>
    <mergeCell ref="F937:F939"/>
    <mergeCell ref="F940:F943"/>
    <mergeCell ref="F944:F946"/>
    <mergeCell ref="F947:F950"/>
    <mergeCell ref="F951:F953"/>
    <mergeCell ref="F954:F957"/>
    <mergeCell ref="F958:F961"/>
    <mergeCell ref="F962:F965"/>
    <mergeCell ref="F966:F968"/>
    <mergeCell ref="F969:F972"/>
    <mergeCell ref="F973:F975"/>
    <mergeCell ref="F976:F979"/>
    <mergeCell ref="F980:F982"/>
    <mergeCell ref="F983:F986"/>
    <mergeCell ref="F987:F990"/>
    <mergeCell ref="F991:F994"/>
    <mergeCell ref="F995:F999"/>
    <mergeCell ref="F1000:F1002"/>
    <mergeCell ref="F1003:F1005"/>
    <mergeCell ref="F1006:F1008"/>
    <mergeCell ref="F1009:F1012"/>
    <mergeCell ref="F1013:F1015"/>
    <mergeCell ref="F1016:F1019"/>
    <mergeCell ref="F1020:F1024"/>
    <mergeCell ref="F1025:F1028"/>
    <mergeCell ref="F1029:F1031"/>
    <mergeCell ref="F1032:F1034"/>
    <mergeCell ref="F1035:F1039"/>
    <mergeCell ref="F1040:F1043"/>
    <mergeCell ref="F1044:F1047"/>
    <mergeCell ref="F1048:F1051"/>
    <mergeCell ref="F1052:F1055"/>
    <mergeCell ref="F1056:F1059"/>
    <mergeCell ref="F1060:F1063"/>
    <mergeCell ref="F1064:F1066"/>
    <mergeCell ref="F1067:F1070"/>
    <mergeCell ref="F1071:F1074"/>
    <mergeCell ref="F1075:F1077"/>
    <mergeCell ref="F1078:F1081"/>
    <mergeCell ref="F1082:F1085"/>
    <mergeCell ref="F1086:F1089"/>
    <mergeCell ref="F1090:F1092"/>
    <mergeCell ref="F1093:F1095"/>
    <mergeCell ref="F1096:F1097"/>
    <mergeCell ref="F1098:F1101"/>
    <mergeCell ref="F1102:F1106"/>
    <mergeCell ref="F1107:F1109"/>
    <mergeCell ref="F1110:F1112"/>
    <mergeCell ref="F1113:F1116"/>
    <mergeCell ref="F1117:F1120"/>
    <mergeCell ref="F1121:F1124"/>
    <mergeCell ref="F1125:F1128"/>
    <mergeCell ref="F1129:F1132"/>
    <mergeCell ref="F1133:F1135"/>
    <mergeCell ref="F1136:F1138"/>
    <mergeCell ref="F1139:F1141"/>
    <mergeCell ref="F1142:F1145"/>
    <mergeCell ref="F1146:F1148"/>
    <mergeCell ref="F1149:F1151"/>
    <mergeCell ref="F1152:F1154"/>
    <mergeCell ref="F1155:F1157"/>
    <mergeCell ref="F1158:F1159"/>
    <mergeCell ref="F1160:F1163"/>
    <mergeCell ref="F1164:F1167"/>
    <mergeCell ref="F1168:F1172"/>
    <mergeCell ref="F1173:F1176"/>
    <mergeCell ref="F1177:F1179"/>
    <mergeCell ref="F1180:F1183"/>
    <mergeCell ref="F1184:F1188"/>
    <mergeCell ref="F1189:F1191"/>
    <mergeCell ref="F1192:F1194"/>
    <mergeCell ref="F1195:F1198"/>
    <mergeCell ref="F1199:F1202"/>
    <mergeCell ref="F1203:F1206"/>
    <mergeCell ref="F1207:F1210"/>
    <mergeCell ref="F1211:F1214"/>
    <mergeCell ref="F1215:F1218"/>
    <mergeCell ref="F1219:F1223"/>
    <mergeCell ref="F1224:F1229"/>
    <mergeCell ref="F1230:F1231"/>
    <mergeCell ref="F1232:F1235"/>
    <mergeCell ref="F1236:F1237"/>
    <mergeCell ref="F1238:F1242"/>
    <mergeCell ref="F1243:F1246"/>
    <mergeCell ref="F1247:F1250"/>
    <mergeCell ref="F1251:F1253"/>
    <mergeCell ref="F1254:F1257"/>
    <mergeCell ref="F1258:F1260"/>
    <mergeCell ref="F1261:F1264"/>
    <mergeCell ref="F1265:F1268"/>
    <mergeCell ref="F1269:F1272"/>
    <mergeCell ref="F1273:F1276"/>
    <mergeCell ref="F1277:F1281"/>
    <mergeCell ref="F1282:F1284"/>
    <mergeCell ref="F1285:F1288"/>
    <mergeCell ref="F1289:F1291"/>
    <mergeCell ref="F1292:F1296"/>
    <mergeCell ref="F1297:F1299"/>
    <mergeCell ref="F1300:F1304"/>
    <mergeCell ref="F1305:F1308"/>
    <mergeCell ref="F1309:F1311"/>
    <mergeCell ref="F1312:F1315"/>
    <mergeCell ref="F1316:F1318"/>
    <mergeCell ref="F1319:F1322"/>
    <mergeCell ref="F1323:F1326"/>
    <mergeCell ref="F1327:F1328"/>
    <mergeCell ref="F1329:F1332"/>
    <mergeCell ref="F1333:F1335"/>
    <mergeCell ref="F1336:F1339"/>
    <mergeCell ref="F1340:F1342"/>
    <mergeCell ref="F1343:F1346"/>
    <mergeCell ref="F1347:F1351"/>
    <mergeCell ref="F1352:F1355"/>
    <mergeCell ref="L2:L5"/>
    <mergeCell ref="L6:L11"/>
    <mergeCell ref="L12:L15"/>
    <mergeCell ref="L16:L19"/>
    <mergeCell ref="L20:L22"/>
    <mergeCell ref="L23:L26"/>
    <mergeCell ref="L27:L30"/>
    <mergeCell ref="L31:L34"/>
    <mergeCell ref="L35:L38"/>
    <mergeCell ref="L39:L42"/>
    <mergeCell ref="L43:L44"/>
    <mergeCell ref="L45:L46"/>
    <mergeCell ref="L47:L49"/>
    <mergeCell ref="L50:L53"/>
    <mergeCell ref="L54:L57"/>
    <mergeCell ref="L58:L60"/>
    <mergeCell ref="L61:L63"/>
    <mergeCell ref="L64:L67"/>
    <mergeCell ref="L68:L69"/>
    <mergeCell ref="L70:L74"/>
    <mergeCell ref="L75:L77"/>
    <mergeCell ref="L78:L80"/>
    <mergeCell ref="L81:L84"/>
    <mergeCell ref="L85:L88"/>
    <mergeCell ref="L89:L90"/>
    <mergeCell ref="L91:L93"/>
    <mergeCell ref="L94:L97"/>
    <mergeCell ref="L98:L100"/>
    <mergeCell ref="L101:L104"/>
    <mergeCell ref="L105:L107"/>
    <mergeCell ref="L108:L111"/>
    <mergeCell ref="L112:L115"/>
    <mergeCell ref="L116:L120"/>
    <mergeCell ref="L121:L124"/>
    <mergeCell ref="L125:L128"/>
    <mergeCell ref="L129:L132"/>
    <mergeCell ref="L133:L136"/>
    <mergeCell ref="L137:L140"/>
    <mergeCell ref="L141:L144"/>
    <mergeCell ref="L145:L149"/>
    <mergeCell ref="L150:L153"/>
    <mergeCell ref="L154:L157"/>
    <mergeCell ref="L158:L161"/>
    <mergeCell ref="L162:L165"/>
    <mergeCell ref="L166:L169"/>
    <mergeCell ref="L170:L173"/>
    <mergeCell ref="L174:L177"/>
    <mergeCell ref="L178:L180"/>
    <mergeCell ref="L181:L183"/>
    <mergeCell ref="L184:L187"/>
    <mergeCell ref="L188:L191"/>
    <mergeCell ref="L192:L194"/>
    <mergeCell ref="L195:L197"/>
    <mergeCell ref="L198:L200"/>
    <mergeCell ref="L201:L204"/>
    <mergeCell ref="L205:L207"/>
    <mergeCell ref="L208:L209"/>
    <mergeCell ref="L210:L212"/>
    <mergeCell ref="L213:L216"/>
    <mergeCell ref="L217:L219"/>
    <mergeCell ref="L220:L223"/>
    <mergeCell ref="L224:L226"/>
    <mergeCell ref="L227:L229"/>
    <mergeCell ref="L230:L233"/>
    <mergeCell ref="L234:L237"/>
    <mergeCell ref="L238:L241"/>
    <mergeCell ref="L242:L245"/>
    <mergeCell ref="L246:L249"/>
    <mergeCell ref="L250:L252"/>
    <mergeCell ref="L253:L255"/>
    <mergeCell ref="L256:L259"/>
    <mergeCell ref="L260:L262"/>
    <mergeCell ref="L263:L265"/>
    <mergeCell ref="L266:L268"/>
    <mergeCell ref="L269:L271"/>
    <mergeCell ref="L272:L274"/>
    <mergeCell ref="L275:L277"/>
    <mergeCell ref="L278:L280"/>
    <mergeCell ref="L281:L283"/>
    <mergeCell ref="L284:L287"/>
    <mergeCell ref="L288:L291"/>
    <mergeCell ref="L292:L295"/>
    <mergeCell ref="L296:L299"/>
    <mergeCell ref="L300:L303"/>
    <mergeCell ref="L304:L307"/>
    <mergeCell ref="L308:L311"/>
    <mergeCell ref="L312:L314"/>
    <mergeCell ref="L315:L319"/>
    <mergeCell ref="L320:L323"/>
    <mergeCell ref="L324:L326"/>
    <mergeCell ref="L327:L331"/>
    <mergeCell ref="L332:L336"/>
    <mergeCell ref="L337:L340"/>
    <mergeCell ref="L341:L344"/>
    <mergeCell ref="L345:L349"/>
    <mergeCell ref="L350:L352"/>
    <mergeCell ref="L353:L356"/>
    <mergeCell ref="L357:L359"/>
    <mergeCell ref="L360:L362"/>
    <mergeCell ref="L363:L366"/>
    <mergeCell ref="L367:L370"/>
    <mergeCell ref="L371:L373"/>
    <mergeCell ref="L374:L376"/>
    <mergeCell ref="L377:L380"/>
    <mergeCell ref="L381:L384"/>
    <mergeCell ref="L385:L388"/>
    <mergeCell ref="L389:L392"/>
    <mergeCell ref="L393:L395"/>
    <mergeCell ref="L396:L398"/>
    <mergeCell ref="L399:L401"/>
    <mergeCell ref="L402:L405"/>
    <mergeCell ref="L406:L409"/>
    <mergeCell ref="L410:L414"/>
    <mergeCell ref="L415:L417"/>
    <mergeCell ref="L418:L421"/>
    <mergeCell ref="L422:L425"/>
    <mergeCell ref="L426:L429"/>
    <mergeCell ref="L430:L433"/>
    <mergeCell ref="L434:L437"/>
    <mergeCell ref="L438:L440"/>
    <mergeCell ref="L441:L443"/>
    <mergeCell ref="L444:L447"/>
    <mergeCell ref="L448:L450"/>
    <mergeCell ref="L451:L453"/>
    <mergeCell ref="L454:L457"/>
    <mergeCell ref="L458:L461"/>
    <mergeCell ref="L462:L464"/>
    <mergeCell ref="L465:L468"/>
    <mergeCell ref="L469:L473"/>
    <mergeCell ref="L474:L476"/>
    <mergeCell ref="L477:L479"/>
    <mergeCell ref="L480:L482"/>
    <mergeCell ref="L483:L485"/>
    <mergeCell ref="L486:L490"/>
    <mergeCell ref="L491:L494"/>
    <mergeCell ref="L495:L498"/>
    <mergeCell ref="L499:L501"/>
    <mergeCell ref="L502:L505"/>
    <mergeCell ref="L506:L509"/>
    <mergeCell ref="L510:L512"/>
    <mergeCell ref="L513:L516"/>
    <mergeCell ref="L517:L519"/>
    <mergeCell ref="L520:L522"/>
    <mergeCell ref="L523:L526"/>
    <mergeCell ref="L527:L529"/>
    <mergeCell ref="L530:L533"/>
    <mergeCell ref="L534:L537"/>
    <mergeCell ref="L538:L540"/>
    <mergeCell ref="L541:L543"/>
    <mergeCell ref="L544:L547"/>
    <mergeCell ref="L548:L549"/>
    <mergeCell ref="L550:L553"/>
    <mergeCell ref="L554:L556"/>
    <mergeCell ref="L557:L559"/>
    <mergeCell ref="L560:L562"/>
    <mergeCell ref="L563:L565"/>
    <mergeCell ref="L566:L569"/>
    <mergeCell ref="L570:L571"/>
    <mergeCell ref="L572:L575"/>
    <mergeCell ref="L576:L579"/>
    <mergeCell ref="L580:L583"/>
    <mergeCell ref="L584:L586"/>
    <mergeCell ref="L587:L589"/>
    <mergeCell ref="L590:L593"/>
    <mergeCell ref="L594:L597"/>
    <mergeCell ref="L598:L601"/>
    <mergeCell ref="L602:L606"/>
    <mergeCell ref="L607:L610"/>
    <mergeCell ref="L611:L613"/>
    <mergeCell ref="L614:L617"/>
    <mergeCell ref="L618:L620"/>
    <mergeCell ref="L621:L624"/>
    <mergeCell ref="L625:L626"/>
    <mergeCell ref="L627:L629"/>
    <mergeCell ref="L630:L632"/>
    <mergeCell ref="L633:L637"/>
    <mergeCell ref="L638:L641"/>
    <mergeCell ref="L642:L645"/>
    <mergeCell ref="L646:L649"/>
    <mergeCell ref="L650:L653"/>
    <mergeCell ref="L654:L657"/>
    <mergeCell ref="L658:L661"/>
    <mergeCell ref="L662:L663"/>
    <mergeCell ref="L664:L668"/>
    <mergeCell ref="L669:L671"/>
    <mergeCell ref="L672:L674"/>
    <mergeCell ref="L675:L677"/>
    <mergeCell ref="L678:L680"/>
    <mergeCell ref="L681:L683"/>
    <mergeCell ref="L684:L688"/>
    <mergeCell ref="L689:L693"/>
    <mergeCell ref="L694:L696"/>
    <mergeCell ref="L697:L698"/>
    <mergeCell ref="L699:L700"/>
    <mergeCell ref="L701:L704"/>
    <mergeCell ref="L705:L707"/>
    <mergeCell ref="L708:L711"/>
    <mergeCell ref="L712:L715"/>
    <mergeCell ref="L716:L718"/>
    <mergeCell ref="L719:L722"/>
    <mergeCell ref="L723:L725"/>
    <mergeCell ref="L726:L728"/>
    <mergeCell ref="L729:L731"/>
    <mergeCell ref="L732:L734"/>
    <mergeCell ref="L735:L738"/>
    <mergeCell ref="L739:L741"/>
    <mergeCell ref="L742:L745"/>
    <mergeCell ref="L746:L749"/>
    <mergeCell ref="L750:L752"/>
    <mergeCell ref="L753:L757"/>
    <mergeCell ref="L758:L760"/>
    <mergeCell ref="L761:L763"/>
    <mergeCell ref="L764:L767"/>
    <mergeCell ref="L768:L769"/>
    <mergeCell ref="L770:L773"/>
    <mergeCell ref="L774:L776"/>
    <mergeCell ref="L777:L780"/>
    <mergeCell ref="L781:L783"/>
    <mergeCell ref="L784:L787"/>
    <mergeCell ref="L788:L789"/>
    <mergeCell ref="L790:L792"/>
    <mergeCell ref="L793:L795"/>
    <mergeCell ref="L796:L799"/>
    <mergeCell ref="L800:L802"/>
    <mergeCell ref="L803:L807"/>
    <mergeCell ref="L808:L811"/>
    <mergeCell ref="L812:L815"/>
    <mergeCell ref="L816:L819"/>
    <mergeCell ref="L820:L823"/>
    <mergeCell ref="L824:L826"/>
    <mergeCell ref="L827:L830"/>
    <mergeCell ref="L831:L833"/>
    <mergeCell ref="L834:L837"/>
    <mergeCell ref="L838:L841"/>
    <mergeCell ref="L842:L844"/>
    <mergeCell ref="L845:L847"/>
    <mergeCell ref="L848:L851"/>
    <mergeCell ref="L852:L855"/>
    <mergeCell ref="L856:L858"/>
    <mergeCell ref="L859:L862"/>
    <mergeCell ref="L863:L866"/>
    <mergeCell ref="L867:L870"/>
    <mergeCell ref="L871:L875"/>
    <mergeCell ref="L876:L880"/>
    <mergeCell ref="L881:L885"/>
    <mergeCell ref="L886:L888"/>
    <mergeCell ref="L889:L892"/>
    <mergeCell ref="L893:L896"/>
    <mergeCell ref="L897:L899"/>
    <mergeCell ref="L900:L903"/>
    <mergeCell ref="L904:L907"/>
    <mergeCell ref="L908:L911"/>
    <mergeCell ref="L912:L913"/>
    <mergeCell ref="L914:L916"/>
    <mergeCell ref="L917:L919"/>
    <mergeCell ref="L920:L922"/>
    <mergeCell ref="L923:L925"/>
    <mergeCell ref="L926:L930"/>
    <mergeCell ref="L931:L933"/>
    <mergeCell ref="L934:L936"/>
    <mergeCell ref="L937:L939"/>
    <mergeCell ref="L940:L943"/>
    <mergeCell ref="L944:L946"/>
    <mergeCell ref="L947:L950"/>
    <mergeCell ref="L951:L953"/>
    <mergeCell ref="L954:L957"/>
    <mergeCell ref="L958:L961"/>
    <mergeCell ref="L962:L965"/>
    <mergeCell ref="L966:L968"/>
    <mergeCell ref="L969:L972"/>
    <mergeCell ref="L973:L975"/>
    <mergeCell ref="L976:L979"/>
    <mergeCell ref="L980:L982"/>
    <mergeCell ref="L983:L986"/>
    <mergeCell ref="L987:L990"/>
    <mergeCell ref="L991:L994"/>
    <mergeCell ref="L995:L999"/>
    <mergeCell ref="L1000:L1002"/>
    <mergeCell ref="L1003:L1005"/>
    <mergeCell ref="L1006:L1008"/>
    <mergeCell ref="L1009:L1012"/>
    <mergeCell ref="L1013:L1015"/>
    <mergeCell ref="L1016:L1019"/>
    <mergeCell ref="L1020:L1024"/>
    <mergeCell ref="L1025:L1028"/>
    <mergeCell ref="L1029:L1031"/>
    <mergeCell ref="L1032:L1034"/>
    <mergeCell ref="L1035:L1039"/>
    <mergeCell ref="L1040:L1043"/>
    <mergeCell ref="L1044:L1047"/>
    <mergeCell ref="L1048:L1051"/>
    <mergeCell ref="L1052:L1055"/>
    <mergeCell ref="L1056:L1059"/>
    <mergeCell ref="L1060:L1063"/>
    <mergeCell ref="L1064:L1066"/>
    <mergeCell ref="L1067:L1070"/>
    <mergeCell ref="L1071:L1074"/>
    <mergeCell ref="L1075:L1077"/>
    <mergeCell ref="L1078:L1081"/>
    <mergeCell ref="L1082:L1085"/>
    <mergeCell ref="L1086:L1089"/>
    <mergeCell ref="L1090:L1092"/>
    <mergeCell ref="L1093:L1095"/>
    <mergeCell ref="L1096:L1097"/>
    <mergeCell ref="L1098:L1101"/>
    <mergeCell ref="L1102:L1106"/>
    <mergeCell ref="L1107:L1109"/>
    <mergeCell ref="L1110:L1112"/>
    <mergeCell ref="L1113:L1116"/>
    <mergeCell ref="L1117:L1120"/>
    <mergeCell ref="L1121:L1124"/>
    <mergeCell ref="L1125:L1128"/>
    <mergeCell ref="L1129:L1132"/>
    <mergeCell ref="L1133:L1135"/>
    <mergeCell ref="L1136:L1138"/>
    <mergeCell ref="L1139:L1141"/>
    <mergeCell ref="L1142:L1145"/>
    <mergeCell ref="L1146:L1148"/>
    <mergeCell ref="L1149:L1151"/>
    <mergeCell ref="L1152:L1154"/>
    <mergeCell ref="L1155:L1157"/>
    <mergeCell ref="L1158:L1159"/>
    <mergeCell ref="L1160:L1163"/>
    <mergeCell ref="L1164:L1167"/>
    <mergeCell ref="L1168:L1172"/>
    <mergeCell ref="L1173:L1176"/>
    <mergeCell ref="L1177:L1179"/>
    <mergeCell ref="L1180:L1183"/>
    <mergeCell ref="L1184:L1188"/>
    <mergeCell ref="L1189:L1191"/>
    <mergeCell ref="L1192:L1194"/>
    <mergeCell ref="L1195:L1198"/>
    <mergeCell ref="L1199:L1202"/>
    <mergeCell ref="L1203:L1206"/>
    <mergeCell ref="L1207:L1210"/>
    <mergeCell ref="L1211:L1214"/>
    <mergeCell ref="L1215:L1218"/>
    <mergeCell ref="L1219:L1223"/>
    <mergeCell ref="L1224:L1229"/>
    <mergeCell ref="L1230:L1231"/>
    <mergeCell ref="L1232:L1235"/>
    <mergeCell ref="L1236:L1237"/>
    <mergeCell ref="L1238:L1242"/>
    <mergeCell ref="L1243:L1246"/>
    <mergeCell ref="L1247:L1250"/>
    <mergeCell ref="L1251:L1253"/>
    <mergeCell ref="L1254:L1257"/>
    <mergeCell ref="L1258:L1260"/>
    <mergeCell ref="L1261:L1264"/>
    <mergeCell ref="L1265:L1268"/>
    <mergeCell ref="L1269:L1272"/>
    <mergeCell ref="L1273:L1276"/>
    <mergeCell ref="L1277:L1281"/>
    <mergeCell ref="L1282:L1284"/>
    <mergeCell ref="L1285:L1288"/>
    <mergeCell ref="L1289:L1291"/>
    <mergeCell ref="L1292:L1296"/>
    <mergeCell ref="L1297:L1299"/>
    <mergeCell ref="L1300:L1304"/>
    <mergeCell ref="L1305:L1308"/>
    <mergeCell ref="L1309:L1311"/>
    <mergeCell ref="L1312:L1315"/>
    <mergeCell ref="L1316:L1318"/>
    <mergeCell ref="L1319:L1322"/>
    <mergeCell ref="L1323:L1326"/>
    <mergeCell ref="L1327:L1328"/>
    <mergeCell ref="L1329:L1332"/>
    <mergeCell ref="L1333:L1335"/>
    <mergeCell ref="L1336:L1339"/>
    <mergeCell ref="L1340:L1342"/>
    <mergeCell ref="L1343:L1346"/>
    <mergeCell ref="L1347:L1351"/>
    <mergeCell ref="L1352:L1355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N1093"/>
  <sheetViews>
    <sheetView zoomScale="90" zoomScaleNormal="90" workbookViewId="0">
      <pane ySplit="1" topLeftCell="A964" activePane="bottomLeft" state="frozen"/>
      <selection/>
      <selection pane="bottomLeft" activeCell="H977" sqref="H977"/>
    </sheetView>
  </sheetViews>
  <sheetFormatPr defaultColWidth="9" defaultRowHeight="11.5"/>
  <cols>
    <col min="1" max="1" width="12.0727272727273" style="34" customWidth="1"/>
    <col min="2" max="2" width="36.4636363636364" style="35" customWidth="1"/>
    <col min="3" max="3" width="12.8" style="36" customWidth="1"/>
    <col min="4" max="4" width="25.3363636363636" style="35" customWidth="1"/>
    <col min="5" max="5" width="22.4636363636364" style="35" customWidth="1"/>
    <col min="6" max="6" width="9" style="37" customWidth="1"/>
    <col min="7" max="7" width="9" style="38"/>
    <col min="8" max="8" width="9.07272727272727" style="38"/>
    <col min="9" max="9" width="9" style="37"/>
    <col min="10" max="10" width="9" style="38"/>
    <col min="11" max="11" width="9" style="31"/>
    <col min="12" max="12" width="18.9818181818182" style="39" customWidth="1"/>
    <col min="13" max="13" width="10.4636363636364" style="39"/>
    <col min="14" max="14" width="10.8" style="39" customWidth="1"/>
    <col min="15" max="16384" width="9" style="39"/>
  </cols>
  <sheetData>
    <row r="1" ht="32" customHeight="1" spans="1:11">
      <c r="A1" s="40" t="s">
        <v>1035</v>
      </c>
      <c r="B1" s="41" t="s">
        <v>2192</v>
      </c>
      <c r="C1" s="42" t="s">
        <v>1038</v>
      </c>
      <c r="D1" s="43" t="s">
        <v>2193</v>
      </c>
      <c r="E1" s="41" t="s">
        <v>2194</v>
      </c>
      <c r="F1" s="44" t="s">
        <v>1041</v>
      </c>
      <c r="G1" s="45" t="s">
        <v>2195</v>
      </c>
      <c r="H1" s="45" t="s">
        <v>1038</v>
      </c>
      <c r="I1" s="46" t="s">
        <v>8</v>
      </c>
      <c r="J1" s="45" t="s">
        <v>1741</v>
      </c>
      <c r="K1" s="41" t="s">
        <v>2196</v>
      </c>
    </row>
    <row r="2" ht="12" spans="1:11">
      <c r="A2" s="47">
        <v>45666</v>
      </c>
      <c r="B2" s="48" t="s">
        <v>2197</v>
      </c>
      <c r="C2" s="49">
        <v>8</v>
      </c>
      <c r="D2" s="48" t="s">
        <v>1553</v>
      </c>
      <c r="E2" s="48" t="s">
        <v>1525</v>
      </c>
      <c r="F2" s="50" t="s">
        <v>1047</v>
      </c>
      <c r="G2" s="51">
        <v>1.05</v>
      </c>
      <c r="H2" s="51">
        <v>7.04</v>
      </c>
      <c r="I2" s="50" t="s">
        <v>17</v>
      </c>
      <c r="J2" s="52">
        <v>1.72</v>
      </c>
      <c r="K2" s="48" t="s">
        <v>2198</v>
      </c>
    </row>
    <row r="3" ht="14" customHeight="1" spans="1:11">
      <c r="A3" s="47"/>
      <c r="B3" s="48"/>
      <c r="C3" s="49"/>
      <c r="D3" s="48"/>
      <c r="E3" s="48"/>
      <c r="F3" s="50" t="s">
        <v>1048</v>
      </c>
      <c r="G3" s="51">
        <v>1.05</v>
      </c>
      <c r="H3" s="51">
        <v>0.48</v>
      </c>
      <c r="I3" s="50" t="s">
        <v>22</v>
      </c>
      <c r="J3" s="52">
        <v>1.94</v>
      </c>
      <c r="K3" s="48"/>
    </row>
    <row r="4" ht="14" customHeight="1" spans="1:11">
      <c r="A4" s="47"/>
      <c r="B4" s="48"/>
      <c r="C4" s="49"/>
      <c r="D4" s="48"/>
      <c r="E4" s="48"/>
      <c r="F4" s="50" t="s">
        <v>1051</v>
      </c>
      <c r="G4" s="51">
        <v>4.05</v>
      </c>
      <c r="H4" s="51">
        <v>0.48</v>
      </c>
      <c r="I4" s="50" t="s">
        <v>24</v>
      </c>
      <c r="J4" s="52" t="s">
        <v>24</v>
      </c>
      <c r="K4" s="48"/>
    </row>
    <row r="5" ht="14" customHeight="1" spans="1:11">
      <c r="A5" s="47">
        <v>45673</v>
      </c>
      <c r="B5" s="48" t="s">
        <v>2199</v>
      </c>
      <c r="C5" s="49">
        <v>10</v>
      </c>
      <c r="D5" s="48" t="s">
        <v>1505</v>
      </c>
      <c r="E5" s="48" t="s">
        <v>1499</v>
      </c>
      <c r="F5" s="50" t="s">
        <v>1047</v>
      </c>
      <c r="G5" s="51">
        <v>1</v>
      </c>
      <c r="H5" s="51">
        <v>9</v>
      </c>
      <c r="I5" s="50" t="s">
        <v>17</v>
      </c>
      <c r="J5" s="52">
        <v>1.88</v>
      </c>
      <c r="K5" s="48" t="s">
        <v>2200</v>
      </c>
    </row>
    <row r="6" ht="12" spans="1:11">
      <c r="A6" s="47"/>
      <c r="B6" s="48"/>
      <c r="C6" s="49"/>
      <c r="D6" s="48"/>
      <c r="E6" s="48"/>
      <c r="F6" s="50" t="s">
        <v>1048</v>
      </c>
      <c r="G6" s="51">
        <v>1</v>
      </c>
      <c r="H6" s="51">
        <v>0.3</v>
      </c>
      <c r="I6" s="50" t="s">
        <v>22</v>
      </c>
      <c r="J6" s="52">
        <v>2.2</v>
      </c>
      <c r="K6" s="48"/>
    </row>
    <row r="7" ht="14" customHeight="1" spans="1:11">
      <c r="A7" s="47"/>
      <c r="B7" s="48"/>
      <c r="C7" s="49"/>
      <c r="D7" s="48"/>
      <c r="E7" s="48"/>
      <c r="F7" s="50" t="s">
        <v>1055</v>
      </c>
      <c r="G7" s="51">
        <v>2.1</v>
      </c>
      <c r="H7" s="51">
        <v>0.2</v>
      </c>
      <c r="I7" s="50" t="s">
        <v>96</v>
      </c>
      <c r="J7" s="52">
        <v>3.6</v>
      </c>
      <c r="K7" s="48"/>
    </row>
    <row r="8" ht="13.5" customHeight="1" spans="1:11">
      <c r="A8" s="47"/>
      <c r="B8" s="48"/>
      <c r="C8" s="49"/>
      <c r="D8" s="48"/>
      <c r="E8" s="48"/>
      <c r="F8" s="50" t="s">
        <v>1051</v>
      </c>
      <c r="G8" s="51">
        <v>2.85</v>
      </c>
      <c r="H8" s="51">
        <v>0.5</v>
      </c>
      <c r="I8" s="50" t="s">
        <v>24</v>
      </c>
      <c r="J8" s="52" t="s">
        <v>24</v>
      </c>
      <c r="K8" s="48"/>
    </row>
    <row r="9" ht="14" customHeight="1" spans="1:11">
      <c r="A9" s="47">
        <v>45671</v>
      </c>
      <c r="B9" s="48" t="s">
        <v>2201</v>
      </c>
      <c r="C9" s="49">
        <v>8</v>
      </c>
      <c r="D9" s="48" t="s">
        <v>1553</v>
      </c>
      <c r="E9" s="48" t="s">
        <v>1525</v>
      </c>
      <c r="F9" s="50" t="s">
        <v>1047</v>
      </c>
      <c r="G9" s="51">
        <v>1.05</v>
      </c>
      <c r="H9" s="51">
        <v>7.04</v>
      </c>
      <c r="I9" s="50" t="s">
        <v>17</v>
      </c>
      <c r="J9" s="52">
        <v>1.73</v>
      </c>
      <c r="K9" s="48" t="s">
        <v>2198</v>
      </c>
    </row>
    <row r="10" ht="14" customHeight="1" spans="1:11">
      <c r="A10" s="47"/>
      <c r="B10" s="48"/>
      <c r="C10" s="49"/>
      <c r="D10" s="48"/>
      <c r="E10" s="48"/>
      <c r="F10" s="50" t="s">
        <v>1048</v>
      </c>
      <c r="G10" s="51">
        <v>1.05</v>
      </c>
      <c r="H10" s="51">
        <v>0.48</v>
      </c>
      <c r="I10" s="50" t="s">
        <v>22</v>
      </c>
      <c r="J10" s="52">
        <v>1.95</v>
      </c>
      <c r="K10" s="48"/>
    </row>
    <row r="11" ht="14" customHeight="1" spans="1:11">
      <c r="A11" s="47"/>
      <c r="B11" s="48"/>
      <c r="C11" s="49"/>
      <c r="D11" s="48"/>
      <c r="E11" s="48"/>
      <c r="F11" s="50" t="s">
        <v>1051</v>
      </c>
      <c r="G11" s="51">
        <v>4.05</v>
      </c>
      <c r="H11" s="51">
        <v>0.48</v>
      </c>
      <c r="I11" s="50" t="s">
        <v>24</v>
      </c>
      <c r="J11" s="52" t="s">
        <v>24</v>
      </c>
      <c r="K11" s="48"/>
    </row>
    <row r="12" ht="13.5" customHeight="1" spans="1:11">
      <c r="A12" s="47">
        <v>45671</v>
      </c>
      <c r="B12" s="48" t="s">
        <v>2202</v>
      </c>
      <c r="C12" s="49">
        <v>10</v>
      </c>
      <c r="D12" s="48" t="s">
        <v>2203</v>
      </c>
      <c r="E12" s="48" t="s">
        <v>1499</v>
      </c>
      <c r="F12" s="50" t="s">
        <v>1047</v>
      </c>
      <c r="G12" s="51">
        <v>2</v>
      </c>
      <c r="H12" s="51">
        <v>8.7</v>
      </c>
      <c r="I12" s="50" t="s">
        <v>17</v>
      </c>
      <c r="J12" s="52">
        <v>1.82</v>
      </c>
      <c r="K12" s="48" t="s">
        <v>2200</v>
      </c>
    </row>
    <row r="13" ht="14" customHeight="1" spans="1:11">
      <c r="A13" s="47"/>
      <c r="B13" s="48"/>
      <c r="C13" s="49"/>
      <c r="D13" s="48"/>
      <c r="E13" s="48"/>
      <c r="F13" s="50" t="s">
        <v>1048</v>
      </c>
      <c r="G13" s="51">
        <v>2</v>
      </c>
      <c r="H13" s="51">
        <v>0.3</v>
      </c>
      <c r="I13" s="50" t="s">
        <v>22</v>
      </c>
      <c r="J13" s="52">
        <v>1.9</v>
      </c>
      <c r="K13" s="48"/>
    </row>
    <row r="14" ht="12" spans="1:11">
      <c r="A14" s="47"/>
      <c r="B14" s="48"/>
      <c r="C14" s="49"/>
      <c r="D14" s="48"/>
      <c r="E14" s="48"/>
      <c r="F14" s="50" t="s">
        <v>1055</v>
      </c>
      <c r="G14" s="51">
        <v>2</v>
      </c>
      <c r="H14" s="51">
        <v>0.5</v>
      </c>
      <c r="I14" s="50" t="s">
        <v>439</v>
      </c>
      <c r="J14" s="52">
        <v>3.6</v>
      </c>
      <c r="K14" s="48"/>
    </row>
    <row r="15" ht="14" customHeight="1" spans="1:11">
      <c r="A15" s="47"/>
      <c r="B15" s="48"/>
      <c r="C15" s="49"/>
      <c r="D15" s="48"/>
      <c r="E15" s="48"/>
      <c r="F15" s="50" t="s">
        <v>1051</v>
      </c>
      <c r="G15" s="51">
        <v>2</v>
      </c>
      <c r="H15" s="51">
        <v>0.5</v>
      </c>
      <c r="I15" s="50" t="s">
        <v>24</v>
      </c>
      <c r="J15" s="52" t="s">
        <v>24</v>
      </c>
      <c r="K15" s="48"/>
    </row>
    <row r="16" ht="12" spans="1:11">
      <c r="A16" s="47">
        <v>45671</v>
      </c>
      <c r="B16" s="48" t="s">
        <v>2204</v>
      </c>
      <c r="C16" s="49">
        <v>10</v>
      </c>
      <c r="D16" s="48" t="s">
        <v>1525</v>
      </c>
      <c r="E16" s="48" t="s">
        <v>1525</v>
      </c>
      <c r="F16" s="50" t="s">
        <v>1047</v>
      </c>
      <c r="G16" s="51">
        <v>1.83</v>
      </c>
      <c r="H16" s="51">
        <v>8.4</v>
      </c>
      <c r="I16" s="50" t="s">
        <v>17</v>
      </c>
      <c r="J16" s="52">
        <v>1.82</v>
      </c>
      <c r="K16" s="48" t="s">
        <v>2205</v>
      </c>
    </row>
    <row r="17" ht="12" spans="1:11">
      <c r="A17" s="47"/>
      <c r="B17" s="48"/>
      <c r="C17" s="49"/>
      <c r="D17" s="48"/>
      <c r="E17" s="48"/>
      <c r="F17" s="50" t="s">
        <v>1048</v>
      </c>
      <c r="G17" s="51">
        <v>1.91</v>
      </c>
      <c r="H17" s="51">
        <v>0.5</v>
      </c>
      <c r="I17" s="50" t="s">
        <v>22</v>
      </c>
      <c r="J17" s="52">
        <v>2.2</v>
      </c>
      <c r="K17" s="48"/>
    </row>
    <row r="18" ht="12" spans="1:11">
      <c r="A18" s="47"/>
      <c r="B18" s="48"/>
      <c r="C18" s="49"/>
      <c r="D18" s="48"/>
      <c r="E18" s="48"/>
      <c r="F18" s="50" t="s">
        <v>1050</v>
      </c>
      <c r="G18" s="51">
        <v>1.99</v>
      </c>
      <c r="H18" s="51">
        <v>0.3</v>
      </c>
      <c r="I18" s="50" t="s">
        <v>44</v>
      </c>
      <c r="J18" s="52">
        <v>2.59</v>
      </c>
      <c r="K18" s="48"/>
    </row>
    <row r="19" ht="12" spans="1:11">
      <c r="A19" s="47"/>
      <c r="B19" s="48"/>
      <c r="C19" s="49"/>
      <c r="D19" s="48"/>
      <c r="E19" s="48"/>
      <c r="F19" s="50" t="s">
        <v>1051</v>
      </c>
      <c r="G19" s="51">
        <v>2.67</v>
      </c>
      <c r="H19" s="51">
        <v>0.8</v>
      </c>
      <c r="I19" s="50" t="s">
        <v>24</v>
      </c>
      <c r="J19" s="52" t="s">
        <v>24</v>
      </c>
      <c r="K19" s="48"/>
    </row>
    <row r="20" ht="12" spans="1:11">
      <c r="A20" s="47">
        <v>45666</v>
      </c>
      <c r="B20" s="48" t="s">
        <v>2206</v>
      </c>
      <c r="C20" s="49">
        <v>10</v>
      </c>
      <c r="D20" s="48" t="s">
        <v>1553</v>
      </c>
      <c r="E20" s="48" t="s">
        <v>1553</v>
      </c>
      <c r="F20" s="50" t="s">
        <v>1121</v>
      </c>
      <c r="G20" s="51">
        <v>1.83</v>
      </c>
      <c r="H20" s="51">
        <v>5</v>
      </c>
      <c r="I20" s="50" t="s">
        <v>17</v>
      </c>
      <c r="J20" s="52">
        <v>2.38</v>
      </c>
      <c r="K20" s="48" t="s">
        <v>2207</v>
      </c>
    </row>
    <row r="21" ht="12" spans="1:11">
      <c r="A21" s="47"/>
      <c r="B21" s="48"/>
      <c r="C21" s="49"/>
      <c r="D21" s="48"/>
      <c r="E21" s="48"/>
      <c r="F21" s="50" t="s">
        <v>1122</v>
      </c>
      <c r="G21" s="51">
        <v>1.83</v>
      </c>
      <c r="H21" s="51">
        <v>3.2</v>
      </c>
      <c r="I21" s="50" t="s">
        <v>17</v>
      </c>
      <c r="J21" s="52">
        <v>2.4</v>
      </c>
      <c r="K21" s="48"/>
    </row>
    <row r="22" ht="12" spans="1:11">
      <c r="A22" s="47"/>
      <c r="B22" s="48"/>
      <c r="C22" s="49"/>
      <c r="D22" s="48"/>
      <c r="E22" s="48"/>
      <c r="F22" s="50" t="s">
        <v>1048</v>
      </c>
      <c r="G22" s="51">
        <v>1.83</v>
      </c>
      <c r="H22" s="51">
        <v>0.7</v>
      </c>
      <c r="I22" s="50" t="s">
        <v>22</v>
      </c>
      <c r="J22" s="52">
        <v>2.8</v>
      </c>
      <c r="K22" s="48"/>
    </row>
    <row r="23" ht="12" spans="1:11">
      <c r="A23" s="47"/>
      <c r="B23" s="48"/>
      <c r="C23" s="49"/>
      <c r="D23" s="48"/>
      <c r="E23" s="48"/>
      <c r="F23" s="50" t="s">
        <v>1050</v>
      </c>
      <c r="G23" s="51">
        <v>1.83</v>
      </c>
      <c r="H23" s="51">
        <v>0.35</v>
      </c>
      <c r="I23" s="50" t="s">
        <v>44</v>
      </c>
      <c r="J23" s="52">
        <v>4</v>
      </c>
      <c r="K23" s="48"/>
    </row>
    <row r="24" ht="12" spans="1:11">
      <c r="A24" s="47"/>
      <c r="B24" s="48"/>
      <c r="C24" s="49"/>
      <c r="D24" s="48"/>
      <c r="E24" s="48"/>
      <c r="F24" s="50" t="s">
        <v>1051</v>
      </c>
      <c r="G24" s="51">
        <v>1.83</v>
      </c>
      <c r="H24" s="51">
        <v>0.75</v>
      </c>
      <c r="I24" s="50" t="s">
        <v>24</v>
      </c>
      <c r="J24" s="52" t="s">
        <v>24</v>
      </c>
      <c r="K24" s="48"/>
    </row>
    <row r="25" ht="12" spans="1:11">
      <c r="A25" s="53">
        <v>45679</v>
      </c>
      <c r="B25" s="54" t="s">
        <v>2208</v>
      </c>
      <c r="C25" s="55">
        <v>8</v>
      </c>
      <c r="D25" s="54" t="s">
        <v>1640</v>
      </c>
      <c r="E25" s="54" t="s">
        <v>1620</v>
      </c>
      <c r="F25" s="54" t="s">
        <v>1058</v>
      </c>
      <c r="G25" s="56">
        <v>1</v>
      </c>
      <c r="H25" s="56">
        <v>7.04</v>
      </c>
      <c r="I25" s="50" t="s">
        <v>17</v>
      </c>
      <c r="J25" s="52">
        <v>1.9</v>
      </c>
      <c r="K25" s="54" t="s">
        <v>2209</v>
      </c>
    </row>
    <row r="26" ht="12" spans="1:11">
      <c r="A26" s="53"/>
      <c r="B26" s="54"/>
      <c r="C26" s="55"/>
      <c r="D26" s="54"/>
      <c r="E26" s="54"/>
      <c r="F26" s="54" t="s">
        <v>1059</v>
      </c>
      <c r="G26" s="56">
        <v>1</v>
      </c>
      <c r="H26" s="56">
        <v>0.48</v>
      </c>
      <c r="I26" s="50" t="s">
        <v>22</v>
      </c>
      <c r="J26" s="52">
        <v>2.05</v>
      </c>
      <c r="K26" s="54"/>
    </row>
    <row r="27" ht="12" spans="1:11">
      <c r="A27" s="53"/>
      <c r="B27" s="54"/>
      <c r="C27" s="55"/>
      <c r="D27" s="54"/>
      <c r="E27" s="54"/>
      <c r="F27" s="54" t="s">
        <v>1083</v>
      </c>
      <c r="G27" s="56">
        <v>4</v>
      </c>
      <c r="H27" s="56">
        <v>0.48</v>
      </c>
      <c r="I27" s="54" t="s">
        <v>24</v>
      </c>
      <c r="J27" s="52" t="s">
        <v>24</v>
      </c>
      <c r="K27" s="54"/>
    </row>
    <row r="28" ht="12" spans="1:11">
      <c r="A28" s="53">
        <v>45678</v>
      </c>
      <c r="B28" s="54" t="s">
        <v>2210</v>
      </c>
      <c r="C28" s="55">
        <v>2</v>
      </c>
      <c r="D28" s="54" t="s">
        <v>1640</v>
      </c>
      <c r="E28" s="54" t="s">
        <v>2211</v>
      </c>
      <c r="F28" s="54" t="s">
        <v>1064</v>
      </c>
      <c r="G28" s="56">
        <v>1.83</v>
      </c>
      <c r="H28" s="56">
        <v>1.68</v>
      </c>
      <c r="I28" s="50" t="s">
        <v>17</v>
      </c>
      <c r="J28" s="52">
        <v>2.4</v>
      </c>
      <c r="K28" s="54" t="s">
        <v>2212</v>
      </c>
    </row>
    <row r="29" ht="12" spans="1:11">
      <c r="A29" s="53"/>
      <c r="B29" s="54"/>
      <c r="C29" s="55"/>
      <c r="D29" s="54"/>
      <c r="E29" s="54"/>
      <c r="F29" s="54" t="s">
        <v>1060</v>
      </c>
      <c r="G29" s="56">
        <v>1.91</v>
      </c>
      <c r="H29" s="56">
        <v>0.08</v>
      </c>
      <c r="I29" s="50" t="s">
        <v>22</v>
      </c>
      <c r="J29" s="52">
        <v>3.3</v>
      </c>
      <c r="K29" s="54"/>
    </row>
    <row r="30" ht="12" spans="1:11">
      <c r="A30" s="53"/>
      <c r="B30" s="54"/>
      <c r="C30" s="55"/>
      <c r="D30" s="54"/>
      <c r="E30" s="54"/>
      <c r="F30" s="54" t="s">
        <v>1083</v>
      </c>
      <c r="G30" s="56">
        <v>2.65</v>
      </c>
      <c r="H30" s="56">
        <v>0.24</v>
      </c>
      <c r="I30" s="54" t="s">
        <v>24</v>
      </c>
      <c r="J30" s="52" t="s">
        <v>24</v>
      </c>
      <c r="K30" s="54"/>
    </row>
    <row r="31" ht="12" spans="1:11">
      <c r="A31" s="53">
        <v>45678</v>
      </c>
      <c r="B31" s="54" t="s">
        <v>2213</v>
      </c>
      <c r="C31" s="55">
        <v>10</v>
      </c>
      <c r="D31" s="54" t="s">
        <v>1628</v>
      </c>
      <c r="E31" s="54" t="s">
        <v>1640</v>
      </c>
      <c r="F31" s="54" t="s">
        <v>1081</v>
      </c>
      <c r="G31" s="56">
        <v>1</v>
      </c>
      <c r="H31" s="56">
        <v>8.9</v>
      </c>
      <c r="I31" s="50" t="s">
        <v>17</v>
      </c>
      <c r="J31" s="52">
        <v>1.88</v>
      </c>
      <c r="K31" s="54" t="s">
        <v>2214</v>
      </c>
    </row>
    <row r="32" ht="12" spans="1:11">
      <c r="A32" s="53"/>
      <c r="B32" s="54"/>
      <c r="C32" s="55"/>
      <c r="D32" s="54"/>
      <c r="E32" s="54"/>
      <c r="F32" s="54" t="s">
        <v>2215</v>
      </c>
      <c r="G32" s="56">
        <v>1.17</v>
      </c>
      <c r="H32" s="56">
        <v>0.5</v>
      </c>
      <c r="I32" s="50" t="s">
        <v>22</v>
      </c>
      <c r="J32" s="52">
        <v>2.07</v>
      </c>
      <c r="K32" s="54"/>
    </row>
    <row r="33" ht="12" spans="1:11">
      <c r="A33" s="53"/>
      <c r="B33" s="54"/>
      <c r="C33" s="55"/>
      <c r="D33" s="54"/>
      <c r="E33" s="54"/>
      <c r="F33" s="54" t="s">
        <v>1083</v>
      </c>
      <c r="G33" s="56">
        <v>1.74</v>
      </c>
      <c r="H33" s="56">
        <v>0.6</v>
      </c>
      <c r="I33" s="54" t="s">
        <v>24</v>
      </c>
      <c r="J33" s="52" t="s">
        <v>24</v>
      </c>
      <c r="K33" s="54"/>
    </row>
    <row r="34" ht="12" spans="1:11">
      <c r="A34" s="53">
        <v>45674</v>
      </c>
      <c r="B34" s="54" t="s">
        <v>2216</v>
      </c>
      <c r="C34" s="55">
        <v>6</v>
      </c>
      <c r="D34" s="54" t="s">
        <v>1620</v>
      </c>
      <c r="E34" s="54" t="s">
        <v>1620</v>
      </c>
      <c r="F34" s="54" t="s">
        <v>1064</v>
      </c>
      <c r="G34" s="56">
        <v>1.52</v>
      </c>
      <c r="H34" s="56">
        <v>5.02</v>
      </c>
      <c r="I34" s="50" t="s">
        <v>17</v>
      </c>
      <c r="J34" s="52">
        <v>2.15</v>
      </c>
      <c r="K34" s="54" t="s">
        <v>2217</v>
      </c>
    </row>
    <row r="35" ht="12" spans="1:11">
      <c r="A35" s="53"/>
      <c r="B35" s="54"/>
      <c r="C35" s="55"/>
      <c r="D35" s="54"/>
      <c r="E35" s="54"/>
      <c r="F35" s="54" t="s">
        <v>1060</v>
      </c>
      <c r="G35" s="56">
        <v>1.94</v>
      </c>
      <c r="H35" s="56">
        <v>0.32</v>
      </c>
      <c r="I35" s="50" t="s">
        <v>22</v>
      </c>
      <c r="J35" s="52">
        <v>2.35</v>
      </c>
      <c r="K35" s="54"/>
    </row>
    <row r="36" ht="12" spans="1:11">
      <c r="A36" s="53"/>
      <c r="B36" s="54"/>
      <c r="C36" s="55"/>
      <c r="D36" s="54"/>
      <c r="E36" s="54"/>
      <c r="F36" s="54" t="s">
        <v>1086</v>
      </c>
      <c r="G36" s="56">
        <v>3.02</v>
      </c>
      <c r="H36" s="56">
        <v>0.36</v>
      </c>
      <c r="I36" s="54" t="s">
        <v>24</v>
      </c>
      <c r="J36" s="52" t="s">
        <v>24</v>
      </c>
      <c r="K36" s="54"/>
    </row>
    <row r="37" ht="12" spans="1:11">
      <c r="A37" s="53"/>
      <c r="B37" s="54"/>
      <c r="C37" s="55"/>
      <c r="D37" s="54"/>
      <c r="E37" s="54"/>
      <c r="F37" s="54" t="s">
        <v>1087</v>
      </c>
      <c r="G37" s="56">
        <v>3.02</v>
      </c>
      <c r="H37" s="56">
        <v>0.3</v>
      </c>
      <c r="I37" s="54" t="s">
        <v>24</v>
      </c>
      <c r="J37" s="52" t="s">
        <v>24</v>
      </c>
      <c r="K37" s="54"/>
    </row>
    <row r="38" ht="12" spans="1:11">
      <c r="A38" s="53">
        <v>45673</v>
      </c>
      <c r="B38" s="54" t="s">
        <v>2218</v>
      </c>
      <c r="C38" s="55">
        <v>20</v>
      </c>
      <c r="D38" s="54" t="s">
        <v>2219</v>
      </c>
      <c r="E38" s="54" t="s">
        <v>1640</v>
      </c>
      <c r="F38" s="54" t="s">
        <v>1058</v>
      </c>
      <c r="G38" s="56">
        <v>1</v>
      </c>
      <c r="H38" s="56">
        <v>6</v>
      </c>
      <c r="I38" s="50" t="s">
        <v>17</v>
      </c>
      <c r="J38" s="52">
        <v>1.85</v>
      </c>
      <c r="K38" s="54" t="s">
        <v>2209</v>
      </c>
    </row>
    <row r="39" ht="12" spans="1:11">
      <c r="A39" s="53"/>
      <c r="B39" s="54"/>
      <c r="C39" s="55"/>
      <c r="D39" s="54"/>
      <c r="E39" s="54"/>
      <c r="F39" s="54" t="s">
        <v>1059</v>
      </c>
      <c r="G39" s="56">
        <v>1</v>
      </c>
      <c r="H39" s="56">
        <v>11.6</v>
      </c>
      <c r="I39" s="50" t="s">
        <v>17</v>
      </c>
      <c r="J39" s="52">
        <v>1.85</v>
      </c>
      <c r="K39" s="54"/>
    </row>
    <row r="40" ht="12" spans="1:11">
      <c r="A40" s="53"/>
      <c r="B40" s="54"/>
      <c r="C40" s="55"/>
      <c r="D40" s="54"/>
      <c r="E40" s="54"/>
      <c r="F40" s="54" t="s">
        <v>1060</v>
      </c>
      <c r="G40" s="56">
        <v>1</v>
      </c>
      <c r="H40" s="56">
        <v>1.2</v>
      </c>
      <c r="I40" s="50" t="s">
        <v>22</v>
      </c>
      <c r="J40" s="52">
        <v>1.95</v>
      </c>
      <c r="K40" s="54"/>
    </row>
    <row r="41" ht="12" spans="1:11">
      <c r="A41" s="53"/>
      <c r="B41" s="54"/>
      <c r="C41" s="55"/>
      <c r="D41" s="54"/>
      <c r="E41" s="54"/>
      <c r="F41" s="54" t="s">
        <v>1083</v>
      </c>
      <c r="G41" s="56">
        <v>3</v>
      </c>
      <c r="H41" s="56">
        <v>1.2</v>
      </c>
      <c r="I41" s="54" t="s">
        <v>24</v>
      </c>
      <c r="J41" s="52" t="s">
        <v>24</v>
      </c>
      <c r="K41" s="54"/>
    </row>
    <row r="42" ht="12" spans="1:11">
      <c r="A42" s="53">
        <v>45674</v>
      </c>
      <c r="B42" s="54" t="s">
        <v>2220</v>
      </c>
      <c r="C42" s="55">
        <v>10</v>
      </c>
      <c r="D42" s="54" t="s">
        <v>1623</v>
      </c>
      <c r="E42" s="54" t="s">
        <v>1630</v>
      </c>
      <c r="F42" s="54" t="s">
        <v>1064</v>
      </c>
      <c r="G42" s="56">
        <v>1.83</v>
      </c>
      <c r="H42" s="56">
        <v>8.7</v>
      </c>
      <c r="I42" s="50" t="s">
        <v>17</v>
      </c>
      <c r="J42" s="52">
        <v>2.15</v>
      </c>
      <c r="K42" s="54" t="s">
        <v>2221</v>
      </c>
    </row>
    <row r="43" ht="12" spans="1:11">
      <c r="A43" s="53"/>
      <c r="B43" s="54"/>
      <c r="C43" s="55"/>
      <c r="D43" s="54"/>
      <c r="E43" s="54"/>
      <c r="F43" s="54" t="s">
        <v>1060</v>
      </c>
      <c r="G43" s="56">
        <v>1.92</v>
      </c>
      <c r="H43" s="56">
        <v>0.4</v>
      </c>
      <c r="I43" s="50" t="s">
        <v>22</v>
      </c>
      <c r="J43" s="52">
        <v>2.25</v>
      </c>
      <c r="K43" s="54"/>
    </row>
    <row r="44" ht="12" spans="1:11">
      <c r="A44" s="53"/>
      <c r="B44" s="54"/>
      <c r="C44" s="55"/>
      <c r="D44" s="54"/>
      <c r="E44" s="54"/>
      <c r="F44" s="54" t="s">
        <v>1166</v>
      </c>
      <c r="G44" s="56">
        <v>1.92</v>
      </c>
      <c r="H44" s="56">
        <v>0.4</v>
      </c>
      <c r="I44" s="54" t="s">
        <v>439</v>
      </c>
      <c r="J44" s="52">
        <v>3.6</v>
      </c>
      <c r="K44" s="54"/>
    </row>
    <row r="45" ht="12" spans="1:11">
      <c r="A45" s="53"/>
      <c r="B45" s="54"/>
      <c r="C45" s="55"/>
      <c r="D45" s="54"/>
      <c r="E45" s="54"/>
      <c r="F45" s="54" t="s">
        <v>1083</v>
      </c>
      <c r="G45" s="56">
        <v>2.67</v>
      </c>
      <c r="H45" s="56">
        <v>0.5</v>
      </c>
      <c r="I45" s="54" t="s">
        <v>24</v>
      </c>
      <c r="J45" s="52" t="s">
        <v>24</v>
      </c>
      <c r="K45" s="54"/>
    </row>
    <row r="46" ht="12" spans="1:11">
      <c r="A46" s="53">
        <v>45680</v>
      </c>
      <c r="B46" s="57" t="s">
        <v>2222</v>
      </c>
      <c r="C46" s="58">
        <v>10</v>
      </c>
      <c r="D46" s="57" t="s">
        <v>1630</v>
      </c>
      <c r="E46" s="57" t="s">
        <v>1640</v>
      </c>
      <c r="F46" s="57" t="s">
        <v>1058</v>
      </c>
      <c r="G46" s="56">
        <v>0.91</v>
      </c>
      <c r="H46" s="59">
        <v>7</v>
      </c>
      <c r="I46" s="57" t="s">
        <v>17</v>
      </c>
      <c r="J46" s="52">
        <v>1.83</v>
      </c>
      <c r="K46" s="57" t="s">
        <v>1670</v>
      </c>
    </row>
    <row r="47" ht="12" spans="1:11">
      <c r="A47" s="53"/>
      <c r="B47" s="57"/>
      <c r="C47" s="58"/>
      <c r="D47" s="57"/>
      <c r="E47" s="57"/>
      <c r="F47" s="57" t="s">
        <v>1059</v>
      </c>
      <c r="G47" s="56">
        <v>1.16</v>
      </c>
      <c r="H47" s="59">
        <v>2</v>
      </c>
      <c r="I47" s="57" t="s">
        <v>17</v>
      </c>
      <c r="J47" s="52">
        <v>1.85</v>
      </c>
      <c r="K47" s="57"/>
    </row>
    <row r="48" ht="12" spans="1:11">
      <c r="A48" s="53"/>
      <c r="B48" s="57"/>
      <c r="C48" s="58"/>
      <c r="D48" s="57"/>
      <c r="E48" s="57"/>
      <c r="F48" s="57" t="s">
        <v>1060</v>
      </c>
      <c r="G48" s="56">
        <v>1.16</v>
      </c>
      <c r="H48" s="59">
        <v>0.3</v>
      </c>
      <c r="I48" s="57" t="s">
        <v>22</v>
      </c>
      <c r="J48" s="52">
        <v>2.25</v>
      </c>
      <c r="K48" s="57"/>
    </row>
    <row r="49" ht="12" spans="1:11">
      <c r="A49" s="53"/>
      <c r="B49" s="57"/>
      <c r="C49" s="58"/>
      <c r="D49" s="57"/>
      <c r="E49" s="57"/>
      <c r="F49" s="57" t="s">
        <v>1083</v>
      </c>
      <c r="G49" s="56">
        <v>1.67</v>
      </c>
      <c r="H49" s="59">
        <v>0.7</v>
      </c>
      <c r="I49" s="57" t="s">
        <v>24</v>
      </c>
      <c r="J49" s="52" t="s">
        <v>24</v>
      </c>
      <c r="K49" s="57"/>
    </row>
    <row r="50" ht="12" spans="1:11">
      <c r="A50" s="60">
        <v>45680</v>
      </c>
      <c r="B50" s="57" t="s">
        <v>2223</v>
      </c>
      <c r="C50" s="58">
        <v>5</v>
      </c>
      <c r="D50" s="57" t="s">
        <v>1640</v>
      </c>
      <c r="E50" s="57" t="s">
        <v>1566</v>
      </c>
      <c r="F50" s="57" t="s">
        <v>1058</v>
      </c>
      <c r="G50" s="56">
        <v>0.91</v>
      </c>
      <c r="H50" s="59">
        <v>3.5</v>
      </c>
      <c r="I50" s="57" t="s">
        <v>17</v>
      </c>
      <c r="J50" s="52">
        <v>1.84</v>
      </c>
      <c r="K50" s="57" t="s">
        <v>1670</v>
      </c>
    </row>
    <row r="51" ht="12" spans="1:11">
      <c r="A51" s="61"/>
      <c r="B51" s="57"/>
      <c r="C51" s="58"/>
      <c r="D51" s="57"/>
      <c r="E51" s="57"/>
      <c r="F51" s="57" t="s">
        <v>1059</v>
      </c>
      <c r="G51" s="56">
        <v>1.16</v>
      </c>
      <c r="H51" s="59">
        <v>1</v>
      </c>
      <c r="I51" s="57" t="s">
        <v>17</v>
      </c>
      <c r="J51" s="52">
        <v>1.87</v>
      </c>
      <c r="K51" s="57"/>
    </row>
    <row r="52" ht="12" spans="1:11">
      <c r="A52" s="61"/>
      <c r="B52" s="57"/>
      <c r="C52" s="58"/>
      <c r="D52" s="57"/>
      <c r="E52" s="57"/>
      <c r="F52" s="57" t="s">
        <v>1060</v>
      </c>
      <c r="G52" s="56">
        <v>1.16</v>
      </c>
      <c r="H52" s="59">
        <v>0.15</v>
      </c>
      <c r="I52" s="57" t="s">
        <v>22</v>
      </c>
      <c r="J52" s="52">
        <v>2.25</v>
      </c>
      <c r="K52" s="57"/>
    </row>
    <row r="53" ht="12" spans="1:11">
      <c r="A53" s="62"/>
      <c r="B53" s="57"/>
      <c r="C53" s="58"/>
      <c r="D53" s="57"/>
      <c r="E53" s="57"/>
      <c r="F53" s="57" t="s">
        <v>1083</v>
      </c>
      <c r="G53" s="56">
        <v>1.67</v>
      </c>
      <c r="H53" s="59">
        <v>0.35</v>
      </c>
      <c r="I53" s="57" t="s">
        <v>24</v>
      </c>
      <c r="J53" s="52" t="s">
        <v>24</v>
      </c>
      <c r="K53" s="57"/>
    </row>
    <row r="54" ht="12" spans="1:11">
      <c r="A54" s="53">
        <v>45681</v>
      </c>
      <c r="B54" s="54" t="s">
        <v>2224</v>
      </c>
      <c r="C54" s="55">
        <v>10</v>
      </c>
      <c r="D54" s="54" t="s">
        <v>2225</v>
      </c>
      <c r="E54" s="54" t="s">
        <v>1630</v>
      </c>
      <c r="F54" s="54" t="s">
        <v>1064</v>
      </c>
      <c r="G54" s="56">
        <v>2</v>
      </c>
      <c r="H54" s="56">
        <v>8.7</v>
      </c>
      <c r="I54" s="54" t="s">
        <v>17</v>
      </c>
      <c r="J54" s="52">
        <v>1.88</v>
      </c>
      <c r="K54" s="54" t="s">
        <v>2221</v>
      </c>
    </row>
    <row r="55" ht="12" spans="1:11">
      <c r="A55" s="53"/>
      <c r="B55" s="54"/>
      <c r="C55" s="55"/>
      <c r="D55" s="54"/>
      <c r="E55" s="54"/>
      <c r="F55" s="54" t="s">
        <v>1060</v>
      </c>
      <c r="G55" s="56">
        <v>2</v>
      </c>
      <c r="H55" s="56">
        <v>0.5</v>
      </c>
      <c r="I55" s="54" t="s">
        <v>22</v>
      </c>
      <c r="J55" s="52">
        <v>2.1</v>
      </c>
      <c r="K55" s="54"/>
    </row>
    <row r="56" ht="12" spans="1:11">
      <c r="A56" s="53"/>
      <c r="B56" s="54"/>
      <c r="C56" s="55"/>
      <c r="D56" s="54"/>
      <c r="E56" s="54"/>
      <c r="F56" s="54" t="s">
        <v>1166</v>
      </c>
      <c r="G56" s="56">
        <v>2</v>
      </c>
      <c r="H56" s="56">
        <v>0.3</v>
      </c>
      <c r="I56" s="54" t="s">
        <v>439</v>
      </c>
      <c r="J56" s="52">
        <v>3.6</v>
      </c>
      <c r="K56" s="54"/>
    </row>
    <row r="57" ht="12" spans="1:11">
      <c r="A57" s="53"/>
      <c r="B57" s="54"/>
      <c r="C57" s="55"/>
      <c r="D57" s="54"/>
      <c r="E57" s="54"/>
      <c r="F57" s="54" t="s">
        <v>1083</v>
      </c>
      <c r="G57" s="56">
        <v>2</v>
      </c>
      <c r="H57" s="56">
        <v>0.5</v>
      </c>
      <c r="I57" s="54" t="s">
        <v>24</v>
      </c>
      <c r="J57" s="52" t="s">
        <v>24</v>
      </c>
      <c r="K57" s="54"/>
    </row>
    <row r="58" ht="12" spans="1:11">
      <c r="A58" s="53">
        <v>45681</v>
      </c>
      <c r="B58" s="54" t="s">
        <v>2226</v>
      </c>
      <c r="C58" s="55">
        <v>10</v>
      </c>
      <c r="D58" s="54" t="s">
        <v>1630</v>
      </c>
      <c r="E58" s="54" t="s">
        <v>1640</v>
      </c>
      <c r="F58" s="54" t="s">
        <v>1081</v>
      </c>
      <c r="G58" s="56">
        <v>1.91</v>
      </c>
      <c r="H58" s="56">
        <v>8.9</v>
      </c>
      <c r="I58" s="54" t="s">
        <v>17</v>
      </c>
      <c r="J58" s="52">
        <v>2</v>
      </c>
      <c r="K58" s="54" t="s">
        <v>2214</v>
      </c>
    </row>
    <row r="59" ht="12" spans="1:11">
      <c r="A59" s="53"/>
      <c r="B59" s="54"/>
      <c r="C59" s="55"/>
      <c r="D59" s="54"/>
      <c r="E59" s="54"/>
      <c r="F59" s="54" t="s">
        <v>2215</v>
      </c>
      <c r="G59" s="56">
        <v>2</v>
      </c>
      <c r="H59" s="56">
        <v>0.4</v>
      </c>
      <c r="I59" s="54" t="s">
        <v>22</v>
      </c>
      <c r="J59" s="52">
        <v>2.2</v>
      </c>
      <c r="K59" s="54"/>
    </row>
    <row r="60" ht="12" spans="1:11">
      <c r="A60" s="53"/>
      <c r="B60" s="54"/>
      <c r="C60" s="55"/>
      <c r="D60" s="54"/>
      <c r="E60" s="54"/>
      <c r="F60" s="54" t="s">
        <v>1083</v>
      </c>
      <c r="G60" s="56">
        <v>2.66</v>
      </c>
      <c r="H60" s="56">
        <v>0.7</v>
      </c>
      <c r="I60" s="54" t="s">
        <v>24</v>
      </c>
      <c r="J60" s="52" t="s">
        <v>24</v>
      </c>
      <c r="K60" s="54"/>
    </row>
    <row r="61" ht="12" spans="1:11">
      <c r="A61" s="60">
        <v>45701</v>
      </c>
      <c r="B61" s="57" t="s">
        <v>2227</v>
      </c>
      <c r="C61" s="58">
        <v>10</v>
      </c>
      <c r="D61" s="57" t="s">
        <v>1640</v>
      </c>
      <c r="E61" s="57" t="s">
        <v>1566</v>
      </c>
      <c r="F61" s="57" t="s">
        <v>1058</v>
      </c>
      <c r="G61" s="56">
        <v>0.74</v>
      </c>
      <c r="H61" s="59">
        <v>7</v>
      </c>
      <c r="I61" s="57" t="s">
        <v>17</v>
      </c>
      <c r="J61" s="52">
        <v>1.85</v>
      </c>
      <c r="K61" s="57" t="s">
        <v>1670</v>
      </c>
    </row>
    <row r="62" ht="12" spans="1:11">
      <c r="A62" s="61"/>
      <c r="B62" s="57"/>
      <c r="C62" s="58"/>
      <c r="D62" s="57"/>
      <c r="E62" s="57"/>
      <c r="F62" s="57" t="s">
        <v>1059</v>
      </c>
      <c r="G62" s="56">
        <v>0.99</v>
      </c>
      <c r="H62" s="59">
        <v>2</v>
      </c>
      <c r="I62" s="57" t="s">
        <v>17</v>
      </c>
      <c r="J62" s="52">
        <v>1.88</v>
      </c>
      <c r="K62" s="57"/>
    </row>
    <row r="63" ht="12" spans="1:11">
      <c r="A63" s="61"/>
      <c r="B63" s="57"/>
      <c r="C63" s="58"/>
      <c r="D63" s="57"/>
      <c r="E63" s="57"/>
      <c r="F63" s="57" t="s">
        <v>1060</v>
      </c>
      <c r="G63" s="56">
        <v>0.99</v>
      </c>
      <c r="H63" s="59">
        <v>0.3</v>
      </c>
      <c r="I63" s="57" t="s">
        <v>22</v>
      </c>
      <c r="J63" s="52">
        <v>2.25</v>
      </c>
      <c r="K63" s="57"/>
    </row>
    <row r="64" ht="12" spans="1:11">
      <c r="A64" s="62"/>
      <c r="B64" s="57"/>
      <c r="C64" s="58"/>
      <c r="D64" s="57"/>
      <c r="E64" s="57"/>
      <c r="F64" s="57" t="s">
        <v>1083</v>
      </c>
      <c r="G64" s="56">
        <v>1.49</v>
      </c>
      <c r="H64" s="59">
        <v>0.7</v>
      </c>
      <c r="I64" s="57" t="s">
        <v>24</v>
      </c>
      <c r="J64" s="52" t="s">
        <v>24</v>
      </c>
      <c r="K64" s="57"/>
    </row>
    <row r="65" ht="12" spans="1:11">
      <c r="A65" s="60">
        <v>45702</v>
      </c>
      <c r="B65" s="57" t="s">
        <v>2228</v>
      </c>
      <c r="C65" s="58">
        <v>10</v>
      </c>
      <c r="D65" s="57" t="s">
        <v>1630</v>
      </c>
      <c r="E65" s="57" t="s">
        <v>1640</v>
      </c>
      <c r="F65" s="57" t="s">
        <v>1058</v>
      </c>
      <c r="G65" s="56">
        <v>0.74</v>
      </c>
      <c r="H65" s="59">
        <v>7</v>
      </c>
      <c r="I65" s="57" t="s">
        <v>17</v>
      </c>
      <c r="J65" s="52">
        <v>1.9</v>
      </c>
      <c r="K65" s="57" t="s">
        <v>1670</v>
      </c>
    </row>
    <row r="66" ht="12" spans="1:11">
      <c r="A66" s="61"/>
      <c r="B66" s="57"/>
      <c r="C66" s="58"/>
      <c r="D66" s="57"/>
      <c r="E66" s="57"/>
      <c r="F66" s="57" t="s">
        <v>1059</v>
      </c>
      <c r="G66" s="56">
        <v>0.99</v>
      </c>
      <c r="H66" s="59">
        <v>2</v>
      </c>
      <c r="I66" s="57" t="s">
        <v>17</v>
      </c>
      <c r="J66" s="52">
        <v>1.93</v>
      </c>
      <c r="K66" s="57"/>
    </row>
    <row r="67" ht="12" spans="1:11">
      <c r="A67" s="61"/>
      <c r="B67" s="57"/>
      <c r="C67" s="58"/>
      <c r="D67" s="57"/>
      <c r="E67" s="57"/>
      <c r="F67" s="57" t="s">
        <v>1060</v>
      </c>
      <c r="G67" s="56">
        <v>0.99</v>
      </c>
      <c r="H67" s="59">
        <v>0.3</v>
      </c>
      <c r="I67" s="57" t="s">
        <v>22</v>
      </c>
      <c r="J67" s="52">
        <v>2.29</v>
      </c>
      <c r="K67" s="57"/>
    </row>
    <row r="68" ht="12" spans="1:11">
      <c r="A68" s="62"/>
      <c r="B68" s="57"/>
      <c r="C68" s="58"/>
      <c r="D68" s="57"/>
      <c r="E68" s="57"/>
      <c r="F68" s="57" t="s">
        <v>1083</v>
      </c>
      <c r="G68" s="56">
        <v>1.49</v>
      </c>
      <c r="H68" s="59">
        <v>0.7</v>
      </c>
      <c r="I68" s="57" t="s">
        <v>24</v>
      </c>
      <c r="J68" s="52" t="s">
        <v>24</v>
      </c>
      <c r="K68" s="57"/>
    </row>
    <row r="69" ht="14.75" customHeight="1" spans="1:11">
      <c r="A69" s="60">
        <v>45708</v>
      </c>
      <c r="B69" s="57" t="s">
        <v>2229</v>
      </c>
      <c r="C69" s="58">
        <v>10</v>
      </c>
      <c r="D69" s="57" t="s">
        <v>1630</v>
      </c>
      <c r="E69" s="57" t="s">
        <v>1640</v>
      </c>
      <c r="F69" s="57" t="s">
        <v>1058</v>
      </c>
      <c r="G69" s="59">
        <v>0.98</v>
      </c>
      <c r="H69" s="59">
        <v>7</v>
      </c>
      <c r="I69" s="57" t="s">
        <v>17</v>
      </c>
      <c r="J69" s="52">
        <v>1.95</v>
      </c>
      <c r="K69" s="57" t="s">
        <v>1670</v>
      </c>
    </row>
    <row r="70" ht="12" spans="1:11">
      <c r="A70" s="61"/>
      <c r="B70" s="57"/>
      <c r="C70" s="58"/>
      <c r="D70" s="57"/>
      <c r="E70" s="57"/>
      <c r="F70" s="57" t="s">
        <v>1059</v>
      </c>
      <c r="G70" s="59">
        <v>1.24</v>
      </c>
      <c r="H70" s="59">
        <v>2</v>
      </c>
      <c r="I70" s="57" t="s">
        <v>17</v>
      </c>
      <c r="J70" s="52">
        <v>1.96</v>
      </c>
      <c r="K70" s="57"/>
    </row>
    <row r="71" ht="12" spans="1:11">
      <c r="A71" s="61"/>
      <c r="B71" s="57"/>
      <c r="C71" s="58"/>
      <c r="D71" s="57"/>
      <c r="E71" s="57"/>
      <c r="F71" s="57" t="s">
        <v>1060</v>
      </c>
      <c r="G71" s="59">
        <v>0.24</v>
      </c>
      <c r="H71" s="59">
        <v>0.3</v>
      </c>
      <c r="I71" s="57" t="s">
        <v>22</v>
      </c>
      <c r="J71" s="52">
        <v>2.3</v>
      </c>
      <c r="K71" s="57"/>
    </row>
    <row r="72" ht="12" spans="1:11">
      <c r="A72" s="62"/>
      <c r="B72" s="57"/>
      <c r="C72" s="58"/>
      <c r="D72" s="57"/>
      <c r="E72" s="57"/>
      <c r="F72" s="57" t="s">
        <v>1083</v>
      </c>
      <c r="G72" s="59">
        <v>1.73</v>
      </c>
      <c r="H72" s="59">
        <v>0.7</v>
      </c>
      <c r="I72" s="57" t="s">
        <v>24</v>
      </c>
      <c r="J72" s="52" t="s">
        <v>24</v>
      </c>
      <c r="K72" s="57"/>
    </row>
    <row r="73" ht="14.75" customHeight="1" spans="1:11">
      <c r="A73" s="60">
        <v>45708</v>
      </c>
      <c r="B73" s="57" t="s">
        <v>2230</v>
      </c>
      <c r="C73" s="58">
        <v>10</v>
      </c>
      <c r="D73" s="57" t="s">
        <v>2219</v>
      </c>
      <c r="E73" s="57" t="s">
        <v>1640</v>
      </c>
      <c r="F73" s="57" t="s">
        <v>1058</v>
      </c>
      <c r="G73" s="56">
        <v>1</v>
      </c>
      <c r="H73" s="59">
        <v>3</v>
      </c>
      <c r="I73" s="57" t="s">
        <v>17</v>
      </c>
      <c r="J73" s="52">
        <v>1.98</v>
      </c>
      <c r="K73" s="57" t="s">
        <v>2209</v>
      </c>
    </row>
    <row r="74" ht="12" spans="1:11">
      <c r="A74" s="61"/>
      <c r="B74" s="57"/>
      <c r="C74" s="58"/>
      <c r="D74" s="57"/>
      <c r="E74" s="57"/>
      <c r="F74" s="57" t="s">
        <v>1059</v>
      </c>
      <c r="G74" s="56">
        <v>1</v>
      </c>
      <c r="H74" s="59">
        <v>5.8</v>
      </c>
      <c r="I74" s="57" t="s">
        <v>17</v>
      </c>
      <c r="J74" s="52">
        <v>1.98</v>
      </c>
      <c r="K74" s="57"/>
    </row>
    <row r="75" ht="12" spans="1:11">
      <c r="A75" s="61"/>
      <c r="B75" s="57"/>
      <c r="C75" s="58"/>
      <c r="D75" s="57"/>
      <c r="E75" s="57"/>
      <c r="F75" s="57" t="s">
        <v>1060</v>
      </c>
      <c r="G75" s="56">
        <v>1</v>
      </c>
      <c r="H75" s="59">
        <v>0.6</v>
      </c>
      <c r="I75" s="57" t="s">
        <v>22</v>
      </c>
      <c r="J75" s="52">
        <v>2.15</v>
      </c>
      <c r="K75" s="57"/>
    </row>
    <row r="76" ht="12" spans="1:11">
      <c r="A76" s="62"/>
      <c r="B76" s="57"/>
      <c r="C76" s="58"/>
      <c r="D76" s="57"/>
      <c r="E76" s="57"/>
      <c r="F76" s="57" t="s">
        <v>1083</v>
      </c>
      <c r="G76" s="56">
        <v>3</v>
      </c>
      <c r="H76" s="59">
        <v>0.6</v>
      </c>
      <c r="I76" s="57" t="s">
        <v>24</v>
      </c>
      <c r="J76" s="52" t="s">
        <v>24</v>
      </c>
      <c r="K76" s="57"/>
    </row>
    <row r="77" ht="14.75" customHeight="1" spans="1:11">
      <c r="A77" s="60">
        <v>45708</v>
      </c>
      <c r="B77" s="57" t="s">
        <v>2231</v>
      </c>
      <c r="C77" s="58">
        <v>10</v>
      </c>
      <c r="D77" s="57" t="s">
        <v>1566</v>
      </c>
      <c r="E77" s="57" t="s">
        <v>1630</v>
      </c>
      <c r="F77" s="57" t="s">
        <v>1058</v>
      </c>
      <c r="G77" s="56">
        <v>0.74</v>
      </c>
      <c r="H77" s="59">
        <v>7</v>
      </c>
      <c r="I77" s="57" t="s">
        <v>17</v>
      </c>
      <c r="J77" s="52">
        <v>1.95</v>
      </c>
      <c r="K77" s="57" t="s">
        <v>1670</v>
      </c>
    </row>
    <row r="78" ht="12" spans="1:11">
      <c r="A78" s="61"/>
      <c r="B78" s="57"/>
      <c r="C78" s="58"/>
      <c r="D78" s="57"/>
      <c r="E78" s="57"/>
      <c r="F78" s="57" t="s">
        <v>1059</v>
      </c>
      <c r="G78" s="56">
        <v>0.99</v>
      </c>
      <c r="H78" s="59">
        <v>2</v>
      </c>
      <c r="I78" s="57" t="s">
        <v>17</v>
      </c>
      <c r="J78" s="52">
        <v>1.96</v>
      </c>
      <c r="K78" s="57"/>
    </row>
    <row r="79" ht="12" spans="1:11">
      <c r="A79" s="61"/>
      <c r="B79" s="57"/>
      <c r="C79" s="58"/>
      <c r="D79" s="57"/>
      <c r="E79" s="57"/>
      <c r="F79" s="57" t="s">
        <v>1060</v>
      </c>
      <c r="G79" s="56">
        <v>0.99</v>
      </c>
      <c r="H79" s="59">
        <v>0.3</v>
      </c>
      <c r="I79" s="57" t="s">
        <v>22</v>
      </c>
      <c r="J79" s="52">
        <v>2.3</v>
      </c>
      <c r="K79" s="57"/>
    </row>
    <row r="80" ht="12" spans="1:11">
      <c r="A80" s="62"/>
      <c r="B80" s="57"/>
      <c r="C80" s="58"/>
      <c r="D80" s="57"/>
      <c r="E80" s="57"/>
      <c r="F80" s="57" t="s">
        <v>1083</v>
      </c>
      <c r="G80" s="56">
        <v>1.49</v>
      </c>
      <c r="H80" s="59">
        <v>0.7</v>
      </c>
      <c r="I80" s="57" t="s">
        <v>24</v>
      </c>
      <c r="J80" s="52" t="s">
        <v>24</v>
      </c>
      <c r="K80" s="57"/>
    </row>
    <row r="81" ht="14.75" customHeight="1" spans="1:11">
      <c r="A81" s="63">
        <v>45707</v>
      </c>
      <c r="B81" s="57" t="s">
        <v>2232</v>
      </c>
      <c r="C81" s="58">
        <v>10</v>
      </c>
      <c r="D81" s="57" t="s">
        <v>1630</v>
      </c>
      <c r="E81" s="57" t="s">
        <v>1640</v>
      </c>
      <c r="F81" s="57" t="s">
        <v>1058</v>
      </c>
      <c r="G81" s="59">
        <v>0.73</v>
      </c>
      <c r="H81" s="59">
        <v>7</v>
      </c>
      <c r="I81" s="57" t="s">
        <v>17</v>
      </c>
      <c r="J81" s="52">
        <v>1.9</v>
      </c>
      <c r="K81" s="57" t="s">
        <v>1670</v>
      </c>
    </row>
    <row r="82" ht="12" spans="1:11">
      <c r="A82" s="63"/>
      <c r="B82" s="57"/>
      <c r="C82" s="58"/>
      <c r="D82" s="57"/>
      <c r="E82" s="57"/>
      <c r="F82" s="57" t="s">
        <v>1059</v>
      </c>
      <c r="G82" s="59">
        <v>0.98</v>
      </c>
      <c r="H82" s="59">
        <v>2</v>
      </c>
      <c r="I82" s="57" t="s">
        <v>17</v>
      </c>
      <c r="J82" s="52">
        <v>1.93</v>
      </c>
      <c r="K82" s="57"/>
    </row>
    <row r="83" ht="12" spans="1:11">
      <c r="A83" s="63"/>
      <c r="B83" s="57"/>
      <c r="C83" s="58"/>
      <c r="D83" s="57"/>
      <c r="E83" s="57"/>
      <c r="F83" s="57" t="s">
        <v>1060</v>
      </c>
      <c r="G83" s="59">
        <v>0.98</v>
      </c>
      <c r="H83" s="59">
        <v>0.3</v>
      </c>
      <c r="I83" s="57" t="s">
        <v>22</v>
      </c>
      <c r="J83" s="52">
        <v>2.25</v>
      </c>
      <c r="K83" s="57"/>
    </row>
    <row r="84" ht="12" spans="1:11">
      <c r="A84" s="63"/>
      <c r="B84" s="57"/>
      <c r="C84" s="58"/>
      <c r="D84" s="57"/>
      <c r="E84" s="57"/>
      <c r="F84" s="57" t="s">
        <v>1083</v>
      </c>
      <c r="G84" s="59">
        <v>1.73</v>
      </c>
      <c r="H84" s="59">
        <v>0.7</v>
      </c>
      <c r="I84" s="57" t="s">
        <v>24</v>
      </c>
      <c r="J84" s="52" t="s">
        <v>24</v>
      </c>
      <c r="K84" s="57"/>
    </row>
    <row r="85" ht="16.05" customHeight="1" spans="1:11">
      <c r="A85" s="63">
        <v>45706</v>
      </c>
      <c r="B85" s="57" t="s">
        <v>2233</v>
      </c>
      <c r="C85" s="58">
        <v>10</v>
      </c>
      <c r="D85" s="57" t="s">
        <v>1620</v>
      </c>
      <c r="E85" s="57" t="s">
        <v>1620</v>
      </c>
      <c r="F85" s="57" t="s">
        <v>1064</v>
      </c>
      <c r="G85" s="59">
        <v>1.83</v>
      </c>
      <c r="H85" s="59">
        <v>8.4</v>
      </c>
      <c r="I85" s="57" t="s">
        <v>17</v>
      </c>
      <c r="J85" s="52">
        <v>1.95</v>
      </c>
      <c r="K85" s="57" t="s">
        <v>2234</v>
      </c>
    </row>
    <row r="86" ht="12" spans="1:11">
      <c r="A86" s="63"/>
      <c r="B86" s="57"/>
      <c r="C86" s="58"/>
      <c r="D86" s="57"/>
      <c r="E86" s="57"/>
      <c r="F86" s="57" t="s">
        <v>1060</v>
      </c>
      <c r="G86" s="59">
        <v>1.91</v>
      </c>
      <c r="H86" s="59">
        <v>0.5</v>
      </c>
      <c r="I86" s="57" t="s">
        <v>22</v>
      </c>
      <c r="J86" s="52">
        <v>2.15</v>
      </c>
      <c r="K86" s="57"/>
    </row>
    <row r="87" ht="12" spans="1:11">
      <c r="A87" s="63"/>
      <c r="B87" s="57"/>
      <c r="C87" s="58"/>
      <c r="D87" s="57"/>
      <c r="E87" s="57"/>
      <c r="F87" s="57" t="s">
        <v>1061</v>
      </c>
      <c r="G87" s="59">
        <v>2</v>
      </c>
      <c r="H87" s="59">
        <v>0.3</v>
      </c>
      <c r="I87" s="57" t="s">
        <v>44</v>
      </c>
      <c r="J87" s="52">
        <v>2.5</v>
      </c>
      <c r="K87" s="57"/>
    </row>
    <row r="88" ht="12" spans="1:11">
      <c r="A88" s="63"/>
      <c r="B88" s="57"/>
      <c r="C88" s="58"/>
      <c r="D88" s="57"/>
      <c r="E88" s="57"/>
      <c r="F88" s="57" t="s">
        <v>1083</v>
      </c>
      <c r="G88" s="59">
        <v>2.66</v>
      </c>
      <c r="H88" s="59">
        <v>0.8</v>
      </c>
      <c r="I88" s="57" t="s">
        <v>24</v>
      </c>
      <c r="J88" s="52" t="s">
        <v>24</v>
      </c>
      <c r="K88" s="57"/>
    </row>
    <row r="89" ht="16.05" customHeight="1" spans="1:11">
      <c r="A89" s="63">
        <v>45707</v>
      </c>
      <c r="B89" s="57" t="s">
        <v>2235</v>
      </c>
      <c r="C89" s="58">
        <v>8</v>
      </c>
      <c r="D89" s="57" t="s">
        <v>1640</v>
      </c>
      <c r="E89" s="57" t="s">
        <v>1620</v>
      </c>
      <c r="F89" s="57" t="s">
        <v>1064</v>
      </c>
      <c r="G89" s="59">
        <v>0.96</v>
      </c>
      <c r="H89" s="59">
        <v>7.04</v>
      </c>
      <c r="I89" s="57" t="s">
        <v>17</v>
      </c>
      <c r="J89" s="52">
        <v>1.9</v>
      </c>
      <c r="K89" s="57" t="s">
        <v>2209</v>
      </c>
    </row>
    <row r="90" ht="12" spans="1:11">
      <c r="A90" s="63"/>
      <c r="B90" s="57"/>
      <c r="C90" s="58"/>
      <c r="D90" s="57"/>
      <c r="E90" s="57"/>
      <c r="F90" s="57" t="s">
        <v>1060</v>
      </c>
      <c r="G90" s="59">
        <v>0.96</v>
      </c>
      <c r="H90" s="59">
        <v>0.48</v>
      </c>
      <c r="I90" s="57" t="s">
        <v>22</v>
      </c>
      <c r="J90" s="52">
        <v>2.1</v>
      </c>
      <c r="K90" s="57"/>
    </row>
    <row r="91" ht="12" spans="1:11">
      <c r="A91" s="63"/>
      <c r="B91" s="57"/>
      <c r="C91" s="58"/>
      <c r="D91" s="57"/>
      <c r="E91" s="57"/>
      <c r="F91" s="57" t="s">
        <v>1083</v>
      </c>
      <c r="G91" s="59">
        <v>4</v>
      </c>
      <c r="H91" s="59">
        <v>0.48</v>
      </c>
      <c r="I91" s="57" t="s">
        <v>24</v>
      </c>
      <c r="J91" s="52" t="s">
        <v>24</v>
      </c>
      <c r="K91" s="57"/>
    </row>
    <row r="92" ht="15.5" customHeight="1" spans="1:11">
      <c r="A92" s="63">
        <v>45707</v>
      </c>
      <c r="B92" s="57" t="s">
        <v>2236</v>
      </c>
      <c r="C92" s="58">
        <v>10</v>
      </c>
      <c r="D92" s="57" t="s">
        <v>1640</v>
      </c>
      <c r="E92" s="57" t="s">
        <v>1630</v>
      </c>
      <c r="F92" s="57" t="s">
        <v>1058</v>
      </c>
      <c r="G92" s="59">
        <v>0.98</v>
      </c>
      <c r="H92" s="59">
        <v>7</v>
      </c>
      <c r="I92" s="57" t="s">
        <v>17</v>
      </c>
      <c r="J92" s="52">
        <v>1.9</v>
      </c>
      <c r="K92" s="57" t="s">
        <v>1670</v>
      </c>
    </row>
    <row r="93" ht="12" spans="1:11">
      <c r="A93" s="63"/>
      <c r="B93" s="57"/>
      <c r="C93" s="58"/>
      <c r="D93" s="57"/>
      <c r="E93" s="57"/>
      <c r="F93" s="57" t="s">
        <v>1059</v>
      </c>
      <c r="G93" s="59">
        <v>1.24</v>
      </c>
      <c r="H93" s="59">
        <v>2</v>
      </c>
      <c r="I93" s="57" t="s">
        <v>17</v>
      </c>
      <c r="J93" s="52">
        <v>1.94</v>
      </c>
      <c r="K93" s="57"/>
    </row>
    <row r="94" ht="12" spans="1:11">
      <c r="A94" s="63"/>
      <c r="B94" s="57"/>
      <c r="C94" s="58"/>
      <c r="D94" s="57"/>
      <c r="E94" s="57"/>
      <c r="F94" s="57" t="s">
        <v>1060</v>
      </c>
      <c r="G94" s="59">
        <v>1.24</v>
      </c>
      <c r="H94" s="59">
        <v>0.3</v>
      </c>
      <c r="I94" s="57" t="s">
        <v>22</v>
      </c>
      <c r="J94" s="52">
        <v>2.25</v>
      </c>
      <c r="K94" s="57"/>
    </row>
    <row r="95" ht="12" spans="1:11">
      <c r="A95" s="63"/>
      <c r="B95" s="57"/>
      <c r="C95" s="58"/>
      <c r="D95" s="57"/>
      <c r="E95" s="57"/>
      <c r="F95" s="57" t="s">
        <v>1083</v>
      </c>
      <c r="G95" s="59">
        <v>1.73</v>
      </c>
      <c r="H95" s="59">
        <v>0.7</v>
      </c>
      <c r="I95" s="57" t="s">
        <v>24</v>
      </c>
      <c r="J95" s="52" t="s">
        <v>24</v>
      </c>
      <c r="K95" s="57"/>
    </row>
    <row r="96" ht="15.5" customHeight="1" spans="1:11">
      <c r="A96" s="63">
        <v>45706</v>
      </c>
      <c r="B96" s="57" t="s">
        <v>2237</v>
      </c>
      <c r="C96" s="58">
        <v>10</v>
      </c>
      <c r="D96" s="57" t="s">
        <v>1566</v>
      </c>
      <c r="E96" s="57" t="s">
        <v>1630</v>
      </c>
      <c r="F96" s="57" t="s">
        <v>1058</v>
      </c>
      <c r="G96" s="59">
        <v>0.98</v>
      </c>
      <c r="H96" s="59">
        <v>7</v>
      </c>
      <c r="I96" s="57" t="s">
        <v>17</v>
      </c>
      <c r="J96" s="52">
        <v>1.9</v>
      </c>
      <c r="K96" s="57" t="s">
        <v>1670</v>
      </c>
    </row>
    <row r="97" ht="12" spans="1:14">
      <c r="A97" s="63"/>
      <c r="B97" s="57"/>
      <c r="C97" s="58"/>
      <c r="D97" s="57"/>
      <c r="E97" s="57"/>
      <c r="F97" s="57" t="s">
        <v>1059</v>
      </c>
      <c r="G97" s="59">
        <v>1.24</v>
      </c>
      <c r="H97" s="59">
        <v>2</v>
      </c>
      <c r="I97" s="57" t="s">
        <v>17</v>
      </c>
      <c r="J97" s="52">
        <v>1.94</v>
      </c>
      <c r="K97" s="57"/>
    </row>
    <row r="98" ht="12" spans="1:14">
      <c r="A98" s="63"/>
      <c r="B98" s="57"/>
      <c r="C98" s="58"/>
      <c r="D98" s="57"/>
      <c r="E98" s="57"/>
      <c r="F98" s="57" t="s">
        <v>1060</v>
      </c>
      <c r="G98" s="59">
        <v>1.24</v>
      </c>
      <c r="H98" s="59">
        <v>0.3</v>
      </c>
      <c r="I98" s="57" t="s">
        <v>22</v>
      </c>
      <c r="J98" s="52">
        <v>2.25</v>
      </c>
      <c r="K98" s="57"/>
      <c r="L98" s="64"/>
      <c r="M98" s="31"/>
      <c r="N98" s="37"/>
    </row>
    <row r="99" ht="12" spans="1:14">
      <c r="A99" s="63"/>
      <c r="B99" s="57"/>
      <c r="C99" s="58"/>
      <c r="D99" s="57"/>
      <c r="E99" s="57"/>
      <c r="F99" s="57" t="s">
        <v>1083</v>
      </c>
      <c r="G99" s="59">
        <v>1.73</v>
      </c>
      <c r="H99" s="59">
        <v>0.7</v>
      </c>
      <c r="I99" s="57" t="s">
        <v>24</v>
      </c>
      <c r="J99" s="52" t="s">
        <v>24</v>
      </c>
      <c r="K99" s="57"/>
      <c r="L99" s="31"/>
      <c r="M99" s="31"/>
      <c r="N99" s="37"/>
    </row>
    <row r="100" ht="12" spans="1:14">
      <c r="A100" s="63">
        <v>45713</v>
      </c>
      <c r="B100" s="57" t="s">
        <v>2238</v>
      </c>
      <c r="C100" s="58">
        <v>5</v>
      </c>
      <c r="D100" s="57" t="s">
        <v>1640</v>
      </c>
      <c r="E100" s="57" t="s">
        <v>1640</v>
      </c>
      <c r="F100" s="57" t="s">
        <v>1058</v>
      </c>
      <c r="G100" s="59">
        <v>1</v>
      </c>
      <c r="H100" s="59">
        <v>4.4</v>
      </c>
      <c r="I100" s="57" t="s">
        <v>17</v>
      </c>
      <c r="J100" s="52">
        <v>2.05</v>
      </c>
      <c r="K100" s="57" t="s">
        <v>2214</v>
      </c>
      <c r="L100" s="31"/>
      <c r="M100" s="31"/>
      <c r="N100" s="37"/>
    </row>
    <row r="101" ht="12" spans="1:14">
      <c r="A101" s="63"/>
      <c r="B101" s="57"/>
      <c r="C101" s="58"/>
      <c r="D101" s="57"/>
      <c r="E101" s="57"/>
      <c r="F101" s="57" t="s">
        <v>1059</v>
      </c>
      <c r="G101" s="59">
        <v>1.17</v>
      </c>
      <c r="H101" s="59">
        <v>0.3</v>
      </c>
      <c r="I101" s="57" t="s">
        <v>22</v>
      </c>
      <c r="J101" s="52">
        <v>2.15</v>
      </c>
      <c r="K101" s="57"/>
    </row>
    <row r="102" ht="12" spans="1:14">
      <c r="A102" s="63"/>
      <c r="B102" s="57"/>
      <c r="C102" s="58"/>
      <c r="D102" s="57"/>
      <c r="E102" s="57"/>
      <c r="F102" s="57" t="s">
        <v>1083</v>
      </c>
      <c r="G102" s="59">
        <v>1.75</v>
      </c>
      <c r="H102" s="59">
        <v>0.3</v>
      </c>
      <c r="I102" s="57" t="s">
        <v>24</v>
      </c>
      <c r="J102" s="52" t="s">
        <v>24</v>
      </c>
      <c r="K102" s="57"/>
    </row>
    <row r="103" ht="13.5" customHeight="1" spans="1:14">
      <c r="A103" s="60">
        <v>45714</v>
      </c>
      <c r="B103" s="65" t="s">
        <v>2239</v>
      </c>
      <c r="C103" s="66">
        <v>10</v>
      </c>
      <c r="D103" s="65" t="s">
        <v>1640</v>
      </c>
      <c r="E103" s="65" t="s">
        <v>1566</v>
      </c>
      <c r="F103" s="57" t="s">
        <v>1058</v>
      </c>
      <c r="G103" s="56">
        <v>0.74</v>
      </c>
      <c r="H103" s="59">
        <v>7</v>
      </c>
      <c r="I103" s="57" t="s">
        <v>17</v>
      </c>
      <c r="J103" s="52">
        <v>2</v>
      </c>
      <c r="K103" s="65" t="s">
        <v>1670</v>
      </c>
    </row>
    <row r="104" ht="12" spans="1:14">
      <c r="A104" s="61"/>
      <c r="B104" s="67"/>
      <c r="C104" s="68"/>
      <c r="D104" s="67"/>
      <c r="E104" s="67"/>
      <c r="F104" s="57" t="s">
        <v>1059</v>
      </c>
      <c r="G104" s="56">
        <v>0.99</v>
      </c>
      <c r="H104" s="59">
        <v>2</v>
      </c>
      <c r="I104" s="57" t="s">
        <v>17</v>
      </c>
      <c r="J104" s="52">
        <v>2.05</v>
      </c>
      <c r="K104" s="67"/>
    </row>
    <row r="105" ht="12" spans="1:14">
      <c r="A105" s="61"/>
      <c r="B105" s="67"/>
      <c r="C105" s="68"/>
      <c r="D105" s="67"/>
      <c r="E105" s="67"/>
      <c r="F105" s="57" t="s">
        <v>1060</v>
      </c>
      <c r="G105" s="56">
        <v>0.99</v>
      </c>
      <c r="H105" s="59">
        <v>0.3</v>
      </c>
      <c r="I105" s="57" t="s">
        <v>22</v>
      </c>
      <c r="J105" s="52">
        <v>2.3</v>
      </c>
      <c r="K105" s="67"/>
    </row>
    <row r="106" ht="12" spans="1:14">
      <c r="A106" s="62"/>
      <c r="B106" s="69"/>
      <c r="C106" s="70"/>
      <c r="D106" s="69"/>
      <c r="E106" s="69"/>
      <c r="F106" s="57" t="s">
        <v>1083</v>
      </c>
      <c r="G106" s="56">
        <v>1.49</v>
      </c>
      <c r="H106" s="59">
        <v>0.7</v>
      </c>
      <c r="I106" s="57" t="s">
        <v>24</v>
      </c>
      <c r="J106" s="52" t="s">
        <v>24</v>
      </c>
      <c r="K106" s="69"/>
    </row>
    <row r="107" ht="13.5" customHeight="1" spans="1:14">
      <c r="A107" s="60">
        <v>45713</v>
      </c>
      <c r="B107" s="65" t="s">
        <v>2240</v>
      </c>
      <c r="C107" s="66">
        <v>10</v>
      </c>
      <c r="D107" s="65" t="s">
        <v>1623</v>
      </c>
      <c r="E107" s="65" t="s">
        <v>1628</v>
      </c>
      <c r="F107" s="57" t="s">
        <v>1064</v>
      </c>
      <c r="G107" s="59">
        <v>2</v>
      </c>
      <c r="H107" s="59">
        <v>8.7</v>
      </c>
      <c r="I107" s="57" t="s">
        <v>17</v>
      </c>
      <c r="J107" s="52">
        <v>2.25</v>
      </c>
      <c r="K107" s="65" t="s">
        <v>2221</v>
      </c>
    </row>
    <row r="108" ht="12" spans="1:14">
      <c r="A108" s="61"/>
      <c r="B108" s="67"/>
      <c r="C108" s="68"/>
      <c r="D108" s="67"/>
      <c r="E108" s="67"/>
      <c r="F108" s="57" t="s">
        <v>1060</v>
      </c>
      <c r="G108" s="59">
        <v>2.08</v>
      </c>
      <c r="H108" s="59">
        <v>0.4</v>
      </c>
      <c r="I108" s="57" t="s">
        <v>22</v>
      </c>
      <c r="J108" s="52">
        <v>2.45</v>
      </c>
      <c r="K108" s="67"/>
    </row>
    <row r="109" ht="12" spans="1:14">
      <c r="A109" s="61"/>
      <c r="B109" s="67"/>
      <c r="C109" s="68"/>
      <c r="D109" s="67"/>
      <c r="E109" s="67"/>
      <c r="F109" s="57" t="s">
        <v>1166</v>
      </c>
      <c r="G109" s="59">
        <v>2.08</v>
      </c>
      <c r="H109" s="59">
        <v>0.4</v>
      </c>
      <c r="I109" s="57" t="s">
        <v>439</v>
      </c>
      <c r="J109" s="52">
        <v>3.6</v>
      </c>
      <c r="K109" s="67"/>
    </row>
    <row r="110" ht="12" spans="1:14">
      <c r="A110" s="62"/>
      <c r="B110" s="69"/>
      <c r="C110" s="70"/>
      <c r="D110" s="69"/>
      <c r="E110" s="69"/>
      <c r="F110" s="57" t="s">
        <v>1083</v>
      </c>
      <c r="G110" s="59">
        <v>2.83</v>
      </c>
      <c r="H110" s="59">
        <v>0.5</v>
      </c>
      <c r="I110" s="57" t="s">
        <v>24</v>
      </c>
      <c r="J110" s="52" t="s">
        <v>24</v>
      </c>
      <c r="K110" s="69"/>
    </row>
    <row r="111" ht="13.5" customHeight="1" spans="1:14">
      <c r="A111" s="60">
        <v>45715</v>
      </c>
      <c r="B111" s="65" t="s">
        <v>2241</v>
      </c>
      <c r="C111" s="66">
        <v>10</v>
      </c>
      <c r="D111" s="65" t="s">
        <v>1623</v>
      </c>
      <c r="E111" s="65" t="s">
        <v>1628</v>
      </c>
      <c r="F111" s="57" t="s">
        <v>1064</v>
      </c>
      <c r="G111" s="59">
        <v>1.09</v>
      </c>
      <c r="H111" s="59">
        <v>9</v>
      </c>
      <c r="I111" s="57" t="s">
        <v>17</v>
      </c>
      <c r="J111" s="52">
        <v>2.2</v>
      </c>
      <c r="K111" s="65" t="s">
        <v>2221</v>
      </c>
    </row>
    <row r="112" ht="12" spans="1:14">
      <c r="A112" s="61"/>
      <c r="B112" s="67"/>
      <c r="C112" s="68"/>
      <c r="D112" s="67"/>
      <c r="E112" s="67"/>
      <c r="F112" s="57" t="s">
        <v>1060</v>
      </c>
      <c r="G112" s="59">
        <v>1.17</v>
      </c>
      <c r="H112" s="59">
        <v>0.3</v>
      </c>
      <c r="I112" s="57" t="s">
        <v>22</v>
      </c>
      <c r="J112" s="52">
        <v>2.33</v>
      </c>
      <c r="K112" s="67"/>
    </row>
    <row r="113" ht="12" spans="1:11">
      <c r="A113" s="61"/>
      <c r="B113" s="67"/>
      <c r="C113" s="68"/>
      <c r="D113" s="67"/>
      <c r="E113" s="67"/>
      <c r="F113" s="57" t="s">
        <v>1166</v>
      </c>
      <c r="G113" s="59">
        <v>1.17</v>
      </c>
      <c r="H113" s="59">
        <v>0.2</v>
      </c>
      <c r="I113" s="57" t="s">
        <v>96</v>
      </c>
      <c r="J113" s="52">
        <v>3.5</v>
      </c>
      <c r="K113" s="67"/>
    </row>
    <row r="114" ht="12" spans="1:11">
      <c r="A114" s="62"/>
      <c r="B114" s="69"/>
      <c r="C114" s="70"/>
      <c r="D114" s="69"/>
      <c r="E114" s="69"/>
      <c r="F114" s="57" t="s">
        <v>1083</v>
      </c>
      <c r="G114" s="59">
        <v>1.92</v>
      </c>
      <c r="H114" s="59">
        <v>0.5</v>
      </c>
      <c r="I114" s="57" t="s">
        <v>24</v>
      </c>
      <c r="J114" s="52" t="s">
        <v>24</v>
      </c>
      <c r="K114" s="69"/>
    </row>
    <row r="115" ht="12" spans="1:11">
      <c r="A115" s="60">
        <v>45716</v>
      </c>
      <c r="B115" s="65" t="s">
        <v>2242</v>
      </c>
      <c r="C115" s="66">
        <v>7</v>
      </c>
      <c r="D115" s="65" t="s">
        <v>1620</v>
      </c>
      <c r="E115" s="65" t="s">
        <v>1620</v>
      </c>
      <c r="F115" s="57" t="s">
        <v>1058</v>
      </c>
      <c r="G115" s="59">
        <v>0.79</v>
      </c>
      <c r="H115" s="59">
        <v>2.1</v>
      </c>
      <c r="I115" s="57" t="s">
        <v>17</v>
      </c>
      <c r="J115" s="52">
        <v>2.8</v>
      </c>
      <c r="K115" s="65" t="s">
        <v>2243</v>
      </c>
    </row>
    <row r="116" ht="12" spans="1:11">
      <c r="A116" s="61"/>
      <c r="B116" s="67"/>
      <c r="C116" s="68"/>
      <c r="D116" s="67"/>
      <c r="E116" s="67"/>
      <c r="F116" s="57" t="s">
        <v>1059</v>
      </c>
      <c r="G116" s="59">
        <v>1.72</v>
      </c>
      <c r="H116" s="59">
        <v>2.8</v>
      </c>
      <c r="I116" s="57" t="s">
        <v>17</v>
      </c>
      <c r="J116" s="52">
        <v>3.1</v>
      </c>
      <c r="K116" s="67"/>
    </row>
    <row r="117" ht="12" spans="1:11">
      <c r="A117" s="61"/>
      <c r="B117" s="67"/>
      <c r="C117" s="68"/>
      <c r="D117" s="67"/>
      <c r="E117" s="67"/>
      <c r="F117" s="57" t="s">
        <v>1099</v>
      </c>
      <c r="G117" s="59">
        <v>2.88</v>
      </c>
      <c r="H117" s="59">
        <v>1.995</v>
      </c>
      <c r="I117" s="57" t="s">
        <v>17</v>
      </c>
      <c r="J117" s="52">
        <v>4.3</v>
      </c>
      <c r="K117" s="67"/>
    </row>
    <row r="118" ht="12" spans="1:11">
      <c r="A118" s="62"/>
      <c r="B118" s="69"/>
      <c r="C118" s="70"/>
      <c r="D118" s="69"/>
      <c r="E118" s="69"/>
      <c r="F118" s="57" t="s">
        <v>1083</v>
      </c>
      <c r="G118" s="59">
        <v>3.3</v>
      </c>
      <c r="H118" s="59">
        <v>0.105</v>
      </c>
      <c r="I118" s="57" t="s">
        <v>24</v>
      </c>
      <c r="J118" s="52" t="s">
        <v>24</v>
      </c>
      <c r="K118" s="69"/>
    </row>
    <row r="119" ht="12" spans="1:11">
      <c r="A119" s="60">
        <v>45716</v>
      </c>
      <c r="B119" s="65" t="s">
        <v>2244</v>
      </c>
      <c r="C119" s="66">
        <v>10</v>
      </c>
      <c r="D119" s="65" t="s">
        <v>1623</v>
      </c>
      <c r="E119" s="65" t="s">
        <v>1628</v>
      </c>
      <c r="F119" s="57" t="s">
        <v>1064</v>
      </c>
      <c r="G119" s="59">
        <v>1.07</v>
      </c>
      <c r="H119" s="59">
        <v>9</v>
      </c>
      <c r="I119" s="57" t="s">
        <v>17</v>
      </c>
      <c r="J119" s="52">
        <v>2.2</v>
      </c>
      <c r="K119" s="65" t="s">
        <v>2221</v>
      </c>
    </row>
    <row r="120" ht="12" spans="1:11">
      <c r="A120" s="61"/>
      <c r="B120" s="67"/>
      <c r="C120" s="68"/>
      <c r="D120" s="67"/>
      <c r="E120" s="67"/>
      <c r="F120" s="57" t="s">
        <v>1060</v>
      </c>
      <c r="G120" s="59">
        <v>1.16</v>
      </c>
      <c r="H120" s="59">
        <v>0.3</v>
      </c>
      <c r="I120" s="57" t="s">
        <v>22</v>
      </c>
      <c r="J120" s="52">
        <v>2.3</v>
      </c>
      <c r="K120" s="67"/>
    </row>
    <row r="121" ht="12" spans="1:11">
      <c r="A121" s="61"/>
      <c r="B121" s="67"/>
      <c r="C121" s="68"/>
      <c r="D121" s="67"/>
      <c r="E121" s="67"/>
      <c r="F121" s="57" t="s">
        <v>1166</v>
      </c>
      <c r="G121" s="59">
        <v>1.16</v>
      </c>
      <c r="H121" s="59">
        <v>0.2</v>
      </c>
      <c r="I121" s="57" t="s">
        <v>96</v>
      </c>
      <c r="J121" s="52">
        <v>3.5</v>
      </c>
      <c r="K121" s="67"/>
    </row>
    <row r="122" ht="12" spans="1:11">
      <c r="A122" s="62"/>
      <c r="B122" s="69"/>
      <c r="C122" s="70"/>
      <c r="D122" s="69"/>
      <c r="E122" s="69"/>
      <c r="F122" s="57" t="s">
        <v>1083</v>
      </c>
      <c r="G122" s="59">
        <v>1.92</v>
      </c>
      <c r="H122" s="59">
        <v>0.5</v>
      </c>
      <c r="I122" s="57" t="s">
        <v>24</v>
      </c>
      <c r="J122" s="52" t="s">
        <v>24</v>
      </c>
      <c r="K122" s="69"/>
    </row>
    <row r="123" ht="12" spans="1:11">
      <c r="A123" s="60">
        <v>45715</v>
      </c>
      <c r="B123" s="65" t="s">
        <v>2245</v>
      </c>
      <c r="C123" s="66">
        <v>10</v>
      </c>
      <c r="D123" s="65" t="s">
        <v>2225</v>
      </c>
      <c r="E123" s="65" t="s">
        <v>2246</v>
      </c>
      <c r="F123" s="57" t="s">
        <v>1064</v>
      </c>
      <c r="G123" s="59">
        <v>1.99</v>
      </c>
      <c r="H123" s="59">
        <v>8.7</v>
      </c>
      <c r="I123" s="57" t="s">
        <v>17</v>
      </c>
      <c r="J123" s="52">
        <v>2.02</v>
      </c>
      <c r="K123" s="65" t="s">
        <v>2221</v>
      </c>
    </row>
    <row r="124" ht="12" spans="1:11">
      <c r="A124" s="61"/>
      <c r="B124" s="67"/>
      <c r="C124" s="68"/>
      <c r="D124" s="67"/>
      <c r="E124" s="67"/>
      <c r="F124" s="57" t="s">
        <v>1060</v>
      </c>
      <c r="G124" s="59">
        <v>1.99</v>
      </c>
      <c r="H124" s="59">
        <v>0.3</v>
      </c>
      <c r="I124" s="57" t="s">
        <v>22</v>
      </c>
      <c r="J124" s="52">
        <v>2.39</v>
      </c>
      <c r="K124" s="67"/>
    </row>
    <row r="125" ht="12" spans="1:11">
      <c r="A125" s="61"/>
      <c r="B125" s="67"/>
      <c r="C125" s="68"/>
      <c r="D125" s="67"/>
      <c r="E125" s="67"/>
      <c r="F125" s="57" t="s">
        <v>1166</v>
      </c>
      <c r="G125" s="59">
        <v>1.99</v>
      </c>
      <c r="H125" s="59">
        <v>0.5</v>
      </c>
      <c r="I125" s="57" t="s">
        <v>439</v>
      </c>
      <c r="J125" s="52">
        <v>3.6</v>
      </c>
      <c r="K125" s="67"/>
    </row>
    <row r="126" ht="12" spans="1:11">
      <c r="A126" s="62"/>
      <c r="B126" s="69"/>
      <c r="C126" s="70"/>
      <c r="D126" s="69"/>
      <c r="E126" s="69"/>
      <c r="F126" s="57" t="s">
        <v>1083</v>
      </c>
      <c r="G126" s="59">
        <v>1.99</v>
      </c>
      <c r="H126" s="59">
        <v>0.5</v>
      </c>
      <c r="I126" s="57" t="s">
        <v>24</v>
      </c>
      <c r="J126" s="52" t="s">
        <v>24</v>
      </c>
      <c r="K126" s="69"/>
    </row>
    <row r="127" ht="12" spans="1:11">
      <c r="A127" s="60">
        <v>45715</v>
      </c>
      <c r="B127" s="65" t="s">
        <v>2247</v>
      </c>
      <c r="C127" s="66">
        <v>4</v>
      </c>
      <c r="D127" s="65" t="s">
        <v>1620</v>
      </c>
      <c r="E127" s="65" t="s">
        <v>1620</v>
      </c>
      <c r="F127" s="57" t="s">
        <v>1064</v>
      </c>
      <c r="G127" s="59">
        <v>1.49</v>
      </c>
      <c r="H127" s="59">
        <v>3.35</v>
      </c>
      <c r="I127" s="57" t="s">
        <v>17</v>
      </c>
      <c r="J127" s="52">
        <v>2.28</v>
      </c>
      <c r="K127" s="65" t="s">
        <v>2217</v>
      </c>
    </row>
    <row r="128" ht="12" spans="1:11">
      <c r="A128" s="61"/>
      <c r="B128" s="67"/>
      <c r="C128" s="68"/>
      <c r="D128" s="67"/>
      <c r="E128" s="67"/>
      <c r="F128" s="57" t="s">
        <v>1060</v>
      </c>
      <c r="G128" s="59">
        <v>1.91</v>
      </c>
      <c r="H128" s="59">
        <v>0.21</v>
      </c>
      <c r="I128" s="57" t="s">
        <v>22</v>
      </c>
      <c r="J128" s="52">
        <v>2.35</v>
      </c>
      <c r="K128" s="67"/>
    </row>
    <row r="129" ht="12" spans="1:11">
      <c r="A129" s="61"/>
      <c r="B129" s="67"/>
      <c r="C129" s="68"/>
      <c r="D129" s="67"/>
      <c r="E129" s="67"/>
      <c r="F129" s="57" t="s">
        <v>1086</v>
      </c>
      <c r="G129" s="59">
        <v>3</v>
      </c>
      <c r="H129" s="59">
        <v>0.24</v>
      </c>
      <c r="I129" s="57" t="s">
        <v>24</v>
      </c>
      <c r="J129" s="52" t="s">
        <v>24</v>
      </c>
      <c r="K129" s="67"/>
    </row>
    <row r="130" ht="12" spans="1:11">
      <c r="A130" s="62"/>
      <c r="B130" s="69"/>
      <c r="C130" s="70"/>
      <c r="D130" s="69"/>
      <c r="E130" s="69"/>
      <c r="F130" s="57" t="s">
        <v>1087</v>
      </c>
      <c r="G130" s="59">
        <v>3</v>
      </c>
      <c r="H130" s="59">
        <v>0.2</v>
      </c>
      <c r="I130" s="57" t="s">
        <v>24</v>
      </c>
      <c r="J130" s="52" t="s">
        <v>24</v>
      </c>
      <c r="K130" s="69"/>
    </row>
    <row r="131" ht="12" spans="1:11">
      <c r="A131" s="63">
        <v>45723</v>
      </c>
      <c r="B131" s="57" t="s">
        <v>2248</v>
      </c>
      <c r="C131" s="58">
        <v>5</v>
      </c>
      <c r="D131" s="57" t="s">
        <v>2249</v>
      </c>
      <c r="E131" s="57" t="s">
        <v>2250</v>
      </c>
      <c r="F131" s="57" t="s">
        <v>1064</v>
      </c>
      <c r="G131" s="59">
        <v>0.92</v>
      </c>
      <c r="H131" s="59">
        <v>4</v>
      </c>
      <c r="I131" s="57" t="s">
        <v>17</v>
      </c>
      <c r="J131" s="52">
        <v>2.18</v>
      </c>
      <c r="K131" s="57" t="s">
        <v>2251</v>
      </c>
    </row>
    <row r="132" ht="12" spans="1:11">
      <c r="A132" s="63"/>
      <c r="B132" s="57"/>
      <c r="C132" s="58"/>
      <c r="D132" s="57"/>
      <c r="E132" s="57"/>
      <c r="F132" s="57" t="s">
        <v>1060</v>
      </c>
      <c r="G132" s="59">
        <v>0.92</v>
      </c>
      <c r="H132" s="59">
        <v>0.22</v>
      </c>
      <c r="I132" s="57" t="s">
        <v>22</v>
      </c>
      <c r="J132" s="52">
        <v>2.24</v>
      </c>
      <c r="K132" s="57"/>
    </row>
    <row r="133" ht="12" spans="1:11">
      <c r="A133" s="63"/>
      <c r="B133" s="57"/>
      <c r="C133" s="58"/>
      <c r="D133" s="57"/>
      <c r="E133" s="57"/>
      <c r="F133" s="57" t="s">
        <v>1061</v>
      </c>
      <c r="G133" s="59">
        <v>1</v>
      </c>
      <c r="H133" s="59">
        <v>0.28</v>
      </c>
      <c r="I133" s="57" t="s">
        <v>439</v>
      </c>
      <c r="J133" s="52">
        <v>3.3</v>
      </c>
      <c r="K133" s="57"/>
    </row>
    <row r="134" ht="12" spans="1:11">
      <c r="A134" s="63"/>
      <c r="B134" s="57"/>
      <c r="C134" s="58"/>
      <c r="D134" s="57"/>
      <c r="E134" s="57"/>
      <c r="F134" s="57" t="s">
        <v>1083</v>
      </c>
      <c r="G134" s="59">
        <v>1.5</v>
      </c>
      <c r="H134" s="59">
        <v>0.5</v>
      </c>
      <c r="I134" s="57" t="s">
        <v>24</v>
      </c>
      <c r="J134" s="52" t="s">
        <v>24</v>
      </c>
      <c r="K134" s="57"/>
    </row>
    <row r="135" ht="12" spans="1:11">
      <c r="A135" s="63">
        <v>45727</v>
      </c>
      <c r="B135" s="57" t="s">
        <v>2252</v>
      </c>
      <c r="C135" s="58">
        <v>5</v>
      </c>
      <c r="D135" s="57" t="s">
        <v>1620</v>
      </c>
      <c r="E135" s="57" t="s">
        <v>1620</v>
      </c>
      <c r="F135" s="57" t="s">
        <v>1064</v>
      </c>
      <c r="G135" s="59">
        <v>1.55</v>
      </c>
      <c r="H135" s="59">
        <v>4.18</v>
      </c>
      <c r="I135" s="57" t="s">
        <v>17</v>
      </c>
      <c r="J135" s="52">
        <v>2.3</v>
      </c>
      <c r="K135" s="57" t="s">
        <v>2217</v>
      </c>
    </row>
    <row r="136" ht="12" spans="1:11">
      <c r="A136" s="63"/>
      <c r="B136" s="57"/>
      <c r="C136" s="58"/>
      <c r="D136" s="57"/>
      <c r="E136" s="57"/>
      <c r="F136" s="57" t="s">
        <v>1060</v>
      </c>
      <c r="G136" s="59">
        <v>1.96</v>
      </c>
      <c r="H136" s="59">
        <v>0.27</v>
      </c>
      <c r="I136" s="57" t="s">
        <v>22</v>
      </c>
      <c r="J136" s="52">
        <v>2.4</v>
      </c>
      <c r="K136" s="57"/>
    </row>
    <row r="137" ht="12" spans="1:11">
      <c r="A137" s="63"/>
      <c r="B137" s="57"/>
      <c r="C137" s="58"/>
      <c r="D137" s="57"/>
      <c r="E137" s="57"/>
      <c r="F137" s="57" t="s">
        <v>1326</v>
      </c>
      <c r="G137" s="59">
        <v>3.04</v>
      </c>
      <c r="H137" s="59">
        <v>0.3</v>
      </c>
      <c r="I137" s="57" t="s">
        <v>24</v>
      </c>
      <c r="J137" s="52" t="s">
        <v>24</v>
      </c>
      <c r="K137" s="57"/>
    </row>
    <row r="138" ht="12" spans="1:11">
      <c r="A138" s="63"/>
      <c r="B138" s="57"/>
      <c r="C138" s="58"/>
      <c r="D138" s="57"/>
      <c r="E138" s="57"/>
      <c r="F138" s="57" t="s">
        <v>1327</v>
      </c>
      <c r="G138" s="59">
        <v>3.04</v>
      </c>
      <c r="H138" s="59">
        <v>0.25</v>
      </c>
      <c r="I138" s="57" t="s">
        <v>24</v>
      </c>
      <c r="J138" s="52" t="s">
        <v>24</v>
      </c>
      <c r="K138" s="57"/>
    </row>
    <row r="139" ht="12" spans="1:11">
      <c r="A139" s="63">
        <v>45730</v>
      </c>
      <c r="B139" s="57" t="s">
        <v>2253</v>
      </c>
      <c r="C139" s="58">
        <v>9.45</v>
      </c>
      <c r="D139" s="57" t="s">
        <v>2225</v>
      </c>
      <c r="E139" s="57" t="s">
        <v>2254</v>
      </c>
      <c r="F139" s="57" t="s">
        <v>1081</v>
      </c>
      <c r="G139" s="59">
        <v>0.5</v>
      </c>
      <c r="H139" s="59">
        <v>9</v>
      </c>
      <c r="I139" s="57" t="s">
        <v>17</v>
      </c>
      <c r="J139" s="52">
        <v>2.08</v>
      </c>
      <c r="K139" s="57" t="s">
        <v>2221</v>
      </c>
    </row>
    <row r="140" ht="12" spans="1:11">
      <c r="A140" s="63"/>
      <c r="B140" s="57"/>
      <c r="C140" s="58"/>
      <c r="D140" s="57"/>
      <c r="E140" s="57"/>
      <c r="F140" s="57" t="s">
        <v>1166</v>
      </c>
      <c r="G140" s="59">
        <v>0.5</v>
      </c>
      <c r="H140" s="59">
        <v>0.45</v>
      </c>
      <c r="I140" s="57" t="s">
        <v>44</v>
      </c>
      <c r="J140" s="52">
        <v>3.4</v>
      </c>
      <c r="K140" s="57"/>
    </row>
    <row r="141" ht="12" spans="1:11">
      <c r="A141" s="63">
        <v>45729</v>
      </c>
      <c r="B141" s="57" t="s">
        <v>2255</v>
      </c>
      <c r="C141" s="58">
        <v>10</v>
      </c>
      <c r="D141" s="57" t="s">
        <v>1630</v>
      </c>
      <c r="E141" s="57" t="s">
        <v>1640</v>
      </c>
      <c r="F141" s="57" t="s">
        <v>1058</v>
      </c>
      <c r="G141" s="59">
        <v>0.75</v>
      </c>
      <c r="H141" s="59">
        <v>7</v>
      </c>
      <c r="I141" s="57" t="s">
        <v>17</v>
      </c>
      <c r="J141" s="52">
        <v>2.14</v>
      </c>
      <c r="K141" s="65" t="s">
        <v>1670</v>
      </c>
    </row>
    <row r="142" ht="12" spans="1:11">
      <c r="A142" s="63"/>
      <c r="B142" s="57"/>
      <c r="C142" s="58"/>
      <c r="D142" s="57"/>
      <c r="E142" s="57"/>
      <c r="F142" s="57" t="s">
        <v>1059</v>
      </c>
      <c r="G142" s="59">
        <v>1</v>
      </c>
      <c r="H142" s="59">
        <v>2</v>
      </c>
      <c r="I142" s="57" t="s">
        <v>17</v>
      </c>
      <c r="J142" s="52">
        <v>2.14</v>
      </c>
      <c r="K142" s="67"/>
    </row>
    <row r="143" ht="12" spans="1:11">
      <c r="A143" s="63"/>
      <c r="B143" s="57"/>
      <c r="C143" s="58"/>
      <c r="D143" s="57"/>
      <c r="E143" s="57"/>
      <c r="F143" s="57" t="s">
        <v>1060</v>
      </c>
      <c r="G143" s="59">
        <v>1</v>
      </c>
      <c r="H143" s="59">
        <v>0.3</v>
      </c>
      <c r="I143" s="57" t="s">
        <v>22</v>
      </c>
      <c r="J143" s="52">
        <v>2.35</v>
      </c>
      <c r="K143" s="67"/>
    </row>
    <row r="144" ht="12" spans="1:11">
      <c r="A144" s="63"/>
      <c r="B144" s="57"/>
      <c r="C144" s="58"/>
      <c r="D144" s="57"/>
      <c r="E144" s="57"/>
      <c r="F144" s="57" t="s">
        <v>1083</v>
      </c>
      <c r="G144" s="59">
        <v>1.5</v>
      </c>
      <c r="H144" s="59">
        <v>0.7</v>
      </c>
      <c r="I144" s="57" t="s">
        <v>24</v>
      </c>
      <c r="J144" s="52" t="s">
        <v>24</v>
      </c>
      <c r="K144" s="69"/>
    </row>
    <row r="145" ht="12" spans="1:11">
      <c r="A145" s="63">
        <v>45726</v>
      </c>
      <c r="B145" s="57" t="s">
        <v>2256</v>
      </c>
      <c r="C145" s="58">
        <v>5</v>
      </c>
      <c r="D145" s="57" t="s">
        <v>1623</v>
      </c>
      <c r="E145" s="57" t="s">
        <v>1623</v>
      </c>
      <c r="F145" s="57" t="s">
        <v>1064</v>
      </c>
      <c r="G145" s="59">
        <v>1.5</v>
      </c>
      <c r="H145" s="59">
        <v>4.15</v>
      </c>
      <c r="I145" s="57" t="s">
        <v>17</v>
      </c>
      <c r="J145" s="52">
        <v>2.35</v>
      </c>
      <c r="K145" s="57" t="s">
        <v>2221</v>
      </c>
    </row>
    <row r="146" ht="12" spans="1:11">
      <c r="A146" s="63"/>
      <c r="B146" s="57"/>
      <c r="C146" s="58"/>
      <c r="D146" s="57"/>
      <c r="E146" s="57"/>
      <c r="F146" s="57" t="s">
        <v>1060</v>
      </c>
      <c r="G146" s="59">
        <v>1.5</v>
      </c>
      <c r="H146" s="59">
        <v>0.25</v>
      </c>
      <c r="I146" s="57" t="s">
        <v>22</v>
      </c>
      <c r="J146" s="52">
        <v>2.4</v>
      </c>
      <c r="K146" s="57"/>
    </row>
    <row r="147" ht="12" spans="1:11">
      <c r="A147" s="63"/>
      <c r="B147" s="57"/>
      <c r="C147" s="58"/>
      <c r="D147" s="57"/>
      <c r="E147" s="57"/>
      <c r="F147" s="57" t="s">
        <v>1166</v>
      </c>
      <c r="G147" s="59">
        <v>2</v>
      </c>
      <c r="H147" s="59">
        <v>0.35</v>
      </c>
      <c r="I147" s="57" t="s">
        <v>100</v>
      </c>
      <c r="J147" s="52">
        <v>3.5</v>
      </c>
      <c r="K147" s="57"/>
    </row>
    <row r="148" ht="12" spans="1:11">
      <c r="A148" s="63"/>
      <c r="B148" s="57"/>
      <c r="C148" s="58"/>
      <c r="D148" s="57"/>
      <c r="E148" s="57"/>
      <c r="F148" s="57" t="s">
        <v>1083</v>
      </c>
      <c r="G148" s="59">
        <v>2</v>
      </c>
      <c r="H148" s="59">
        <v>0.25</v>
      </c>
      <c r="I148" s="57" t="s">
        <v>24</v>
      </c>
      <c r="J148" s="52" t="s">
        <v>24</v>
      </c>
      <c r="K148" s="57"/>
    </row>
    <row r="149" ht="12" spans="1:11">
      <c r="A149" s="71">
        <v>45729</v>
      </c>
      <c r="B149" s="72" t="s">
        <v>2257</v>
      </c>
      <c r="C149" s="73">
        <v>8</v>
      </c>
      <c r="D149" s="72" t="s">
        <v>1553</v>
      </c>
      <c r="E149" s="72" t="s">
        <v>1553</v>
      </c>
      <c r="F149" s="57" t="s">
        <v>1081</v>
      </c>
      <c r="G149" s="74">
        <v>1</v>
      </c>
      <c r="H149" s="74">
        <v>7.04</v>
      </c>
      <c r="I149" s="50" t="s">
        <v>17</v>
      </c>
      <c r="J149" s="52">
        <v>2.25</v>
      </c>
      <c r="K149" s="75" t="s">
        <v>2258</v>
      </c>
    </row>
    <row r="150" ht="12" spans="1:11">
      <c r="A150" s="71"/>
      <c r="B150" s="72"/>
      <c r="C150" s="73"/>
      <c r="D150" s="72"/>
      <c r="E150" s="72"/>
      <c r="F150" s="57" t="s">
        <v>2215</v>
      </c>
      <c r="G150" s="74">
        <v>1.08</v>
      </c>
      <c r="H150" s="74">
        <v>0.48</v>
      </c>
      <c r="I150" s="50" t="s">
        <v>22</v>
      </c>
      <c r="J150" s="52">
        <v>2.35</v>
      </c>
      <c r="K150" s="76"/>
    </row>
    <row r="151" ht="12" spans="1:11">
      <c r="A151" s="71"/>
      <c r="B151" s="72"/>
      <c r="C151" s="73"/>
      <c r="D151" s="72"/>
      <c r="E151" s="72"/>
      <c r="F151" s="57" t="s">
        <v>1083</v>
      </c>
      <c r="G151" s="74">
        <v>1.67</v>
      </c>
      <c r="H151" s="74">
        <v>0.48</v>
      </c>
      <c r="I151" s="77" t="s">
        <v>24</v>
      </c>
      <c r="J151" s="52" t="s">
        <v>24</v>
      </c>
      <c r="K151" s="78"/>
    </row>
    <row r="152" ht="12" spans="1:11">
      <c r="A152" s="71">
        <v>45730</v>
      </c>
      <c r="B152" s="72" t="s">
        <v>2259</v>
      </c>
      <c r="C152" s="73">
        <v>8</v>
      </c>
      <c r="D152" s="72" t="s">
        <v>1553</v>
      </c>
      <c r="E152" s="72" t="s">
        <v>1553</v>
      </c>
      <c r="F152" s="57" t="s">
        <v>1081</v>
      </c>
      <c r="G152" s="74">
        <v>1</v>
      </c>
      <c r="H152" s="74">
        <v>7.04</v>
      </c>
      <c r="I152" s="50" t="s">
        <v>17</v>
      </c>
      <c r="J152" s="52">
        <v>2.25</v>
      </c>
      <c r="K152" s="75" t="s">
        <v>2258</v>
      </c>
    </row>
    <row r="153" ht="12" spans="1:11">
      <c r="A153" s="71"/>
      <c r="B153" s="72"/>
      <c r="C153" s="73"/>
      <c r="D153" s="72"/>
      <c r="E153" s="72"/>
      <c r="F153" s="57" t="s">
        <v>2215</v>
      </c>
      <c r="G153" s="74">
        <v>1.08</v>
      </c>
      <c r="H153" s="74">
        <v>0.48</v>
      </c>
      <c r="I153" s="50" t="s">
        <v>22</v>
      </c>
      <c r="J153" s="52">
        <v>2.35</v>
      </c>
      <c r="K153" s="76"/>
    </row>
    <row r="154" ht="12" spans="1:11">
      <c r="A154" s="71"/>
      <c r="B154" s="72"/>
      <c r="C154" s="73"/>
      <c r="D154" s="72"/>
      <c r="E154" s="72"/>
      <c r="F154" s="57" t="s">
        <v>1083</v>
      </c>
      <c r="G154" s="74">
        <v>1.67</v>
      </c>
      <c r="H154" s="74">
        <v>0.48</v>
      </c>
      <c r="I154" s="77" t="s">
        <v>24</v>
      </c>
      <c r="J154" s="52" t="s">
        <v>24</v>
      </c>
      <c r="K154" s="78"/>
    </row>
    <row r="155" ht="12" spans="1:11">
      <c r="A155" s="71">
        <v>45730</v>
      </c>
      <c r="B155" s="72" t="s">
        <v>2260</v>
      </c>
      <c r="C155" s="73">
        <v>9.45</v>
      </c>
      <c r="D155" s="72" t="s">
        <v>2203</v>
      </c>
      <c r="E155" s="72" t="s">
        <v>2261</v>
      </c>
      <c r="F155" s="57" t="s">
        <v>1081</v>
      </c>
      <c r="G155" s="74">
        <v>0.49</v>
      </c>
      <c r="H155" s="74">
        <v>9</v>
      </c>
      <c r="I155" s="50" t="s">
        <v>17</v>
      </c>
      <c r="J155" s="52">
        <v>2.08</v>
      </c>
      <c r="K155" s="75" t="s">
        <v>2200</v>
      </c>
    </row>
    <row r="156" ht="12" spans="1:11">
      <c r="A156" s="71"/>
      <c r="B156" s="72"/>
      <c r="C156" s="73"/>
      <c r="D156" s="72"/>
      <c r="E156" s="72"/>
      <c r="F156" s="57" t="s">
        <v>1166</v>
      </c>
      <c r="G156" s="74">
        <v>0.49</v>
      </c>
      <c r="H156" s="74">
        <v>0.45</v>
      </c>
      <c r="I156" s="77" t="s">
        <v>44</v>
      </c>
      <c r="J156" s="52">
        <v>3.4</v>
      </c>
      <c r="K156" s="78"/>
    </row>
    <row r="157" ht="12" spans="1:11">
      <c r="A157" s="71">
        <v>45730</v>
      </c>
      <c r="B157" s="72" t="s">
        <v>2262</v>
      </c>
      <c r="C157" s="73">
        <v>8</v>
      </c>
      <c r="D157" s="72" t="s">
        <v>1553</v>
      </c>
      <c r="E157" s="72" t="s">
        <v>1525</v>
      </c>
      <c r="F157" s="57" t="s">
        <v>1064</v>
      </c>
      <c r="G157" s="74">
        <v>1.01</v>
      </c>
      <c r="H157" s="74">
        <v>7.04</v>
      </c>
      <c r="I157" s="50" t="s">
        <v>17</v>
      </c>
      <c r="J157" s="52">
        <v>2.25</v>
      </c>
      <c r="K157" s="75" t="s">
        <v>2198</v>
      </c>
    </row>
    <row r="158" ht="12" spans="1:11">
      <c r="A158" s="71"/>
      <c r="B158" s="72"/>
      <c r="C158" s="73"/>
      <c r="D158" s="72"/>
      <c r="E158" s="72"/>
      <c r="F158" s="57" t="s">
        <v>1060</v>
      </c>
      <c r="G158" s="74">
        <v>1.01</v>
      </c>
      <c r="H158" s="74">
        <v>0.48</v>
      </c>
      <c r="I158" s="50" t="s">
        <v>22</v>
      </c>
      <c r="J158" s="52">
        <v>2.35</v>
      </c>
      <c r="K158" s="76"/>
    </row>
    <row r="159" ht="12" spans="1:11">
      <c r="A159" s="71"/>
      <c r="B159" s="72"/>
      <c r="C159" s="73"/>
      <c r="D159" s="72"/>
      <c r="E159" s="72"/>
      <c r="F159" s="57" t="s">
        <v>1083</v>
      </c>
      <c r="G159" s="74">
        <v>4</v>
      </c>
      <c r="H159" s="74">
        <v>0.48</v>
      </c>
      <c r="I159" s="77" t="s">
        <v>24</v>
      </c>
      <c r="J159" s="52" t="s">
        <v>24</v>
      </c>
      <c r="K159" s="78"/>
    </row>
    <row r="160" ht="12" spans="1:11">
      <c r="A160" s="71">
        <v>45736</v>
      </c>
      <c r="B160" s="72" t="s">
        <v>2263</v>
      </c>
      <c r="C160" s="73">
        <v>10</v>
      </c>
      <c r="D160" s="72" t="s">
        <v>1499</v>
      </c>
      <c r="E160" s="72" t="s">
        <v>1553</v>
      </c>
      <c r="F160" s="57" t="s">
        <v>1058</v>
      </c>
      <c r="G160" s="59">
        <v>0.98</v>
      </c>
      <c r="H160" s="59">
        <v>7</v>
      </c>
      <c r="I160" s="57" t="s">
        <v>17</v>
      </c>
      <c r="J160" s="52">
        <v>2.17</v>
      </c>
      <c r="K160" s="75" t="s">
        <v>2264</v>
      </c>
    </row>
    <row r="161" ht="12" spans="1:11">
      <c r="A161" s="71"/>
      <c r="B161" s="72"/>
      <c r="C161" s="73"/>
      <c r="D161" s="72"/>
      <c r="E161" s="72"/>
      <c r="F161" s="57" t="s">
        <v>1059</v>
      </c>
      <c r="G161" s="59">
        <v>1.23</v>
      </c>
      <c r="H161" s="59">
        <v>2</v>
      </c>
      <c r="I161" s="57" t="s">
        <v>17</v>
      </c>
      <c r="J161" s="52">
        <v>2.24</v>
      </c>
      <c r="K161" s="76"/>
    </row>
    <row r="162" ht="12" spans="1:11">
      <c r="A162" s="71"/>
      <c r="B162" s="72"/>
      <c r="C162" s="73"/>
      <c r="D162" s="72"/>
      <c r="E162" s="72"/>
      <c r="F162" s="57" t="s">
        <v>1060</v>
      </c>
      <c r="G162" s="59">
        <v>1.23</v>
      </c>
      <c r="H162" s="59">
        <v>0.3</v>
      </c>
      <c r="I162" s="57" t="s">
        <v>22</v>
      </c>
      <c r="J162" s="52">
        <v>2.35</v>
      </c>
      <c r="K162" s="76"/>
    </row>
    <row r="163" ht="12" spans="1:11">
      <c r="A163" s="71"/>
      <c r="B163" s="72"/>
      <c r="C163" s="73"/>
      <c r="D163" s="72"/>
      <c r="E163" s="72"/>
      <c r="F163" s="57" t="s">
        <v>1083</v>
      </c>
      <c r="G163" s="59">
        <v>1.74</v>
      </c>
      <c r="H163" s="59">
        <v>0.7</v>
      </c>
      <c r="I163" s="57" t="s">
        <v>24</v>
      </c>
      <c r="J163" s="52" t="s">
        <v>24</v>
      </c>
      <c r="K163" s="78"/>
    </row>
    <row r="164" ht="12" spans="1:11">
      <c r="A164" s="71">
        <v>45736</v>
      </c>
      <c r="B164" s="72" t="s">
        <v>2265</v>
      </c>
      <c r="C164" s="73">
        <v>10</v>
      </c>
      <c r="D164" s="72" t="s">
        <v>2203</v>
      </c>
      <c r="E164" s="72" t="s">
        <v>2266</v>
      </c>
      <c r="F164" s="57" t="s">
        <v>1064</v>
      </c>
      <c r="G164" s="59">
        <v>2</v>
      </c>
      <c r="H164" s="59">
        <v>8.7</v>
      </c>
      <c r="I164" s="57" t="s">
        <v>17</v>
      </c>
      <c r="J164" s="52">
        <v>2.06</v>
      </c>
      <c r="K164" s="75" t="s">
        <v>2200</v>
      </c>
    </row>
    <row r="165" ht="12" spans="1:11">
      <c r="A165" s="71"/>
      <c r="B165" s="72"/>
      <c r="C165" s="73"/>
      <c r="D165" s="72"/>
      <c r="E165" s="72"/>
      <c r="F165" s="57" t="s">
        <v>1060</v>
      </c>
      <c r="G165" s="59">
        <v>2</v>
      </c>
      <c r="H165" s="59">
        <v>0.3</v>
      </c>
      <c r="I165" s="57" t="s">
        <v>22</v>
      </c>
      <c r="J165" s="52">
        <v>2.5</v>
      </c>
      <c r="K165" s="76"/>
    </row>
    <row r="166" ht="12" spans="1:11">
      <c r="A166" s="71"/>
      <c r="B166" s="72"/>
      <c r="C166" s="73"/>
      <c r="D166" s="72"/>
      <c r="E166" s="72"/>
      <c r="F166" s="57" t="s">
        <v>1166</v>
      </c>
      <c r="G166" s="59">
        <v>2</v>
      </c>
      <c r="H166" s="59">
        <v>0.5</v>
      </c>
      <c r="I166" s="57" t="s">
        <v>439</v>
      </c>
      <c r="J166" s="52">
        <v>3.6</v>
      </c>
      <c r="K166" s="76"/>
    </row>
    <row r="167" ht="12" spans="1:11">
      <c r="A167" s="71"/>
      <c r="B167" s="72"/>
      <c r="C167" s="73"/>
      <c r="D167" s="72"/>
      <c r="E167" s="72"/>
      <c r="F167" s="57" t="s">
        <v>1083</v>
      </c>
      <c r="G167" s="59">
        <v>2</v>
      </c>
      <c r="H167" s="59">
        <v>0.5</v>
      </c>
      <c r="I167" s="57" t="s">
        <v>24</v>
      </c>
      <c r="J167" s="52" t="s">
        <v>24</v>
      </c>
      <c r="K167" s="78"/>
    </row>
    <row r="168" ht="12" spans="1:11">
      <c r="A168" s="71">
        <v>45736</v>
      </c>
      <c r="B168" s="72" t="s">
        <v>2267</v>
      </c>
      <c r="C168" s="73">
        <v>8</v>
      </c>
      <c r="D168" s="72" t="s">
        <v>1553</v>
      </c>
      <c r="E168" s="72" t="s">
        <v>1553</v>
      </c>
      <c r="F168" s="57" t="s">
        <v>1081</v>
      </c>
      <c r="G168" s="59">
        <v>1</v>
      </c>
      <c r="H168" s="74">
        <v>7.04</v>
      </c>
      <c r="I168" s="57" t="s">
        <v>17</v>
      </c>
      <c r="J168" s="52">
        <v>2.25</v>
      </c>
      <c r="K168" s="75" t="s">
        <v>2258</v>
      </c>
    </row>
    <row r="169" ht="12" spans="1:11">
      <c r="A169" s="71"/>
      <c r="B169" s="72"/>
      <c r="C169" s="73"/>
      <c r="D169" s="72"/>
      <c r="E169" s="72"/>
      <c r="F169" s="57" t="s">
        <v>2215</v>
      </c>
      <c r="G169" s="59">
        <v>1.08</v>
      </c>
      <c r="H169" s="74">
        <v>0.48</v>
      </c>
      <c r="I169" s="57" t="s">
        <v>22</v>
      </c>
      <c r="J169" s="52">
        <v>2.35</v>
      </c>
      <c r="K169" s="76"/>
    </row>
    <row r="170" ht="12" spans="1:11">
      <c r="A170" s="71"/>
      <c r="B170" s="72"/>
      <c r="C170" s="73"/>
      <c r="D170" s="72"/>
      <c r="E170" s="72"/>
      <c r="F170" s="57" t="s">
        <v>1083</v>
      </c>
      <c r="G170" s="59">
        <v>1.67</v>
      </c>
      <c r="H170" s="74">
        <v>0.48</v>
      </c>
      <c r="I170" s="57" t="s">
        <v>24</v>
      </c>
      <c r="J170" s="52" t="s">
        <v>24</v>
      </c>
      <c r="K170" s="78"/>
    </row>
    <row r="171" ht="12" spans="1:11">
      <c r="A171" s="71">
        <v>45737</v>
      </c>
      <c r="B171" s="72" t="s">
        <v>2268</v>
      </c>
      <c r="C171" s="73">
        <v>9.45</v>
      </c>
      <c r="D171" s="72" t="s">
        <v>2203</v>
      </c>
      <c r="E171" s="72" t="s">
        <v>2261</v>
      </c>
      <c r="F171" s="57" t="s">
        <v>1081</v>
      </c>
      <c r="G171" s="59">
        <v>1</v>
      </c>
      <c r="H171" s="74">
        <v>9</v>
      </c>
      <c r="I171" s="57" t="s">
        <v>17</v>
      </c>
      <c r="J171" s="52">
        <v>2.02</v>
      </c>
      <c r="K171" s="75" t="s">
        <v>2200</v>
      </c>
    </row>
    <row r="172" ht="12" spans="1:11">
      <c r="A172" s="71"/>
      <c r="B172" s="72"/>
      <c r="C172" s="73"/>
      <c r="D172" s="72"/>
      <c r="E172" s="72"/>
      <c r="F172" s="57" t="s">
        <v>1166</v>
      </c>
      <c r="G172" s="59">
        <v>1</v>
      </c>
      <c r="H172" s="74">
        <v>0.45</v>
      </c>
      <c r="I172" s="57" t="s">
        <v>44</v>
      </c>
      <c r="J172" s="52">
        <v>3.5</v>
      </c>
      <c r="K172" s="78"/>
    </row>
    <row r="173" ht="12" spans="1:11">
      <c r="A173" s="71">
        <v>45734</v>
      </c>
      <c r="B173" s="72" t="s">
        <v>2269</v>
      </c>
      <c r="C173" s="73">
        <v>10</v>
      </c>
      <c r="D173" s="72" t="s">
        <v>1525</v>
      </c>
      <c r="E173" s="72" t="s">
        <v>1525</v>
      </c>
      <c r="F173" s="57" t="s">
        <v>1064</v>
      </c>
      <c r="G173" s="74">
        <v>1.84</v>
      </c>
      <c r="H173" s="74">
        <v>8.4</v>
      </c>
      <c r="I173" s="57" t="s">
        <v>17</v>
      </c>
      <c r="J173" s="52">
        <v>2.2</v>
      </c>
      <c r="K173" s="75" t="s">
        <v>2205</v>
      </c>
    </row>
    <row r="174" ht="12" spans="1:11">
      <c r="A174" s="71"/>
      <c r="B174" s="72"/>
      <c r="C174" s="73"/>
      <c r="D174" s="72"/>
      <c r="E174" s="72"/>
      <c r="F174" s="57" t="s">
        <v>1060</v>
      </c>
      <c r="G174" s="74">
        <v>1.92</v>
      </c>
      <c r="H174" s="74">
        <v>0.5</v>
      </c>
      <c r="I174" s="57" t="s">
        <v>22</v>
      </c>
      <c r="J174" s="52">
        <v>2.25</v>
      </c>
      <c r="K174" s="76"/>
    </row>
    <row r="175" ht="12" spans="1:11">
      <c r="A175" s="71"/>
      <c r="B175" s="72"/>
      <c r="C175" s="73"/>
      <c r="D175" s="72"/>
      <c r="E175" s="72"/>
      <c r="F175" s="57" t="s">
        <v>1061</v>
      </c>
      <c r="G175" s="74">
        <v>2</v>
      </c>
      <c r="H175" s="74">
        <v>0.3</v>
      </c>
      <c r="I175" s="57" t="s">
        <v>44</v>
      </c>
      <c r="J175" s="52">
        <v>2.3</v>
      </c>
      <c r="K175" s="76"/>
    </row>
    <row r="176" ht="12" spans="1:11">
      <c r="A176" s="71"/>
      <c r="B176" s="72"/>
      <c r="C176" s="73"/>
      <c r="D176" s="72"/>
      <c r="E176" s="72"/>
      <c r="F176" s="57" t="s">
        <v>1083</v>
      </c>
      <c r="G176" s="74">
        <v>2.67</v>
      </c>
      <c r="H176" s="74">
        <v>0.8</v>
      </c>
      <c r="I176" s="57" t="s">
        <v>24</v>
      </c>
      <c r="J176" s="52" t="s">
        <v>24</v>
      </c>
      <c r="K176" s="78"/>
    </row>
    <row r="177" ht="24" customHeight="1" spans="1:11">
      <c r="A177" s="53">
        <v>45742</v>
      </c>
      <c r="B177" s="54" t="s">
        <v>2270</v>
      </c>
      <c r="C177" s="55">
        <v>10</v>
      </c>
      <c r="D177" s="54" t="s">
        <v>1566</v>
      </c>
      <c r="E177" s="54" t="s">
        <v>1630</v>
      </c>
      <c r="F177" s="54" t="s">
        <v>1058</v>
      </c>
      <c r="G177" s="56">
        <v>0.96</v>
      </c>
      <c r="H177" s="56">
        <v>7</v>
      </c>
      <c r="I177" s="54" t="s">
        <v>17</v>
      </c>
      <c r="J177" s="52">
        <v>2.11</v>
      </c>
      <c r="K177" s="54" t="s">
        <v>1670</v>
      </c>
    </row>
    <row r="178" ht="12" spans="1:11">
      <c r="A178" s="53"/>
      <c r="B178" s="54"/>
      <c r="C178" s="55"/>
      <c r="D178" s="54"/>
      <c r="E178" s="54"/>
      <c r="F178" s="54" t="s">
        <v>1059</v>
      </c>
      <c r="G178" s="56">
        <v>1.21</v>
      </c>
      <c r="H178" s="56">
        <v>2</v>
      </c>
      <c r="I178" s="54" t="s">
        <v>17</v>
      </c>
      <c r="J178" s="52">
        <v>2.2</v>
      </c>
      <c r="K178" s="54"/>
    </row>
    <row r="179" ht="12" spans="1:11">
      <c r="A179" s="53"/>
      <c r="B179" s="54"/>
      <c r="C179" s="55"/>
      <c r="D179" s="54"/>
      <c r="E179" s="54"/>
      <c r="F179" s="54" t="s">
        <v>1060</v>
      </c>
      <c r="G179" s="56">
        <v>1.21</v>
      </c>
      <c r="H179" s="56">
        <v>0.3</v>
      </c>
      <c r="I179" s="54" t="s">
        <v>22</v>
      </c>
      <c r="J179" s="52">
        <v>2.4</v>
      </c>
      <c r="K179" s="54"/>
    </row>
    <row r="180" ht="12" spans="1:11">
      <c r="A180" s="53"/>
      <c r="B180" s="54"/>
      <c r="C180" s="55"/>
      <c r="D180" s="54"/>
      <c r="E180" s="54"/>
      <c r="F180" s="54" t="s">
        <v>1083</v>
      </c>
      <c r="G180" s="56">
        <v>1.72</v>
      </c>
      <c r="H180" s="56">
        <v>0.7</v>
      </c>
      <c r="I180" s="54" t="s">
        <v>24</v>
      </c>
      <c r="J180" s="52" t="s">
        <v>24</v>
      </c>
      <c r="K180" s="54"/>
    </row>
    <row r="181" ht="24" customHeight="1" spans="1:11">
      <c r="A181" s="53">
        <v>45743</v>
      </c>
      <c r="B181" s="54" t="s">
        <v>2271</v>
      </c>
      <c r="C181" s="55">
        <v>10</v>
      </c>
      <c r="D181" s="54" t="s">
        <v>1623</v>
      </c>
      <c r="E181" s="54" t="s">
        <v>1628</v>
      </c>
      <c r="F181" s="54" t="s">
        <v>1064</v>
      </c>
      <c r="G181" s="56">
        <v>2</v>
      </c>
      <c r="H181" s="56">
        <v>8.7</v>
      </c>
      <c r="I181" s="54" t="s">
        <v>17</v>
      </c>
      <c r="J181" s="52">
        <v>2.41</v>
      </c>
      <c r="K181" s="54" t="s">
        <v>2221</v>
      </c>
    </row>
    <row r="182" ht="12" spans="1:11">
      <c r="A182" s="53"/>
      <c r="B182" s="54"/>
      <c r="C182" s="55"/>
      <c r="D182" s="54"/>
      <c r="E182" s="54"/>
      <c r="F182" s="54" t="s">
        <v>1060</v>
      </c>
      <c r="G182" s="56">
        <v>2</v>
      </c>
      <c r="H182" s="56">
        <v>0.4</v>
      </c>
      <c r="I182" s="54" t="s">
        <v>22</v>
      </c>
      <c r="J182" s="52">
        <v>2.6</v>
      </c>
      <c r="K182" s="54"/>
    </row>
    <row r="183" ht="12" spans="1:11">
      <c r="A183" s="53"/>
      <c r="B183" s="54"/>
      <c r="C183" s="55"/>
      <c r="D183" s="54"/>
      <c r="E183" s="54"/>
      <c r="F183" s="54" t="s">
        <v>1166</v>
      </c>
      <c r="G183" s="56">
        <v>2.08</v>
      </c>
      <c r="H183" s="56">
        <v>0.4</v>
      </c>
      <c r="I183" s="54" t="s">
        <v>439</v>
      </c>
      <c r="J183" s="52">
        <v>3.6</v>
      </c>
      <c r="K183" s="54"/>
    </row>
    <row r="184" ht="12" spans="1:11">
      <c r="A184" s="53"/>
      <c r="B184" s="54"/>
      <c r="C184" s="55"/>
      <c r="D184" s="54"/>
      <c r="E184" s="54"/>
      <c r="F184" s="54" t="s">
        <v>1083</v>
      </c>
      <c r="G184" s="56">
        <v>2.83</v>
      </c>
      <c r="H184" s="56">
        <v>0.5</v>
      </c>
      <c r="I184" s="54" t="s">
        <v>24</v>
      </c>
      <c r="J184" s="52" t="s">
        <v>24</v>
      </c>
      <c r="K184" s="54"/>
    </row>
    <row r="185" ht="24" customHeight="1" spans="1:11">
      <c r="A185" s="53">
        <v>45741</v>
      </c>
      <c r="B185" s="54" t="s">
        <v>2272</v>
      </c>
      <c r="C185" s="55">
        <v>10</v>
      </c>
      <c r="D185" s="54" t="s">
        <v>1566</v>
      </c>
      <c r="E185" s="54" t="s">
        <v>1630</v>
      </c>
      <c r="F185" s="54" t="s">
        <v>1058</v>
      </c>
      <c r="G185" s="56">
        <v>0.97</v>
      </c>
      <c r="H185" s="56">
        <v>7</v>
      </c>
      <c r="I185" s="54" t="s">
        <v>17</v>
      </c>
      <c r="J185" s="52">
        <v>2.12</v>
      </c>
      <c r="K185" s="54" t="s">
        <v>1670</v>
      </c>
    </row>
    <row r="186" ht="12" spans="1:11">
      <c r="A186" s="53"/>
      <c r="B186" s="54"/>
      <c r="C186" s="55"/>
      <c r="D186" s="54"/>
      <c r="E186" s="54"/>
      <c r="F186" s="54" t="s">
        <v>1059</v>
      </c>
      <c r="G186" s="56">
        <v>1.22</v>
      </c>
      <c r="H186" s="56">
        <v>2</v>
      </c>
      <c r="I186" s="54" t="s">
        <v>17</v>
      </c>
      <c r="J186" s="52">
        <v>2.22</v>
      </c>
      <c r="K186" s="54"/>
    </row>
    <row r="187" ht="12" spans="1:11">
      <c r="A187" s="53"/>
      <c r="B187" s="54"/>
      <c r="C187" s="55"/>
      <c r="D187" s="54"/>
      <c r="E187" s="54"/>
      <c r="F187" s="54" t="s">
        <v>1060</v>
      </c>
      <c r="G187" s="56">
        <v>1.22</v>
      </c>
      <c r="H187" s="56">
        <v>0.3</v>
      </c>
      <c r="I187" s="54" t="s">
        <v>22</v>
      </c>
      <c r="J187" s="52">
        <v>2.4</v>
      </c>
      <c r="K187" s="54"/>
    </row>
    <row r="188" ht="12" spans="1:11">
      <c r="A188" s="53"/>
      <c r="B188" s="54"/>
      <c r="C188" s="55"/>
      <c r="D188" s="54"/>
      <c r="E188" s="54"/>
      <c r="F188" s="54" t="s">
        <v>1083</v>
      </c>
      <c r="G188" s="56">
        <v>1.72</v>
      </c>
      <c r="H188" s="56">
        <v>0.7</v>
      </c>
      <c r="I188" s="54" t="s">
        <v>24</v>
      </c>
      <c r="J188" s="52" t="s">
        <v>24</v>
      </c>
      <c r="K188" s="54"/>
    </row>
    <row r="189" ht="12" spans="1:11">
      <c r="A189" s="53">
        <v>45743</v>
      </c>
      <c r="B189" s="54" t="s">
        <v>2273</v>
      </c>
      <c r="C189" s="55">
        <v>10</v>
      </c>
      <c r="D189" s="54" t="s">
        <v>1566</v>
      </c>
      <c r="E189" s="54" t="s">
        <v>1640</v>
      </c>
      <c r="F189" s="54" t="s">
        <v>1081</v>
      </c>
      <c r="G189" s="56">
        <v>1</v>
      </c>
      <c r="H189" s="56">
        <v>8.9</v>
      </c>
      <c r="I189" s="54" t="s">
        <v>17</v>
      </c>
      <c r="J189" s="52">
        <v>2.1</v>
      </c>
      <c r="K189" s="54" t="s">
        <v>2214</v>
      </c>
    </row>
    <row r="190" ht="12" spans="1:11">
      <c r="A190" s="53"/>
      <c r="B190" s="54"/>
      <c r="C190" s="55"/>
      <c r="D190" s="54"/>
      <c r="E190" s="54"/>
      <c r="F190" s="54" t="s">
        <v>2215</v>
      </c>
      <c r="G190" s="56">
        <v>1.17</v>
      </c>
      <c r="H190" s="56">
        <v>0.5</v>
      </c>
      <c r="I190" s="54" t="s">
        <v>22</v>
      </c>
      <c r="J190" s="52">
        <v>2.2</v>
      </c>
      <c r="K190" s="54"/>
    </row>
    <row r="191" ht="12" spans="1:11">
      <c r="A191" s="53"/>
      <c r="B191" s="54"/>
      <c r="C191" s="55"/>
      <c r="D191" s="54"/>
      <c r="E191" s="54"/>
      <c r="F191" s="54" t="s">
        <v>1083</v>
      </c>
      <c r="G191" s="56">
        <v>1.76</v>
      </c>
      <c r="H191" s="56">
        <v>0.6</v>
      </c>
      <c r="I191" s="54" t="s">
        <v>24</v>
      </c>
      <c r="J191" s="52" t="s">
        <v>24</v>
      </c>
      <c r="K191" s="54"/>
    </row>
    <row r="192" ht="24" customHeight="1" spans="1:11">
      <c r="A192" s="53">
        <v>45741</v>
      </c>
      <c r="B192" s="54" t="s">
        <v>2274</v>
      </c>
      <c r="C192" s="55">
        <v>5.58</v>
      </c>
      <c r="D192" s="54" t="s">
        <v>1640</v>
      </c>
      <c r="E192" s="54" t="s">
        <v>1640</v>
      </c>
      <c r="F192" s="54" t="s">
        <v>1064</v>
      </c>
      <c r="G192" s="56">
        <v>1</v>
      </c>
      <c r="H192" s="56">
        <v>5.16</v>
      </c>
      <c r="I192" s="54" t="s">
        <v>17</v>
      </c>
      <c r="J192" s="52">
        <v>2.11</v>
      </c>
      <c r="K192" s="54" t="s">
        <v>2209</v>
      </c>
    </row>
    <row r="193" ht="12" spans="1:11">
      <c r="A193" s="53"/>
      <c r="B193" s="54"/>
      <c r="C193" s="55"/>
      <c r="D193" s="54"/>
      <c r="E193" s="54"/>
      <c r="F193" s="54" t="s">
        <v>1060</v>
      </c>
      <c r="G193" s="56">
        <v>1</v>
      </c>
      <c r="H193" s="56">
        <v>0.42</v>
      </c>
      <c r="I193" s="54" t="s">
        <v>22</v>
      </c>
      <c r="J193" s="52">
        <v>2.3</v>
      </c>
      <c r="K193" s="54"/>
    </row>
    <row r="194" ht="24" customHeight="1" spans="1:11">
      <c r="A194" s="53">
        <v>45741</v>
      </c>
      <c r="B194" s="54" t="s">
        <v>2275</v>
      </c>
      <c r="C194" s="55">
        <v>10</v>
      </c>
      <c r="D194" s="54" t="s">
        <v>1640</v>
      </c>
      <c r="E194" s="54" t="s">
        <v>1630</v>
      </c>
      <c r="F194" s="54" t="s">
        <v>1058</v>
      </c>
      <c r="G194" s="56">
        <v>0.72</v>
      </c>
      <c r="H194" s="56">
        <v>7</v>
      </c>
      <c r="I194" s="54" t="s">
        <v>17</v>
      </c>
      <c r="J194" s="52">
        <v>2.12</v>
      </c>
      <c r="K194" s="54" t="s">
        <v>1670</v>
      </c>
    </row>
    <row r="195" ht="12" spans="1:11">
      <c r="A195" s="53"/>
      <c r="B195" s="54"/>
      <c r="C195" s="55"/>
      <c r="D195" s="54"/>
      <c r="E195" s="54"/>
      <c r="F195" s="54" t="s">
        <v>1059</v>
      </c>
      <c r="G195" s="56">
        <v>0.96</v>
      </c>
      <c r="H195" s="56">
        <v>2</v>
      </c>
      <c r="I195" s="54" t="s">
        <v>17</v>
      </c>
      <c r="J195" s="52">
        <v>2.17</v>
      </c>
      <c r="K195" s="54"/>
    </row>
    <row r="196" ht="12" spans="1:11">
      <c r="A196" s="53"/>
      <c r="B196" s="54"/>
      <c r="C196" s="55"/>
      <c r="D196" s="54"/>
      <c r="E196" s="54"/>
      <c r="F196" s="54" t="s">
        <v>1060</v>
      </c>
      <c r="G196" s="56">
        <v>0.96</v>
      </c>
      <c r="H196" s="56">
        <v>0.3</v>
      </c>
      <c r="I196" s="54" t="s">
        <v>22</v>
      </c>
      <c r="J196" s="52">
        <v>2.35</v>
      </c>
      <c r="K196" s="54"/>
    </row>
    <row r="197" ht="12" spans="1:11">
      <c r="A197" s="53"/>
      <c r="B197" s="54"/>
      <c r="C197" s="55"/>
      <c r="D197" s="54"/>
      <c r="E197" s="54"/>
      <c r="F197" s="54" t="s">
        <v>1083</v>
      </c>
      <c r="G197" s="56">
        <v>1.47</v>
      </c>
      <c r="H197" s="56">
        <v>0.7</v>
      </c>
      <c r="I197" s="54" t="s">
        <v>24</v>
      </c>
      <c r="J197" s="52" t="s">
        <v>24</v>
      </c>
      <c r="K197" s="54"/>
    </row>
    <row r="198" ht="36" customHeight="1" spans="1:11">
      <c r="A198" s="53">
        <v>45743</v>
      </c>
      <c r="B198" s="54" t="s">
        <v>2276</v>
      </c>
      <c r="C198" s="55">
        <v>9.45</v>
      </c>
      <c r="D198" s="54" t="s">
        <v>2225</v>
      </c>
      <c r="E198" s="54" t="s">
        <v>2254</v>
      </c>
      <c r="F198" s="54" t="s">
        <v>1081</v>
      </c>
      <c r="G198" s="56">
        <v>1</v>
      </c>
      <c r="H198" s="56">
        <v>9</v>
      </c>
      <c r="I198" s="54" t="s">
        <v>17</v>
      </c>
      <c r="J198" s="52">
        <v>2.09</v>
      </c>
      <c r="K198" s="54" t="s">
        <v>2221</v>
      </c>
    </row>
    <row r="199" ht="12" spans="1:11">
      <c r="A199" s="53"/>
      <c r="B199" s="54"/>
      <c r="C199" s="55"/>
      <c r="D199" s="54"/>
      <c r="E199" s="54"/>
      <c r="F199" s="54" t="s">
        <v>1166</v>
      </c>
      <c r="G199" s="56">
        <v>1</v>
      </c>
      <c r="H199" s="56">
        <v>0.45</v>
      </c>
      <c r="I199" s="54" t="s">
        <v>44</v>
      </c>
      <c r="J199" s="52">
        <v>3.5</v>
      </c>
      <c r="K199" s="54"/>
    </row>
    <row r="200" ht="36" customHeight="1" spans="1:11">
      <c r="A200" s="53">
        <v>45737</v>
      </c>
      <c r="B200" s="54" t="s">
        <v>2277</v>
      </c>
      <c r="C200" s="55">
        <v>3</v>
      </c>
      <c r="D200" s="54" t="s">
        <v>1623</v>
      </c>
      <c r="E200" s="54" t="s">
        <v>2211</v>
      </c>
      <c r="F200" s="54" t="s">
        <v>1081</v>
      </c>
      <c r="G200" s="56">
        <v>1.48</v>
      </c>
      <c r="H200" s="56">
        <v>2.58</v>
      </c>
      <c r="I200" s="54" t="s">
        <v>17</v>
      </c>
      <c r="J200" s="52">
        <v>3.48</v>
      </c>
      <c r="K200" s="54" t="s">
        <v>2278</v>
      </c>
    </row>
    <row r="201" ht="12" spans="1:11">
      <c r="A201" s="53"/>
      <c r="B201" s="54"/>
      <c r="C201" s="55"/>
      <c r="D201" s="54"/>
      <c r="E201" s="54"/>
      <c r="F201" s="54" t="s">
        <v>1083</v>
      </c>
      <c r="G201" s="56">
        <v>1.97</v>
      </c>
      <c r="H201" s="56">
        <v>0.42</v>
      </c>
      <c r="I201" s="54" t="s">
        <v>24</v>
      </c>
      <c r="J201" s="52" t="s">
        <v>24</v>
      </c>
      <c r="K201" s="54"/>
    </row>
    <row r="202" ht="24" customHeight="1" spans="1:11">
      <c r="A202" s="53">
        <v>45742</v>
      </c>
      <c r="B202" s="54" t="s">
        <v>2279</v>
      </c>
      <c r="C202" s="55">
        <v>10</v>
      </c>
      <c r="D202" s="54" t="s">
        <v>1640</v>
      </c>
      <c r="E202" s="54" t="s">
        <v>1566</v>
      </c>
      <c r="F202" s="54" t="s">
        <v>1058</v>
      </c>
      <c r="G202" s="56">
        <v>0.96</v>
      </c>
      <c r="H202" s="56">
        <v>7</v>
      </c>
      <c r="I202" s="54" t="s">
        <v>17</v>
      </c>
      <c r="J202" s="52">
        <v>2.11</v>
      </c>
      <c r="K202" s="54" t="s">
        <v>1670</v>
      </c>
    </row>
    <row r="203" ht="12" spans="1:11">
      <c r="A203" s="53"/>
      <c r="B203" s="54"/>
      <c r="C203" s="55"/>
      <c r="D203" s="54"/>
      <c r="E203" s="54"/>
      <c r="F203" s="54" t="s">
        <v>1059</v>
      </c>
      <c r="G203" s="56">
        <v>1.21</v>
      </c>
      <c r="H203" s="56">
        <v>2</v>
      </c>
      <c r="I203" s="54" t="s">
        <v>17</v>
      </c>
      <c r="J203" s="52">
        <v>2.2</v>
      </c>
      <c r="K203" s="54"/>
    </row>
    <row r="204" ht="12" spans="1:11">
      <c r="A204" s="53"/>
      <c r="B204" s="54"/>
      <c r="C204" s="55"/>
      <c r="D204" s="54"/>
      <c r="E204" s="54"/>
      <c r="F204" s="54" t="s">
        <v>1060</v>
      </c>
      <c r="G204" s="56">
        <v>1.21</v>
      </c>
      <c r="H204" s="56">
        <v>0.3</v>
      </c>
      <c r="I204" s="54" t="s">
        <v>22</v>
      </c>
      <c r="J204" s="52">
        <v>2.4</v>
      </c>
      <c r="K204" s="54"/>
    </row>
    <row r="205" ht="12" spans="1:11">
      <c r="A205" s="53"/>
      <c r="B205" s="54"/>
      <c r="C205" s="55"/>
      <c r="D205" s="54"/>
      <c r="E205" s="54"/>
      <c r="F205" s="54" t="s">
        <v>1083</v>
      </c>
      <c r="G205" s="56">
        <v>1.72</v>
      </c>
      <c r="H205" s="56">
        <v>0.7</v>
      </c>
      <c r="I205" s="54" t="s">
        <v>24</v>
      </c>
      <c r="J205" s="52" t="s">
        <v>24</v>
      </c>
      <c r="K205" s="54"/>
    </row>
    <row r="206" ht="24" customHeight="1" spans="1:11">
      <c r="A206" s="79">
        <v>45750</v>
      </c>
      <c r="B206" s="80" t="s">
        <v>2280</v>
      </c>
      <c r="C206" s="81">
        <v>9.45</v>
      </c>
      <c r="D206" s="80" t="s">
        <v>2225</v>
      </c>
      <c r="E206" s="80" t="s">
        <v>1630</v>
      </c>
      <c r="F206" s="54" t="s">
        <v>1081</v>
      </c>
      <c r="G206" s="56">
        <v>1</v>
      </c>
      <c r="H206" s="56">
        <v>9</v>
      </c>
      <c r="I206" s="54" t="s">
        <v>17</v>
      </c>
      <c r="J206" s="52">
        <v>2.1</v>
      </c>
      <c r="K206" s="80" t="s">
        <v>2221</v>
      </c>
    </row>
    <row r="207" ht="24" customHeight="1" spans="1:11">
      <c r="A207" s="82"/>
      <c r="B207" s="83"/>
      <c r="C207" s="84"/>
      <c r="D207" s="83"/>
      <c r="E207" s="83"/>
      <c r="F207" s="54" t="s">
        <v>1166</v>
      </c>
      <c r="G207" s="56">
        <v>1</v>
      </c>
      <c r="H207" s="56">
        <v>0.45</v>
      </c>
      <c r="I207" s="85" t="s">
        <v>44</v>
      </c>
      <c r="J207" s="52">
        <v>3.5</v>
      </c>
      <c r="K207" s="83"/>
    </row>
    <row r="208" ht="24" customHeight="1" spans="1:11">
      <c r="A208" s="53">
        <v>45748</v>
      </c>
      <c r="B208" s="54" t="s">
        <v>2281</v>
      </c>
      <c r="C208" s="55">
        <v>10</v>
      </c>
      <c r="D208" s="54" t="s">
        <v>1628</v>
      </c>
      <c r="E208" s="54" t="s">
        <v>1640</v>
      </c>
      <c r="F208" s="54" t="s">
        <v>1081</v>
      </c>
      <c r="G208" s="56">
        <v>1.01</v>
      </c>
      <c r="H208" s="56">
        <v>8.9</v>
      </c>
      <c r="I208" s="54" t="s">
        <v>17</v>
      </c>
      <c r="J208" s="52">
        <v>2.13</v>
      </c>
      <c r="K208" s="54" t="s">
        <v>2214</v>
      </c>
    </row>
    <row r="209" ht="12" spans="1:11">
      <c r="A209" s="53"/>
      <c r="B209" s="54"/>
      <c r="C209" s="55"/>
      <c r="D209" s="54" t="s">
        <v>1628</v>
      </c>
      <c r="E209" s="54" t="s">
        <v>1640</v>
      </c>
      <c r="F209" s="54" t="s">
        <v>2215</v>
      </c>
      <c r="G209" s="56">
        <v>1.17</v>
      </c>
      <c r="H209" s="56">
        <v>0.5</v>
      </c>
      <c r="I209" s="54" t="s">
        <v>22</v>
      </c>
      <c r="J209" s="52">
        <v>2.24</v>
      </c>
      <c r="K209" s="54"/>
    </row>
    <row r="210" ht="12" spans="1:11">
      <c r="A210" s="53"/>
      <c r="B210" s="54"/>
      <c r="C210" s="55"/>
      <c r="D210" s="54" t="s">
        <v>1628</v>
      </c>
      <c r="E210" s="54" t="s">
        <v>1640</v>
      </c>
      <c r="F210" s="54" t="s">
        <v>1083</v>
      </c>
      <c r="G210" s="56">
        <v>1.75</v>
      </c>
      <c r="H210" s="56">
        <v>0.6</v>
      </c>
      <c r="I210" s="54" t="s">
        <v>24</v>
      </c>
      <c r="J210" s="52" t="s">
        <v>24</v>
      </c>
      <c r="K210" s="54"/>
    </row>
    <row r="211" ht="24" customHeight="1" spans="1:11">
      <c r="A211" s="53">
        <v>45744</v>
      </c>
      <c r="B211" s="54" t="s">
        <v>2282</v>
      </c>
      <c r="C211" s="55">
        <v>10</v>
      </c>
      <c r="D211" s="54" t="s">
        <v>1640</v>
      </c>
      <c r="E211" s="54" t="s">
        <v>1640</v>
      </c>
      <c r="F211" s="54" t="s">
        <v>1081</v>
      </c>
      <c r="G211" s="56">
        <v>1.01</v>
      </c>
      <c r="H211" s="56">
        <v>8.9</v>
      </c>
      <c r="I211" s="54" t="s">
        <v>17</v>
      </c>
      <c r="J211" s="52">
        <v>2.12</v>
      </c>
      <c r="K211" s="54" t="s">
        <v>2214</v>
      </c>
    </row>
    <row r="212" ht="12" spans="1:11">
      <c r="A212" s="53"/>
      <c r="B212" s="54"/>
      <c r="C212" s="55"/>
      <c r="D212" s="54" t="s">
        <v>1640</v>
      </c>
      <c r="E212" s="54" t="s">
        <v>1640</v>
      </c>
      <c r="F212" s="54" t="s">
        <v>2215</v>
      </c>
      <c r="G212" s="56">
        <v>1.17</v>
      </c>
      <c r="H212" s="56">
        <v>0.5</v>
      </c>
      <c r="I212" s="54" t="s">
        <v>22</v>
      </c>
      <c r="J212" s="52">
        <v>2.24</v>
      </c>
      <c r="K212" s="54"/>
    </row>
    <row r="213" ht="12" spans="1:11">
      <c r="A213" s="53"/>
      <c r="B213" s="54"/>
      <c r="C213" s="55"/>
      <c r="D213" s="54" t="s">
        <v>1640</v>
      </c>
      <c r="E213" s="54" t="s">
        <v>1640</v>
      </c>
      <c r="F213" s="54" t="s">
        <v>1083</v>
      </c>
      <c r="G213" s="56">
        <v>1.75</v>
      </c>
      <c r="H213" s="56">
        <v>0.6</v>
      </c>
      <c r="I213" s="54" t="s">
        <v>24</v>
      </c>
      <c r="J213" s="52" t="s">
        <v>24</v>
      </c>
      <c r="K213" s="54"/>
    </row>
    <row r="214" ht="24" customHeight="1" spans="1:11">
      <c r="A214" s="53">
        <v>45744</v>
      </c>
      <c r="B214" s="54" t="s">
        <v>2283</v>
      </c>
      <c r="C214" s="55">
        <v>4</v>
      </c>
      <c r="D214" s="54" t="s">
        <v>1623</v>
      </c>
      <c r="E214" s="54" t="s">
        <v>2211</v>
      </c>
      <c r="F214" s="54" t="s">
        <v>1064</v>
      </c>
      <c r="G214" s="56">
        <v>1.42</v>
      </c>
      <c r="H214" s="56">
        <v>3.36</v>
      </c>
      <c r="I214" s="54" t="s">
        <v>17</v>
      </c>
      <c r="J214" s="52">
        <v>2.4</v>
      </c>
      <c r="K214" s="54" t="s">
        <v>2284</v>
      </c>
    </row>
    <row r="215" ht="12" spans="1:11">
      <c r="A215" s="53"/>
      <c r="B215" s="54"/>
      <c r="C215" s="55"/>
      <c r="D215" s="54" t="s">
        <v>1623</v>
      </c>
      <c r="E215" s="54" t="s">
        <v>2211</v>
      </c>
      <c r="F215" s="54" t="s">
        <v>1060</v>
      </c>
      <c r="G215" s="56">
        <v>1.5</v>
      </c>
      <c r="H215" s="56">
        <v>0.16</v>
      </c>
      <c r="I215" s="54" t="s">
        <v>22</v>
      </c>
      <c r="J215" s="52">
        <v>2.9</v>
      </c>
      <c r="K215" s="54"/>
    </row>
    <row r="216" ht="12" spans="1:11">
      <c r="A216" s="53"/>
      <c r="B216" s="54"/>
      <c r="C216" s="55"/>
      <c r="D216" s="54" t="s">
        <v>1623</v>
      </c>
      <c r="E216" s="54" t="s">
        <v>2211</v>
      </c>
      <c r="F216" s="54" t="s">
        <v>1083</v>
      </c>
      <c r="G216" s="56">
        <v>2.58</v>
      </c>
      <c r="H216" s="56">
        <v>0.48</v>
      </c>
      <c r="I216" s="54" t="s">
        <v>24</v>
      </c>
      <c r="J216" s="52" t="s">
        <v>24</v>
      </c>
      <c r="K216" s="54"/>
    </row>
    <row r="217" ht="24" customHeight="1" spans="1:11">
      <c r="A217" s="53">
        <v>45744</v>
      </c>
      <c r="B217" s="54" t="s">
        <v>2285</v>
      </c>
      <c r="C217" s="55">
        <v>10</v>
      </c>
      <c r="D217" s="54" t="s">
        <v>2286</v>
      </c>
      <c r="E217" s="54" t="s">
        <v>2286</v>
      </c>
      <c r="F217" s="54" t="s">
        <v>1081</v>
      </c>
      <c r="G217" s="56">
        <v>1.01</v>
      </c>
      <c r="H217" s="56">
        <v>8.9</v>
      </c>
      <c r="I217" s="54" t="s">
        <v>17</v>
      </c>
      <c r="J217" s="52">
        <v>2.14</v>
      </c>
      <c r="K217" s="54" t="s">
        <v>2214</v>
      </c>
    </row>
    <row r="218" ht="12" spans="1:11">
      <c r="A218" s="53"/>
      <c r="B218" s="54"/>
      <c r="C218" s="55"/>
      <c r="D218" s="54" t="s">
        <v>2286</v>
      </c>
      <c r="E218" s="54" t="s">
        <v>2286</v>
      </c>
      <c r="F218" s="54" t="s">
        <v>2215</v>
      </c>
      <c r="G218" s="56">
        <v>1.17</v>
      </c>
      <c r="H218" s="56">
        <v>0.5</v>
      </c>
      <c r="I218" s="54" t="s">
        <v>22</v>
      </c>
      <c r="J218" s="52">
        <v>2.24</v>
      </c>
      <c r="K218" s="54"/>
    </row>
    <row r="219" ht="12" spans="1:11">
      <c r="A219" s="53"/>
      <c r="B219" s="54"/>
      <c r="C219" s="55"/>
      <c r="D219" s="54" t="s">
        <v>2286</v>
      </c>
      <c r="E219" s="54" t="s">
        <v>2286</v>
      </c>
      <c r="F219" s="54" t="s">
        <v>1083</v>
      </c>
      <c r="G219" s="56">
        <v>1.75</v>
      </c>
      <c r="H219" s="56">
        <v>0.6</v>
      </c>
      <c r="I219" s="54" t="s">
        <v>24</v>
      </c>
      <c r="J219" s="52" t="s">
        <v>24</v>
      </c>
      <c r="K219" s="54"/>
    </row>
    <row r="220" ht="24" customHeight="1" spans="1:11">
      <c r="A220" s="53">
        <v>45744</v>
      </c>
      <c r="B220" s="54" t="s">
        <v>2287</v>
      </c>
      <c r="C220" s="55">
        <v>10</v>
      </c>
      <c r="D220" s="54" t="s">
        <v>1628</v>
      </c>
      <c r="E220" s="54" t="s">
        <v>1640</v>
      </c>
      <c r="F220" s="54" t="s">
        <v>1081</v>
      </c>
      <c r="G220" s="56">
        <v>1</v>
      </c>
      <c r="H220" s="56">
        <v>8.9</v>
      </c>
      <c r="I220" s="54" t="s">
        <v>17</v>
      </c>
      <c r="J220" s="52">
        <v>2.14</v>
      </c>
      <c r="K220" s="54" t="s">
        <v>2214</v>
      </c>
    </row>
    <row r="221" ht="12" spans="1:11">
      <c r="A221" s="53"/>
      <c r="B221" s="54"/>
      <c r="C221" s="55"/>
      <c r="D221" s="54" t="s">
        <v>1628</v>
      </c>
      <c r="E221" s="54" t="s">
        <v>1640</v>
      </c>
      <c r="F221" s="54" t="s">
        <v>2215</v>
      </c>
      <c r="G221" s="56">
        <v>1.17</v>
      </c>
      <c r="H221" s="56">
        <v>0.5</v>
      </c>
      <c r="I221" s="54" t="s">
        <v>22</v>
      </c>
      <c r="J221" s="52">
        <v>2.24</v>
      </c>
      <c r="K221" s="54"/>
    </row>
    <row r="222" ht="12" spans="1:11">
      <c r="A222" s="53"/>
      <c r="B222" s="54"/>
      <c r="C222" s="55"/>
      <c r="D222" s="54" t="s">
        <v>1628</v>
      </c>
      <c r="E222" s="54" t="s">
        <v>1640</v>
      </c>
      <c r="F222" s="54" t="s">
        <v>1083</v>
      </c>
      <c r="G222" s="56">
        <v>1.75</v>
      </c>
      <c r="H222" s="56">
        <v>0.6</v>
      </c>
      <c r="I222" s="54" t="s">
        <v>24</v>
      </c>
      <c r="J222" s="52" t="s">
        <v>24</v>
      </c>
      <c r="K222" s="54"/>
    </row>
    <row r="223" ht="24" customHeight="1" spans="1:11">
      <c r="A223" s="53">
        <v>45743</v>
      </c>
      <c r="B223" s="54" t="s">
        <v>2288</v>
      </c>
      <c r="C223" s="55">
        <v>10</v>
      </c>
      <c r="D223" s="54" t="s">
        <v>2225</v>
      </c>
      <c r="E223" s="54" t="s">
        <v>2246</v>
      </c>
      <c r="F223" s="54" t="s">
        <v>1064</v>
      </c>
      <c r="G223" s="56">
        <v>2</v>
      </c>
      <c r="H223" s="56">
        <v>8.7</v>
      </c>
      <c r="I223" s="54" t="s">
        <v>17</v>
      </c>
      <c r="J223" s="52">
        <v>2.2</v>
      </c>
      <c r="K223" s="54" t="s">
        <v>2221</v>
      </c>
    </row>
    <row r="224" ht="12" spans="1:11">
      <c r="A224" s="53"/>
      <c r="B224" s="54"/>
      <c r="C224" s="55"/>
      <c r="D224" s="54" t="s">
        <v>2225</v>
      </c>
      <c r="E224" s="54" t="s">
        <v>2246</v>
      </c>
      <c r="F224" s="54" t="s">
        <v>1060</v>
      </c>
      <c r="G224" s="56">
        <v>2</v>
      </c>
      <c r="H224" s="56">
        <v>0.3</v>
      </c>
      <c r="I224" s="54" t="s">
        <v>22</v>
      </c>
      <c r="J224" s="52">
        <v>2.5</v>
      </c>
      <c r="K224" s="54"/>
    </row>
    <row r="225" ht="12" spans="1:11">
      <c r="A225" s="53"/>
      <c r="B225" s="54"/>
      <c r="C225" s="55"/>
      <c r="D225" s="54" t="s">
        <v>2225</v>
      </c>
      <c r="E225" s="54" t="s">
        <v>2246</v>
      </c>
      <c r="F225" s="54" t="s">
        <v>1166</v>
      </c>
      <c r="G225" s="56">
        <v>2</v>
      </c>
      <c r="H225" s="56">
        <v>0.5</v>
      </c>
      <c r="I225" s="54" t="s">
        <v>44</v>
      </c>
      <c r="J225" s="52">
        <v>3.6</v>
      </c>
      <c r="K225" s="54"/>
    </row>
    <row r="226" ht="12" spans="1:11">
      <c r="A226" s="53"/>
      <c r="B226" s="54"/>
      <c r="C226" s="55"/>
      <c r="D226" s="54" t="s">
        <v>2225</v>
      </c>
      <c r="E226" s="54" t="s">
        <v>2246</v>
      </c>
      <c r="F226" s="54" t="s">
        <v>1083</v>
      </c>
      <c r="G226" s="56">
        <v>2</v>
      </c>
      <c r="H226" s="56">
        <v>0.5</v>
      </c>
      <c r="I226" s="54" t="s">
        <v>24</v>
      </c>
      <c r="J226" s="52" t="s">
        <v>24</v>
      </c>
      <c r="K226" s="54"/>
    </row>
    <row r="227" ht="24" customHeight="1" spans="1:11">
      <c r="A227" s="53">
        <v>45743</v>
      </c>
      <c r="B227" s="54" t="s">
        <v>2289</v>
      </c>
      <c r="C227" s="55">
        <v>8</v>
      </c>
      <c r="D227" s="54" t="s">
        <v>1620</v>
      </c>
      <c r="E227" s="54" t="s">
        <v>1640</v>
      </c>
      <c r="F227" s="54" t="s">
        <v>1064</v>
      </c>
      <c r="G227" s="56">
        <v>1</v>
      </c>
      <c r="H227" s="56">
        <v>7.04</v>
      </c>
      <c r="I227" s="54" t="s">
        <v>17</v>
      </c>
      <c r="J227" s="52">
        <v>2.1</v>
      </c>
      <c r="K227" s="54" t="s">
        <v>2209</v>
      </c>
    </row>
    <row r="228" ht="12" spans="1:11">
      <c r="A228" s="53"/>
      <c r="B228" s="54"/>
      <c r="C228" s="55"/>
      <c r="D228" s="54" t="s">
        <v>1620</v>
      </c>
      <c r="E228" s="54" t="s">
        <v>1640</v>
      </c>
      <c r="F228" s="54" t="s">
        <v>1060</v>
      </c>
      <c r="G228" s="56">
        <v>1</v>
      </c>
      <c r="H228" s="56">
        <v>0.48</v>
      </c>
      <c r="I228" s="54" t="s">
        <v>22</v>
      </c>
      <c r="J228" s="52">
        <v>2.19</v>
      </c>
      <c r="K228" s="54"/>
    </row>
    <row r="229" ht="12" spans="1:11">
      <c r="A229" s="53"/>
      <c r="B229" s="54"/>
      <c r="C229" s="55"/>
      <c r="D229" s="54" t="s">
        <v>1620</v>
      </c>
      <c r="E229" s="54" t="s">
        <v>1640</v>
      </c>
      <c r="F229" s="54" t="s">
        <v>1083</v>
      </c>
      <c r="G229" s="56">
        <v>4</v>
      </c>
      <c r="H229" s="56">
        <v>0.48</v>
      </c>
      <c r="I229" s="54" t="s">
        <v>24</v>
      </c>
      <c r="J229" s="52" t="s">
        <v>24</v>
      </c>
      <c r="K229" s="54"/>
    </row>
    <row r="230" ht="24" customHeight="1" spans="1:11">
      <c r="A230" s="53">
        <v>45742</v>
      </c>
      <c r="B230" s="54" t="s">
        <v>2290</v>
      </c>
      <c r="C230" s="55">
        <v>10</v>
      </c>
      <c r="D230" s="54" t="s">
        <v>1640</v>
      </c>
      <c r="E230" s="54" t="s">
        <v>1640</v>
      </c>
      <c r="F230" s="54" t="s">
        <v>1081</v>
      </c>
      <c r="G230" s="56">
        <v>1</v>
      </c>
      <c r="H230" s="56">
        <v>8.9</v>
      </c>
      <c r="I230" s="54" t="s">
        <v>17</v>
      </c>
      <c r="J230" s="52">
        <v>2.14</v>
      </c>
      <c r="K230" s="54" t="s">
        <v>2214</v>
      </c>
    </row>
    <row r="231" ht="12" spans="1:11">
      <c r="A231" s="53"/>
      <c r="B231" s="54"/>
      <c r="C231" s="55"/>
      <c r="D231" s="54" t="s">
        <v>1640</v>
      </c>
      <c r="E231" s="54" t="s">
        <v>1640</v>
      </c>
      <c r="F231" s="54" t="s">
        <v>2215</v>
      </c>
      <c r="G231" s="56">
        <v>1.17</v>
      </c>
      <c r="H231" s="56">
        <v>0.5</v>
      </c>
      <c r="I231" s="54" t="s">
        <v>22</v>
      </c>
      <c r="J231" s="52">
        <v>2.24</v>
      </c>
      <c r="K231" s="54"/>
    </row>
    <row r="232" ht="12" spans="1:11">
      <c r="A232" s="53"/>
      <c r="B232" s="54"/>
      <c r="C232" s="55"/>
      <c r="D232" s="54" t="s">
        <v>1640</v>
      </c>
      <c r="E232" s="54" t="s">
        <v>1640</v>
      </c>
      <c r="F232" s="54" t="s">
        <v>1083</v>
      </c>
      <c r="G232" s="56">
        <v>1.75</v>
      </c>
      <c r="H232" s="56">
        <v>0.6</v>
      </c>
      <c r="I232" s="54" t="s">
        <v>24</v>
      </c>
      <c r="J232" s="52" t="s">
        <v>24</v>
      </c>
      <c r="K232" s="54"/>
    </row>
    <row r="233" ht="24" customHeight="1" spans="1:11">
      <c r="A233" s="53">
        <v>45743</v>
      </c>
      <c r="B233" s="54" t="s">
        <v>2291</v>
      </c>
      <c r="C233" s="55">
        <v>5</v>
      </c>
      <c r="D233" s="54" t="s">
        <v>1640</v>
      </c>
      <c r="E233" s="54" t="s">
        <v>1566</v>
      </c>
      <c r="F233" s="54" t="s">
        <v>1058</v>
      </c>
      <c r="G233" s="56">
        <v>0.96</v>
      </c>
      <c r="H233" s="56">
        <v>3.5</v>
      </c>
      <c r="I233" s="54" t="s">
        <v>17</v>
      </c>
      <c r="J233" s="52">
        <v>2.12</v>
      </c>
      <c r="K233" s="54" t="s">
        <v>1670</v>
      </c>
    </row>
    <row r="234" ht="12" spans="1:11">
      <c r="A234" s="53"/>
      <c r="B234" s="54"/>
      <c r="C234" s="55"/>
      <c r="D234" s="54" t="s">
        <v>1640</v>
      </c>
      <c r="E234" s="54" t="s">
        <v>1566</v>
      </c>
      <c r="F234" s="54" t="s">
        <v>1059</v>
      </c>
      <c r="G234" s="56">
        <v>1.21</v>
      </c>
      <c r="H234" s="56">
        <v>1</v>
      </c>
      <c r="I234" s="54" t="s">
        <v>17</v>
      </c>
      <c r="J234" s="52">
        <v>2.18</v>
      </c>
      <c r="K234" s="54"/>
    </row>
    <row r="235" ht="12" spans="1:11">
      <c r="A235" s="53"/>
      <c r="B235" s="54"/>
      <c r="C235" s="55"/>
      <c r="D235" s="54" t="s">
        <v>1640</v>
      </c>
      <c r="E235" s="54" t="s">
        <v>1566</v>
      </c>
      <c r="F235" s="54" t="s">
        <v>1060</v>
      </c>
      <c r="G235" s="56">
        <v>1.21</v>
      </c>
      <c r="H235" s="56">
        <v>0.15</v>
      </c>
      <c r="I235" s="54" t="s">
        <v>22</v>
      </c>
      <c r="J235" s="52">
        <v>2.4</v>
      </c>
      <c r="K235" s="54"/>
    </row>
    <row r="236" ht="12" spans="1:11">
      <c r="A236" s="53"/>
      <c r="B236" s="54"/>
      <c r="C236" s="55"/>
      <c r="D236" s="54" t="s">
        <v>1640</v>
      </c>
      <c r="E236" s="54" t="s">
        <v>1566</v>
      </c>
      <c r="F236" s="54" t="s">
        <v>1083</v>
      </c>
      <c r="G236" s="56">
        <v>1.71</v>
      </c>
      <c r="H236" s="56">
        <v>0.35</v>
      </c>
      <c r="I236" s="54" t="s">
        <v>24</v>
      </c>
      <c r="J236" s="52" t="s">
        <v>24</v>
      </c>
      <c r="K236" s="54"/>
    </row>
    <row r="237" ht="12" spans="1:11">
      <c r="A237" s="53">
        <v>45758</v>
      </c>
      <c r="B237" s="54" t="s">
        <v>2292</v>
      </c>
      <c r="C237" s="49">
        <v>9.45</v>
      </c>
      <c r="D237" s="48" t="s">
        <v>2203</v>
      </c>
      <c r="E237" s="48" t="s">
        <v>1499</v>
      </c>
      <c r="F237" s="54" t="s">
        <v>1064</v>
      </c>
      <c r="G237" s="56">
        <v>1</v>
      </c>
      <c r="H237" s="56">
        <v>9</v>
      </c>
      <c r="I237" s="85" t="s">
        <v>17</v>
      </c>
      <c r="J237" s="52">
        <v>2.02</v>
      </c>
      <c r="K237" s="85" t="s">
        <v>2221</v>
      </c>
    </row>
    <row r="238" ht="12" spans="1:11">
      <c r="A238" s="53"/>
      <c r="B238" s="54"/>
      <c r="C238" s="49"/>
      <c r="D238" s="48"/>
      <c r="E238" s="48"/>
      <c r="F238" s="54" t="s">
        <v>1060</v>
      </c>
      <c r="G238" s="56">
        <v>1</v>
      </c>
      <c r="H238" s="56">
        <v>0.45</v>
      </c>
      <c r="I238" s="85" t="s">
        <v>44</v>
      </c>
      <c r="J238" s="52">
        <v>3.5</v>
      </c>
      <c r="K238" s="85"/>
    </row>
    <row r="239" ht="12" spans="1:11">
      <c r="A239" s="86">
        <v>45758</v>
      </c>
      <c r="B239" s="48" t="s">
        <v>2293</v>
      </c>
      <c r="C239" s="49">
        <v>9.45</v>
      </c>
      <c r="D239" s="48" t="s">
        <v>2203</v>
      </c>
      <c r="E239" s="48" t="s">
        <v>1499</v>
      </c>
      <c r="F239" s="54" t="s">
        <v>1081</v>
      </c>
      <c r="G239" s="56">
        <v>1</v>
      </c>
      <c r="H239" s="56">
        <v>9</v>
      </c>
      <c r="I239" s="85" t="s">
        <v>17</v>
      </c>
      <c r="J239" s="52">
        <v>2</v>
      </c>
      <c r="K239" s="80" t="s">
        <v>2221</v>
      </c>
    </row>
    <row r="240" ht="12" spans="1:11">
      <c r="A240" s="86"/>
      <c r="B240" s="48"/>
      <c r="C240" s="49"/>
      <c r="D240" s="48"/>
      <c r="E240" s="48"/>
      <c r="F240" s="54" t="s">
        <v>1166</v>
      </c>
      <c r="G240" s="56">
        <v>1</v>
      </c>
      <c r="H240" s="56">
        <v>0.45</v>
      </c>
      <c r="I240" s="85" t="s">
        <v>44</v>
      </c>
      <c r="J240" s="52">
        <v>3.5</v>
      </c>
      <c r="K240" s="87"/>
    </row>
    <row r="241" ht="12" spans="1:11">
      <c r="A241" s="86">
        <v>45756</v>
      </c>
      <c r="B241" s="48" t="s">
        <v>2294</v>
      </c>
      <c r="C241" s="49">
        <v>10</v>
      </c>
      <c r="D241" s="88" t="s">
        <v>2295</v>
      </c>
      <c r="E241" s="88" t="s">
        <v>1553</v>
      </c>
      <c r="F241" s="54" t="s">
        <v>1081</v>
      </c>
      <c r="G241" s="56">
        <v>1</v>
      </c>
      <c r="H241" s="56">
        <v>8.8</v>
      </c>
      <c r="I241" s="85" t="s">
        <v>17</v>
      </c>
      <c r="J241" s="52">
        <v>2.14</v>
      </c>
      <c r="K241" s="80" t="s">
        <v>2214</v>
      </c>
    </row>
    <row r="242" ht="12" spans="1:11">
      <c r="A242" s="86"/>
      <c r="B242" s="48"/>
      <c r="C242" s="49"/>
      <c r="D242" s="89"/>
      <c r="E242" s="89"/>
      <c r="F242" s="54" t="s">
        <v>2215</v>
      </c>
      <c r="G242" s="56">
        <v>1.09</v>
      </c>
      <c r="H242" s="56">
        <v>0.6</v>
      </c>
      <c r="I242" s="85" t="s">
        <v>22</v>
      </c>
      <c r="J242" s="52">
        <v>2.27</v>
      </c>
      <c r="K242" s="87"/>
    </row>
    <row r="243" ht="12" spans="1:11">
      <c r="A243" s="86"/>
      <c r="B243" s="48"/>
      <c r="C243" s="49"/>
      <c r="D243" s="90"/>
      <c r="E243" s="90"/>
      <c r="F243" s="54" t="s">
        <v>1083</v>
      </c>
      <c r="G243" s="56">
        <v>1.67</v>
      </c>
      <c r="H243" s="56">
        <v>0.6</v>
      </c>
      <c r="I243" s="85" t="s">
        <v>24</v>
      </c>
      <c r="J243" s="52" t="s">
        <v>24</v>
      </c>
      <c r="K243" s="83"/>
    </row>
    <row r="244" ht="12" spans="1:11">
      <c r="A244" s="53">
        <v>45758</v>
      </c>
      <c r="B244" s="54" t="s">
        <v>2296</v>
      </c>
      <c r="C244" s="49">
        <v>8</v>
      </c>
      <c r="D244" s="91" t="s">
        <v>2297</v>
      </c>
      <c r="E244" s="92" t="s">
        <v>2298</v>
      </c>
      <c r="F244" s="54" t="s">
        <v>1064</v>
      </c>
      <c r="G244" s="56">
        <v>1.01</v>
      </c>
      <c r="H244" s="56">
        <v>7.04</v>
      </c>
      <c r="I244" s="85" t="s">
        <v>17</v>
      </c>
      <c r="J244" s="52">
        <v>1.99</v>
      </c>
      <c r="K244" s="85" t="s">
        <v>2209</v>
      </c>
    </row>
    <row r="245" ht="12" spans="1:11">
      <c r="A245" s="53"/>
      <c r="B245" s="54"/>
      <c r="C245" s="49"/>
      <c r="D245" s="91"/>
      <c r="E245" s="92"/>
      <c r="F245" s="54" t="s">
        <v>1060</v>
      </c>
      <c r="G245" s="56">
        <v>1.01</v>
      </c>
      <c r="H245" s="56">
        <v>0.48</v>
      </c>
      <c r="I245" s="85" t="s">
        <v>22</v>
      </c>
      <c r="J245" s="52">
        <v>2.09</v>
      </c>
      <c r="K245" s="85"/>
    </row>
    <row r="246" ht="12" spans="1:11">
      <c r="A246" s="53"/>
      <c r="B246" s="54"/>
      <c r="C246" s="49"/>
      <c r="D246" s="91"/>
      <c r="E246" s="92"/>
      <c r="F246" s="54" t="s">
        <v>1083</v>
      </c>
      <c r="G246" s="56">
        <v>4</v>
      </c>
      <c r="H246" s="56">
        <v>0.48</v>
      </c>
      <c r="I246" s="85" t="s">
        <v>24</v>
      </c>
      <c r="J246" s="52" t="s">
        <v>24</v>
      </c>
      <c r="K246" s="85"/>
    </row>
    <row r="247" ht="12" spans="1:11">
      <c r="A247" s="53">
        <v>45757</v>
      </c>
      <c r="B247" s="54" t="s">
        <v>2299</v>
      </c>
      <c r="C247" s="49">
        <v>10</v>
      </c>
      <c r="D247" s="91" t="s">
        <v>2300</v>
      </c>
      <c r="E247" s="92" t="s">
        <v>2301</v>
      </c>
      <c r="F247" s="54" t="s">
        <v>1064</v>
      </c>
      <c r="G247" s="56">
        <v>2</v>
      </c>
      <c r="H247" s="56">
        <v>8.7</v>
      </c>
      <c r="I247" s="85" t="s">
        <v>17</v>
      </c>
      <c r="J247" s="52">
        <v>2.12</v>
      </c>
      <c r="K247" s="85" t="s">
        <v>2221</v>
      </c>
    </row>
    <row r="248" ht="12" spans="1:11">
      <c r="A248" s="53"/>
      <c r="B248" s="54"/>
      <c r="C248" s="49"/>
      <c r="D248" s="91"/>
      <c r="E248" s="92"/>
      <c r="F248" s="54" t="s">
        <v>1060</v>
      </c>
      <c r="G248" s="56">
        <v>2</v>
      </c>
      <c r="H248" s="56">
        <v>0.4</v>
      </c>
      <c r="I248" s="85" t="s">
        <v>22</v>
      </c>
      <c r="J248" s="52">
        <v>2.32</v>
      </c>
      <c r="K248" s="85"/>
    </row>
    <row r="249" ht="11" customHeight="1" spans="1:11">
      <c r="A249" s="53"/>
      <c r="B249" s="54"/>
      <c r="C249" s="49"/>
      <c r="D249" s="91"/>
      <c r="E249" s="92"/>
      <c r="F249" s="54" t="s">
        <v>1166</v>
      </c>
      <c r="G249" s="56">
        <v>2</v>
      </c>
      <c r="H249" s="56">
        <v>0.4</v>
      </c>
      <c r="I249" s="85" t="s">
        <v>44</v>
      </c>
      <c r="J249" s="52">
        <v>3.6</v>
      </c>
      <c r="K249" s="85"/>
    </row>
    <row r="250" ht="12" spans="1:11">
      <c r="A250" s="53"/>
      <c r="B250" s="54"/>
      <c r="C250" s="49"/>
      <c r="D250" s="91"/>
      <c r="E250" s="92"/>
      <c r="F250" s="54" t="s">
        <v>1083</v>
      </c>
      <c r="G250" s="56">
        <v>2</v>
      </c>
      <c r="H250" s="56">
        <v>0.5</v>
      </c>
      <c r="I250" s="85" t="s">
        <v>24</v>
      </c>
      <c r="J250" s="52" t="s">
        <v>24</v>
      </c>
      <c r="K250" s="85"/>
    </row>
    <row r="251" ht="12" spans="1:11">
      <c r="A251" s="53">
        <v>45757</v>
      </c>
      <c r="B251" s="54" t="s">
        <v>2302</v>
      </c>
      <c r="C251" s="49">
        <v>10</v>
      </c>
      <c r="D251" s="91" t="s">
        <v>2298</v>
      </c>
      <c r="E251" s="92" t="s">
        <v>2298</v>
      </c>
      <c r="F251" s="54" t="s">
        <v>1064</v>
      </c>
      <c r="G251" s="56">
        <v>1.25</v>
      </c>
      <c r="H251" s="56">
        <v>8.2</v>
      </c>
      <c r="I251" s="85" t="s">
        <v>17</v>
      </c>
      <c r="J251" s="52">
        <v>2.38</v>
      </c>
      <c r="K251" s="85" t="s">
        <v>2303</v>
      </c>
    </row>
    <row r="252" ht="15.5" customHeight="1" spans="1:11">
      <c r="A252" s="53"/>
      <c r="B252" s="54"/>
      <c r="C252" s="49"/>
      <c r="D252" s="91"/>
      <c r="E252" s="92"/>
      <c r="F252" s="54" t="s">
        <v>1060</v>
      </c>
      <c r="G252" s="56">
        <v>1.25</v>
      </c>
      <c r="H252" s="56">
        <v>0.7</v>
      </c>
      <c r="I252" s="85" t="s">
        <v>22</v>
      </c>
      <c r="J252" s="52">
        <v>2.6</v>
      </c>
      <c r="K252" s="85"/>
    </row>
    <row r="253" ht="14.55" customHeight="1" spans="1:11">
      <c r="A253" s="53"/>
      <c r="B253" s="54"/>
      <c r="C253" s="49"/>
      <c r="D253" s="91"/>
      <c r="E253" s="92"/>
      <c r="F253" s="54" t="s">
        <v>1166</v>
      </c>
      <c r="G253" s="56">
        <v>1.25</v>
      </c>
      <c r="H253" s="56">
        <v>0.35</v>
      </c>
      <c r="I253" s="85" t="s">
        <v>44</v>
      </c>
      <c r="J253" s="52">
        <v>4</v>
      </c>
      <c r="K253" s="85"/>
    </row>
    <row r="254" ht="14.55" customHeight="1" spans="1:11">
      <c r="A254" s="53"/>
      <c r="B254" s="54"/>
      <c r="C254" s="49"/>
      <c r="D254" s="91"/>
      <c r="E254" s="92"/>
      <c r="F254" s="54" t="s">
        <v>1083</v>
      </c>
      <c r="G254" s="56">
        <v>1.25</v>
      </c>
      <c r="H254" s="56">
        <v>0.75</v>
      </c>
      <c r="I254" s="85" t="s">
        <v>24</v>
      </c>
      <c r="J254" s="52" t="s">
        <v>24</v>
      </c>
      <c r="K254" s="85"/>
    </row>
    <row r="255" ht="21.5" customHeight="1" spans="1:11">
      <c r="A255" s="47">
        <v>45754</v>
      </c>
      <c r="B255" s="48" t="s">
        <v>2304</v>
      </c>
      <c r="C255" s="49">
        <v>9.45</v>
      </c>
      <c r="D255" s="88" t="s">
        <v>2203</v>
      </c>
      <c r="E255" s="88" t="s">
        <v>1499</v>
      </c>
      <c r="F255" s="54" t="s">
        <v>1081</v>
      </c>
      <c r="G255" s="56">
        <v>1</v>
      </c>
      <c r="H255" s="56">
        <v>9</v>
      </c>
      <c r="I255" s="85" t="s">
        <v>17</v>
      </c>
      <c r="J255" s="52">
        <v>2.05</v>
      </c>
      <c r="K255" s="80" t="s">
        <v>2221</v>
      </c>
    </row>
    <row r="256" ht="12" spans="1:11">
      <c r="A256" s="47"/>
      <c r="B256" s="48"/>
      <c r="C256" s="49"/>
      <c r="D256" s="90"/>
      <c r="E256" s="90"/>
      <c r="F256" s="54" t="s">
        <v>1166</v>
      </c>
      <c r="G256" s="56">
        <v>1</v>
      </c>
      <c r="H256" s="56">
        <v>0.45</v>
      </c>
      <c r="I256" s="85" t="s">
        <v>44</v>
      </c>
      <c r="J256" s="52">
        <v>3.5</v>
      </c>
      <c r="K256" s="83"/>
    </row>
    <row r="257" ht="12.75" customHeight="1" spans="1:13">
      <c r="A257" s="79">
        <v>45764</v>
      </c>
      <c r="B257" s="93" t="s">
        <v>2305</v>
      </c>
      <c r="C257" s="49">
        <v>10</v>
      </c>
      <c r="D257" s="94" t="s">
        <v>2306</v>
      </c>
      <c r="E257" s="94" t="s">
        <v>2306</v>
      </c>
      <c r="F257" s="95" t="s">
        <v>1064</v>
      </c>
      <c r="G257" s="56">
        <v>1.56</v>
      </c>
      <c r="H257" s="56">
        <v>8.4</v>
      </c>
      <c r="I257" s="85" t="s">
        <v>17</v>
      </c>
      <c r="J257" s="52">
        <v>2</v>
      </c>
      <c r="K257" s="96" t="s">
        <v>2307</v>
      </c>
    </row>
    <row r="258" ht="12" spans="1:13">
      <c r="A258" s="97"/>
      <c r="B258" s="98"/>
      <c r="C258" s="49"/>
      <c r="D258" s="99"/>
      <c r="E258" s="99"/>
      <c r="F258" s="95" t="s">
        <v>1060</v>
      </c>
      <c r="G258" s="56">
        <v>1.64</v>
      </c>
      <c r="H258" s="56">
        <v>0.5</v>
      </c>
      <c r="I258" s="85" t="s">
        <v>22</v>
      </c>
      <c r="J258" s="52">
        <v>2.2</v>
      </c>
      <c r="K258" s="100"/>
    </row>
    <row r="259" ht="12" spans="1:13">
      <c r="A259" s="97"/>
      <c r="B259" s="98"/>
      <c r="C259" s="49"/>
      <c r="D259" s="99"/>
      <c r="E259" s="99"/>
      <c r="F259" s="95" t="s">
        <v>1061</v>
      </c>
      <c r="G259" s="56">
        <v>1.72</v>
      </c>
      <c r="H259" s="56">
        <v>0.3</v>
      </c>
      <c r="I259" s="85" t="s">
        <v>44</v>
      </c>
      <c r="J259" s="52">
        <v>2.2</v>
      </c>
      <c r="K259" s="100"/>
    </row>
    <row r="260" ht="12" spans="1:13">
      <c r="A260" s="82"/>
      <c r="B260" s="101"/>
      <c r="C260" s="49"/>
      <c r="D260" s="102"/>
      <c r="E260" s="102"/>
      <c r="F260" s="95" t="s">
        <v>1083</v>
      </c>
      <c r="G260" s="56">
        <v>2.39</v>
      </c>
      <c r="H260" s="56">
        <v>0.8</v>
      </c>
      <c r="I260" s="103" t="s">
        <v>24</v>
      </c>
      <c r="J260" s="52" t="s">
        <v>24</v>
      </c>
      <c r="K260" s="104"/>
    </row>
    <row r="261" ht="14.55" customHeight="1" spans="1:13">
      <c r="A261" s="79">
        <v>45764</v>
      </c>
      <c r="B261" s="80" t="s">
        <v>2308</v>
      </c>
      <c r="C261" s="81">
        <v>5</v>
      </c>
      <c r="D261" s="80" t="s">
        <v>1620</v>
      </c>
      <c r="E261" s="80" t="s">
        <v>1620</v>
      </c>
      <c r="F261" s="54" t="s">
        <v>1064</v>
      </c>
      <c r="G261" s="105">
        <v>0.94</v>
      </c>
      <c r="H261" s="105">
        <v>4.18</v>
      </c>
      <c r="I261" s="103" t="s">
        <v>17</v>
      </c>
      <c r="J261" s="52">
        <v>2.05</v>
      </c>
      <c r="K261" s="80" t="s">
        <v>2217</v>
      </c>
      <c r="M261" s="106"/>
    </row>
    <row r="262" ht="12" spans="1:13">
      <c r="A262" s="97"/>
      <c r="B262" s="87"/>
      <c r="C262" s="107"/>
      <c r="D262" s="87"/>
      <c r="E262" s="87"/>
      <c r="F262" s="54" t="s">
        <v>1060</v>
      </c>
      <c r="G262" s="105">
        <v>1.94</v>
      </c>
      <c r="H262" s="105">
        <v>0.27</v>
      </c>
      <c r="I262" s="103" t="s">
        <v>22</v>
      </c>
      <c r="J262" s="52">
        <v>2.15</v>
      </c>
      <c r="K262" s="87"/>
      <c r="M262" s="106"/>
    </row>
    <row r="263" ht="12" spans="1:13">
      <c r="A263" s="97"/>
      <c r="B263" s="87"/>
      <c r="C263" s="107"/>
      <c r="D263" s="87"/>
      <c r="E263" s="87"/>
      <c r="F263" s="54" t="s">
        <v>1086</v>
      </c>
      <c r="G263" s="105">
        <v>3.02</v>
      </c>
      <c r="H263" s="105">
        <v>0.3</v>
      </c>
      <c r="I263" s="103" t="s">
        <v>24</v>
      </c>
      <c r="J263" s="52" t="s">
        <v>24</v>
      </c>
      <c r="K263" s="87"/>
      <c r="M263" s="106"/>
    </row>
    <row r="264" ht="12" spans="1:13">
      <c r="A264" s="82"/>
      <c r="B264" s="83"/>
      <c r="C264" s="84"/>
      <c r="D264" s="83"/>
      <c r="E264" s="83"/>
      <c r="F264" s="54" t="s">
        <v>1087</v>
      </c>
      <c r="G264" s="105">
        <v>3.02</v>
      </c>
      <c r="H264" s="105">
        <v>0.25</v>
      </c>
      <c r="I264" s="103" t="s">
        <v>24</v>
      </c>
      <c r="J264" s="52" t="s">
        <v>24</v>
      </c>
      <c r="K264" s="83"/>
    </row>
    <row r="265" ht="12" spans="1:13">
      <c r="A265" s="79">
        <v>45757</v>
      </c>
      <c r="B265" s="80" t="s">
        <v>2309</v>
      </c>
      <c r="C265" s="81">
        <v>10</v>
      </c>
      <c r="D265" s="80" t="s">
        <v>1640</v>
      </c>
      <c r="E265" s="80" t="s">
        <v>1640</v>
      </c>
      <c r="F265" s="54" t="s">
        <v>1081</v>
      </c>
      <c r="G265" s="105">
        <v>1</v>
      </c>
      <c r="H265" s="105">
        <v>8.8</v>
      </c>
      <c r="I265" s="103" t="s">
        <v>17</v>
      </c>
      <c r="J265" s="52">
        <v>2.02</v>
      </c>
      <c r="K265" s="80" t="s">
        <v>2214</v>
      </c>
    </row>
    <row r="266" ht="12" spans="1:13">
      <c r="A266" s="97"/>
      <c r="B266" s="87"/>
      <c r="C266" s="107"/>
      <c r="D266" s="87"/>
      <c r="E266" s="87"/>
      <c r="F266" s="54" t="s">
        <v>2215</v>
      </c>
      <c r="G266" s="105">
        <v>1.08</v>
      </c>
      <c r="H266" s="105">
        <v>0.6</v>
      </c>
      <c r="I266" s="103" t="s">
        <v>22</v>
      </c>
      <c r="J266" s="52">
        <v>2.12</v>
      </c>
      <c r="K266" s="87"/>
    </row>
    <row r="267" ht="12" spans="1:13">
      <c r="A267" s="82"/>
      <c r="B267" s="83"/>
      <c r="C267" s="84"/>
      <c r="D267" s="83"/>
      <c r="E267" s="83"/>
      <c r="F267" s="54" t="s">
        <v>1083</v>
      </c>
      <c r="G267" s="105">
        <v>1.67</v>
      </c>
      <c r="H267" s="105">
        <v>0.6</v>
      </c>
      <c r="I267" s="103" t="s">
        <v>24</v>
      </c>
      <c r="J267" s="52" t="s">
        <v>24</v>
      </c>
      <c r="K267" s="83"/>
    </row>
    <row r="268" ht="12" spans="1:13">
      <c r="A268" s="79">
        <v>45758</v>
      </c>
      <c r="B268" s="80" t="s">
        <v>2310</v>
      </c>
      <c r="C268" s="81">
        <v>10</v>
      </c>
      <c r="D268" s="80" t="s">
        <v>1640</v>
      </c>
      <c r="E268" s="80" t="s">
        <v>1640</v>
      </c>
      <c r="F268" s="54" t="s">
        <v>1081</v>
      </c>
      <c r="G268" s="105">
        <v>1</v>
      </c>
      <c r="H268" s="105">
        <v>8.8</v>
      </c>
      <c r="I268" s="103" t="s">
        <v>17</v>
      </c>
      <c r="J268" s="52">
        <v>2.04</v>
      </c>
      <c r="K268" s="80" t="s">
        <v>2214</v>
      </c>
    </row>
    <row r="269" ht="12" spans="1:13">
      <c r="A269" s="97"/>
      <c r="B269" s="87"/>
      <c r="C269" s="107"/>
      <c r="D269" s="87"/>
      <c r="E269" s="87"/>
      <c r="F269" s="54" t="s">
        <v>2215</v>
      </c>
      <c r="G269" s="105">
        <v>1.08</v>
      </c>
      <c r="H269" s="105">
        <v>0.6</v>
      </c>
      <c r="I269" s="103" t="s">
        <v>22</v>
      </c>
      <c r="J269" s="52">
        <v>2.12</v>
      </c>
      <c r="K269" s="87"/>
    </row>
    <row r="270" ht="12" spans="1:13">
      <c r="A270" s="82"/>
      <c r="B270" s="83"/>
      <c r="C270" s="84"/>
      <c r="D270" s="83"/>
      <c r="E270" s="83"/>
      <c r="F270" s="54" t="s">
        <v>1083</v>
      </c>
      <c r="G270" s="105">
        <v>1.67</v>
      </c>
      <c r="H270" s="105">
        <v>0.6</v>
      </c>
      <c r="I270" s="103" t="s">
        <v>24</v>
      </c>
      <c r="J270" s="52" t="s">
        <v>24</v>
      </c>
      <c r="K270" s="83"/>
    </row>
    <row r="271" ht="15" customHeight="1" spans="1:13">
      <c r="A271" s="79">
        <v>45762</v>
      </c>
      <c r="B271" s="80" t="s">
        <v>2311</v>
      </c>
      <c r="C271" s="81">
        <v>8</v>
      </c>
      <c r="D271" s="80" t="s">
        <v>2312</v>
      </c>
      <c r="E271" s="80" t="s">
        <v>1620</v>
      </c>
      <c r="F271" s="54" t="s">
        <v>1064</v>
      </c>
      <c r="G271" s="105">
        <v>1.03</v>
      </c>
      <c r="H271" s="105">
        <v>6.96</v>
      </c>
      <c r="I271" s="103" t="s">
        <v>17</v>
      </c>
      <c r="J271" s="52">
        <v>1.98</v>
      </c>
      <c r="K271" s="80" t="s">
        <v>2217</v>
      </c>
    </row>
    <row r="272" ht="12" spans="1:13">
      <c r="A272" s="97"/>
      <c r="B272" s="87"/>
      <c r="C272" s="107"/>
      <c r="D272" s="87"/>
      <c r="E272" s="87"/>
      <c r="F272" s="54" t="s">
        <v>1060</v>
      </c>
      <c r="G272" s="105">
        <v>1.03</v>
      </c>
      <c r="H272" s="105">
        <v>0.4</v>
      </c>
      <c r="I272" s="103" t="s">
        <v>22</v>
      </c>
      <c r="J272" s="52">
        <v>2.05</v>
      </c>
      <c r="K272" s="87"/>
    </row>
    <row r="273" ht="12" spans="1:11">
      <c r="A273" s="82"/>
      <c r="B273" s="83"/>
      <c r="C273" s="84"/>
      <c r="D273" s="83"/>
      <c r="E273" s="83"/>
      <c r="F273" s="54" t="s">
        <v>1083</v>
      </c>
      <c r="G273" s="105">
        <v>1.87</v>
      </c>
      <c r="H273" s="105">
        <v>0.64</v>
      </c>
      <c r="I273" s="103" t="s">
        <v>24</v>
      </c>
      <c r="J273" s="52" t="s">
        <v>24</v>
      </c>
      <c r="K273" s="83"/>
    </row>
    <row r="274" ht="18" customHeight="1" spans="1:11">
      <c r="A274" s="53">
        <v>45763</v>
      </c>
      <c r="B274" s="54" t="s">
        <v>2313</v>
      </c>
      <c r="C274" s="55">
        <v>5</v>
      </c>
      <c r="D274" s="54" t="s">
        <v>1620</v>
      </c>
      <c r="E274" s="54" t="s">
        <v>1620</v>
      </c>
      <c r="F274" s="54" t="s">
        <v>1064</v>
      </c>
      <c r="G274" s="105">
        <v>1.03</v>
      </c>
      <c r="H274" s="105">
        <v>4.35</v>
      </c>
      <c r="I274" s="103" t="s">
        <v>17</v>
      </c>
      <c r="J274" s="52">
        <v>2.02</v>
      </c>
      <c r="K274" s="54" t="s">
        <v>2217</v>
      </c>
    </row>
    <row r="275" ht="12" spans="1:11">
      <c r="A275" s="53"/>
      <c r="B275" s="54"/>
      <c r="C275" s="55"/>
      <c r="D275" s="54"/>
      <c r="E275" s="54"/>
      <c r="F275" s="54" t="s">
        <v>1060</v>
      </c>
      <c r="G275" s="105">
        <v>1.03</v>
      </c>
      <c r="H275" s="105">
        <v>0.2</v>
      </c>
      <c r="I275" s="103" t="s">
        <v>22</v>
      </c>
      <c r="J275" s="52">
        <v>2.1</v>
      </c>
      <c r="K275" s="54"/>
    </row>
    <row r="276" ht="12" spans="1:11">
      <c r="A276" s="53"/>
      <c r="B276" s="54"/>
      <c r="C276" s="55"/>
      <c r="D276" s="54"/>
      <c r="E276" s="54"/>
      <c r="F276" s="54" t="s">
        <v>1086</v>
      </c>
      <c r="G276" s="105">
        <v>1.53</v>
      </c>
      <c r="H276" s="105">
        <v>0.2</v>
      </c>
      <c r="I276" s="103" t="s">
        <v>24</v>
      </c>
      <c r="J276" s="52" t="s">
        <v>24</v>
      </c>
      <c r="K276" s="54"/>
    </row>
    <row r="277" ht="12" spans="1:11">
      <c r="A277" s="53"/>
      <c r="B277" s="54"/>
      <c r="C277" s="55"/>
      <c r="D277" s="54"/>
      <c r="E277" s="54"/>
      <c r="F277" s="54" t="s">
        <v>1087</v>
      </c>
      <c r="G277" s="105">
        <v>1.53</v>
      </c>
      <c r="H277" s="105">
        <v>0.25</v>
      </c>
      <c r="I277" s="103" t="s">
        <v>24</v>
      </c>
      <c r="J277" s="52" t="s">
        <v>24</v>
      </c>
      <c r="K277" s="54"/>
    </row>
    <row r="278" ht="12" spans="1:11">
      <c r="A278" s="108" t="s">
        <v>1247</v>
      </c>
      <c r="B278" s="54" t="s">
        <v>2314</v>
      </c>
      <c r="C278" s="109">
        <v>10</v>
      </c>
      <c r="D278" s="110" t="s">
        <v>1628</v>
      </c>
      <c r="E278" s="111" t="s">
        <v>1640</v>
      </c>
      <c r="F278" s="54" t="s">
        <v>1081</v>
      </c>
      <c r="G278" s="105">
        <v>1</v>
      </c>
      <c r="H278" s="105">
        <v>8.8</v>
      </c>
      <c r="I278" s="103" t="s">
        <v>17</v>
      </c>
      <c r="J278" s="52">
        <v>2.04</v>
      </c>
      <c r="K278" s="111" t="s">
        <v>2214</v>
      </c>
    </row>
    <row r="279" ht="12" spans="1:11">
      <c r="A279" s="108"/>
      <c r="B279" s="54"/>
      <c r="C279" s="109"/>
      <c r="D279" s="110"/>
      <c r="E279" s="111"/>
      <c r="F279" s="54" t="s">
        <v>2215</v>
      </c>
      <c r="G279" s="105">
        <v>1.17</v>
      </c>
      <c r="H279" s="105">
        <v>0.6</v>
      </c>
      <c r="I279" s="103" t="s">
        <v>22</v>
      </c>
      <c r="J279" s="52">
        <v>2.12</v>
      </c>
      <c r="K279" s="111"/>
    </row>
    <row r="280" ht="12" spans="1:11">
      <c r="A280" s="108"/>
      <c r="B280" s="54"/>
      <c r="C280" s="109"/>
      <c r="D280" s="110"/>
      <c r="E280" s="111"/>
      <c r="F280" s="54" t="s">
        <v>1083</v>
      </c>
      <c r="G280" s="105">
        <v>1.75</v>
      </c>
      <c r="H280" s="105">
        <v>0.6</v>
      </c>
      <c r="I280" s="103" t="s">
        <v>24</v>
      </c>
      <c r="J280" s="52" t="s">
        <v>24</v>
      </c>
      <c r="K280" s="111"/>
    </row>
    <row r="281" ht="12" spans="1:11">
      <c r="A281" s="108" t="s">
        <v>1247</v>
      </c>
      <c r="B281" s="54" t="s">
        <v>2315</v>
      </c>
      <c r="C281" s="109">
        <v>10</v>
      </c>
      <c r="D281" s="110" t="s">
        <v>1623</v>
      </c>
      <c r="E281" s="111" t="s">
        <v>1640</v>
      </c>
      <c r="F281" s="103" t="s">
        <v>1121</v>
      </c>
      <c r="G281" s="105">
        <v>0.99</v>
      </c>
      <c r="H281" s="105">
        <v>7</v>
      </c>
      <c r="I281" s="103" t="s">
        <v>17</v>
      </c>
      <c r="J281" s="52">
        <v>1.97</v>
      </c>
      <c r="K281" s="111" t="s">
        <v>1670</v>
      </c>
    </row>
    <row r="282" ht="12" spans="1:11">
      <c r="A282" s="108"/>
      <c r="B282" s="54"/>
      <c r="C282" s="109"/>
      <c r="D282" s="110"/>
      <c r="E282" s="111"/>
      <c r="F282" s="103" t="s">
        <v>1122</v>
      </c>
      <c r="G282" s="105">
        <v>1.24</v>
      </c>
      <c r="H282" s="105">
        <v>2</v>
      </c>
      <c r="I282" s="103" t="s">
        <v>17</v>
      </c>
      <c r="J282" s="52">
        <v>2.02</v>
      </c>
      <c r="K282" s="111"/>
    </row>
    <row r="283" ht="12" spans="1:11">
      <c r="A283" s="108"/>
      <c r="B283" s="54"/>
      <c r="C283" s="109"/>
      <c r="D283" s="110"/>
      <c r="E283" s="111"/>
      <c r="F283" s="103" t="s">
        <v>1048</v>
      </c>
      <c r="G283" s="105">
        <v>1.24</v>
      </c>
      <c r="H283" s="105">
        <v>0.3</v>
      </c>
      <c r="I283" s="103" t="s">
        <v>22</v>
      </c>
      <c r="J283" s="52">
        <v>2.3</v>
      </c>
      <c r="K283" s="111"/>
    </row>
    <row r="284" ht="12" spans="1:11">
      <c r="A284" s="108"/>
      <c r="B284" s="54"/>
      <c r="C284" s="109"/>
      <c r="D284" s="110"/>
      <c r="E284" s="111"/>
      <c r="F284" s="54" t="s">
        <v>1083</v>
      </c>
      <c r="G284" s="105">
        <v>1.75</v>
      </c>
      <c r="H284" s="105">
        <v>0.7</v>
      </c>
      <c r="I284" s="103" t="s">
        <v>24</v>
      </c>
      <c r="J284" s="52" t="s">
        <v>24</v>
      </c>
      <c r="K284" s="111"/>
    </row>
    <row r="285" ht="12" spans="1:11">
      <c r="A285" s="108" t="s">
        <v>1249</v>
      </c>
      <c r="B285" s="54" t="s">
        <v>2316</v>
      </c>
      <c r="C285" s="109">
        <v>10</v>
      </c>
      <c r="D285" s="110" t="s">
        <v>1630</v>
      </c>
      <c r="E285" s="111" t="s">
        <v>1628</v>
      </c>
      <c r="F285" s="54" t="s">
        <v>1081</v>
      </c>
      <c r="G285" s="105">
        <v>1</v>
      </c>
      <c r="H285" s="105">
        <v>8.9</v>
      </c>
      <c r="I285" s="103" t="s">
        <v>17</v>
      </c>
      <c r="J285" s="52">
        <v>1.99</v>
      </c>
      <c r="K285" s="111" t="s">
        <v>2214</v>
      </c>
    </row>
    <row r="286" ht="12" spans="1:11">
      <c r="A286" s="108"/>
      <c r="B286" s="54"/>
      <c r="C286" s="109"/>
      <c r="D286" s="110"/>
      <c r="E286" s="111"/>
      <c r="F286" s="54" t="s">
        <v>2215</v>
      </c>
      <c r="G286" s="105">
        <v>1.17</v>
      </c>
      <c r="H286" s="105">
        <v>0.5</v>
      </c>
      <c r="I286" s="103" t="s">
        <v>22</v>
      </c>
      <c r="J286" s="52">
        <v>2.1</v>
      </c>
      <c r="K286" s="111"/>
    </row>
    <row r="287" ht="12" spans="1:11">
      <c r="A287" s="108"/>
      <c r="B287" s="54"/>
      <c r="C287" s="109"/>
      <c r="D287" s="110"/>
      <c r="E287" s="111"/>
      <c r="F287" s="54" t="s">
        <v>1083</v>
      </c>
      <c r="G287" s="105">
        <v>1.75</v>
      </c>
      <c r="H287" s="105">
        <v>0.6</v>
      </c>
      <c r="I287" s="103" t="s">
        <v>24</v>
      </c>
      <c r="J287" s="52" t="s">
        <v>24</v>
      </c>
      <c r="K287" s="111"/>
    </row>
    <row r="288" ht="12" spans="1:11">
      <c r="A288" s="108" t="s">
        <v>1249</v>
      </c>
      <c r="B288" s="54" t="s">
        <v>2317</v>
      </c>
      <c r="C288" s="109">
        <v>10</v>
      </c>
      <c r="D288" s="110" t="s">
        <v>2286</v>
      </c>
      <c r="E288" s="111" t="s">
        <v>1628</v>
      </c>
      <c r="F288" s="54" t="s">
        <v>1081</v>
      </c>
      <c r="G288" s="105">
        <v>1</v>
      </c>
      <c r="H288" s="105">
        <v>8.9</v>
      </c>
      <c r="I288" s="103" t="s">
        <v>17</v>
      </c>
      <c r="J288" s="52">
        <v>2</v>
      </c>
      <c r="K288" s="111" t="s">
        <v>2214</v>
      </c>
    </row>
    <row r="289" ht="12" spans="1:11">
      <c r="A289" s="108"/>
      <c r="B289" s="54"/>
      <c r="C289" s="109"/>
      <c r="D289" s="110"/>
      <c r="E289" s="111"/>
      <c r="F289" s="54" t="s">
        <v>2215</v>
      </c>
      <c r="G289" s="105">
        <v>1.17</v>
      </c>
      <c r="H289" s="105">
        <v>0.5</v>
      </c>
      <c r="I289" s="103" t="s">
        <v>22</v>
      </c>
      <c r="J289" s="52">
        <v>2.1</v>
      </c>
      <c r="K289" s="111"/>
    </row>
    <row r="290" ht="12" spans="1:11">
      <c r="A290" s="108"/>
      <c r="B290" s="54"/>
      <c r="C290" s="109"/>
      <c r="D290" s="110"/>
      <c r="E290" s="111"/>
      <c r="F290" s="54" t="s">
        <v>1083</v>
      </c>
      <c r="G290" s="105">
        <v>1.75</v>
      </c>
      <c r="H290" s="105">
        <v>0.6</v>
      </c>
      <c r="I290" s="103" t="s">
        <v>24</v>
      </c>
      <c r="J290" s="52" t="s">
        <v>24</v>
      </c>
      <c r="K290" s="111"/>
    </row>
    <row r="291" ht="12" spans="1:11">
      <c r="A291" s="108" t="s">
        <v>1249</v>
      </c>
      <c r="B291" s="54" t="s">
        <v>2318</v>
      </c>
      <c r="C291" s="109">
        <v>10</v>
      </c>
      <c r="D291" s="110" t="s">
        <v>2225</v>
      </c>
      <c r="E291" s="111" t="s">
        <v>2246</v>
      </c>
      <c r="F291" s="54" t="s">
        <v>1064</v>
      </c>
      <c r="G291" s="105">
        <v>2</v>
      </c>
      <c r="H291" s="105">
        <v>8.7</v>
      </c>
      <c r="I291" s="103" t="s">
        <v>17</v>
      </c>
      <c r="J291" s="52">
        <v>2.15</v>
      </c>
      <c r="K291" s="112" t="s">
        <v>2200</v>
      </c>
    </row>
    <row r="292" ht="12" spans="1:11">
      <c r="A292" s="108"/>
      <c r="B292" s="54"/>
      <c r="C292" s="109"/>
      <c r="D292" s="110"/>
      <c r="E292" s="111"/>
      <c r="F292" s="54" t="s">
        <v>1060</v>
      </c>
      <c r="G292" s="105">
        <v>2</v>
      </c>
      <c r="H292" s="105">
        <v>0.4</v>
      </c>
      <c r="I292" s="103" t="s">
        <v>22</v>
      </c>
      <c r="J292" s="52">
        <v>2.35</v>
      </c>
      <c r="K292" s="112"/>
    </row>
    <row r="293" ht="12" spans="1:11">
      <c r="A293" s="108"/>
      <c r="B293" s="54"/>
      <c r="C293" s="109"/>
      <c r="D293" s="110"/>
      <c r="E293" s="111"/>
      <c r="F293" s="54" t="s">
        <v>1166</v>
      </c>
      <c r="G293" s="105">
        <v>2</v>
      </c>
      <c r="H293" s="105">
        <v>0.4</v>
      </c>
      <c r="I293" s="103" t="s">
        <v>44</v>
      </c>
      <c r="J293" s="52">
        <v>3.6</v>
      </c>
      <c r="K293" s="112"/>
    </row>
    <row r="294" ht="12" spans="1:11">
      <c r="A294" s="108"/>
      <c r="B294" s="54"/>
      <c r="C294" s="109"/>
      <c r="D294" s="110"/>
      <c r="E294" s="111"/>
      <c r="F294" s="54" t="s">
        <v>1083</v>
      </c>
      <c r="G294" s="105">
        <v>2</v>
      </c>
      <c r="H294" s="105">
        <v>0.5</v>
      </c>
      <c r="I294" s="103" t="s">
        <v>24</v>
      </c>
      <c r="J294" s="52" t="s">
        <v>24</v>
      </c>
      <c r="K294" s="112"/>
    </row>
    <row r="295" ht="12" spans="1:11">
      <c r="A295" s="108" t="s">
        <v>1257</v>
      </c>
      <c r="B295" s="54" t="s">
        <v>2319</v>
      </c>
      <c r="C295" s="109">
        <v>10</v>
      </c>
      <c r="D295" s="110" t="s">
        <v>1628</v>
      </c>
      <c r="E295" s="111" t="s">
        <v>1628</v>
      </c>
      <c r="F295" s="54" t="s">
        <v>1081</v>
      </c>
      <c r="G295" s="105">
        <v>1</v>
      </c>
      <c r="H295" s="105">
        <v>8.9</v>
      </c>
      <c r="I295" s="103" t="s">
        <v>17</v>
      </c>
      <c r="J295" s="52">
        <v>1.99</v>
      </c>
      <c r="K295" s="111" t="s">
        <v>2214</v>
      </c>
    </row>
    <row r="296" ht="12" spans="1:11">
      <c r="A296" s="108"/>
      <c r="B296" s="54"/>
      <c r="C296" s="109"/>
      <c r="D296" s="110"/>
      <c r="E296" s="111"/>
      <c r="F296" s="54" t="s">
        <v>2215</v>
      </c>
      <c r="G296" s="105">
        <v>1.17</v>
      </c>
      <c r="H296" s="105">
        <v>0.5</v>
      </c>
      <c r="I296" s="103" t="s">
        <v>22</v>
      </c>
      <c r="J296" s="52">
        <v>2.1</v>
      </c>
      <c r="K296" s="111"/>
    </row>
    <row r="297" ht="12" spans="1:11">
      <c r="A297" s="108"/>
      <c r="B297" s="54"/>
      <c r="C297" s="109"/>
      <c r="D297" s="110"/>
      <c r="E297" s="111"/>
      <c r="F297" s="54" t="s">
        <v>1083</v>
      </c>
      <c r="G297" s="105">
        <v>1.75</v>
      </c>
      <c r="H297" s="105">
        <v>0.6</v>
      </c>
      <c r="I297" s="103" t="s">
        <v>24</v>
      </c>
      <c r="J297" s="52" t="s">
        <v>24</v>
      </c>
      <c r="K297" s="111"/>
    </row>
    <row r="298" ht="12" spans="1:11">
      <c r="A298" s="108" t="s">
        <v>1257</v>
      </c>
      <c r="B298" s="54" t="s">
        <v>2320</v>
      </c>
      <c r="C298" s="109">
        <v>6</v>
      </c>
      <c r="D298" s="110" t="s">
        <v>1620</v>
      </c>
      <c r="E298" s="111" t="s">
        <v>1640</v>
      </c>
      <c r="F298" s="54" t="s">
        <v>1064</v>
      </c>
      <c r="G298" s="105">
        <v>1</v>
      </c>
      <c r="H298" s="105">
        <v>5.28</v>
      </c>
      <c r="I298" s="103" t="s">
        <v>17</v>
      </c>
      <c r="J298" s="52">
        <v>1.95</v>
      </c>
      <c r="K298" s="111" t="s">
        <v>2209</v>
      </c>
    </row>
    <row r="299" ht="12" spans="1:11">
      <c r="A299" s="108"/>
      <c r="B299" s="54"/>
      <c r="C299" s="109"/>
      <c r="D299" s="110"/>
      <c r="E299" s="111"/>
      <c r="F299" s="54" t="s">
        <v>1060</v>
      </c>
      <c r="G299" s="105">
        <v>1</v>
      </c>
      <c r="H299" s="105">
        <v>0.36</v>
      </c>
      <c r="I299" s="103" t="s">
        <v>22</v>
      </c>
      <c r="J299" s="52">
        <v>2.15</v>
      </c>
      <c r="K299" s="111"/>
    </row>
    <row r="300" ht="12" spans="1:11">
      <c r="A300" s="108"/>
      <c r="B300" s="54"/>
      <c r="C300" s="109"/>
      <c r="D300" s="110"/>
      <c r="E300" s="111"/>
      <c r="F300" s="54" t="s">
        <v>1083</v>
      </c>
      <c r="G300" s="105">
        <v>4</v>
      </c>
      <c r="H300" s="105">
        <v>0.36</v>
      </c>
      <c r="I300" s="103" t="s">
        <v>24</v>
      </c>
      <c r="J300" s="52" t="s">
        <v>24</v>
      </c>
      <c r="K300" s="111"/>
    </row>
    <row r="301" ht="12" spans="1:11">
      <c r="A301" s="47" t="s">
        <v>2321</v>
      </c>
      <c r="B301" s="54" t="s">
        <v>2322</v>
      </c>
      <c r="C301" s="109">
        <v>10</v>
      </c>
      <c r="D301" s="110" t="s">
        <v>2225</v>
      </c>
      <c r="E301" s="111" t="s">
        <v>2246</v>
      </c>
      <c r="F301" s="54" t="s">
        <v>1064</v>
      </c>
      <c r="G301" s="105">
        <v>2</v>
      </c>
      <c r="H301" s="105">
        <v>8.7</v>
      </c>
      <c r="I301" s="103" t="s">
        <v>17</v>
      </c>
      <c r="J301" s="52">
        <v>2.12</v>
      </c>
      <c r="K301" s="112" t="s">
        <v>2200</v>
      </c>
    </row>
    <row r="302" ht="12" spans="1:11">
      <c r="A302" s="47"/>
      <c r="B302" s="54"/>
      <c r="C302" s="109"/>
      <c r="D302" s="110"/>
      <c r="E302" s="111"/>
      <c r="F302" s="54" t="s">
        <v>1060</v>
      </c>
      <c r="G302" s="105">
        <v>2</v>
      </c>
      <c r="H302" s="105">
        <v>0.4</v>
      </c>
      <c r="I302" s="103" t="s">
        <v>22</v>
      </c>
      <c r="J302" s="52">
        <v>2.3</v>
      </c>
      <c r="K302" s="112"/>
    </row>
    <row r="303" ht="12" spans="1:11">
      <c r="A303" s="47"/>
      <c r="B303" s="54"/>
      <c r="C303" s="109"/>
      <c r="D303" s="110"/>
      <c r="E303" s="111"/>
      <c r="F303" s="54" t="s">
        <v>1166</v>
      </c>
      <c r="G303" s="105">
        <v>2</v>
      </c>
      <c r="H303" s="105">
        <v>0.4</v>
      </c>
      <c r="I303" s="103" t="s">
        <v>44</v>
      </c>
      <c r="J303" s="52">
        <v>3.6</v>
      </c>
      <c r="K303" s="112"/>
    </row>
    <row r="304" ht="12" spans="1:11">
      <c r="A304" s="47"/>
      <c r="B304" s="54"/>
      <c r="C304" s="109"/>
      <c r="D304" s="110"/>
      <c r="E304" s="111"/>
      <c r="F304" s="54" t="s">
        <v>1083</v>
      </c>
      <c r="G304" s="105">
        <v>2</v>
      </c>
      <c r="H304" s="105">
        <v>0.5</v>
      </c>
      <c r="I304" s="103" t="s">
        <v>24</v>
      </c>
      <c r="J304" s="52" t="s">
        <v>24</v>
      </c>
      <c r="K304" s="112"/>
    </row>
    <row r="305" ht="12" spans="1:11">
      <c r="A305" s="108">
        <v>45771</v>
      </c>
      <c r="B305" s="54" t="s">
        <v>2323</v>
      </c>
      <c r="C305" s="109">
        <v>10</v>
      </c>
      <c r="D305" s="110" t="s">
        <v>1623</v>
      </c>
      <c r="E305" s="111" t="s">
        <v>1628</v>
      </c>
      <c r="F305" s="54" t="s">
        <v>1064</v>
      </c>
      <c r="G305" s="105">
        <v>1.92</v>
      </c>
      <c r="H305" s="105">
        <v>8.7</v>
      </c>
      <c r="I305" s="103" t="s">
        <v>17</v>
      </c>
      <c r="J305" s="52">
        <v>2.3</v>
      </c>
      <c r="K305" s="112" t="s">
        <v>2200</v>
      </c>
    </row>
    <row r="306" ht="12" spans="1:11">
      <c r="A306" s="108"/>
      <c r="B306" s="54"/>
      <c r="C306" s="109"/>
      <c r="D306" s="110"/>
      <c r="E306" s="111"/>
      <c r="F306" s="54" t="s">
        <v>1060</v>
      </c>
      <c r="G306" s="105">
        <v>1.92</v>
      </c>
      <c r="H306" s="105">
        <v>0.4</v>
      </c>
      <c r="I306" s="103" t="s">
        <v>22</v>
      </c>
      <c r="J306" s="52">
        <v>2.38</v>
      </c>
      <c r="K306" s="112"/>
    </row>
    <row r="307" ht="12" spans="1:11">
      <c r="A307" s="108"/>
      <c r="B307" s="54"/>
      <c r="C307" s="109"/>
      <c r="D307" s="110"/>
      <c r="E307" s="111"/>
      <c r="F307" s="54" t="s">
        <v>1166</v>
      </c>
      <c r="G307" s="105">
        <v>1.92</v>
      </c>
      <c r="H307" s="105">
        <v>0.4</v>
      </c>
      <c r="I307" s="103" t="s">
        <v>136</v>
      </c>
      <c r="J307" s="52">
        <v>3.6</v>
      </c>
      <c r="K307" s="112"/>
    </row>
    <row r="308" ht="12" spans="1:11">
      <c r="A308" s="108"/>
      <c r="B308" s="54"/>
      <c r="C308" s="109"/>
      <c r="D308" s="110"/>
      <c r="E308" s="111"/>
      <c r="F308" s="54" t="s">
        <v>1083</v>
      </c>
      <c r="G308" s="105">
        <v>2.84</v>
      </c>
      <c r="H308" s="105">
        <v>0.5</v>
      </c>
      <c r="I308" s="103" t="s">
        <v>24</v>
      </c>
      <c r="J308" s="52" t="s">
        <v>24</v>
      </c>
      <c r="K308" s="112"/>
    </row>
    <row r="309" ht="12" spans="1:11">
      <c r="A309" s="108">
        <v>45772</v>
      </c>
      <c r="B309" s="54" t="s">
        <v>2324</v>
      </c>
      <c r="C309" s="109">
        <v>5.64</v>
      </c>
      <c r="D309" s="110" t="s">
        <v>1640</v>
      </c>
      <c r="E309" s="111" t="s">
        <v>1640</v>
      </c>
      <c r="F309" s="54" t="s">
        <v>1064</v>
      </c>
      <c r="G309" s="105">
        <v>1</v>
      </c>
      <c r="H309" s="105">
        <v>5.28</v>
      </c>
      <c r="I309" s="103" t="s">
        <v>17</v>
      </c>
      <c r="J309" s="52">
        <v>1.94</v>
      </c>
      <c r="K309" s="111" t="s">
        <v>2209</v>
      </c>
    </row>
    <row r="310" ht="12" spans="1:11">
      <c r="A310" s="108"/>
      <c r="B310" s="54"/>
      <c r="C310" s="109"/>
      <c r="D310" s="110"/>
      <c r="E310" s="111"/>
      <c r="F310" s="54" t="s">
        <v>1060</v>
      </c>
      <c r="G310" s="105">
        <v>1</v>
      </c>
      <c r="H310" s="105">
        <v>0.36</v>
      </c>
      <c r="I310" s="103" t="s">
        <v>22</v>
      </c>
      <c r="J310" s="52">
        <v>2.1</v>
      </c>
      <c r="K310" s="111"/>
    </row>
    <row r="311" ht="12" spans="1:11">
      <c r="A311" s="108">
        <v>45770</v>
      </c>
      <c r="B311" s="54" t="s">
        <v>2325</v>
      </c>
      <c r="C311" s="109">
        <v>10</v>
      </c>
      <c r="D311" s="110" t="s">
        <v>1623</v>
      </c>
      <c r="E311" s="111" t="s">
        <v>1628</v>
      </c>
      <c r="F311" s="54" t="s">
        <v>1064</v>
      </c>
      <c r="G311" s="105">
        <v>1.91</v>
      </c>
      <c r="H311" s="105">
        <v>8.7</v>
      </c>
      <c r="I311" s="103" t="s">
        <v>17</v>
      </c>
      <c r="J311" s="52">
        <v>2.29</v>
      </c>
      <c r="K311" s="112" t="s">
        <v>2200</v>
      </c>
    </row>
    <row r="312" ht="12" spans="1:11">
      <c r="A312" s="108"/>
      <c r="B312" s="54"/>
      <c r="C312" s="109"/>
      <c r="D312" s="110"/>
      <c r="E312" s="111"/>
      <c r="F312" s="54" t="s">
        <v>1060</v>
      </c>
      <c r="G312" s="105">
        <v>1.91</v>
      </c>
      <c r="H312" s="105">
        <v>0.4</v>
      </c>
      <c r="I312" s="103" t="s">
        <v>22</v>
      </c>
      <c r="J312" s="52">
        <v>2.35</v>
      </c>
      <c r="K312" s="112"/>
    </row>
    <row r="313" ht="12" spans="1:11">
      <c r="A313" s="108"/>
      <c r="B313" s="54"/>
      <c r="C313" s="109"/>
      <c r="D313" s="110"/>
      <c r="E313" s="111"/>
      <c r="F313" s="54" t="s">
        <v>1166</v>
      </c>
      <c r="G313" s="105">
        <v>1.91</v>
      </c>
      <c r="H313" s="105">
        <v>0.4</v>
      </c>
      <c r="I313" s="103" t="s">
        <v>64</v>
      </c>
      <c r="J313" s="52">
        <v>3.6</v>
      </c>
      <c r="K313" s="112"/>
    </row>
    <row r="314" ht="12" spans="1:11">
      <c r="A314" s="113"/>
      <c r="B314" s="80"/>
      <c r="C314" s="114"/>
      <c r="D314" s="115"/>
      <c r="E314" s="116"/>
      <c r="F314" s="80" t="s">
        <v>1083</v>
      </c>
      <c r="G314" s="117">
        <v>2.83</v>
      </c>
      <c r="H314" s="117">
        <v>0.5</v>
      </c>
      <c r="I314" s="118" t="s">
        <v>24</v>
      </c>
      <c r="J314" s="52" t="s">
        <v>24</v>
      </c>
      <c r="K314" s="119"/>
    </row>
    <row r="315" ht="12" spans="1:11">
      <c r="A315" s="120">
        <v>45772</v>
      </c>
      <c r="B315" s="95" t="s">
        <v>2326</v>
      </c>
      <c r="C315" s="121">
        <v>5</v>
      </c>
      <c r="D315" s="95" t="s">
        <v>2249</v>
      </c>
      <c r="E315" s="95" t="s">
        <v>2250</v>
      </c>
      <c r="F315" s="95" t="s">
        <v>1064</v>
      </c>
      <c r="G315" s="52">
        <v>0.91</v>
      </c>
      <c r="H315" s="52">
        <v>4</v>
      </c>
      <c r="I315" s="95" t="s">
        <v>17</v>
      </c>
      <c r="J315" s="52">
        <v>1.98</v>
      </c>
      <c r="K315" s="95" t="s">
        <v>2251</v>
      </c>
    </row>
    <row r="316" ht="12" spans="1:11">
      <c r="A316" s="120"/>
      <c r="B316" s="95"/>
      <c r="C316" s="121"/>
      <c r="D316" s="95"/>
      <c r="E316" s="95"/>
      <c r="F316" s="95" t="s">
        <v>1060</v>
      </c>
      <c r="G316" s="52">
        <v>0.91</v>
      </c>
      <c r="H316" s="52">
        <v>0.22</v>
      </c>
      <c r="I316" s="95" t="s">
        <v>22</v>
      </c>
      <c r="J316" s="52">
        <v>2.25</v>
      </c>
      <c r="K316" s="95"/>
    </row>
    <row r="317" ht="12" spans="1:11">
      <c r="A317" s="120"/>
      <c r="B317" s="95"/>
      <c r="C317" s="121"/>
      <c r="D317" s="95"/>
      <c r="E317" s="95"/>
      <c r="F317" s="95" t="s">
        <v>1061</v>
      </c>
      <c r="G317" s="52">
        <v>0.9</v>
      </c>
      <c r="H317" s="52">
        <v>0.28</v>
      </c>
      <c r="I317" s="95" t="s">
        <v>439</v>
      </c>
      <c r="J317" s="52">
        <v>3.3</v>
      </c>
      <c r="K317" s="95"/>
    </row>
    <row r="318" ht="12" spans="1:11">
      <c r="A318" s="120"/>
      <c r="B318" s="95"/>
      <c r="C318" s="121"/>
      <c r="D318" s="95"/>
      <c r="E318" s="95"/>
      <c r="F318" s="95" t="s">
        <v>1083</v>
      </c>
      <c r="G318" s="52">
        <v>1.49</v>
      </c>
      <c r="H318" s="52">
        <v>0.5</v>
      </c>
      <c r="I318" s="95" t="s">
        <v>24</v>
      </c>
      <c r="J318" s="52" t="s">
        <v>24</v>
      </c>
      <c r="K318" s="95"/>
    </row>
    <row r="319" ht="17" customHeight="1" spans="1:11">
      <c r="A319" s="120">
        <v>45777</v>
      </c>
      <c r="B319" s="95" t="s">
        <v>2327</v>
      </c>
      <c r="C319" s="121">
        <v>9.45</v>
      </c>
      <c r="D319" s="95" t="s">
        <v>2225</v>
      </c>
      <c r="E319" s="95" t="s">
        <v>1630</v>
      </c>
      <c r="F319" s="95" t="s">
        <v>1081</v>
      </c>
      <c r="G319" s="52">
        <v>1</v>
      </c>
      <c r="H319" s="52">
        <v>9</v>
      </c>
      <c r="I319" s="95" t="s">
        <v>17</v>
      </c>
      <c r="J319" s="52">
        <v>2.04</v>
      </c>
      <c r="K319" s="95" t="s">
        <v>2221</v>
      </c>
    </row>
    <row r="320" ht="12" spans="1:11">
      <c r="A320" s="120"/>
      <c r="B320" s="95"/>
      <c r="C320" s="121"/>
      <c r="D320" s="95"/>
      <c r="E320" s="95"/>
      <c r="F320" s="95" t="s">
        <v>1166</v>
      </c>
      <c r="G320" s="52">
        <v>1</v>
      </c>
      <c r="H320" s="52">
        <v>0.45</v>
      </c>
      <c r="I320" s="95" t="s">
        <v>44</v>
      </c>
      <c r="J320" s="52">
        <v>3.5</v>
      </c>
      <c r="K320" s="95"/>
    </row>
    <row r="321" ht="12" spans="1:12">
      <c r="A321" s="120">
        <v>45776</v>
      </c>
      <c r="B321" s="95" t="s">
        <v>2328</v>
      </c>
      <c r="C321" s="121">
        <v>10</v>
      </c>
      <c r="D321" s="95" t="s">
        <v>2286</v>
      </c>
      <c r="E321" s="95" t="s">
        <v>1628</v>
      </c>
      <c r="F321" s="95" t="s">
        <v>1081</v>
      </c>
      <c r="G321" s="52">
        <v>1</v>
      </c>
      <c r="H321" s="52">
        <v>8.9</v>
      </c>
      <c r="I321" s="95" t="s">
        <v>17</v>
      </c>
      <c r="J321" s="52">
        <v>1.98</v>
      </c>
      <c r="K321" s="95" t="s">
        <v>2214</v>
      </c>
    </row>
    <row r="322" ht="12" spans="1:12">
      <c r="A322" s="120"/>
      <c r="B322" s="95"/>
      <c r="C322" s="121"/>
      <c r="D322" s="95"/>
      <c r="E322" s="95"/>
      <c r="F322" s="95" t="s">
        <v>2215</v>
      </c>
      <c r="G322" s="52">
        <v>1.17</v>
      </c>
      <c r="H322" s="52">
        <v>0.5</v>
      </c>
      <c r="I322" s="95" t="s">
        <v>22</v>
      </c>
      <c r="J322" s="52">
        <v>2.08</v>
      </c>
      <c r="K322" s="95"/>
    </row>
    <row r="323" ht="12" spans="1:12">
      <c r="A323" s="120"/>
      <c r="B323" s="95"/>
      <c r="C323" s="121"/>
      <c r="D323" s="95"/>
      <c r="E323" s="95"/>
      <c r="F323" s="95" t="s">
        <v>1083</v>
      </c>
      <c r="G323" s="52">
        <v>1.75</v>
      </c>
      <c r="H323" s="52">
        <v>0.6</v>
      </c>
      <c r="I323" s="95" t="s">
        <v>24</v>
      </c>
      <c r="J323" s="52" t="s">
        <v>24</v>
      </c>
      <c r="K323" s="95"/>
    </row>
    <row r="324" ht="12" spans="1:12">
      <c r="A324" s="120">
        <v>45772</v>
      </c>
      <c r="B324" s="95" t="s">
        <v>2329</v>
      </c>
      <c r="C324" s="121">
        <v>6</v>
      </c>
      <c r="D324" s="95" t="s">
        <v>1640</v>
      </c>
      <c r="E324" s="95" t="s">
        <v>1640</v>
      </c>
      <c r="F324" s="95" t="s">
        <v>1081</v>
      </c>
      <c r="G324" s="52">
        <v>1</v>
      </c>
      <c r="H324" s="52">
        <v>5.28</v>
      </c>
      <c r="I324" s="95" t="s">
        <v>17</v>
      </c>
      <c r="J324" s="52">
        <v>1.95</v>
      </c>
      <c r="K324" s="95" t="s">
        <v>2209</v>
      </c>
    </row>
    <row r="325" ht="12" spans="1:12">
      <c r="A325" s="120"/>
      <c r="B325" s="95"/>
      <c r="C325" s="121"/>
      <c r="D325" s="95"/>
      <c r="E325" s="95"/>
      <c r="F325" s="95" t="s">
        <v>2215</v>
      </c>
      <c r="G325" s="52">
        <v>1</v>
      </c>
      <c r="H325" s="52">
        <v>0.36</v>
      </c>
      <c r="I325" s="95" t="s">
        <v>22</v>
      </c>
      <c r="J325" s="52">
        <v>2.1</v>
      </c>
      <c r="K325" s="95"/>
    </row>
    <row r="326" ht="12" spans="1:12">
      <c r="A326" s="120"/>
      <c r="B326" s="95"/>
      <c r="C326" s="121"/>
      <c r="D326" s="95"/>
      <c r="E326" s="95"/>
      <c r="F326" s="95" t="s">
        <v>1083</v>
      </c>
      <c r="G326" s="52">
        <v>4</v>
      </c>
      <c r="H326" s="52">
        <v>0.36</v>
      </c>
      <c r="I326" s="95" t="s">
        <v>24</v>
      </c>
      <c r="J326" s="52" t="s">
        <v>24</v>
      </c>
      <c r="K326" s="95"/>
    </row>
    <row r="327" ht="12" spans="1:12">
      <c r="A327" s="120">
        <v>45772</v>
      </c>
      <c r="B327" s="95" t="s">
        <v>2330</v>
      </c>
      <c r="C327" s="121">
        <v>5</v>
      </c>
      <c r="D327" s="95" t="s">
        <v>1620</v>
      </c>
      <c r="E327" s="95" t="s">
        <v>1620</v>
      </c>
      <c r="F327" s="95" t="s">
        <v>1064</v>
      </c>
      <c r="G327" s="52">
        <v>1</v>
      </c>
      <c r="H327" s="52">
        <v>4.35</v>
      </c>
      <c r="I327" s="95" t="s">
        <v>17</v>
      </c>
      <c r="J327" s="52">
        <v>2.07</v>
      </c>
      <c r="K327" s="95" t="s">
        <v>2217</v>
      </c>
    </row>
    <row r="328" ht="12" spans="1:12">
      <c r="A328" s="120"/>
      <c r="B328" s="95"/>
      <c r="C328" s="121"/>
      <c r="D328" s="95"/>
      <c r="E328" s="95"/>
      <c r="F328" s="95" t="s">
        <v>1060</v>
      </c>
      <c r="G328" s="52">
        <v>1</v>
      </c>
      <c r="H328" s="52">
        <v>0.2</v>
      </c>
      <c r="I328" s="95" t="s">
        <v>22</v>
      </c>
      <c r="J328" s="52">
        <v>2.25</v>
      </c>
      <c r="K328" s="95"/>
    </row>
    <row r="329" ht="12" spans="1:12">
      <c r="A329" s="120"/>
      <c r="B329" s="95"/>
      <c r="C329" s="121"/>
      <c r="D329" s="95"/>
      <c r="E329" s="95"/>
      <c r="F329" s="95" t="s">
        <v>1086</v>
      </c>
      <c r="G329" s="52">
        <v>1.5</v>
      </c>
      <c r="H329" s="52">
        <v>0.2</v>
      </c>
      <c r="I329" s="95" t="s">
        <v>24</v>
      </c>
      <c r="J329" s="52" t="s">
        <v>24</v>
      </c>
      <c r="K329" s="95"/>
    </row>
    <row r="330" ht="12" spans="1:12">
      <c r="A330" s="120"/>
      <c r="B330" s="95"/>
      <c r="C330" s="121"/>
      <c r="D330" s="95"/>
      <c r="E330" s="95"/>
      <c r="F330" s="95" t="s">
        <v>1087</v>
      </c>
      <c r="G330" s="52">
        <v>1.5</v>
      </c>
      <c r="H330" s="52">
        <v>0.25</v>
      </c>
      <c r="I330" s="95" t="s">
        <v>24</v>
      </c>
      <c r="J330" s="52" t="s">
        <v>24</v>
      </c>
      <c r="K330" s="95"/>
    </row>
    <row r="331" ht="12" spans="1:12">
      <c r="A331" s="120">
        <v>45772</v>
      </c>
      <c r="B331" s="95" t="s">
        <v>2331</v>
      </c>
      <c r="C331" s="121">
        <v>5</v>
      </c>
      <c r="D331" s="95" t="s">
        <v>1620</v>
      </c>
      <c r="E331" s="95" t="s">
        <v>1620</v>
      </c>
      <c r="F331" s="95" t="s">
        <v>1064</v>
      </c>
      <c r="G331" s="52">
        <v>0.92</v>
      </c>
      <c r="H331" s="52">
        <v>4.18</v>
      </c>
      <c r="I331" s="95" t="s">
        <v>17</v>
      </c>
      <c r="J331" s="52">
        <v>2.07</v>
      </c>
      <c r="K331" s="95" t="s">
        <v>2217</v>
      </c>
    </row>
    <row r="332" ht="12" spans="1:12">
      <c r="A332" s="120"/>
      <c r="B332" s="95"/>
      <c r="C332" s="121"/>
      <c r="D332" s="95"/>
      <c r="E332" s="95"/>
      <c r="F332" s="95" t="s">
        <v>1060</v>
      </c>
      <c r="G332" s="52">
        <v>1.92</v>
      </c>
      <c r="H332" s="52">
        <v>0.27</v>
      </c>
      <c r="I332" s="95" t="s">
        <v>22</v>
      </c>
      <c r="J332" s="52">
        <v>2.3</v>
      </c>
      <c r="K332" s="95"/>
    </row>
    <row r="333" ht="12" spans="1:12">
      <c r="A333" s="120"/>
      <c r="B333" s="95"/>
      <c r="C333" s="121"/>
      <c r="D333" s="95"/>
      <c r="E333" s="95"/>
      <c r="F333" s="95" t="s">
        <v>1086</v>
      </c>
      <c r="G333" s="52">
        <v>3</v>
      </c>
      <c r="H333" s="52">
        <v>0.3</v>
      </c>
      <c r="I333" s="95" t="s">
        <v>24</v>
      </c>
      <c r="J333" s="52" t="s">
        <v>24</v>
      </c>
      <c r="K333" s="95"/>
    </row>
    <row r="334" ht="12" spans="1:12">
      <c r="A334" s="120"/>
      <c r="B334" s="95"/>
      <c r="C334" s="121"/>
      <c r="D334" s="95"/>
      <c r="E334" s="95"/>
      <c r="F334" s="95" t="s">
        <v>1087</v>
      </c>
      <c r="G334" s="52">
        <v>3</v>
      </c>
      <c r="H334" s="52">
        <v>0.25</v>
      </c>
      <c r="I334" s="95" t="s">
        <v>24</v>
      </c>
      <c r="J334" s="52" t="s">
        <v>24</v>
      </c>
      <c r="K334" s="95"/>
    </row>
    <row r="335" ht="12" spans="1:12">
      <c r="A335" s="120">
        <v>45835</v>
      </c>
      <c r="B335" s="122" t="s">
        <v>2332</v>
      </c>
      <c r="C335" s="121">
        <v>10</v>
      </c>
      <c r="D335" s="95" t="s">
        <v>2225</v>
      </c>
      <c r="E335" s="95" t="s">
        <v>2246</v>
      </c>
      <c r="F335" s="95" t="s">
        <v>1064</v>
      </c>
      <c r="G335" s="52">
        <v>1.83</v>
      </c>
      <c r="H335" s="52">
        <v>8.7</v>
      </c>
      <c r="I335" s="95" t="s">
        <v>17</v>
      </c>
      <c r="J335" s="123">
        <v>1.87</v>
      </c>
      <c r="K335" s="95" t="s">
        <v>2221</v>
      </c>
      <c r="L335" s="124"/>
    </row>
    <row r="336" ht="12" spans="1:12">
      <c r="A336" s="120"/>
      <c r="B336" s="95"/>
      <c r="C336" s="121"/>
      <c r="D336" s="95"/>
      <c r="E336" s="95"/>
      <c r="F336" s="95" t="s">
        <v>1060</v>
      </c>
      <c r="G336" s="52">
        <v>1.83</v>
      </c>
      <c r="H336" s="52">
        <v>0.4</v>
      </c>
      <c r="I336" s="125" t="s">
        <v>22</v>
      </c>
      <c r="J336" s="123">
        <v>2.13</v>
      </c>
      <c r="K336" s="95"/>
    </row>
    <row r="337" ht="12" spans="1:11">
      <c r="A337" s="120"/>
      <c r="B337" s="95"/>
      <c r="C337" s="121"/>
      <c r="D337" s="95"/>
      <c r="E337" s="95"/>
      <c r="F337" s="95" t="s">
        <v>1166</v>
      </c>
      <c r="G337" s="52">
        <v>1.83</v>
      </c>
      <c r="H337" s="52">
        <v>0.4</v>
      </c>
      <c r="I337" s="95" t="s">
        <v>44</v>
      </c>
      <c r="J337" s="123">
        <v>3.6</v>
      </c>
      <c r="K337" s="95"/>
    </row>
    <row r="338" ht="12" spans="1:11">
      <c r="A338" s="120"/>
      <c r="B338" s="95"/>
      <c r="C338" s="121"/>
      <c r="D338" s="95"/>
      <c r="E338" s="95"/>
      <c r="F338" s="95" t="s">
        <v>1083</v>
      </c>
      <c r="G338" s="52">
        <v>1.83</v>
      </c>
      <c r="H338" s="52">
        <v>0.5</v>
      </c>
      <c r="I338" s="95" t="s">
        <v>24</v>
      </c>
      <c r="J338" s="52" t="s">
        <v>24</v>
      </c>
      <c r="K338" s="95"/>
    </row>
    <row r="339" ht="12" spans="1:11">
      <c r="A339" s="120">
        <v>45772</v>
      </c>
      <c r="B339" s="95" t="s">
        <v>2333</v>
      </c>
      <c r="C339" s="121">
        <v>10</v>
      </c>
      <c r="D339" s="95" t="s">
        <v>1630</v>
      </c>
      <c r="E339" s="95" t="s">
        <v>1640</v>
      </c>
      <c r="F339" s="95" t="s">
        <v>1081</v>
      </c>
      <c r="G339" s="52">
        <v>1</v>
      </c>
      <c r="H339" s="52">
        <v>8.9</v>
      </c>
      <c r="I339" s="95" t="s">
        <v>17</v>
      </c>
      <c r="J339" s="52">
        <v>1.96</v>
      </c>
      <c r="K339" s="95" t="s">
        <v>2214</v>
      </c>
    </row>
    <row r="340" ht="12" spans="1:11">
      <c r="A340" s="120"/>
      <c r="B340" s="95"/>
      <c r="C340" s="121"/>
      <c r="D340" s="95"/>
      <c r="E340" s="95"/>
      <c r="F340" s="95" t="s">
        <v>2215</v>
      </c>
      <c r="G340" s="52">
        <v>1.16</v>
      </c>
      <c r="H340" s="52">
        <v>0.5</v>
      </c>
      <c r="I340" s="95" t="s">
        <v>1269</v>
      </c>
      <c r="J340" s="52">
        <v>2.08</v>
      </c>
      <c r="K340" s="95"/>
    </row>
    <row r="341" ht="12" spans="1:11">
      <c r="A341" s="120"/>
      <c r="B341" s="95"/>
      <c r="C341" s="121"/>
      <c r="D341" s="95"/>
      <c r="E341" s="95"/>
      <c r="F341" s="95" t="s">
        <v>1083</v>
      </c>
      <c r="G341" s="52">
        <v>1.75</v>
      </c>
      <c r="H341" s="52">
        <v>0.6</v>
      </c>
      <c r="I341" s="95" t="s">
        <v>24</v>
      </c>
      <c r="J341" s="52" t="s">
        <v>24</v>
      </c>
      <c r="K341" s="95"/>
    </row>
    <row r="342" ht="12" spans="1:11">
      <c r="A342" s="126" t="s">
        <v>1282</v>
      </c>
      <c r="B342" s="57" t="s">
        <v>2334</v>
      </c>
      <c r="C342" s="127">
        <v>10</v>
      </c>
      <c r="D342" s="128" t="s">
        <v>1640</v>
      </c>
      <c r="E342" s="128" t="s">
        <v>1640</v>
      </c>
      <c r="F342" s="129" t="s">
        <v>1081</v>
      </c>
      <c r="G342" s="130">
        <v>1</v>
      </c>
      <c r="H342" s="130">
        <v>8.8</v>
      </c>
      <c r="I342" s="129" t="s">
        <v>17</v>
      </c>
      <c r="J342" s="52">
        <v>1.88</v>
      </c>
      <c r="K342" s="131" t="s">
        <v>2214</v>
      </c>
    </row>
    <row r="343" ht="12" spans="1:11">
      <c r="A343" s="132"/>
      <c r="B343" s="57"/>
      <c r="C343" s="127"/>
      <c r="D343" s="128"/>
      <c r="E343" s="128"/>
      <c r="F343" s="129" t="s">
        <v>2215</v>
      </c>
      <c r="G343" s="130">
        <v>1.08</v>
      </c>
      <c r="H343" s="130">
        <v>0.6</v>
      </c>
      <c r="I343" s="129" t="s">
        <v>1269</v>
      </c>
      <c r="J343" s="52">
        <v>1.98</v>
      </c>
      <c r="K343" s="133"/>
    </row>
    <row r="344" ht="12" spans="1:11">
      <c r="A344" s="134"/>
      <c r="B344" s="57"/>
      <c r="C344" s="127"/>
      <c r="D344" s="128"/>
      <c r="E344" s="128"/>
      <c r="F344" s="129" t="s">
        <v>1083</v>
      </c>
      <c r="G344" s="130">
        <v>1.67</v>
      </c>
      <c r="H344" s="130">
        <v>0.6</v>
      </c>
      <c r="I344" s="129" t="s">
        <v>24</v>
      </c>
      <c r="J344" s="52" t="s">
        <v>24</v>
      </c>
      <c r="K344" s="135"/>
    </row>
    <row r="345" ht="12" spans="1:11">
      <c r="A345" s="126" t="s">
        <v>1282</v>
      </c>
      <c r="B345" s="57" t="s">
        <v>2335</v>
      </c>
      <c r="C345" s="127">
        <v>10</v>
      </c>
      <c r="D345" s="128" t="s">
        <v>1566</v>
      </c>
      <c r="E345" s="128" t="s">
        <v>1640</v>
      </c>
      <c r="F345" s="129" t="s">
        <v>1081</v>
      </c>
      <c r="G345" s="130">
        <v>1</v>
      </c>
      <c r="H345" s="130">
        <v>8.9</v>
      </c>
      <c r="I345" s="129" t="s">
        <v>17</v>
      </c>
      <c r="J345" s="52">
        <v>1.86</v>
      </c>
      <c r="K345" s="131" t="s">
        <v>2214</v>
      </c>
    </row>
    <row r="346" ht="12" spans="1:11">
      <c r="A346" s="132"/>
      <c r="B346" s="57"/>
      <c r="C346" s="127"/>
      <c r="D346" s="128"/>
      <c r="E346" s="128"/>
      <c r="F346" s="129" t="s">
        <v>2215</v>
      </c>
      <c r="G346" s="130">
        <v>1.17</v>
      </c>
      <c r="H346" s="130">
        <v>0.5</v>
      </c>
      <c r="I346" s="129" t="s">
        <v>1269</v>
      </c>
      <c r="J346" s="52">
        <v>1.96</v>
      </c>
      <c r="K346" s="133"/>
    </row>
    <row r="347" ht="12" spans="1:11">
      <c r="A347" s="134"/>
      <c r="B347" s="57"/>
      <c r="C347" s="127"/>
      <c r="D347" s="128"/>
      <c r="E347" s="128"/>
      <c r="F347" s="129" t="s">
        <v>1083</v>
      </c>
      <c r="G347" s="130">
        <v>1.76</v>
      </c>
      <c r="H347" s="130">
        <v>0.6</v>
      </c>
      <c r="I347" s="129" t="s">
        <v>24</v>
      </c>
      <c r="J347" s="52" t="s">
        <v>24</v>
      </c>
      <c r="K347" s="135"/>
    </row>
    <row r="348" ht="12" spans="1:11">
      <c r="A348" s="126" t="s">
        <v>1280</v>
      </c>
      <c r="B348" s="57" t="s">
        <v>2336</v>
      </c>
      <c r="C348" s="127">
        <v>10</v>
      </c>
      <c r="D348" s="128" t="s">
        <v>1630</v>
      </c>
      <c r="E348" s="128" t="s">
        <v>1628</v>
      </c>
      <c r="F348" s="129" t="s">
        <v>1081</v>
      </c>
      <c r="G348" s="130">
        <v>1</v>
      </c>
      <c r="H348" s="130">
        <v>8.9</v>
      </c>
      <c r="I348" s="129" t="s">
        <v>17</v>
      </c>
      <c r="J348" s="52">
        <v>1.9</v>
      </c>
      <c r="K348" s="131" t="s">
        <v>2214</v>
      </c>
    </row>
    <row r="349" ht="12" spans="1:11">
      <c r="A349" s="132"/>
      <c r="B349" s="57"/>
      <c r="C349" s="127"/>
      <c r="D349" s="128"/>
      <c r="E349" s="128"/>
      <c r="F349" s="129" t="s">
        <v>2215</v>
      </c>
      <c r="G349" s="130">
        <v>1.17</v>
      </c>
      <c r="H349" s="130">
        <v>0.5</v>
      </c>
      <c r="I349" s="129" t="s">
        <v>1269</v>
      </c>
      <c r="J349" s="52">
        <v>2.02</v>
      </c>
      <c r="K349" s="133"/>
    </row>
    <row r="350" ht="12" spans="1:11">
      <c r="A350" s="134"/>
      <c r="B350" s="57"/>
      <c r="C350" s="127"/>
      <c r="D350" s="128"/>
      <c r="E350" s="128"/>
      <c r="F350" s="129" t="s">
        <v>1083</v>
      </c>
      <c r="G350" s="130">
        <v>1.76</v>
      </c>
      <c r="H350" s="130">
        <v>0.6</v>
      </c>
      <c r="I350" s="129" t="s">
        <v>24</v>
      </c>
      <c r="J350" s="52" t="s">
        <v>24</v>
      </c>
      <c r="K350" s="135"/>
    </row>
    <row r="351" ht="12" spans="1:11">
      <c r="A351" s="126" t="s">
        <v>2337</v>
      </c>
      <c r="B351" s="57" t="s">
        <v>2338</v>
      </c>
      <c r="C351" s="127">
        <v>10</v>
      </c>
      <c r="D351" s="128" t="s">
        <v>1617</v>
      </c>
      <c r="E351" s="128" t="s">
        <v>2211</v>
      </c>
      <c r="F351" s="129" t="s">
        <v>1058</v>
      </c>
      <c r="G351" s="130">
        <v>1.08</v>
      </c>
      <c r="H351" s="130">
        <v>7</v>
      </c>
      <c r="I351" s="129" t="s">
        <v>17</v>
      </c>
      <c r="J351" s="52">
        <v>1.94</v>
      </c>
      <c r="K351" s="131" t="s">
        <v>2339</v>
      </c>
    </row>
    <row r="352" ht="12" spans="1:11">
      <c r="A352" s="132"/>
      <c r="B352" s="57"/>
      <c r="C352" s="127"/>
      <c r="D352" s="128"/>
      <c r="E352" s="128"/>
      <c r="F352" s="129" t="s">
        <v>1059</v>
      </c>
      <c r="G352" s="130">
        <v>1.21</v>
      </c>
      <c r="H352" s="130">
        <v>1.4</v>
      </c>
      <c r="I352" s="129" t="s">
        <v>17</v>
      </c>
      <c r="J352" s="52">
        <v>2.1</v>
      </c>
      <c r="K352" s="133"/>
    </row>
    <row r="353" ht="12" spans="1:11">
      <c r="A353" s="132"/>
      <c r="B353" s="57"/>
      <c r="C353" s="127"/>
      <c r="D353" s="128"/>
      <c r="E353" s="128"/>
      <c r="F353" s="129" t="s">
        <v>1060</v>
      </c>
      <c r="G353" s="130">
        <v>1.25</v>
      </c>
      <c r="H353" s="130">
        <v>0.55</v>
      </c>
      <c r="I353" s="129" t="s">
        <v>1269</v>
      </c>
      <c r="J353" s="52">
        <v>2.2</v>
      </c>
      <c r="K353" s="133"/>
    </row>
    <row r="354" ht="12" spans="1:11">
      <c r="A354" s="132"/>
      <c r="B354" s="57"/>
      <c r="C354" s="127"/>
      <c r="D354" s="128"/>
      <c r="E354" s="128"/>
      <c r="F354" s="129" t="s">
        <v>1061</v>
      </c>
      <c r="G354" s="130">
        <v>1.33</v>
      </c>
      <c r="H354" s="130">
        <v>0.55</v>
      </c>
      <c r="I354" s="136" t="s">
        <v>351</v>
      </c>
      <c r="J354" s="52">
        <v>4.7</v>
      </c>
      <c r="K354" s="133"/>
    </row>
    <row r="355" ht="12" spans="1:11">
      <c r="A355" s="134"/>
      <c r="B355" s="57"/>
      <c r="C355" s="127"/>
      <c r="D355" s="128"/>
      <c r="E355" s="128"/>
      <c r="F355" s="129" t="s">
        <v>1083</v>
      </c>
      <c r="G355" s="130">
        <v>1.73</v>
      </c>
      <c r="H355" s="130">
        <v>0.5</v>
      </c>
      <c r="I355" s="129" t="s">
        <v>24</v>
      </c>
      <c r="J355" s="52" t="s">
        <v>24</v>
      </c>
      <c r="K355" s="135"/>
    </row>
    <row r="356" ht="12" spans="1:11">
      <c r="A356" s="113" t="s">
        <v>1296</v>
      </c>
      <c r="B356" s="54" t="s">
        <v>2340</v>
      </c>
      <c r="C356" s="137">
        <v>10</v>
      </c>
      <c r="D356" s="116" t="s">
        <v>1630</v>
      </c>
      <c r="E356" s="116" t="s">
        <v>1628</v>
      </c>
      <c r="F356" s="95" t="s">
        <v>1081</v>
      </c>
      <c r="G356" s="52">
        <v>1.92</v>
      </c>
      <c r="H356" s="52">
        <v>8.9</v>
      </c>
      <c r="I356" s="95" t="s">
        <v>17</v>
      </c>
      <c r="J356" s="52">
        <v>1.96</v>
      </c>
      <c r="K356" s="138" t="s">
        <v>2214</v>
      </c>
    </row>
    <row r="357" ht="12" spans="1:11">
      <c r="A357" s="139"/>
      <c r="B357" s="54"/>
      <c r="C357" s="137"/>
      <c r="D357" s="140"/>
      <c r="E357" s="140"/>
      <c r="F357" s="95" t="s">
        <v>2215</v>
      </c>
      <c r="G357" s="52">
        <v>2</v>
      </c>
      <c r="H357" s="52">
        <v>0.4</v>
      </c>
      <c r="I357" s="95" t="s">
        <v>1269</v>
      </c>
      <c r="J357" s="52">
        <v>2.05</v>
      </c>
      <c r="K357" s="141"/>
    </row>
    <row r="358" ht="12" spans="1:11">
      <c r="A358" s="142"/>
      <c r="B358" s="54"/>
      <c r="C358" s="137"/>
      <c r="D358" s="143"/>
      <c r="E358" s="143"/>
      <c r="F358" s="95" t="s">
        <v>1083</v>
      </c>
      <c r="G358" s="52">
        <v>2.67</v>
      </c>
      <c r="H358" s="52">
        <v>0.7</v>
      </c>
      <c r="I358" s="95" t="s">
        <v>24</v>
      </c>
      <c r="J358" s="52" t="s">
        <v>24</v>
      </c>
      <c r="K358" s="144"/>
    </row>
    <row r="359" ht="12" spans="1:11">
      <c r="A359" s="113" t="s">
        <v>1301</v>
      </c>
      <c r="B359" s="54" t="s">
        <v>2341</v>
      </c>
      <c r="C359" s="137">
        <v>9.45</v>
      </c>
      <c r="D359" s="116" t="s">
        <v>2225</v>
      </c>
      <c r="E359" s="116" t="s">
        <v>2246</v>
      </c>
      <c r="F359" s="95" t="s">
        <v>1081</v>
      </c>
      <c r="G359" s="52">
        <v>1</v>
      </c>
      <c r="H359" s="52">
        <v>9</v>
      </c>
      <c r="I359" s="95" t="s">
        <v>17</v>
      </c>
      <c r="J359" s="52">
        <v>1.93</v>
      </c>
      <c r="K359" s="138" t="s">
        <v>2221</v>
      </c>
    </row>
    <row r="360" ht="12" spans="1:11">
      <c r="A360" s="139"/>
      <c r="B360" s="54"/>
      <c r="C360" s="137"/>
      <c r="D360" s="140"/>
      <c r="E360" s="140"/>
      <c r="F360" s="95" t="s">
        <v>1166</v>
      </c>
      <c r="G360" s="52">
        <v>1</v>
      </c>
      <c r="H360" s="52">
        <v>0.45</v>
      </c>
      <c r="I360" s="95" t="s">
        <v>2342</v>
      </c>
      <c r="J360" s="52">
        <v>3.5</v>
      </c>
      <c r="K360" s="141"/>
    </row>
    <row r="361" ht="12" spans="1:11">
      <c r="A361" s="113" t="s">
        <v>1301</v>
      </c>
      <c r="B361" s="54" t="s">
        <v>2343</v>
      </c>
      <c r="C361" s="145">
        <v>10</v>
      </c>
      <c r="D361" s="116" t="s">
        <v>1623</v>
      </c>
      <c r="E361" s="116" t="s">
        <v>1628</v>
      </c>
      <c r="F361" s="95" t="s">
        <v>1064</v>
      </c>
      <c r="G361" s="52">
        <v>2</v>
      </c>
      <c r="H361" s="52">
        <v>8.7</v>
      </c>
      <c r="I361" s="95" t="s">
        <v>17</v>
      </c>
      <c r="J361" s="52">
        <v>2.18</v>
      </c>
      <c r="K361" s="138" t="s">
        <v>2221</v>
      </c>
    </row>
    <row r="362" ht="12" spans="1:11">
      <c r="A362" s="139"/>
      <c r="B362" s="54"/>
      <c r="C362" s="146"/>
      <c r="D362" s="140"/>
      <c r="E362" s="140"/>
      <c r="F362" s="95" t="s">
        <v>1060</v>
      </c>
      <c r="G362" s="52">
        <v>2</v>
      </c>
      <c r="H362" s="52">
        <v>0.4</v>
      </c>
      <c r="I362" s="95" t="s">
        <v>1269</v>
      </c>
      <c r="J362" s="52">
        <v>2.28</v>
      </c>
      <c r="K362" s="141"/>
    </row>
    <row r="363" ht="12" spans="1:11">
      <c r="A363" s="139"/>
      <c r="B363" s="54"/>
      <c r="C363" s="146"/>
      <c r="D363" s="140"/>
      <c r="E363" s="140"/>
      <c r="F363" s="95" t="s">
        <v>1166</v>
      </c>
      <c r="G363" s="52">
        <v>2</v>
      </c>
      <c r="H363" s="52">
        <v>0.4</v>
      </c>
      <c r="I363" s="95" t="s">
        <v>1270</v>
      </c>
      <c r="J363" s="52">
        <v>3.6</v>
      </c>
      <c r="K363" s="141"/>
    </row>
    <row r="364" ht="12" spans="1:11">
      <c r="A364" s="142"/>
      <c r="B364" s="54"/>
      <c r="C364" s="147"/>
      <c r="D364" s="143"/>
      <c r="E364" s="143"/>
      <c r="F364" s="95" t="s">
        <v>1083</v>
      </c>
      <c r="G364" s="52">
        <v>2.92</v>
      </c>
      <c r="H364" s="52">
        <v>0.5</v>
      </c>
      <c r="I364" s="95" t="s">
        <v>24</v>
      </c>
      <c r="J364" s="52" t="s">
        <v>24</v>
      </c>
      <c r="K364" s="144"/>
    </row>
    <row r="365" ht="12" spans="1:11">
      <c r="A365" s="113" t="s">
        <v>2344</v>
      </c>
      <c r="B365" s="54" t="s">
        <v>2345</v>
      </c>
      <c r="C365" s="145">
        <v>10</v>
      </c>
      <c r="D365" s="116" t="s">
        <v>1628</v>
      </c>
      <c r="E365" s="116" t="s">
        <v>1628</v>
      </c>
      <c r="F365" s="95" t="s">
        <v>1081</v>
      </c>
      <c r="G365" s="52">
        <v>1</v>
      </c>
      <c r="H365" s="52">
        <v>8.9</v>
      </c>
      <c r="I365" s="95" t="s">
        <v>17</v>
      </c>
      <c r="J365" s="52">
        <v>1.86</v>
      </c>
      <c r="K365" s="138" t="s">
        <v>2214</v>
      </c>
    </row>
    <row r="366" ht="12" spans="1:11">
      <c r="A366" s="139"/>
      <c r="B366" s="54"/>
      <c r="C366" s="146"/>
      <c r="D366" s="140"/>
      <c r="E366" s="140"/>
      <c r="F366" s="95" t="s">
        <v>2215</v>
      </c>
      <c r="G366" s="52">
        <v>1.17</v>
      </c>
      <c r="H366" s="52">
        <v>0.5</v>
      </c>
      <c r="I366" s="95" t="s">
        <v>1269</v>
      </c>
      <c r="J366" s="52">
        <v>1.96</v>
      </c>
      <c r="K366" s="141"/>
    </row>
    <row r="367" ht="12" spans="1:11">
      <c r="A367" s="142"/>
      <c r="B367" s="54"/>
      <c r="C367" s="147"/>
      <c r="D367" s="143"/>
      <c r="E367" s="143"/>
      <c r="F367" s="95" t="s">
        <v>1083</v>
      </c>
      <c r="G367" s="52">
        <v>1.76</v>
      </c>
      <c r="H367" s="52">
        <v>0.6</v>
      </c>
      <c r="I367" s="95" t="s">
        <v>24</v>
      </c>
      <c r="J367" s="52" t="s">
        <v>24</v>
      </c>
      <c r="K367" s="144"/>
    </row>
    <row r="368" ht="12" spans="1:11">
      <c r="A368" s="113" t="s">
        <v>1296</v>
      </c>
      <c r="B368" s="54" t="s">
        <v>2346</v>
      </c>
      <c r="C368" s="145">
        <v>10</v>
      </c>
      <c r="D368" s="116" t="s">
        <v>1623</v>
      </c>
      <c r="E368" s="116" t="s">
        <v>1628</v>
      </c>
      <c r="F368" s="95" t="s">
        <v>1064</v>
      </c>
      <c r="G368" s="52">
        <v>2</v>
      </c>
      <c r="H368" s="52">
        <v>8.7</v>
      </c>
      <c r="I368" s="95" t="s">
        <v>17</v>
      </c>
      <c r="J368" s="52">
        <v>2.18</v>
      </c>
      <c r="K368" s="138" t="s">
        <v>2221</v>
      </c>
    </row>
    <row r="369" ht="12" spans="1:11">
      <c r="A369" s="139"/>
      <c r="B369" s="54"/>
      <c r="C369" s="146"/>
      <c r="D369" s="140"/>
      <c r="E369" s="140"/>
      <c r="F369" s="95" t="s">
        <v>1060</v>
      </c>
      <c r="G369" s="52">
        <v>2</v>
      </c>
      <c r="H369" s="52">
        <v>0.4</v>
      </c>
      <c r="I369" s="95" t="s">
        <v>1269</v>
      </c>
      <c r="J369" s="52">
        <v>2.25</v>
      </c>
      <c r="K369" s="141"/>
    </row>
    <row r="370" ht="12" spans="1:11">
      <c r="A370" s="139"/>
      <c r="B370" s="54"/>
      <c r="C370" s="146"/>
      <c r="D370" s="140"/>
      <c r="E370" s="140"/>
      <c r="F370" s="95" t="s">
        <v>1166</v>
      </c>
      <c r="G370" s="52">
        <v>2</v>
      </c>
      <c r="H370" s="52">
        <v>0.4</v>
      </c>
      <c r="I370" s="95" t="s">
        <v>1270</v>
      </c>
      <c r="J370" s="52">
        <v>3.6</v>
      </c>
      <c r="K370" s="141"/>
    </row>
    <row r="371" ht="12" spans="1:11">
      <c r="A371" s="142"/>
      <c r="B371" s="54"/>
      <c r="C371" s="147"/>
      <c r="D371" s="143"/>
      <c r="E371" s="143"/>
      <c r="F371" s="95" t="s">
        <v>1083</v>
      </c>
      <c r="G371" s="52">
        <v>2.92</v>
      </c>
      <c r="H371" s="52">
        <v>0.5</v>
      </c>
      <c r="I371" s="95" t="s">
        <v>24</v>
      </c>
      <c r="J371" s="52" t="s">
        <v>24</v>
      </c>
      <c r="K371" s="144"/>
    </row>
    <row r="372" ht="12" spans="1:11">
      <c r="A372" s="113" t="s">
        <v>2344</v>
      </c>
      <c r="B372" s="54" t="s">
        <v>2347</v>
      </c>
      <c r="C372" s="145">
        <v>10</v>
      </c>
      <c r="D372" s="116" t="s">
        <v>1640</v>
      </c>
      <c r="E372" s="116" t="s">
        <v>1640</v>
      </c>
      <c r="F372" s="95" t="s">
        <v>1081</v>
      </c>
      <c r="G372" s="52">
        <v>1.92</v>
      </c>
      <c r="H372" s="52">
        <v>8.9</v>
      </c>
      <c r="I372" s="95" t="s">
        <v>17</v>
      </c>
      <c r="J372" s="52">
        <v>1.96</v>
      </c>
      <c r="K372" s="138" t="s">
        <v>2214</v>
      </c>
    </row>
    <row r="373" ht="12" spans="1:11">
      <c r="A373" s="139"/>
      <c r="B373" s="54"/>
      <c r="C373" s="146"/>
      <c r="D373" s="140"/>
      <c r="E373" s="140"/>
      <c r="F373" s="95" t="s">
        <v>2215</v>
      </c>
      <c r="G373" s="52">
        <v>2</v>
      </c>
      <c r="H373" s="52">
        <v>0.4</v>
      </c>
      <c r="I373" s="95" t="s">
        <v>1269</v>
      </c>
      <c r="J373" s="52">
        <v>2.05</v>
      </c>
      <c r="K373" s="141"/>
    </row>
    <row r="374" ht="12" spans="1:11">
      <c r="A374" s="142"/>
      <c r="B374" s="54"/>
      <c r="C374" s="147"/>
      <c r="D374" s="143"/>
      <c r="E374" s="143"/>
      <c r="F374" s="95" t="s">
        <v>1083</v>
      </c>
      <c r="G374" s="52">
        <v>2.67</v>
      </c>
      <c r="H374" s="52">
        <v>0.7</v>
      </c>
      <c r="I374" s="95" t="s">
        <v>24</v>
      </c>
      <c r="J374" s="52" t="s">
        <v>24</v>
      </c>
      <c r="K374" s="144"/>
    </row>
    <row r="375" ht="12" spans="1:11">
      <c r="A375" s="113" t="s">
        <v>1299</v>
      </c>
      <c r="B375" s="54" t="s">
        <v>2348</v>
      </c>
      <c r="C375" s="137">
        <v>5</v>
      </c>
      <c r="D375" s="116" t="s">
        <v>1620</v>
      </c>
      <c r="E375" s="116" t="s">
        <v>1620</v>
      </c>
      <c r="F375" s="95" t="s">
        <v>1064</v>
      </c>
      <c r="G375" s="52">
        <v>0.95</v>
      </c>
      <c r="H375" s="52">
        <v>4.18</v>
      </c>
      <c r="I375" s="95" t="s">
        <v>17</v>
      </c>
      <c r="J375" s="52">
        <v>1.95</v>
      </c>
      <c r="K375" s="138" t="s">
        <v>2217</v>
      </c>
    </row>
    <row r="376" ht="12" spans="1:11">
      <c r="A376" s="139"/>
      <c r="B376" s="54"/>
      <c r="C376" s="137"/>
      <c r="D376" s="140"/>
      <c r="E376" s="140"/>
      <c r="F376" s="95" t="s">
        <v>1060</v>
      </c>
      <c r="G376" s="52">
        <v>1.03</v>
      </c>
      <c r="H376" s="52">
        <v>0.27</v>
      </c>
      <c r="I376" s="95" t="s">
        <v>1269</v>
      </c>
      <c r="J376" s="52">
        <v>2</v>
      </c>
      <c r="K376" s="141"/>
    </row>
    <row r="377" ht="12" spans="1:11">
      <c r="A377" s="139"/>
      <c r="B377" s="54"/>
      <c r="C377" s="137"/>
      <c r="D377" s="140"/>
      <c r="E377" s="140"/>
      <c r="F377" s="95" t="s">
        <v>1086</v>
      </c>
      <c r="G377" s="52">
        <v>3.03</v>
      </c>
      <c r="H377" s="52">
        <v>0.3</v>
      </c>
      <c r="I377" s="95" t="s">
        <v>24</v>
      </c>
      <c r="J377" s="52" t="s">
        <v>24</v>
      </c>
      <c r="K377" s="141"/>
    </row>
    <row r="378" ht="12" spans="1:11">
      <c r="A378" s="142"/>
      <c r="B378" s="54"/>
      <c r="C378" s="137"/>
      <c r="D378" s="143"/>
      <c r="E378" s="143"/>
      <c r="F378" s="95" t="s">
        <v>1087</v>
      </c>
      <c r="G378" s="52">
        <v>3.03</v>
      </c>
      <c r="H378" s="52">
        <v>0.25</v>
      </c>
      <c r="I378" s="95" t="s">
        <v>24</v>
      </c>
      <c r="J378" s="52" t="s">
        <v>24</v>
      </c>
      <c r="K378" s="144"/>
    </row>
    <row r="379" ht="12" spans="1:11">
      <c r="A379" s="113" t="s">
        <v>1299</v>
      </c>
      <c r="B379" s="54" t="s">
        <v>2349</v>
      </c>
      <c r="C379" s="137">
        <v>10</v>
      </c>
      <c r="D379" s="116" t="s">
        <v>1630</v>
      </c>
      <c r="E379" s="116" t="s">
        <v>1628</v>
      </c>
      <c r="F379" s="95" t="s">
        <v>1081</v>
      </c>
      <c r="G379" s="52">
        <v>1</v>
      </c>
      <c r="H379" s="52">
        <v>8.9</v>
      </c>
      <c r="I379" s="95" t="s">
        <v>17</v>
      </c>
      <c r="J379" s="52">
        <v>1.86</v>
      </c>
      <c r="K379" s="138" t="s">
        <v>2214</v>
      </c>
    </row>
    <row r="380" ht="12" spans="1:11">
      <c r="A380" s="139"/>
      <c r="B380" s="54"/>
      <c r="C380" s="137"/>
      <c r="D380" s="140"/>
      <c r="E380" s="140"/>
      <c r="F380" s="95" t="s">
        <v>2215</v>
      </c>
      <c r="G380" s="52">
        <v>1.17</v>
      </c>
      <c r="H380" s="52">
        <v>0.5</v>
      </c>
      <c r="I380" s="95" t="s">
        <v>1269</v>
      </c>
      <c r="J380" s="52">
        <v>1.96</v>
      </c>
      <c r="K380" s="141"/>
    </row>
    <row r="381" ht="12" spans="1:11">
      <c r="A381" s="142"/>
      <c r="B381" s="54"/>
      <c r="C381" s="137"/>
      <c r="D381" s="143"/>
      <c r="E381" s="143"/>
      <c r="F381" s="95" t="s">
        <v>1083</v>
      </c>
      <c r="G381" s="52">
        <v>1.76</v>
      </c>
      <c r="H381" s="52">
        <v>0.6</v>
      </c>
      <c r="I381" s="95" t="s">
        <v>24</v>
      </c>
      <c r="J381" s="52" t="s">
        <v>24</v>
      </c>
      <c r="K381" s="144"/>
    </row>
    <row r="382" ht="12" spans="1:11">
      <c r="A382" s="113" t="s">
        <v>1299</v>
      </c>
      <c r="B382" s="54" t="s">
        <v>2350</v>
      </c>
      <c r="C382" s="137">
        <v>10</v>
      </c>
      <c r="D382" s="116" t="s">
        <v>1640</v>
      </c>
      <c r="E382" s="116" t="s">
        <v>1640</v>
      </c>
      <c r="F382" s="95" t="s">
        <v>1081</v>
      </c>
      <c r="G382" s="52">
        <v>1.92</v>
      </c>
      <c r="H382" s="52">
        <v>8.9</v>
      </c>
      <c r="I382" s="95" t="s">
        <v>17</v>
      </c>
      <c r="J382" s="52">
        <v>1.96</v>
      </c>
      <c r="K382" s="138" t="s">
        <v>2214</v>
      </c>
    </row>
    <row r="383" ht="12" spans="1:11">
      <c r="A383" s="139"/>
      <c r="B383" s="54"/>
      <c r="C383" s="137"/>
      <c r="D383" s="140"/>
      <c r="E383" s="140"/>
      <c r="F383" s="95" t="s">
        <v>2215</v>
      </c>
      <c r="G383" s="52">
        <v>2</v>
      </c>
      <c r="H383" s="52">
        <v>0.4</v>
      </c>
      <c r="I383" s="95" t="s">
        <v>1269</v>
      </c>
      <c r="J383" s="52">
        <v>2.05</v>
      </c>
      <c r="K383" s="141"/>
    </row>
    <row r="384" ht="12" spans="1:11">
      <c r="A384" s="142"/>
      <c r="B384" s="54"/>
      <c r="C384" s="137"/>
      <c r="D384" s="143"/>
      <c r="E384" s="143"/>
      <c r="F384" s="95" t="s">
        <v>1083</v>
      </c>
      <c r="G384" s="52">
        <v>2.67</v>
      </c>
      <c r="H384" s="52">
        <v>0.7</v>
      </c>
      <c r="I384" s="95" t="s">
        <v>24</v>
      </c>
      <c r="J384" s="52" t="s">
        <v>24</v>
      </c>
      <c r="K384" s="144"/>
    </row>
    <row r="385" ht="12" spans="1:11">
      <c r="A385" s="113">
        <v>45803</v>
      </c>
      <c r="B385" s="54" t="s">
        <v>2351</v>
      </c>
      <c r="C385" s="137">
        <v>10</v>
      </c>
      <c r="D385" s="116" t="s">
        <v>1628</v>
      </c>
      <c r="E385" s="116" t="s">
        <v>1628</v>
      </c>
      <c r="F385" s="95" t="s">
        <v>1081</v>
      </c>
      <c r="G385" s="52">
        <v>1.92</v>
      </c>
      <c r="H385" s="52">
        <v>8.9</v>
      </c>
      <c r="I385" s="95" t="s">
        <v>17</v>
      </c>
      <c r="J385" s="52">
        <v>1.96</v>
      </c>
      <c r="K385" s="138" t="s">
        <v>2214</v>
      </c>
    </row>
    <row r="386" ht="12" spans="1:11">
      <c r="A386" s="139"/>
      <c r="B386" s="54"/>
      <c r="C386" s="137"/>
      <c r="D386" s="140"/>
      <c r="E386" s="140"/>
      <c r="F386" s="95" t="s">
        <v>2215</v>
      </c>
      <c r="G386" s="52">
        <v>2</v>
      </c>
      <c r="H386" s="52">
        <v>0.4</v>
      </c>
      <c r="I386" s="95" t="s">
        <v>1269</v>
      </c>
      <c r="J386" s="52">
        <v>2.05</v>
      </c>
      <c r="K386" s="141"/>
    </row>
    <row r="387" ht="12" spans="1:11">
      <c r="A387" s="142"/>
      <c r="B387" s="54"/>
      <c r="C387" s="137"/>
      <c r="D387" s="143"/>
      <c r="E387" s="143"/>
      <c r="F387" s="95" t="s">
        <v>1083</v>
      </c>
      <c r="G387" s="52">
        <v>2.67</v>
      </c>
      <c r="H387" s="52">
        <v>0.7</v>
      </c>
      <c r="I387" s="95" t="s">
        <v>24</v>
      </c>
      <c r="J387" s="52" t="s">
        <v>24</v>
      </c>
      <c r="K387" s="144"/>
    </row>
    <row r="388" ht="12" spans="1:11">
      <c r="A388" s="113" t="s">
        <v>1306</v>
      </c>
      <c r="B388" s="54" t="s">
        <v>2352</v>
      </c>
      <c r="C388" s="137">
        <v>10</v>
      </c>
      <c r="D388" s="116" t="s">
        <v>1623</v>
      </c>
      <c r="E388" s="116" t="s">
        <v>1623</v>
      </c>
      <c r="F388" s="95" t="s">
        <v>1064</v>
      </c>
      <c r="G388" s="52">
        <v>1.5</v>
      </c>
      <c r="H388" s="52">
        <v>8.3</v>
      </c>
      <c r="I388" s="95" t="s">
        <v>17</v>
      </c>
      <c r="J388" s="52">
        <v>2.1</v>
      </c>
      <c r="K388" s="138" t="s">
        <v>2221</v>
      </c>
    </row>
    <row r="389" ht="12" spans="1:11">
      <c r="A389" s="139"/>
      <c r="B389" s="54"/>
      <c r="C389" s="137"/>
      <c r="D389" s="140"/>
      <c r="E389" s="140"/>
      <c r="F389" s="95" t="s">
        <v>1060</v>
      </c>
      <c r="G389" s="52">
        <v>1.5</v>
      </c>
      <c r="H389" s="52">
        <v>0.5</v>
      </c>
      <c r="I389" s="95" t="s">
        <v>1269</v>
      </c>
      <c r="J389" s="52">
        <v>2.2</v>
      </c>
      <c r="K389" s="141"/>
    </row>
    <row r="390" ht="12" spans="1:11">
      <c r="A390" s="139"/>
      <c r="B390" s="54"/>
      <c r="C390" s="137"/>
      <c r="D390" s="140"/>
      <c r="E390" s="140"/>
      <c r="F390" s="95" t="s">
        <v>1166</v>
      </c>
      <c r="G390" s="52">
        <v>2</v>
      </c>
      <c r="H390" s="52">
        <v>0.7</v>
      </c>
      <c r="I390" s="95" t="s">
        <v>100</v>
      </c>
      <c r="J390" s="52">
        <v>3.6</v>
      </c>
      <c r="K390" s="141"/>
    </row>
    <row r="391" ht="12" spans="1:11">
      <c r="A391" s="142"/>
      <c r="B391" s="54"/>
      <c r="C391" s="137"/>
      <c r="D391" s="143"/>
      <c r="E391" s="143"/>
      <c r="F391" s="95" t="s">
        <v>1083</v>
      </c>
      <c r="G391" s="52">
        <v>2</v>
      </c>
      <c r="H391" s="52">
        <v>0.5</v>
      </c>
      <c r="I391" s="95" t="s">
        <v>24</v>
      </c>
      <c r="J391" s="52" t="s">
        <v>24</v>
      </c>
      <c r="K391" s="144"/>
    </row>
    <row r="392" ht="12" spans="1:11">
      <c r="A392" s="113">
        <v>45805</v>
      </c>
      <c r="B392" s="54" t="s">
        <v>2353</v>
      </c>
      <c r="C392" s="137">
        <v>8</v>
      </c>
      <c r="D392" s="116" t="s">
        <v>1620</v>
      </c>
      <c r="E392" s="116" t="s">
        <v>1640</v>
      </c>
      <c r="F392" s="95" t="s">
        <v>1064</v>
      </c>
      <c r="G392" s="52">
        <v>1</v>
      </c>
      <c r="H392" s="52">
        <v>7.04</v>
      </c>
      <c r="I392" s="95" t="s">
        <v>17</v>
      </c>
      <c r="J392" s="52">
        <v>1.8</v>
      </c>
      <c r="K392" s="138" t="s">
        <v>2209</v>
      </c>
    </row>
    <row r="393" ht="12" spans="1:11">
      <c r="A393" s="139"/>
      <c r="B393" s="54"/>
      <c r="C393" s="137"/>
      <c r="D393" s="140"/>
      <c r="E393" s="140"/>
      <c r="F393" s="95" t="s">
        <v>1060</v>
      </c>
      <c r="G393" s="52">
        <v>1</v>
      </c>
      <c r="H393" s="52">
        <v>0.48</v>
      </c>
      <c r="I393" s="95" t="s">
        <v>1269</v>
      </c>
      <c r="J393" s="52">
        <v>2</v>
      </c>
      <c r="K393" s="141"/>
    </row>
    <row r="394" ht="12" spans="1:11">
      <c r="A394" s="142"/>
      <c r="B394" s="54"/>
      <c r="C394" s="137"/>
      <c r="D394" s="143"/>
      <c r="E394" s="143"/>
      <c r="F394" s="95" t="s">
        <v>1083</v>
      </c>
      <c r="G394" s="52">
        <v>4</v>
      </c>
      <c r="H394" s="52">
        <v>0.48</v>
      </c>
      <c r="I394" s="95" t="s">
        <v>24</v>
      </c>
      <c r="J394" s="52" t="s">
        <v>24</v>
      </c>
      <c r="K394" s="144"/>
    </row>
    <row r="395" ht="12" spans="1:11">
      <c r="A395" s="113">
        <v>45804</v>
      </c>
      <c r="B395" s="54" t="s">
        <v>2354</v>
      </c>
      <c r="C395" s="137">
        <v>6</v>
      </c>
      <c r="D395" s="116" t="s">
        <v>1640</v>
      </c>
      <c r="E395" s="116" t="s">
        <v>1640</v>
      </c>
      <c r="F395" s="95" t="s">
        <v>1064</v>
      </c>
      <c r="G395" s="52">
        <v>1</v>
      </c>
      <c r="H395" s="52">
        <v>5.28</v>
      </c>
      <c r="I395" s="95" t="s">
        <v>17</v>
      </c>
      <c r="J395" s="52">
        <v>1.82</v>
      </c>
      <c r="K395" s="138" t="s">
        <v>2209</v>
      </c>
    </row>
    <row r="396" ht="12" spans="1:11">
      <c r="A396" s="139"/>
      <c r="B396" s="54"/>
      <c r="C396" s="137"/>
      <c r="D396" s="140"/>
      <c r="E396" s="140"/>
      <c r="F396" s="95" t="s">
        <v>1060</v>
      </c>
      <c r="G396" s="52">
        <v>1</v>
      </c>
      <c r="H396" s="52">
        <v>0.36</v>
      </c>
      <c r="I396" s="95" t="s">
        <v>1269</v>
      </c>
      <c r="J396" s="52">
        <v>2</v>
      </c>
      <c r="K396" s="141"/>
    </row>
    <row r="397" ht="12" spans="1:11">
      <c r="A397" s="142"/>
      <c r="B397" s="54"/>
      <c r="C397" s="137"/>
      <c r="D397" s="143"/>
      <c r="E397" s="143"/>
      <c r="F397" s="95" t="s">
        <v>1083</v>
      </c>
      <c r="G397" s="52">
        <v>4</v>
      </c>
      <c r="H397" s="52">
        <v>0.36</v>
      </c>
      <c r="I397" s="95" t="s">
        <v>24</v>
      </c>
      <c r="J397" s="52" t="s">
        <v>24</v>
      </c>
      <c r="K397" s="144"/>
    </row>
    <row r="398" ht="12" spans="1:11">
      <c r="A398" s="113">
        <v>45804</v>
      </c>
      <c r="B398" s="54" t="s">
        <v>2355</v>
      </c>
      <c r="C398" s="137">
        <v>10</v>
      </c>
      <c r="D398" s="116" t="s">
        <v>1640</v>
      </c>
      <c r="E398" s="116" t="s">
        <v>1640</v>
      </c>
      <c r="F398" s="95" t="s">
        <v>1081</v>
      </c>
      <c r="G398" s="52">
        <v>1</v>
      </c>
      <c r="H398" s="52">
        <v>8.9</v>
      </c>
      <c r="I398" s="95" t="s">
        <v>17</v>
      </c>
      <c r="J398" s="52">
        <v>1.83</v>
      </c>
      <c r="K398" s="138" t="s">
        <v>2214</v>
      </c>
    </row>
    <row r="399" ht="12" spans="1:11">
      <c r="A399" s="139"/>
      <c r="B399" s="54"/>
      <c r="C399" s="137"/>
      <c r="D399" s="140"/>
      <c r="E399" s="140"/>
      <c r="F399" s="95" t="s">
        <v>2215</v>
      </c>
      <c r="G399" s="52">
        <v>1.17</v>
      </c>
      <c r="H399" s="52">
        <v>0.5</v>
      </c>
      <c r="I399" s="95" t="s">
        <v>1269</v>
      </c>
      <c r="J399" s="52">
        <v>1.96</v>
      </c>
      <c r="K399" s="141"/>
    </row>
    <row r="400" ht="12" spans="1:11">
      <c r="A400" s="142"/>
      <c r="B400" s="54"/>
      <c r="C400" s="137"/>
      <c r="D400" s="143"/>
      <c r="E400" s="143"/>
      <c r="F400" s="95" t="s">
        <v>1083</v>
      </c>
      <c r="G400" s="52">
        <v>1.76</v>
      </c>
      <c r="H400" s="52">
        <v>0.6</v>
      </c>
      <c r="I400" s="95" t="s">
        <v>24</v>
      </c>
      <c r="J400" s="52" t="s">
        <v>24</v>
      </c>
      <c r="K400" s="144"/>
    </row>
    <row r="401" ht="17" customHeight="1" spans="1:11">
      <c r="A401" s="120">
        <v>45807</v>
      </c>
      <c r="B401" s="95" t="s">
        <v>2356</v>
      </c>
      <c r="C401" s="121">
        <v>9.45</v>
      </c>
      <c r="D401" s="95" t="s">
        <v>2225</v>
      </c>
      <c r="E401" s="95" t="s">
        <v>2357</v>
      </c>
      <c r="F401" s="95" t="s">
        <v>1081</v>
      </c>
      <c r="G401" s="52">
        <v>1</v>
      </c>
      <c r="H401" s="52">
        <v>9</v>
      </c>
      <c r="I401" s="95" t="s">
        <v>17</v>
      </c>
      <c r="J401" s="52">
        <v>1.89</v>
      </c>
      <c r="K401" s="95" t="s">
        <v>2221</v>
      </c>
    </row>
    <row r="402" ht="12" spans="1:11">
      <c r="A402" s="120"/>
      <c r="B402" s="95"/>
      <c r="C402" s="121"/>
      <c r="D402" s="95"/>
      <c r="E402" s="95"/>
      <c r="F402" s="95" t="s">
        <v>1166</v>
      </c>
      <c r="G402" s="52">
        <v>1</v>
      </c>
      <c r="H402" s="52">
        <v>0.45</v>
      </c>
      <c r="I402" s="95" t="s">
        <v>2358</v>
      </c>
      <c r="J402" s="52">
        <v>3.5</v>
      </c>
      <c r="K402" s="95"/>
    </row>
    <row r="403" ht="12" spans="1:11">
      <c r="A403" s="113" t="s">
        <v>2359</v>
      </c>
      <c r="B403" s="54" t="s">
        <v>2360</v>
      </c>
      <c r="C403" s="137">
        <v>10</v>
      </c>
      <c r="D403" s="116" t="s">
        <v>1630</v>
      </c>
      <c r="E403" s="116" t="s">
        <v>1628</v>
      </c>
      <c r="F403" s="95" t="s">
        <v>1081</v>
      </c>
      <c r="G403" s="52">
        <v>1.92</v>
      </c>
      <c r="H403" s="52">
        <v>8.9</v>
      </c>
      <c r="I403" s="95" t="s">
        <v>17</v>
      </c>
      <c r="J403" s="52">
        <v>1.96</v>
      </c>
      <c r="K403" s="138" t="s">
        <v>2214</v>
      </c>
    </row>
    <row r="404" ht="12" spans="1:11">
      <c r="A404" s="139"/>
      <c r="B404" s="54"/>
      <c r="C404" s="137"/>
      <c r="D404" s="140"/>
      <c r="E404" s="140"/>
      <c r="F404" s="95" t="s">
        <v>2215</v>
      </c>
      <c r="G404" s="52">
        <v>2</v>
      </c>
      <c r="H404" s="52">
        <v>0.4</v>
      </c>
      <c r="I404" s="95" t="s">
        <v>1269</v>
      </c>
      <c r="J404" s="52">
        <v>2.05</v>
      </c>
      <c r="K404" s="141"/>
    </row>
    <row r="405" ht="12" spans="1:11">
      <c r="A405" s="142"/>
      <c r="B405" s="54"/>
      <c r="C405" s="137"/>
      <c r="D405" s="143"/>
      <c r="E405" s="143"/>
      <c r="F405" s="95" t="s">
        <v>1083</v>
      </c>
      <c r="G405" s="52">
        <v>2.69</v>
      </c>
      <c r="H405" s="52">
        <v>0.7</v>
      </c>
      <c r="I405" s="95" t="s">
        <v>24</v>
      </c>
      <c r="J405" s="52" t="s">
        <v>24</v>
      </c>
      <c r="K405" s="144"/>
    </row>
    <row r="406" ht="17" customHeight="1" spans="1:11">
      <c r="A406" s="120" t="s">
        <v>2359</v>
      </c>
      <c r="B406" s="95" t="s">
        <v>2361</v>
      </c>
      <c r="C406" s="121">
        <v>5.64</v>
      </c>
      <c r="D406" s="95" t="s">
        <v>1640</v>
      </c>
      <c r="E406" s="95" t="s">
        <v>1640</v>
      </c>
      <c r="F406" s="95" t="s">
        <v>1064</v>
      </c>
      <c r="G406" s="52">
        <v>1</v>
      </c>
      <c r="H406" s="52">
        <v>5.28</v>
      </c>
      <c r="I406" s="95" t="s">
        <v>17</v>
      </c>
      <c r="J406" s="52">
        <v>1.82</v>
      </c>
      <c r="K406" s="95" t="s">
        <v>2209</v>
      </c>
    </row>
    <row r="407" ht="12" spans="1:11">
      <c r="A407" s="120"/>
      <c r="B407" s="95"/>
      <c r="C407" s="121"/>
      <c r="D407" s="95"/>
      <c r="E407" s="95"/>
      <c r="F407" s="95" t="s">
        <v>1060</v>
      </c>
      <c r="G407" s="52">
        <v>1</v>
      </c>
      <c r="H407" s="52">
        <v>0.36</v>
      </c>
      <c r="I407" s="95" t="s">
        <v>1269</v>
      </c>
      <c r="J407" s="52">
        <v>2</v>
      </c>
      <c r="K407" s="95"/>
    </row>
    <row r="408" ht="12" spans="1:11">
      <c r="A408" s="113">
        <v>45799</v>
      </c>
      <c r="B408" s="54" t="s">
        <v>2362</v>
      </c>
      <c r="C408" s="137">
        <v>10</v>
      </c>
      <c r="D408" s="116" t="s">
        <v>1623</v>
      </c>
      <c r="E408" s="116" t="s">
        <v>1623</v>
      </c>
      <c r="F408" s="95" t="s">
        <v>1064</v>
      </c>
      <c r="G408" s="52">
        <v>1.5</v>
      </c>
      <c r="H408" s="52">
        <v>8.3</v>
      </c>
      <c r="I408" s="95" t="s">
        <v>17</v>
      </c>
      <c r="J408" s="52">
        <v>2.18</v>
      </c>
      <c r="K408" s="138" t="s">
        <v>2221</v>
      </c>
    </row>
    <row r="409" ht="12" spans="1:11">
      <c r="A409" s="139"/>
      <c r="B409" s="54"/>
      <c r="C409" s="137"/>
      <c r="D409" s="140"/>
      <c r="E409" s="140"/>
      <c r="F409" s="95" t="s">
        <v>1060</v>
      </c>
      <c r="G409" s="52">
        <v>1.5</v>
      </c>
      <c r="H409" s="52">
        <v>0.5</v>
      </c>
      <c r="I409" s="95" t="s">
        <v>1269</v>
      </c>
      <c r="J409" s="52">
        <v>2.3</v>
      </c>
      <c r="K409" s="141"/>
    </row>
    <row r="410" ht="12" spans="1:11">
      <c r="A410" s="139"/>
      <c r="B410" s="54"/>
      <c r="C410" s="137"/>
      <c r="D410" s="140"/>
      <c r="E410" s="140"/>
      <c r="F410" s="95" t="s">
        <v>1166</v>
      </c>
      <c r="G410" s="52">
        <v>1.99</v>
      </c>
      <c r="H410" s="52">
        <v>0.7</v>
      </c>
      <c r="I410" s="95" t="s">
        <v>100</v>
      </c>
      <c r="J410" s="52">
        <v>3.6</v>
      </c>
      <c r="K410" s="141"/>
    </row>
    <row r="411" ht="12" spans="1:11">
      <c r="A411" s="142"/>
      <c r="B411" s="54"/>
      <c r="C411" s="137"/>
      <c r="D411" s="143"/>
      <c r="E411" s="143"/>
      <c r="F411" s="95" t="s">
        <v>1083</v>
      </c>
      <c r="G411" s="52">
        <v>1.99</v>
      </c>
      <c r="H411" s="52">
        <v>0.5</v>
      </c>
      <c r="I411" s="95" t="s">
        <v>24</v>
      </c>
      <c r="J411" s="52" t="s">
        <v>24</v>
      </c>
      <c r="K411" s="144"/>
    </row>
    <row r="412" ht="12" spans="1:11">
      <c r="A412" s="113" t="s">
        <v>2363</v>
      </c>
      <c r="B412" s="148" t="s">
        <v>2364</v>
      </c>
      <c r="C412" s="137">
        <v>10</v>
      </c>
      <c r="D412" s="116" t="s">
        <v>2225</v>
      </c>
      <c r="E412" s="116" t="s">
        <v>2357</v>
      </c>
      <c r="F412" s="95" t="s">
        <v>1064</v>
      </c>
      <c r="G412" s="52">
        <v>1</v>
      </c>
      <c r="H412" s="52">
        <v>9</v>
      </c>
      <c r="I412" s="95" t="s">
        <v>17</v>
      </c>
      <c r="J412" s="149" t="s">
        <v>2020</v>
      </c>
      <c r="K412" s="138" t="s">
        <v>2221</v>
      </c>
    </row>
    <row r="413" ht="12" spans="1:11">
      <c r="A413" s="139"/>
      <c r="B413" s="54"/>
      <c r="C413" s="137"/>
      <c r="D413" s="140"/>
      <c r="E413" s="140"/>
      <c r="F413" s="95" t="s">
        <v>1060</v>
      </c>
      <c r="G413" s="52">
        <v>1</v>
      </c>
      <c r="H413" s="52">
        <v>0.3</v>
      </c>
      <c r="I413" s="95" t="s">
        <v>1269</v>
      </c>
      <c r="J413" s="105" t="s">
        <v>2365</v>
      </c>
      <c r="K413" s="141"/>
    </row>
    <row r="414" ht="12" spans="1:11">
      <c r="A414" s="139"/>
      <c r="B414" s="54"/>
      <c r="C414" s="137"/>
      <c r="D414" s="140"/>
      <c r="E414" s="140"/>
      <c r="F414" s="95" t="s">
        <v>1166</v>
      </c>
      <c r="G414" s="52">
        <v>1</v>
      </c>
      <c r="H414" s="52">
        <v>0.2</v>
      </c>
      <c r="I414" s="95" t="s">
        <v>2342</v>
      </c>
      <c r="J414" s="105" t="s">
        <v>2365</v>
      </c>
      <c r="K414" s="141"/>
    </row>
    <row r="415" ht="12" spans="1:11">
      <c r="A415" s="142"/>
      <c r="B415" s="54"/>
      <c r="C415" s="137"/>
      <c r="D415" s="143"/>
      <c r="E415" s="143"/>
      <c r="F415" s="95" t="s">
        <v>1083</v>
      </c>
      <c r="G415" s="52">
        <v>3</v>
      </c>
      <c r="H415" s="52">
        <v>0.5</v>
      </c>
      <c r="I415" s="95" t="s">
        <v>24</v>
      </c>
      <c r="J415" s="123" t="s">
        <v>24</v>
      </c>
      <c r="K415" s="144"/>
    </row>
    <row r="416" ht="12" spans="1:11">
      <c r="A416" s="113" t="s">
        <v>2366</v>
      </c>
      <c r="B416" s="54" t="s">
        <v>2367</v>
      </c>
      <c r="C416" s="137">
        <v>10</v>
      </c>
      <c r="D416" s="116" t="s">
        <v>1628</v>
      </c>
      <c r="E416" s="116" t="s">
        <v>1628</v>
      </c>
      <c r="F416" s="95" t="s">
        <v>1081</v>
      </c>
      <c r="G416" s="52">
        <v>1</v>
      </c>
      <c r="H416" s="52">
        <v>8.9</v>
      </c>
      <c r="I416" s="95" t="s">
        <v>17</v>
      </c>
      <c r="J416" s="52">
        <v>1.84</v>
      </c>
      <c r="K416" s="138" t="s">
        <v>2214</v>
      </c>
    </row>
    <row r="417" ht="12" spans="1:11">
      <c r="A417" s="139"/>
      <c r="B417" s="54"/>
      <c r="C417" s="137"/>
      <c r="D417" s="140"/>
      <c r="E417" s="140"/>
      <c r="F417" s="95" t="s">
        <v>2215</v>
      </c>
      <c r="G417" s="52">
        <v>1.16</v>
      </c>
      <c r="H417" s="52">
        <v>0.5</v>
      </c>
      <c r="I417" s="95" t="s">
        <v>1269</v>
      </c>
      <c r="J417" s="52">
        <v>1.96</v>
      </c>
      <c r="K417" s="141"/>
    </row>
    <row r="418" ht="12" spans="1:11">
      <c r="A418" s="142"/>
      <c r="B418" s="54"/>
      <c r="C418" s="137"/>
      <c r="D418" s="143"/>
      <c r="E418" s="143"/>
      <c r="F418" s="95" t="s">
        <v>1083</v>
      </c>
      <c r="G418" s="52">
        <v>1.75</v>
      </c>
      <c r="H418" s="52">
        <v>0.6</v>
      </c>
      <c r="I418" s="95" t="s">
        <v>24</v>
      </c>
      <c r="J418" s="52" t="s">
        <v>24</v>
      </c>
      <c r="K418" s="144"/>
    </row>
    <row r="419" ht="12" spans="1:11">
      <c r="A419" s="113">
        <v>45800</v>
      </c>
      <c r="B419" s="54" t="s">
        <v>2368</v>
      </c>
      <c r="C419" s="137">
        <v>10</v>
      </c>
      <c r="D419" s="116" t="s">
        <v>1640</v>
      </c>
      <c r="E419" s="116" t="s">
        <v>1640</v>
      </c>
      <c r="F419" s="95" t="s">
        <v>1081</v>
      </c>
      <c r="G419" s="52">
        <v>1.92</v>
      </c>
      <c r="H419" s="52">
        <v>8.9</v>
      </c>
      <c r="I419" s="95" t="s">
        <v>17</v>
      </c>
      <c r="J419" s="52">
        <v>1.96</v>
      </c>
      <c r="K419" s="138" t="s">
        <v>2214</v>
      </c>
    </row>
    <row r="420" ht="12" spans="1:11">
      <c r="A420" s="139"/>
      <c r="B420" s="54"/>
      <c r="C420" s="137"/>
      <c r="D420" s="140"/>
      <c r="E420" s="140"/>
      <c r="F420" s="95" t="s">
        <v>2215</v>
      </c>
      <c r="G420" s="52">
        <v>2</v>
      </c>
      <c r="H420" s="52">
        <v>0.4</v>
      </c>
      <c r="I420" s="95" t="s">
        <v>1269</v>
      </c>
      <c r="J420" s="52">
        <v>2.05</v>
      </c>
      <c r="K420" s="141"/>
    </row>
    <row r="421" ht="12" spans="1:11">
      <c r="A421" s="139"/>
      <c r="B421" s="80"/>
      <c r="C421" s="145"/>
      <c r="D421" s="140"/>
      <c r="E421" s="140"/>
      <c r="F421" s="138" t="s">
        <v>1083</v>
      </c>
      <c r="G421" s="150">
        <v>2.67</v>
      </c>
      <c r="H421" s="150">
        <v>0.7</v>
      </c>
      <c r="I421" s="138" t="s">
        <v>24</v>
      </c>
      <c r="J421" s="52" t="s">
        <v>24</v>
      </c>
      <c r="K421" s="141"/>
    </row>
    <row r="422" ht="12" spans="1:11">
      <c r="A422" s="120">
        <v>45807</v>
      </c>
      <c r="B422" s="95" t="s">
        <v>2369</v>
      </c>
      <c r="C422" s="121">
        <v>10</v>
      </c>
      <c r="D422" s="95" t="s">
        <v>2225</v>
      </c>
      <c r="E422" s="95" t="s">
        <v>2357</v>
      </c>
      <c r="F422" s="95" t="s">
        <v>1064</v>
      </c>
      <c r="G422" s="52">
        <v>0.5</v>
      </c>
      <c r="H422" s="52">
        <v>9</v>
      </c>
      <c r="I422" s="95" t="s">
        <v>17</v>
      </c>
      <c r="J422" s="52">
        <v>1.73</v>
      </c>
      <c r="K422" s="95" t="s">
        <v>2221</v>
      </c>
    </row>
    <row r="423" ht="12" spans="1:11">
      <c r="A423" s="120"/>
      <c r="B423" s="95"/>
      <c r="C423" s="121"/>
      <c r="D423" s="95"/>
      <c r="E423" s="95"/>
      <c r="F423" s="95" t="s">
        <v>1060</v>
      </c>
      <c r="G423" s="52">
        <v>0.5</v>
      </c>
      <c r="H423" s="52">
        <v>0.3</v>
      </c>
      <c r="I423" s="95" t="s">
        <v>1269</v>
      </c>
      <c r="J423" s="52">
        <v>1.93</v>
      </c>
      <c r="K423" s="95"/>
    </row>
    <row r="424" ht="12" spans="1:11">
      <c r="A424" s="120"/>
      <c r="B424" s="95"/>
      <c r="C424" s="121"/>
      <c r="D424" s="95"/>
      <c r="E424" s="95"/>
      <c r="F424" s="95" t="s">
        <v>1166</v>
      </c>
      <c r="G424" s="52">
        <v>0.5</v>
      </c>
      <c r="H424" s="52">
        <v>0.2</v>
      </c>
      <c r="I424" s="95" t="s">
        <v>96</v>
      </c>
      <c r="J424" s="52">
        <v>3.4</v>
      </c>
      <c r="K424" s="95"/>
    </row>
    <row r="425" ht="12" spans="1:11">
      <c r="A425" s="120"/>
      <c r="B425" s="95"/>
      <c r="C425" s="121"/>
      <c r="D425" s="95"/>
      <c r="E425" s="95"/>
      <c r="F425" s="95" t="s">
        <v>1083</v>
      </c>
      <c r="G425" s="52">
        <v>1.49</v>
      </c>
      <c r="H425" s="52">
        <v>0.5</v>
      </c>
      <c r="I425" s="95" t="s">
        <v>24</v>
      </c>
      <c r="J425" s="52" t="s">
        <v>24</v>
      </c>
      <c r="K425" s="95"/>
    </row>
    <row r="426" ht="12" spans="1:11">
      <c r="A426" s="120">
        <v>45812</v>
      </c>
      <c r="B426" s="95" t="s">
        <v>2370</v>
      </c>
      <c r="C426" s="121">
        <v>9.45</v>
      </c>
      <c r="D426" s="95" t="s">
        <v>2225</v>
      </c>
      <c r="E426" s="95" t="s">
        <v>2357</v>
      </c>
      <c r="F426" s="95" t="s">
        <v>1081</v>
      </c>
      <c r="G426" s="52">
        <v>1</v>
      </c>
      <c r="H426" s="52">
        <v>9</v>
      </c>
      <c r="I426" s="95" t="s">
        <v>17</v>
      </c>
      <c r="J426" s="52">
        <v>1.9</v>
      </c>
      <c r="K426" s="95" t="s">
        <v>2221</v>
      </c>
    </row>
    <row r="427" ht="12" spans="1:11">
      <c r="A427" s="120"/>
      <c r="B427" s="95"/>
      <c r="C427" s="121"/>
      <c r="D427" s="95"/>
      <c r="E427" s="95"/>
      <c r="F427" s="95" t="s">
        <v>1166</v>
      </c>
      <c r="G427" s="52">
        <v>1</v>
      </c>
      <c r="H427" s="52">
        <v>0.45</v>
      </c>
      <c r="I427" s="95" t="s">
        <v>2358</v>
      </c>
      <c r="J427" s="52">
        <v>3.4</v>
      </c>
      <c r="K427" s="95"/>
    </row>
    <row r="428" ht="12" spans="1:11">
      <c r="A428" s="120">
        <v>45807</v>
      </c>
      <c r="B428" s="95" t="s">
        <v>2371</v>
      </c>
      <c r="C428" s="121">
        <v>10</v>
      </c>
      <c r="D428" s="95" t="s">
        <v>1628</v>
      </c>
      <c r="E428" s="95" t="s">
        <v>1628</v>
      </c>
      <c r="F428" s="95" t="s">
        <v>1081</v>
      </c>
      <c r="G428" s="52">
        <v>1</v>
      </c>
      <c r="H428" s="52">
        <v>8.9</v>
      </c>
      <c r="I428" s="95" t="s">
        <v>17</v>
      </c>
      <c r="J428" s="52">
        <v>1.83</v>
      </c>
      <c r="K428" s="95" t="s">
        <v>2214</v>
      </c>
    </row>
    <row r="429" ht="12" spans="1:11">
      <c r="A429" s="120"/>
      <c r="B429" s="95"/>
      <c r="C429" s="121"/>
      <c r="D429" s="95"/>
      <c r="E429" s="95"/>
      <c r="F429" s="95" t="s">
        <v>2215</v>
      </c>
      <c r="G429" s="52">
        <v>1.16</v>
      </c>
      <c r="H429" s="52">
        <v>0.5</v>
      </c>
      <c r="I429" s="95" t="s">
        <v>1269</v>
      </c>
      <c r="J429" s="52">
        <v>1.96</v>
      </c>
      <c r="K429" s="95"/>
    </row>
    <row r="430" ht="12" spans="1:11">
      <c r="A430" s="120"/>
      <c r="B430" s="95"/>
      <c r="C430" s="121"/>
      <c r="D430" s="95"/>
      <c r="E430" s="95"/>
      <c r="F430" s="95" t="s">
        <v>1083</v>
      </c>
      <c r="G430" s="52">
        <v>1.75</v>
      </c>
      <c r="H430" s="52">
        <v>0.6</v>
      </c>
      <c r="I430" s="95" t="s">
        <v>24</v>
      </c>
      <c r="J430" s="52" t="s">
        <v>24</v>
      </c>
      <c r="K430" s="95"/>
    </row>
    <row r="431" ht="12" spans="1:11">
      <c r="A431" s="113">
        <v>45820</v>
      </c>
      <c r="B431" s="54" t="s">
        <v>2372</v>
      </c>
      <c r="C431" s="137">
        <v>4</v>
      </c>
      <c r="D431" s="116" t="s">
        <v>1623</v>
      </c>
      <c r="E431" s="116" t="s">
        <v>1620</v>
      </c>
      <c r="F431" s="95" t="s">
        <v>1064</v>
      </c>
      <c r="G431" s="52">
        <v>1.42</v>
      </c>
      <c r="H431" s="105">
        <v>3.36</v>
      </c>
      <c r="I431" s="95" t="s">
        <v>17</v>
      </c>
      <c r="J431" s="52">
        <v>2.45</v>
      </c>
      <c r="K431" s="138" t="s">
        <v>2284</v>
      </c>
    </row>
    <row r="432" ht="12" spans="1:11">
      <c r="A432" s="139"/>
      <c r="B432" s="54"/>
      <c r="C432" s="137"/>
      <c r="D432" s="140"/>
      <c r="E432" s="140"/>
      <c r="F432" s="95" t="s">
        <v>1060</v>
      </c>
      <c r="G432" s="52">
        <v>1.51</v>
      </c>
      <c r="H432" s="105">
        <v>0.16</v>
      </c>
      <c r="I432" s="95" t="s">
        <v>1269</v>
      </c>
      <c r="J432" s="52">
        <v>2.9</v>
      </c>
      <c r="K432" s="141"/>
    </row>
    <row r="433" ht="12" spans="1:11">
      <c r="A433" s="142"/>
      <c r="B433" s="54"/>
      <c r="C433" s="137"/>
      <c r="D433" s="143"/>
      <c r="E433" s="143"/>
      <c r="F433" s="95" t="s">
        <v>1083</v>
      </c>
      <c r="G433" s="52">
        <v>2.58</v>
      </c>
      <c r="H433" s="105">
        <v>0.48</v>
      </c>
      <c r="I433" s="95" t="s">
        <v>24</v>
      </c>
      <c r="J433" s="52" t="s">
        <v>24</v>
      </c>
      <c r="K433" s="144"/>
    </row>
    <row r="434" ht="12" spans="1:11">
      <c r="A434" s="113">
        <v>45817</v>
      </c>
      <c r="B434" s="54" t="s">
        <v>2373</v>
      </c>
      <c r="C434" s="137">
        <v>5</v>
      </c>
      <c r="D434" s="111" t="s">
        <v>1623</v>
      </c>
      <c r="E434" s="111" t="s">
        <v>1623</v>
      </c>
      <c r="F434" s="95" t="s">
        <v>1058</v>
      </c>
      <c r="G434" s="52">
        <v>1.08</v>
      </c>
      <c r="H434" s="52">
        <v>3.65</v>
      </c>
      <c r="I434" s="95" t="s">
        <v>17</v>
      </c>
      <c r="J434" s="52">
        <v>1.85</v>
      </c>
      <c r="K434" s="138" t="s">
        <v>2339</v>
      </c>
    </row>
    <row r="435" ht="12" spans="1:11">
      <c r="A435" s="139"/>
      <c r="B435" s="54"/>
      <c r="C435" s="137"/>
      <c r="D435" s="111"/>
      <c r="E435" s="111"/>
      <c r="F435" s="95" t="s">
        <v>1059</v>
      </c>
      <c r="G435" s="52">
        <v>1.21</v>
      </c>
      <c r="H435" s="52">
        <v>0.75</v>
      </c>
      <c r="I435" s="95" t="s">
        <v>17</v>
      </c>
      <c r="J435" s="52">
        <v>1.94</v>
      </c>
      <c r="K435" s="141"/>
    </row>
    <row r="436" ht="12" spans="1:11">
      <c r="A436" s="139"/>
      <c r="B436" s="54"/>
      <c r="C436" s="137"/>
      <c r="D436" s="111"/>
      <c r="E436" s="111"/>
      <c r="F436" s="95" t="s">
        <v>1060</v>
      </c>
      <c r="G436" s="52">
        <v>1.25</v>
      </c>
      <c r="H436" s="52">
        <v>0.17</v>
      </c>
      <c r="I436" s="95" t="s">
        <v>1269</v>
      </c>
      <c r="J436" s="52">
        <v>2.1</v>
      </c>
      <c r="K436" s="141"/>
    </row>
    <row r="437" ht="12" spans="1:11">
      <c r="A437" s="139"/>
      <c r="B437" s="54"/>
      <c r="C437" s="137"/>
      <c r="D437" s="111"/>
      <c r="E437" s="111"/>
      <c r="F437" s="95" t="s">
        <v>1061</v>
      </c>
      <c r="G437" s="52">
        <v>1.33</v>
      </c>
      <c r="H437" s="52">
        <v>0.18</v>
      </c>
      <c r="I437" s="37" t="s">
        <v>136</v>
      </c>
      <c r="J437" s="52">
        <v>4.6</v>
      </c>
      <c r="K437" s="141"/>
    </row>
    <row r="438" ht="12" spans="1:11">
      <c r="A438" s="142"/>
      <c r="B438" s="54"/>
      <c r="C438" s="137"/>
      <c r="D438" s="111"/>
      <c r="E438" s="111"/>
      <c r="F438" s="95" t="s">
        <v>1083</v>
      </c>
      <c r="G438" s="52">
        <v>1.75</v>
      </c>
      <c r="H438" s="52">
        <v>0.25</v>
      </c>
      <c r="I438" s="95" t="s">
        <v>24</v>
      </c>
      <c r="J438" s="52" t="s">
        <v>24</v>
      </c>
      <c r="K438" s="144"/>
    </row>
    <row r="439" ht="12" spans="1:11">
      <c r="A439" s="113">
        <v>45818</v>
      </c>
      <c r="B439" s="54" t="s">
        <v>2374</v>
      </c>
      <c r="C439" s="137">
        <v>10</v>
      </c>
      <c r="D439" s="111" t="s">
        <v>1630</v>
      </c>
      <c r="E439" s="111" t="s">
        <v>1623</v>
      </c>
      <c r="F439" s="95" t="s">
        <v>1058</v>
      </c>
      <c r="G439" s="52">
        <v>0.94</v>
      </c>
      <c r="H439" s="52">
        <v>7</v>
      </c>
      <c r="I439" s="95" t="s">
        <v>17</v>
      </c>
      <c r="J439" s="52">
        <v>1.83</v>
      </c>
      <c r="K439" s="138" t="s">
        <v>1670</v>
      </c>
    </row>
    <row r="440" ht="12" spans="1:11">
      <c r="A440" s="139"/>
      <c r="B440" s="54"/>
      <c r="C440" s="137"/>
      <c r="D440" s="111"/>
      <c r="E440" s="111"/>
      <c r="F440" s="95" t="s">
        <v>1059</v>
      </c>
      <c r="G440" s="52">
        <v>1.18</v>
      </c>
      <c r="H440" s="52">
        <v>2</v>
      </c>
      <c r="I440" s="95" t="s">
        <v>17</v>
      </c>
      <c r="J440" s="52">
        <v>1.9</v>
      </c>
      <c r="K440" s="141"/>
    </row>
    <row r="441" ht="12" spans="1:11">
      <c r="A441" s="139"/>
      <c r="B441" s="54"/>
      <c r="C441" s="137"/>
      <c r="D441" s="111"/>
      <c r="E441" s="111"/>
      <c r="F441" s="95" t="s">
        <v>1060</v>
      </c>
      <c r="G441" s="52">
        <v>1.18</v>
      </c>
      <c r="H441" s="52">
        <v>0.3</v>
      </c>
      <c r="I441" s="95" t="s">
        <v>1269</v>
      </c>
      <c r="J441" s="52">
        <v>2.2</v>
      </c>
      <c r="K441" s="141"/>
    </row>
    <row r="442" ht="12" spans="1:11">
      <c r="A442" s="142"/>
      <c r="B442" s="54"/>
      <c r="C442" s="137"/>
      <c r="D442" s="111"/>
      <c r="E442" s="111"/>
      <c r="F442" s="95" t="s">
        <v>1083</v>
      </c>
      <c r="G442" s="52">
        <v>1.7</v>
      </c>
      <c r="H442" s="52">
        <v>0.7</v>
      </c>
      <c r="I442" s="95" t="s">
        <v>24</v>
      </c>
      <c r="J442" s="52" t="s">
        <v>24</v>
      </c>
      <c r="K442" s="144"/>
    </row>
    <row r="443" ht="12" spans="1:11">
      <c r="A443" s="113">
        <v>45818</v>
      </c>
      <c r="B443" s="54" t="s">
        <v>2375</v>
      </c>
      <c r="C443" s="137">
        <v>3</v>
      </c>
      <c r="D443" s="116" t="s">
        <v>1623</v>
      </c>
      <c r="E443" s="116" t="s">
        <v>2211</v>
      </c>
      <c r="F443" s="95" t="s">
        <v>1081</v>
      </c>
      <c r="G443" s="52">
        <v>1.5</v>
      </c>
      <c r="H443" s="52">
        <v>2.58</v>
      </c>
      <c r="I443" s="95" t="s">
        <v>17</v>
      </c>
      <c r="J443" s="52">
        <v>2.8</v>
      </c>
      <c r="K443" s="138" t="s">
        <v>2278</v>
      </c>
    </row>
    <row r="444" ht="12" spans="1:11">
      <c r="A444" s="139"/>
      <c r="B444" s="54"/>
      <c r="C444" s="137"/>
      <c r="D444" s="143"/>
      <c r="E444" s="143"/>
      <c r="F444" s="95" t="s">
        <v>1083</v>
      </c>
      <c r="G444" s="52">
        <v>2.01</v>
      </c>
      <c r="H444" s="52">
        <v>0.42</v>
      </c>
      <c r="I444" s="95" t="s">
        <v>24</v>
      </c>
      <c r="J444" s="52" t="s">
        <v>24</v>
      </c>
      <c r="K444" s="144"/>
    </row>
    <row r="445" ht="12" spans="1:11">
      <c r="A445" s="113">
        <v>45820</v>
      </c>
      <c r="B445" s="54" t="s">
        <v>2376</v>
      </c>
      <c r="C445" s="137">
        <v>10</v>
      </c>
      <c r="D445" s="111" t="s">
        <v>1620</v>
      </c>
      <c r="E445" s="111" t="s">
        <v>1620</v>
      </c>
      <c r="F445" s="95" t="s">
        <v>1064</v>
      </c>
      <c r="G445" s="52">
        <v>1.85</v>
      </c>
      <c r="H445" s="52">
        <v>8.4</v>
      </c>
      <c r="I445" s="95" t="s">
        <v>17</v>
      </c>
      <c r="J445" s="52">
        <v>1.86</v>
      </c>
      <c r="K445" s="138" t="s">
        <v>2234</v>
      </c>
    </row>
    <row r="446" ht="12" spans="1:11">
      <c r="A446" s="139"/>
      <c r="B446" s="54"/>
      <c r="C446" s="137"/>
      <c r="D446" s="111"/>
      <c r="E446" s="111"/>
      <c r="F446" s="95" t="s">
        <v>1060</v>
      </c>
      <c r="G446" s="52">
        <v>1.93</v>
      </c>
      <c r="H446" s="52">
        <v>0.5</v>
      </c>
      <c r="I446" s="95" t="s">
        <v>1269</v>
      </c>
      <c r="J446" s="52">
        <v>1.97</v>
      </c>
      <c r="K446" s="141"/>
    </row>
    <row r="447" ht="12" spans="1:11">
      <c r="A447" s="139"/>
      <c r="B447" s="54"/>
      <c r="C447" s="137"/>
      <c r="D447" s="111"/>
      <c r="E447" s="111"/>
      <c r="F447" s="95" t="s">
        <v>1061</v>
      </c>
      <c r="G447" s="52">
        <v>2.02</v>
      </c>
      <c r="H447" s="52">
        <v>0.3</v>
      </c>
      <c r="I447" s="37" t="s">
        <v>44</v>
      </c>
      <c r="J447" s="52">
        <v>2.1</v>
      </c>
      <c r="K447" s="141"/>
    </row>
    <row r="448" ht="12" spans="1:11">
      <c r="A448" s="142"/>
      <c r="B448" s="54"/>
      <c r="C448" s="137"/>
      <c r="D448" s="111"/>
      <c r="E448" s="111"/>
      <c r="F448" s="95" t="s">
        <v>1083</v>
      </c>
      <c r="G448" s="52">
        <v>2.69</v>
      </c>
      <c r="H448" s="52">
        <v>0.8</v>
      </c>
      <c r="I448" s="95" t="s">
        <v>24</v>
      </c>
      <c r="J448" s="52" t="s">
        <v>24</v>
      </c>
      <c r="K448" s="144"/>
    </row>
    <row r="449" ht="12" spans="1:11">
      <c r="A449" s="108" t="s">
        <v>1339</v>
      </c>
      <c r="B449" s="54" t="s">
        <v>2377</v>
      </c>
      <c r="C449" s="109">
        <v>10</v>
      </c>
      <c r="D449" s="111" t="s">
        <v>1628</v>
      </c>
      <c r="E449" s="111" t="s">
        <v>1640</v>
      </c>
      <c r="F449" s="95" t="s">
        <v>1081</v>
      </c>
      <c r="G449" s="105">
        <v>1</v>
      </c>
      <c r="H449" s="52">
        <v>8.8</v>
      </c>
      <c r="I449" s="95" t="s">
        <v>17</v>
      </c>
      <c r="J449" s="52">
        <v>1.85</v>
      </c>
      <c r="K449" s="116" t="s">
        <v>2214</v>
      </c>
    </row>
    <row r="450" ht="12" spans="1:11">
      <c r="A450" s="108"/>
      <c r="B450" s="54"/>
      <c r="C450" s="109"/>
      <c r="D450" s="111"/>
      <c r="E450" s="111"/>
      <c r="F450" s="95" t="s">
        <v>2215</v>
      </c>
      <c r="G450" s="105">
        <v>0.08</v>
      </c>
      <c r="H450" s="52">
        <v>0.6</v>
      </c>
      <c r="I450" s="95" t="s">
        <v>1269</v>
      </c>
      <c r="J450" s="52">
        <v>1.96</v>
      </c>
      <c r="K450" s="140"/>
    </row>
    <row r="451" ht="12" spans="1:11">
      <c r="A451" s="108"/>
      <c r="B451" s="54"/>
      <c r="C451" s="109"/>
      <c r="D451" s="111"/>
      <c r="E451" s="111"/>
      <c r="F451" s="95" t="s">
        <v>1083</v>
      </c>
      <c r="G451" s="105">
        <v>1.67</v>
      </c>
      <c r="H451" s="52">
        <v>0.6</v>
      </c>
      <c r="I451" s="103" t="s">
        <v>24</v>
      </c>
      <c r="J451" s="52" t="s">
        <v>24</v>
      </c>
      <c r="K451" s="143"/>
    </row>
    <row r="452" ht="12" spans="1:11">
      <c r="A452" s="108" t="s">
        <v>1334</v>
      </c>
      <c r="B452" s="54" t="s">
        <v>2378</v>
      </c>
      <c r="C452" s="109">
        <v>7</v>
      </c>
      <c r="D452" s="111" t="s">
        <v>1620</v>
      </c>
      <c r="E452" s="111" t="s">
        <v>1620</v>
      </c>
      <c r="F452" s="95" t="s">
        <v>1064</v>
      </c>
      <c r="G452" s="105">
        <v>1.02</v>
      </c>
      <c r="H452" s="52">
        <v>6.09</v>
      </c>
      <c r="I452" s="95" t="s">
        <v>17</v>
      </c>
      <c r="J452" s="52">
        <v>1.84</v>
      </c>
      <c r="K452" s="116" t="s">
        <v>2217</v>
      </c>
    </row>
    <row r="453" ht="12" spans="1:11">
      <c r="A453" s="108"/>
      <c r="B453" s="54"/>
      <c r="C453" s="109"/>
      <c r="D453" s="111"/>
      <c r="E453" s="111"/>
      <c r="F453" s="95" t="s">
        <v>1060</v>
      </c>
      <c r="G453" s="105">
        <v>1.02</v>
      </c>
      <c r="H453" s="52">
        <v>0.21</v>
      </c>
      <c r="I453" s="95" t="s">
        <v>2379</v>
      </c>
      <c r="J453" s="52">
        <v>1.94</v>
      </c>
      <c r="K453" s="140"/>
    </row>
    <row r="454" ht="12" spans="1:11">
      <c r="A454" s="108"/>
      <c r="B454" s="54"/>
      <c r="C454" s="109"/>
      <c r="D454" s="111"/>
      <c r="E454" s="111"/>
      <c r="F454" s="95" t="s">
        <v>1086</v>
      </c>
      <c r="G454" s="105">
        <v>1.77</v>
      </c>
      <c r="H454" s="52">
        <v>0.35</v>
      </c>
      <c r="I454" s="103" t="s">
        <v>24</v>
      </c>
      <c r="J454" s="52" t="s">
        <v>24</v>
      </c>
      <c r="K454" s="140"/>
    </row>
    <row r="455" ht="12" spans="1:11">
      <c r="A455" s="108"/>
      <c r="B455" s="54"/>
      <c r="C455" s="109"/>
      <c r="D455" s="111"/>
      <c r="E455" s="111"/>
      <c r="F455" s="95" t="s">
        <v>1087</v>
      </c>
      <c r="G455" s="105">
        <v>1.77</v>
      </c>
      <c r="H455" s="52">
        <v>0.35</v>
      </c>
      <c r="I455" s="103" t="s">
        <v>24</v>
      </c>
      <c r="J455" s="52" t="s">
        <v>24</v>
      </c>
      <c r="K455" s="143"/>
    </row>
    <row r="456" ht="12" spans="1:11">
      <c r="A456" s="108" t="s">
        <v>2380</v>
      </c>
      <c r="B456" s="54" t="s">
        <v>2381</v>
      </c>
      <c r="C456" s="109">
        <v>6</v>
      </c>
      <c r="D456" s="111" t="s">
        <v>1620</v>
      </c>
      <c r="E456" s="111" t="s">
        <v>1640</v>
      </c>
      <c r="F456" s="95" t="s">
        <v>1064</v>
      </c>
      <c r="G456" s="105">
        <v>1</v>
      </c>
      <c r="H456" s="52">
        <v>5.28</v>
      </c>
      <c r="I456" s="95" t="s">
        <v>17</v>
      </c>
      <c r="J456" s="52">
        <v>1.77</v>
      </c>
      <c r="K456" s="116" t="s">
        <v>2209</v>
      </c>
    </row>
    <row r="457" ht="12" spans="1:11">
      <c r="A457" s="108"/>
      <c r="B457" s="54"/>
      <c r="C457" s="109"/>
      <c r="D457" s="111"/>
      <c r="E457" s="111"/>
      <c r="F457" s="95" t="s">
        <v>1060</v>
      </c>
      <c r="G457" s="105">
        <v>1</v>
      </c>
      <c r="H457" s="52">
        <v>0.36</v>
      </c>
      <c r="I457" s="95" t="s">
        <v>1269</v>
      </c>
      <c r="J457" s="52">
        <v>1.95</v>
      </c>
      <c r="K457" s="140"/>
    </row>
    <row r="458" ht="12" spans="1:11">
      <c r="A458" s="108"/>
      <c r="B458" s="54"/>
      <c r="C458" s="109"/>
      <c r="D458" s="111"/>
      <c r="E458" s="111"/>
      <c r="F458" s="95" t="s">
        <v>1083</v>
      </c>
      <c r="G458" s="105">
        <v>4</v>
      </c>
      <c r="H458" s="52">
        <v>0.36</v>
      </c>
      <c r="I458" s="103" t="s">
        <v>24</v>
      </c>
      <c r="J458" s="52" t="s">
        <v>24</v>
      </c>
      <c r="K458" s="143"/>
    </row>
    <row r="459" ht="12" spans="1:11">
      <c r="A459" s="108" t="s">
        <v>1339</v>
      </c>
      <c r="B459" s="54" t="s">
        <v>2382</v>
      </c>
      <c r="C459" s="109">
        <v>5</v>
      </c>
      <c r="D459" s="111" t="s">
        <v>1630</v>
      </c>
      <c r="E459" s="111" t="s">
        <v>1630</v>
      </c>
      <c r="F459" s="95" t="s">
        <v>1064</v>
      </c>
      <c r="G459" s="105">
        <v>1.02</v>
      </c>
      <c r="H459" s="52">
        <v>4.12</v>
      </c>
      <c r="I459" s="95" t="s">
        <v>17</v>
      </c>
      <c r="J459" s="52">
        <v>1.84</v>
      </c>
      <c r="K459" s="116" t="s">
        <v>2217</v>
      </c>
    </row>
    <row r="460" ht="12" spans="1:11">
      <c r="A460" s="108"/>
      <c r="B460" s="54"/>
      <c r="C460" s="109"/>
      <c r="D460" s="111"/>
      <c r="E460" s="111"/>
      <c r="F460" s="95" t="s">
        <v>1060</v>
      </c>
      <c r="G460" s="105">
        <v>1.02</v>
      </c>
      <c r="H460" s="52">
        <v>0.28</v>
      </c>
      <c r="I460" s="95" t="s">
        <v>1269</v>
      </c>
      <c r="J460" s="52">
        <v>2</v>
      </c>
      <c r="K460" s="140"/>
    </row>
    <row r="461" ht="12" spans="1:11">
      <c r="A461" s="108"/>
      <c r="B461" s="54"/>
      <c r="C461" s="109"/>
      <c r="D461" s="111"/>
      <c r="E461" s="111"/>
      <c r="F461" s="95" t="s">
        <v>1086</v>
      </c>
      <c r="G461" s="117">
        <v>1.85</v>
      </c>
      <c r="H461" s="52">
        <v>0.35</v>
      </c>
      <c r="I461" s="118" t="s">
        <v>24</v>
      </c>
      <c r="J461" s="52" t="s">
        <v>24</v>
      </c>
      <c r="K461" s="140"/>
    </row>
    <row r="462" ht="12" spans="1:11">
      <c r="A462" s="108"/>
      <c r="B462" s="54"/>
      <c r="C462" s="109"/>
      <c r="D462" s="111"/>
      <c r="E462" s="111"/>
      <c r="F462" s="95" t="s">
        <v>1087</v>
      </c>
      <c r="G462" s="105">
        <v>1.85</v>
      </c>
      <c r="H462" s="52">
        <v>0.25</v>
      </c>
      <c r="I462" s="103" t="s">
        <v>24</v>
      </c>
      <c r="J462" s="52" t="s">
        <v>24</v>
      </c>
      <c r="K462" s="143"/>
    </row>
    <row r="463" ht="12" spans="1:11">
      <c r="A463" s="108" t="s">
        <v>1339</v>
      </c>
      <c r="B463" s="54" t="s">
        <v>2383</v>
      </c>
      <c r="C463" s="109">
        <v>6</v>
      </c>
      <c r="D463" s="111" t="s">
        <v>1640</v>
      </c>
      <c r="E463" s="111" t="s">
        <v>1640</v>
      </c>
      <c r="F463" s="95" t="s">
        <v>1064</v>
      </c>
      <c r="G463" s="105">
        <v>1</v>
      </c>
      <c r="H463" s="52">
        <v>5.28</v>
      </c>
      <c r="I463" s="95" t="s">
        <v>17</v>
      </c>
      <c r="J463" s="52">
        <v>1.78</v>
      </c>
      <c r="K463" s="116" t="s">
        <v>2209</v>
      </c>
    </row>
    <row r="464" ht="12" spans="1:11">
      <c r="A464" s="108"/>
      <c r="B464" s="54"/>
      <c r="C464" s="109"/>
      <c r="D464" s="111"/>
      <c r="E464" s="111"/>
      <c r="F464" s="95" t="s">
        <v>1060</v>
      </c>
      <c r="G464" s="105">
        <v>1</v>
      </c>
      <c r="H464" s="52">
        <v>0.36</v>
      </c>
      <c r="I464" s="95" t="s">
        <v>1269</v>
      </c>
      <c r="J464" s="52">
        <v>1.95</v>
      </c>
      <c r="K464" s="140"/>
    </row>
    <row r="465" ht="12" spans="1:11">
      <c r="A465" s="108"/>
      <c r="B465" s="54"/>
      <c r="C465" s="109"/>
      <c r="D465" s="111"/>
      <c r="E465" s="111"/>
      <c r="F465" s="95" t="s">
        <v>1083</v>
      </c>
      <c r="G465" s="105">
        <v>4</v>
      </c>
      <c r="H465" s="52">
        <v>0.36</v>
      </c>
      <c r="I465" s="118" t="s">
        <v>24</v>
      </c>
      <c r="J465" s="52" t="s">
        <v>24</v>
      </c>
      <c r="K465" s="143"/>
    </row>
    <row r="466" ht="12" spans="1:11">
      <c r="A466" s="108" t="s">
        <v>1351</v>
      </c>
      <c r="B466" s="54" t="s">
        <v>2384</v>
      </c>
      <c r="C466" s="109">
        <v>9.45</v>
      </c>
      <c r="D466" s="111" t="s">
        <v>2225</v>
      </c>
      <c r="E466" s="111" t="s">
        <v>1630</v>
      </c>
      <c r="F466" s="95" t="s">
        <v>1081</v>
      </c>
      <c r="G466" s="105">
        <v>0.99</v>
      </c>
      <c r="H466" s="52">
        <v>9</v>
      </c>
      <c r="I466" s="95" t="s">
        <v>17</v>
      </c>
      <c r="J466" s="52">
        <v>1.83</v>
      </c>
      <c r="K466" s="116" t="s">
        <v>2221</v>
      </c>
    </row>
    <row r="467" ht="12" spans="1:11">
      <c r="A467" s="108"/>
      <c r="B467" s="54"/>
      <c r="C467" s="109"/>
      <c r="D467" s="111"/>
      <c r="E467" s="111"/>
      <c r="F467" s="95" t="s">
        <v>1166</v>
      </c>
      <c r="G467" s="105">
        <v>0.99</v>
      </c>
      <c r="H467" s="52">
        <v>0.45</v>
      </c>
      <c r="I467" s="95" t="s">
        <v>2379</v>
      </c>
      <c r="J467" s="52">
        <v>3.3</v>
      </c>
      <c r="K467" s="143"/>
    </row>
    <row r="468" ht="12" spans="1:11">
      <c r="A468" s="113" t="s">
        <v>2385</v>
      </c>
      <c r="B468" s="80" t="s">
        <v>2386</v>
      </c>
      <c r="C468" s="114">
        <v>4.7</v>
      </c>
      <c r="D468" s="116" t="s">
        <v>1620</v>
      </c>
      <c r="E468" s="116" t="s">
        <v>1620</v>
      </c>
      <c r="F468" s="103" t="s">
        <v>1047</v>
      </c>
      <c r="G468" s="105">
        <v>1</v>
      </c>
      <c r="H468" s="105">
        <v>4.4</v>
      </c>
      <c r="I468" s="95" t="s">
        <v>17</v>
      </c>
      <c r="J468" s="105">
        <v>1.79</v>
      </c>
      <c r="K468" s="116" t="s">
        <v>2209</v>
      </c>
    </row>
    <row r="469" ht="12" spans="1:11">
      <c r="A469" s="142"/>
      <c r="B469" s="83"/>
      <c r="C469" s="151"/>
      <c r="D469" s="143"/>
      <c r="E469" s="143"/>
      <c r="F469" s="103" t="s">
        <v>1048</v>
      </c>
      <c r="G469" s="105">
        <v>1</v>
      </c>
      <c r="H469" s="105">
        <v>0.3</v>
      </c>
      <c r="I469" s="95" t="s">
        <v>1269</v>
      </c>
      <c r="J469" s="105">
        <v>1.95</v>
      </c>
      <c r="K469" s="143"/>
    </row>
    <row r="470" ht="12" spans="1:11">
      <c r="A470" s="113" t="s">
        <v>2385</v>
      </c>
      <c r="B470" s="80" t="s">
        <v>2387</v>
      </c>
      <c r="C470" s="114">
        <v>7.52</v>
      </c>
      <c r="D470" s="116" t="s">
        <v>1640</v>
      </c>
      <c r="E470" s="116" t="s">
        <v>1640</v>
      </c>
      <c r="F470" s="103" t="s">
        <v>1047</v>
      </c>
      <c r="G470" s="105">
        <v>1</v>
      </c>
      <c r="H470" s="105">
        <v>7.04</v>
      </c>
      <c r="I470" s="95" t="s">
        <v>17</v>
      </c>
      <c r="J470" s="105">
        <v>1.79</v>
      </c>
      <c r="K470" s="116" t="s">
        <v>2209</v>
      </c>
    </row>
    <row r="471" ht="12" spans="1:11">
      <c r="A471" s="142"/>
      <c r="B471" s="83"/>
      <c r="C471" s="151"/>
      <c r="D471" s="143"/>
      <c r="E471" s="143"/>
      <c r="F471" s="103" t="s">
        <v>1048</v>
      </c>
      <c r="G471" s="105">
        <v>1</v>
      </c>
      <c r="H471" s="105">
        <v>0.48</v>
      </c>
      <c r="I471" s="95" t="s">
        <v>1269</v>
      </c>
      <c r="J471" s="105">
        <v>1.93</v>
      </c>
      <c r="K471" s="143"/>
    </row>
    <row r="472" ht="12" spans="1:11">
      <c r="A472" s="113" t="s">
        <v>1351</v>
      </c>
      <c r="B472" s="80" t="s">
        <v>2388</v>
      </c>
      <c r="C472" s="114">
        <v>10</v>
      </c>
      <c r="D472" s="116" t="s">
        <v>1640</v>
      </c>
      <c r="E472" s="116" t="s">
        <v>1640</v>
      </c>
      <c r="F472" s="103" t="s">
        <v>1137</v>
      </c>
      <c r="G472" s="105">
        <v>1.0027</v>
      </c>
      <c r="H472" s="105">
        <v>8.9</v>
      </c>
      <c r="I472" s="95" t="s">
        <v>17</v>
      </c>
      <c r="J472" s="105">
        <v>1.8</v>
      </c>
      <c r="K472" s="116" t="s">
        <v>2214</v>
      </c>
    </row>
    <row r="473" ht="12" spans="1:11">
      <c r="A473" s="139"/>
      <c r="B473" s="87"/>
      <c r="C473" s="152"/>
      <c r="D473" s="140"/>
      <c r="E473" s="140"/>
      <c r="F473" s="103" t="s">
        <v>1399</v>
      </c>
      <c r="G473" s="105">
        <v>1.1644</v>
      </c>
      <c r="H473" s="105">
        <v>0.5</v>
      </c>
      <c r="I473" s="95" t="s">
        <v>1269</v>
      </c>
      <c r="J473" s="105">
        <v>1.93</v>
      </c>
      <c r="K473" s="140"/>
    </row>
    <row r="474" ht="12" spans="1:11">
      <c r="A474" s="142"/>
      <c r="B474" s="83"/>
      <c r="C474" s="151"/>
      <c r="D474" s="143"/>
      <c r="E474" s="143"/>
      <c r="F474" s="103" t="s">
        <v>1051</v>
      </c>
      <c r="G474" s="105">
        <v>1.7507</v>
      </c>
      <c r="H474" s="105">
        <v>0.6</v>
      </c>
      <c r="I474" s="118" t="s">
        <v>24</v>
      </c>
      <c r="J474" s="105" t="s">
        <v>24</v>
      </c>
      <c r="K474" s="143"/>
    </row>
    <row r="475" ht="12" spans="1:11">
      <c r="A475" s="113" t="s">
        <v>1360</v>
      </c>
      <c r="B475" s="80" t="s">
        <v>2389</v>
      </c>
      <c r="C475" s="114">
        <v>9.45</v>
      </c>
      <c r="D475" s="116" t="s">
        <v>2225</v>
      </c>
      <c r="E475" s="116" t="s">
        <v>1630</v>
      </c>
      <c r="F475" s="103" t="s">
        <v>1137</v>
      </c>
      <c r="G475" s="105">
        <v>1</v>
      </c>
      <c r="H475" s="105">
        <v>9</v>
      </c>
      <c r="I475" s="103" t="s">
        <v>17</v>
      </c>
      <c r="J475" s="105">
        <v>1.8</v>
      </c>
      <c r="K475" s="116" t="s">
        <v>2221</v>
      </c>
    </row>
    <row r="476" ht="12" spans="1:11">
      <c r="A476" s="142"/>
      <c r="B476" s="83"/>
      <c r="C476" s="151"/>
      <c r="D476" s="143"/>
      <c r="E476" s="143"/>
      <c r="F476" s="103" t="s">
        <v>1055</v>
      </c>
      <c r="G476" s="105">
        <v>1</v>
      </c>
      <c r="H476" s="105">
        <v>0.45</v>
      </c>
      <c r="I476" s="103" t="s">
        <v>44</v>
      </c>
      <c r="J476" s="105">
        <v>3.3</v>
      </c>
      <c r="K476" s="143"/>
    </row>
    <row r="477" ht="12" spans="1:11">
      <c r="A477" s="113" t="s">
        <v>1345</v>
      </c>
      <c r="B477" s="80" t="s">
        <v>2390</v>
      </c>
      <c r="C477" s="114">
        <v>10</v>
      </c>
      <c r="D477" s="116" t="s">
        <v>2286</v>
      </c>
      <c r="E477" s="116" t="s">
        <v>1628</v>
      </c>
      <c r="F477" s="103" t="s">
        <v>1137</v>
      </c>
      <c r="G477" s="105">
        <v>1</v>
      </c>
      <c r="H477" s="105">
        <v>8.9</v>
      </c>
      <c r="I477" s="95" t="s">
        <v>17</v>
      </c>
      <c r="J477" s="105">
        <v>1.79</v>
      </c>
      <c r="K477" s="116" t="s">
        <v>2214</v>
      </c>
    </row>
    <row r="478" ht="12" spans="1:11">
      <c r="A478" s="139"/>
      <c r="B478" s="87"/>
      <c r="C478" s="152"/>
      <c r="D478" s="140"/>
      <c r="E478" s="140"/>
      <c r="F478" s="103" t="s">
        <v>1399</v>
      </c>
      <c r="G478" s="105">
        <v>1.17</v>
      </c>
      <c r="H478" s="105">
        <v>0.5</v>
      </c>
      <c r="I478" s="95" t="s">
        <v>1269</v>
      </c>
      <c r="J478" s="105">
        <v>1.93</v>
      </c>
      <c r="K478" s="140"/>
    </row>
    <row r="479" ht="12" spans="1:11">
      <c r="A479" s="142"/>
      <c r="B479" s="83"/>
      <c r="C479" s="151"/>
      <c r="D479" s="143"/>
      <c r="E479" s="143"/>
      <c r="F479" s="103" t="s">
        <v>1051</v>
      </c>
      <c r="G479" s="105">
        <v>1.75</v>
      </c>
      <c r="H479" s="105">
        <v>0.6</v>
      </c>
      <c r="I479" s="118" t="s">
        <v>24</v>
      </c>
      <c r="J479" s="105" t="s">
        <v>24</v>
      </c>
      <c r="K479" s="143"/>
    </row>
    <row r="480" ht="12" spans="1:11">
      <c r="A480" s="113" t="s">
        <v>1345</v>
      </c>
      <c r="B480" s="80" t="s">
        <v>2391</v>
      </c>
      <c r="C480" s="114">
        <v>10</v>
      </c>
      <c r="D480" s="116" t="s">
        <v>1630</v>
      </c>
      <c r="E480" s="116" t="s">
        <v>1640</v>
      </c>
      <c r="F480" s="103" t="s">
        <v>1137</v>
      </c>
      <c r="G480" s="105">
        <v>1.9151</v>
      </c>
      <c r="H480" s="105">
        <v>8.9</v>
      </c>
      <c r="I480" s="95" t="s">
        <v>17</v>
      </c>
      <c r="J480" s="105">
        <v>1.9</v>
      </c>
      <c r="K480" s="116" t="s">
        <v>2214</v>
      </c>
    </row>
    <row r="481" ht="12" spans="1:11">
      <c r="A481" s="139"/>
      <c r="B481" s="87"/>
      <c r="C481" s="152"/>
      <c r="D481" s="140"/>
      <c r="E481" s="140"/>
      <c r="F481" s="103" t="s">
        <v>1399</v>
      </c>
      <c r="G481" s="105">
        <v>2</v>
      </c>
      <c r="H481" s="105">
        <v>0.4</v>
      </c>
      <c r="I481" s="95" t="s">
        <v>1269</v>
      </c>
      <c r="J481" s="105">
        <v>2.03</v>
      </c>
      <c r="K481" s="140"/>
    </row>
    <row r="482" ht="12" spans="1:11">
      <c r="A482" s="142"/>
      <c r="B482" s="83"/>
      <c r="C482" s="151"/>
      <c r="D482" s="143"/>
      <c r="E482" s="143"/>
      <c r="F482" s="103" t="s">
        <v>1051</v>
      </c>
      <c r="G482" s="105">
        <v>2.6694</v>
      </c>
      <c r="H482" s="105">
        <v>0.7</v>
      </c>
      <c r="I482" s="118" t="s">
        <v>24</v>
      </c>
      <c r="J482" s="105" t="s">
        <v>24</v>
      </c>
      <c r="K482" s="143"/>
    </row>
    <row r="483" ht="12" spans="1:11">
      <c r="A483" s="113" t="s">
        <v>2385</v>
      </c>
      <c r="B483" s="80" t="s">
        <v>2392</v>
      </c>
      <c r="C483" s="114">
        <v>9.45</v>
      </c>
      <c r="D483" s="116" t="s">
        <v>2225</v>
      </c>
      <c r="E483" s="116" t="s">
        <v>1630</v>
      </c>
      <c r="F483" s="103" t="s">
        <v>1137</v>
      </c>
      <c r="G483" s="105">
        <v>1</v>
      </c>
      <c r="H483" s="105">
        <v>9</v>
      </c>
      <c r="I483" s="103" t="s">
        <v>17</v>
      </c>
      <c r="J483" s="105">
        <v>1.82</v>
      </c>
      <c r="K483" s="116" t="s">
        <v>2221</v>
      </c>
    </row>
    <row r="484" ht="12" spans="1:11">
      <c r="A484" s="142"/>
      <c r="B484" s="83"/>
      <c r="C484" s="151"/>
      <c r="D484" s="143"/>
      <c r="E484" s="143"/>
      <c r="F484" s="103" t="s">
        <v>1055</v>
      </c>
      <c r="G484" s="105">
        <v>1</v>
      </c>
      <c r="H484" s="105">
        <v>0.45</v>
      </c>
      <c r="I484" s="103" t="s">
        <v>44</v>
      </c>
      <c r="J484" s="105">
        <v>3.3</v>
      </c>
      <c r="K484" s="143"/>
    </row>
    <row r="485" ht="12" spans="1:11">
      <c r="A485" s="113" t="s">
        <v>1360</v>
      </c>
      <c r="B485" s="80" t="s">
        <v>2393</v>
      </c>
      <c r="C485" s="114">
        <v>6</v>
      </c>
      <c r="D485" s="116" t="s">
        <v>1620</v>
      </c>
      <c r="E485" s="116" t="s">
        <v>1640</v>
      </c>
      <c r="F485" s="103" t="s">
        <v>1047</v>
      </c>
      <c r="G485" s="105">
        <v>0.9973</v>
      </c>
      <c r="H485" s="105">
        <v>5.28</v>
      </c>
      <c r="I485" s="95" t="s">
        <v>17</v>
      </c>
      <c r="J485" s="105">
        <v>1.78</v>
      </c>
      <c r="K485" s="116" t="s">
        <v>2209</v>
      </c>
    </row>
    <row r="486" ht="12" spans="1:11">
      <c r="A486" s="139"/>
      <c r="B486" s="87"/>
      <c r="C486" s="152"/>
      <c r="D486" s="140"/>
      <c r="E486" s="140"/>
      <c r="F486" s="103" t="s">
        <v>1048</v>
      </c>
      <c r="G486" s="105">
        <v>0.9973</v>
      </c>
      <c r="H486" s="105">
        <v>0.36</v>
      </c>
      <c r="I486" s="95" t="s">
        <v>22</v>
      </c>
      <c r="J486" s="105">
        <v>1.93</v>
      </c>
      <c r="K486" s="140"/>
    </row>
    <row r="487" ht="12" spans="1:11">
      <c r="A487" s="142"/>
      <c r="B487" s="83"/>
      <c r="C487" s="151"/>
      <c r="D487" s="143"/>
      <c r="E487" s="143"/>
      <c r="F487" s="103" t="s">
        <v>1051</v>
      </c>
      <c r="G487" s="105">
        <v>4</v>
      </c>
      <c r="H487" s="105">
        <v>0.36</v>
      </c>
      <c r="I487" s="95" t="s">
        <v>24</v>
      </c>
      <c r="J487" s="105" t="s">
        <v>24</v>
      </c>
      <c r="K487" s="143"/>
    </row>
    <row r="488" ht="12" spans="1:11">
      <c r="A488" s="113" t="s">
        <v>2385</v>
      </c>
      <c r="B488" s="80" t="s">
        <v>2394</v>
      </c>
      <c r="C488" s="114">
        <v>10</v>
      </c>
      <c r="D488" s="116" t="s">
        <v>1628</v>
      </c>
      <c r="E488" s="116" t="s">
        <v>1628</v>
      </c>
      <c r="F488" s="103" t="s">
        <v>1137</v>
      </c>
      <c r="G488" s="105">
        <v>1</v>
      </c>
      <c r="H488" s="105">
        <v>8.9</v>
      </c>
      <c r="I488" s="95" t="s">
        <v>17</v>
      </c>
      <c r="J488" s="105">
        <v>1.78</v>
      </c>
      <c r="K488" s="116" t="s">
        <v>2214</v>
      </c>
    </row>
    <row r="489" ht="12" spans="1:11">
      <c r="A489" s="139"/>
      <c r="B489" s="87"/>
      <c r="C489" s="152"/>
      <c r="D489" s="140"/>
      <c r="E489" s="140"/>
      <c r="F489" s="103" t="s">
        <v>1399</v>
      </c>
      <c r="G489" s="105">
        <v>1.1671</v>
      </c>
      <c r="H489" s="105">
        <v>0.5</v>
      </c>
      <c r="I489" s="95" t="s">
        <v>1269</v>
      </c>
      <c r="J489" s="105">
        <v>1.91</v>
      </c>
      <c r="K489" s="140"/>
    </row>
    <row r="490" ht="12" spans="1:11">
      <c r="A490" s="142"/>
      <c r="B490" s="83"/>
      <c r="C490" s="151"/>
      <c r="D490" s="143"/>
      <c r="E490" s="143"/>
      <c r="F490" s="103" t="s">
        <v>1051</v>
      </c>
      <c r="G490" s="105">
        <v>1.7479</v>
      </c>
      <c r="H490" s="105">
        <v>0.6</v>
      </c>
      <c r="I490" s="95" t="s">
        <v>24</v>
      </c>
      <c r="J490" s="105" t="s">
        <v>24</v>
      </c>
      <c r="K490" s="143"/>
    </row>
    <row r="491" ht="12" spans="1:11">
      <c r="A491" s="113" t="s">
        <v>1342</v>
      </c>
      <c r="B491" s="80" t="s">
        <v>2395</v>
      </c>
      <c r="C491" s="114">
        <v>10</v>
      </c>
      <c r="D491" s="116" t="s">
        <v>1640</v>
      </c>
      <c r="E491" s="116" t="s">
        <v>1640</v>
      </c>
      <c r="F491" s="103" t="s">
        <v>1137</v>
      </c>
      <c r="G491" s="105">
        <v>1.9151</v>
      </c>
      <c r="H491" s="105">
        <v>8.9</v>
      </c>
      <c r="I491" s="95" t="s">
        <v>17</v>
      </c>
      <c r="J491" s="105">
        <v>1.88</v>
      </c>
      <c r="K491" s="116" t="s">
        <v>2214</v>
      </c>
    </row>
    <row r="492" ht="12" spans="1:11">
      <c r="A492" s="139"/>
      <c r="B492" s="87"/>
      <c r="C492" s="152"/>
      <c r="D492" s="140"/>
      <c r="E492" s="140"/>
      <c r="F492" s="103" t="s">
        <v>1399</v>
      </c>
      <c r="G492" s="105">
        <v>2.0055</v>
      </c>
      <c r="H492" s="105">
        <v>0.4</v>
      </c>
      <c r="I492" s="95" t="s">
        <v>22</v>
      </c>
      <c r="J492" s="105">
        <v>2.03</v>
      </c>
      <c r="K492" s="140"/>
    </row>
    <row r="493" ht="12" spans="1:11">
      <c r="A493" s="142"/>
      <c r="B493" s="83"/>
      <c r="C493" s="151"/>
      <c r="D493" s="143"/>
      <c r="E493" s="143"/>
      <c r="F493" s="103" t="s">
        <v>1051</v>
      </c>
      <c r="G493" s="105">
        <v>2.6749</v>
      </c>
      <c r="H493" s="105">
        <v>0.7</v>
      </c>
      <c r="I493" s="95" t="s">
        <v>24</v>
      </c>
      <c r="J493" s="105" t="s">
        <v>24</v>
      </c>
      <c r="K493" s="143"/>
    </row>
    <row r="494" ht="12" spans="1:11">
      <c r="A494" s="113" t="s">
        <v>2385</v>
      </c>
      <c r="B494" s="80" t="s">
        <v>2396</v>
      </c>
      <c r="C494" s="114">
        <v>5</v>
      </c>
      <c r="D494" s="116" t="s">
        <v>1623</v>
      </c>
      <c r="E494" s="116" t="s">
        <v>1623</v>
      </c>
      <c r="F494" s="103" t="s">
        <v>1047</v>
      </c>
      <c r="G494" s="105">
        <v>1.5014</v>
      </c>
      <c r="H494" s="105">
        <v>4.15</v>
      </c>
      <c r="I494" s="95" t="s">
        <v>17</v>
      </c>
      <c r="J494" s="105">
        <v>2</v>
      </c>
      <c r="K494" s="116" t="s">
        <v>2221</v>
      </c>
    </row>
    <row r="495" ht="12" spans="1:11">
      <c r="A495" s="139"/>
      <c r="B495" s="87"/>
      <c r="C495" s="152"/>
      <c r="D495" s="140"/>
      <c r="E495" s="140"/>
      <c r="F495" s="103" t="s">
        <v>1048</v>
      </c>
      <c r="G495" s="105">
        <v>1.5014</v>
      </c>
      <c r="H495" s="105">
        <v>0.25</v>
      </c>
      <c r="I495" s="95" t="s">
        <v>1269</v>
      </c>
      <c r="J495" s="105">
        <v>2.15</v>
      </c>
      <c r="K495" s="140"/>
    </row>
    <row r="496" ht="12" spans="1:11">
      <c r="A496" s="139"/>
      <c r="B496" s="87"/>
      <c r="C496" s="152"/>
      <c r="D496" s="140"/>
      <c r="E496" s="140"/>
      <c r="F496" s="103" t="s">
        <v>1055</v>
      </c>
      <c r="G496" s="105">
        <v>2</v>
      </c>
      <c r="H496" s="105">
        <v>0.35</v>
      </c>
      <c r="I496" s="95" t="s">
        <v>100</v>
      </c>
      <c r="J496" s="105">
        <v>3.6</v>
      </c>
      <c r="K496" s="140"/>
    </row>
    <row r="497" ht="12" spans="1:11">
      <c r="A497" s="142"/>
      <c r="B497" s="83"/>
      <c r="C497" s="151"/>
      <c r="D497" s="143"/>
      <c r="E497" s="143"/>
      <c r="F497" s="103" t="s">
        <v>1051</v>
      </c>
      <c r="G497" s="105">
        <v>2</v>
      </c>
      <c r="H497" s="105">
        <v>0.25</v>
      </c>
      <c r="I497" s="95" t="s">
        <v>24</v>
      </c>
      <c r="J497" s="105" t="s">
        <v>24</v>
      </c>
      <c r="K497" s="143"/>
    </row>
    <row r="498" ht="12" spans="1:11">
      <c r="A498" s="113" t="s">
        <v>1342</v>
      </c>
      <c r="B498" s="80" t="s">
        <v>2397</v>
      </c>
      <c r="C498" s="114">
        <v>10</v>
      </c>
      <c r="D498" s="116" t="s">
        <v>2219</v>
      </c>
      <c r="E498" s="116" t="s">
        <v>1620</v>
      </c>
      <c r="F498" s="103" t="s">
        <v>1121</v>
      </c>
      <c r="G498" s="105">
        <v>1.0767</v>
      </c>
      <c r="H498" s="105">
        <v>3.2</v>
      </c>
      <c r="I498" s="95" t="s">
        <v>17</v>
      </c>
      <c r="J498" s="105">
        <v>1.79</v>
      </c>
      <c r="K498" s="116" t="s">
        <v>2209</v>
      </c>
    </row>
    <row r="499" ht="12" spans="1:11">
      <c r="A499" s="139"/>
      <c r="B499" s="87"/>
      <c r="C499" s="152"/>
      <c r="D499" s="140"/>
      <c r="E499" s="140"/>
      <c r="F499" s="103" t="s">
        <v>1122</v>
      </c>
      <c r="G499" s="105">
        <v>1.6712</v>
      </c>
      <c r="H499" s="105">
        <v>5.8</v>
      </c>
      <c r="I499" s="95" t="s">
        <v>17</v>
      </c>
      <c r="J499" s="105">
        <v>1.84</v>
      </c>
      <c r="K499" s="140"/>
    </row>
    <row r="500" ht="12" spans="1:11">
      <c r="A500" s="139"/>
      <c r="B500" s="87"/>
      <c r="C500" s="152"/>
      <c r="D500" s="140"/>
      <c r="E500" s="140"/>
      <c r="F500" s="103" t="s">
        <v>1048</v>
      </c>
      <c r="G500" s="105">
        <v>1.7479</v>
      </c>
      <c r="H500" s="105">
        <v>0.5</v>
      </c>
      <c r="I500" s="95" t="s">
        <v>22</v>
      </c>
      <c r="J500" s="105">
        <v>2.05</v>
      </c>
      <c r="K500" s="140"/>
    </row>
    <row r="501" ht="12" spans="1:11">
      <c r="A501" s="142"/>
      <c r="B501" s="83"/>
      <c r="C501" s="151"/>
      <c r="D501" s="143"/>
      <c r="E501" s="143"/>
      <c r="F501" s="103" t="s">
        <v>1051</v>
      </c>
      <c r="G501" s="105">
        <v>1.7479</v>
      </c>
      <c r="H501" s="105">
        <v>0.5</v>
      </c>
      <c r="I501" s="95" t="s">
        <v>24</v>
      </c>
      <c r="J501" s="105" t="s">
        <v>24</v>
      </c>
      <c r="K501" s="143"/>
    </row>
    <row r="502" ht="12" spans="1:11">
      <c r="A502" s="113" t="s">
        <v>1342</v>
      </c>
      <c r="B502" s="80" t="s">
        <v>2398</v>
      </c>
      <c r="C502" s="114">
        <v>10</v>
      </c>
      <c r="D502" s="116" t="s">
        <v>1623</v>
      </c>
      <c r="E502" s="116" t="s">
        <v>1640</v>
      </c>
      <c r="F502" s="103" t="s">
        <v>1121</v>
      </c>
      <c r="G502" s="105">
        <v>0.7123</v>
      </c>
      <c r="H502" s="105">
        <v>7</v>
      </c>
      <c r="I502" s="95" t="s">
        <v>17</v>
      </c>
      <c r="J502" s="105">
        <v>1.79</v>
      </c>
      <c r="K502" s="116" t="s">
        <v>1670</v>
      </c>
    </row>
    <row r="503" ht="12" spans="1:11">
      <c r="A503" s="139"/>
      <c r="B503" s="87"/>
      <c r="C503" s="152"/>
      <c r="D503" s="140"/>
      <c r="E503" s="140"/>
      <c r="F503" s="103" t="s">
        <v>1122</v>
      </c>
      <c r="G503" s="105">
        <v>0.9616</v>
      </c>
      <c r="H503" s="105">
        <v>2</v>
      </c>
      <c r="I503" s="95" t="s">
        <v>17</v>
      </c>
      <c r="J503" s="105">
        <v>1.82</v>
      </c>
      <c r="K503" s="140"/>
    </row>
    <row r="504" ht="12" spans="1:11">
      <c r="A504" s="139"/>
      <c r="B504" s="87"/>
      <c r="C504" s="152"/>
      <c r="D504" s="140"/>
      <c r="E504" s="140"/>
      <c r="F504" s="103" t="s">
        <v>1048</v>
      </c>
      <c r="G504" s="105">
        <v>0.9616</v>
      </c>
      <c r="H504" s="105">
        <v>0.3</v>
      </c>
      <c r="I504" s="95" t="s">
        <v>1269</v>
      </c>
      <c r="J504" s="105">
        <v>2.19</v>
      </c>
      <c r="K504" s="140"/>
    </row>
    <row r="505" ht="12" spans="1:11">
      <c r="A505" s="142"/>
      <c r="B505" s="83"/>
      <c r="C505" s="151"/>
      <c r="D505" s="143"/>
      <c r="E505" s="143"/>
      <c r="F505" s="103" t="s">
        <v>1051</v>
      </c>
      <c r="G505" s="105">
        <v>1.4685</v>
      </c>
      <c r="H505" s="105">
        <v>0.7</v>
      </c>
      <c r="I505" s="95" t="s">
        <v>24</v>
      </c>
      <c r="J505" s="105" t="s">
        <v>24</v>
      </c>
      <c r="K505" s="143"/>
    </row>
    <row r="506" ht="12" spans="1:11">
      <c r="A506" s="113" t="s">
        <v>2385</v>
      </c>
      <c r="B506" s="80" t="s">
        <v>2399</v>
      </c>
      <c r="C506" s="114">
        <v>10</v>
      </c>
      <c r="D506" s="116" t="s">
        <v>1623</v>
      </c>
      <c r="E506" s="116" t="s">
        <v>1640</v>
      </c>
      <c r="F506" s="103" t="s">
        <v>1121</v>
      </c>
      <c r="G506" s="105">
        <v>0.9644</v>
      </c>
      <c r="H506" s="105">
        <v>7</v>
      </c>
      <c r="I506" s="95" t="s">
        <v>17</v>
      </c>
      <c r="J506" s="105">
        <v>1.79</v>
      </c>
      <c r="K506" s="116" t="s">
        <v>1670</v>
      </c>
    </row>
    <row r="507" ht="12" spans="1:11">
      <c r="A507" s="139"/>
      <c r="B507" s="87"/>
      <c r="C507" s="152"/>
      <c r="D507" s="140"/>
      <c r="E507" s="140"/>
      <c r="F507" s="103" t="s">
        <v>1122</v>
      </c>
      <c r="G507" s="105">
        <v>1.2219</v>
      </c>
      <c r="H507" s="105">
        <v>2</v>
      </c>
      <c r="I507" s="95" t="s">
        <v>17</v>
      </c>
      <c r="J507" s="105">
        <v>1.84</v>
      </c>
      <c r="K507" s="140"/>
    </row>
    <row r="508" ht="12" spans="1:11">
      <c r="A508" s="139"/>
      <c r="B508" s="87"/>
      <c r="C508" s="152"/>
      <c r="D508" s="140"/>
      <c r="E508" s="140"/>
      <c r="F508" s="103" t="s">
        <v>1048</v>
      </c>
      <c r="G508" s="105">
        <v>1.2219</v>
      </c>
      <c r="H508" s="105">
        <v>0.3</v>
      </c>
      <c r="I508" s="95" t="s">
        <v>1269</v>
      </c>
      <c r="J508" s="105">
        <v>2.19</v>
      </c>
      <c r="K508" s="140"/>
    </row>
    <row r="509" ht="12" spans="1:11">
      <c r="A509" s="142"/>
      <c r="B509" s="83"/>
      <c r="C509" s="151"/>
      <c r="D509" s="143"/>
      <c r="E509" s="143"/>
      <c r="F509" s="103" t="s">
        <v>1051</v>
      </c>
      <c r="G509" s="105">
        <v>1.7123</v>
      </c>
      <c r="H509" s="105">
        <v>0.7</v>
      </c>
      <c r="I509" s="118" t="s">
        <v>24</v>
      </c>
      <c r="J509" s="105" t="s">
        <v>24</v>
      </c>
      <c r="K509" s="143"/>
    </row>
    <row r="510" ht="12" spans="1:11">
      <c r="A510" s="113">
        <v>45832</v>
      </c>
      <c r="B510" s="80" t="s">
        <v>2400</v>
      </c>
      <c r="C510" s="114">
        <v>10</v>
      </c>
      <c r="D510" s="116" t="s">
        <v>1623</v>
      </c>
      <c r="E510" s="116" t="s">
        <v>2401</v>
      </c>
      <c r="F510" s="103" t="s">
        <v>1121</v>
      </c>
      <c r="G510" s="105">
        <v>1.5014</v>
      </c>
      <c r="H510" s="105">
        <v>8.9</v>
      </c>
      <c r="I510" s="95" t="s">
        <v>17</v>
      </c>
      <c r="J510" s="105">
        <v>1.92</v>
      </c>
      <c r="K510" s="116" t="s">
        <v>2221</v>
      </c>
    </row>
    <row r="511" ht="12" spans="1:11">
      <c r="A511" s="139"/>
      <c r="B511" s="87"/>
      <c r="C511" s="152"/>
      <c r="D511" s="140"/>
      <c r="E511" s="140"/>
      <c r="F511" s="103" t="s">
        <v>1122</v>
      </c>
      <c r="G511" s="105">
        <v>1.5014</v>
      </c>
      <c r="H511" s="105">
        <v>0.3</v>
      </c>
      <c r="I511" s="95" t="s">
        <v>1269</v>
      </c>
      <c r="J511" s="105">
        <v>2.2</v>
      </c>
      <c r="K511" s="140"/>
    </row>
    <row r="512" ht="12" spans="1:11">
      <c r="A512" s="139"/>
      <c r="B512" s="87"/>
      <c r="C512" s="152"/>
      <c r="D512" s="140"/>
      <c r="E512" s="140"/>
      <c r="F512" s="103" t="s">
        <v>1055</v>
      </c>
      <c r="G512" s="105">
        <v>1.5014</v>
      </c>
      <c r="H512" s="105">
        <v>0.3</v>
      </c>
      <c r="I512" s="103" t="s">
        <v>64</v>
      </c>
      <c r="J512" s="105">
        <v>3.6</v>
      </c>
      <c r="K512" s="140"/>
    </row>
    <row r="513" ht="12" spans="1:14">
      <c r="A513" s="142"/>
      <c r="B513" s="83"/>
      <c r="C513" s="151"/>
      <c r="D513" s="143"/>
      <c r="E513" s="143"/>
      <c r="F513" s="103" t="s">
        <v>1051</v>
      </c>
      <c r="G513" s="105">
        <v>2.418</v>
      </c>
      <c r="H513" s="105">
        <v>0.5</v>
      </c>
      <c r="I513" s="118" t="s">
        <v>24</v>
      </c>
      <c r="J513" s="105" t="s">
        <v>24</v>
      </c>
      <c r="K513" s="143"/>
    </row>
    <row r="514" ht="12" spans="1:14">
      <c r="A514" s="108" t="s">
        <v>1345</v>
      </c>
      <c r="B514" s="54" t="s">
        <v>2402</v>
      </c>
      <c r="C514" s="109">
        <v>10</v>
      </c>
      <c r="D514" s="111" t="s">
        <v>1623</v>
      </c>
      <c r="E514" s="111" t="s">
        <v>1640</v>
      </c>
      <c r="F514" s="103" t="s">
        <v>1121</v>
      </c>
      <c r="G514" s="105">
        <v>0.7178</v>
      </c>
      <c r="H514" s="105">
        <v>7</v>
      </c>
      <c r="I514" s="95" t="s">
        <v>17</v>
      </c>
      <c r="J514" s="105">
        <v>1.8</v>
      </c>
      <c r="K514" s="111" t="s">
        <v>1670</v>
      </c>
    </row>
    <row r="515" ht="12" spans="1:14">
      <c r="A515" s="108"/>
      <c r="B515" s="54"/>
      <c r="C515" s="109"/>
      <c r="D515" s="111"/>
      <c r="E515" s="111"/>
      <c r="F515" s="103" t="s">
        <v>1122</v>
      </c>
      <c r="G515" s="105">
        <v>0.9671</v>
      </c>
      <c r="H515" s="105">
        <v>2</v>
      </c>
      <c r="I515" s="95" t="s">
        <v>17</v>
      </c>
      <c r="J515" s="105">
        <v>1.82</v>
      </c>
      <c r="K515" s="111"/>
    </row>
    <row r="516" ht="12" spans="1:14">
      <c r="A516" s="108"/>
      <c r="B516" s="54"/>
      <c r="C516" s="109"/>
      <c r="D516" s="111"/>
      <c r="E516" s="111"/>
      <c r="F516" s="103" t="s">
        <v>1048</v>
      </c>
      <c r="G516" s="105">
        <v>0.9671</v>
      </c>
      <c r="H516" s="105">
        <v>0.3</v>
      </c>
      <c r="I516" s="95" t="s">
        <v>1269</v>
      </c>
      <c r="J516" s="105">
        <v>2.19</v>
      </c>
      <c r="K516" s="111"/>
    </row>
    <row r="517" ht="12" spans="1:14">
      <c r="A517" s="108"/>
      <c r="B517" s="54"/>
      <c r="C517" s="109"/>
      <c r="D517" s="111"/>
      <c r="E517" s="111"/>
      <c r="F517" s="103" t="s">
        <v>1051</v>
      </c>
      <c r="G517" s="105">
        <v>1.474</v>
      </c>
      <c r="H517" s="105">
        <v>0.7</v>
      </c>
      <c r="I517" s="103" t="s">
        <v>24</v>
      </c>
      <c r="J517" s="105" t="s">
        <v>24</v>
      </c>
      <c r="K517" s="111"/>
    </row>
    <row r="518" ht="12" spans="1:14">
      <c r="A518" s="108" t="s">
        <v>1360</v>
      </c>
      <c r="B518" s="54" t="s">
        <v>2403</v>
      </c>
      <c r="C518" s="109">
        <v>10</v>
      </c>
      <c r="D518" s="111" t="s">
        <v>1630</v>
      </c>
      <c r="E518" s="111" t="s">
        <v>1630</v>
      </c>
      <c r="F518" s="103" t="s">
        <v>1137</v>
      </c>
      <c r="G518" s="105">
        <v>1.9123</v>
      </c>
      <c r="H518" s="105">
        <v>8.9</v>
      </c>
      <c r="I518" s="95" t="s">
        <v>17</v>
      </c>
      <c r="J518" s="105">
        <v>1.88</v>
      </c>
      <c r="K518" s="111" t="s">
        <v>2214</v>
      </c>
    </row>
    <row r="519" ht="12" spans="1:14">
      <c r="A519" s="108"/>
      <c r="B519" s="54"/>
      <c r="C519" s="109"/>
      <c r="D519" s="111"/>
      <c r="E519" s="111"/>
      <c r="F519" s="103" t="s">
        <v>1399</v>
      </c>
      <c r="G519" s="105">
        <v>2</v>
      </c>
      <c r="H519" s="105">
        <v>0.4</v>
      </c>
      <c r="I519" s="95" t="s">
        <v>22</v>
      </c>
      <c r="J519" s="105">
        <v>2.03</v>
      </c>
      <c r="K519" s="111"/>
    </row>
    <row r="520" ht="12" spans="1:14">
      <c r="A520" s="108"/>
      <c r="B520" s="54"/>
      <c r="C520" s="109"/>
      <c r="D520" s="111"/>
      <c r="E520" s="111"/>
      <c r="F520" s="103" t="s">
        <v>1051</v>
      </c>
      <c r="G520" s="105">
        <v>2.6694</v>
      </c>
      <c r="H520" s="105">
        <v>0.7</v>
      </c>
      <c r="I520" s="95" t="s">
        <v>24</v>
      </c>
      <c r="J520" s="105" t="s">
        <v>24</v>
      </c>
      <c r="K520" s="111"/>
    </row>
    <row r="521" ht="12" spans="1:14">
      <c r="A521" s="108" t="s">
        <v>1360</v>
      </c>
      <c r="B521" s="54" t="s">
        <v>2404</v>
      </c>
      <c r="C521" s="109">
        <v>10</v>
      </c>
      <c r="D521" s="111" t="s">
        <v>2286</v>
      </c>
      <c r="E521" s="111" t="s">
        <v>1628</v>
      </c>
      <c r="F521" s="103" t="s">
        <v>1137</v>
      </c>
      <c r="G521" s="105">
        <v>1.0027</v>
      </c>
      <c r="H521" s="105">
        <v>8.9</v>
      </c>
      <c r="I521" s="103" t="s">
        <v>17</v>
      </c>
      <c r="J521" s="105">
        <v>1.78</v>
      </c>
      <c r="K521" s="111" t="s">
        <v>2214</v>
      </c>
    </row>
    <row r="522" ht="12" spans="1:14">
      <c r="A522" s="108"/>
      <c r="B522" s="54"/>
      <c r="C522" s="109"/>
      <c r="D522" s="111"/>
      <c r="E522" s="111"/>
      <c r="F522" s="103" t="s">
        <v>1399</v>
      </c>
      <c r="G522" s="105">
        <v>1.1644</v>
      </c>
      <c r="H522" s="105">
        <v>0.5</v>
      </c>
      <c r="I522" s="95" t="s">
        <v>22</v>
      </c>
      <c r="J522" s="105">
        <v>1.91</v>
      </c>
      <c r="K522" s="111"/>
    </row>
    <row r="523" ht="12" spans="1:14">
      <c r="A523" s="108"/>
      <c r="B523" s="54"/>
      <c r="C523" s="109"/>
      <c r="D523" s="111"/>
      <c r="E523" s="111"/>
      <c r="F523" s="103" t="s">
        <v>1051</v>
      </c>
      <c r="G523" s="105">
        <v>1.7507</v>
      </c>
      <c r="H523" s="105">
        <v>0.6</v>
      </c>
      <c r="I523" s="95" t="s">
        <v>24</v>
      </c>
      <c r="J523" s="105" t="s">
        <v>24</v>
      </c>
      <c r="K523" s="111"/>
    </row>
    <row r="524" ht="12" spans="1:14">
      <c r="A524" s="108" t="s">
        <v>1360</v>
      </c>
      <c r="B524" s="54" t="s">
        <v>2405</v>
      </c>
      <c r="C524" s="109">
        <v>10</v>
      </c>
      <c r="D524" s="111" t="s">
        <v>1628</v>
      </c>
      <c r="E524" s="111" t="s">
        <v>1640</v>
      </c>
      <c r="F524" s="103" t="s">
        <v>1137</v>
      </c>
      <c r="G524" s="105">
        <v>1.0027</v>
      </c>
      <c r="H524" s="105">
        <v>8.9</v>
      </c>
      <c r="I524" s="95" t="s">
        <v>17</v>
      </c>
      <c r="J524" s="105">
        <v>1.78</v>
      </c>
      <c r="K524" s="111" t="s">
        <v>2214</v>
      </c>
    </row>
    <row r="525" s="30" customFormat="1" ht="13" spans="1:14">
      <c r="A525" s="108"/>
      <c r="B525" s="54"/>
      <c r="C525" s="109"/>
      <c r="D525" s="111"/>
      <c r="E525" s="111"/>
      <c r="F525" s="103" t="s">
        <v>1399</v>
      </c>
      <c r="G525" s="105">
        <v>1.1644</v>
      </c>
      <c r="H525" s="105">
        <v>0.5</v>
      </c>
      <c r="I525" s="103" t="s">
        <v>22</v>
      </c>
      <c r="J525" s="105">
        <v>1.91</v>
      </c>
      <c r="K525" s="111"/>
      <c r="L525" s="153"/>
      <c r="M525" s="153"/>
    </row>
    <row r="526" s="30" customFormat="1" ht="13" spans="1:14">
      <c r="A526" s="108"/>
      <c r="B526" s="54"/>
      <c r="C526" s="109"/>
      <c r="D526" s="111"/>
      <c r="E526" s="111"/>
      <c r="F526" s="103" t="s">
        <v>1051</v>
      </c>
      <c r="G526" s="105">
        <v>1.7507</v>
      </c>
      <c r="H526" s="105">
        <v>0.6</v>
      </c>
      <c r="I526" s="95" t="s">
        <v>24</v>
      </c>
      <c r="J526" s="105" t="s">
        <v>24</v>
      </c>
      <c r="K526" s="111"/>
      <c r="L526" s="154"/>
      <c r="M526" s="154"/>
      <c r="N526" s="155"/>
    </row>
    <row r="527" ht="12" spans="1:14">
      <c r="A527" s="108" t="s">
        <v>1360</v>
      </c>
      <c r="B527" s="54" t="s">
        <v>2332</v>
      </c>
      <c r="C527" s="109">
        <v>10</v>
      </c>
      <c r="D527" s="111" t="s">
        <v>2225</v>
      </c>
      <c r="E527" s="111" t="s">
        <v>2246</v>
      </c>
      <c r="F527" s="103" t="s">
        <v>1047</v>
      </c>
      <c r="G527" s="105">
        <v>1.8301</v>
      </c>
      <c r="H527" s="105">
        <v>8.7</v>
      </c>
      <c r="I527" s="95" t="s">
        <v>17</v>
      </c>
      <c r="J527" s="105">
        <v>1.87</v>
      </c>
      <c r="K527" s="111" t="s">
        <v>2221</v>
      </c>
    </row>
    <row r="528" ht="12" spans="1:14">
      <c r="A528" s="108"/>
      <c r="B528" s="54"/>
      <c r="C528" s="109"/>
      <c r="D528" s="111"/>
      <c r="E528" s="111"/>
      <c r="F528" s="103" t="s">
        <v>1048</v>
      </c>
      <c r="G528" s="105">
        <v>1.8301</v>
      </c>
      <c r="H528" s="105">
        <v>0.4</v>
      </c>
      <c r="I528" s="95" t="s">
        <v>22</v>
      </c>
      <c r="J528" s="105">
        <v>2.13</v>
      </c>
      <c r="K528" s="111"/>
    </row>
    <row r="529" ht="12" spans="1:11">
      <c r="A529" s="108"/>
      <c r="B529" s="54"/>
      <c r="C529" s="109"/>
      <c r="D529" s="111"/>
      <c r="E529" s="111"/>
      <c r="F529" s="103" t="s">
        <v>1055</v>
      </c>
      <c r="G529" s="105">
        <v>1.8301</v>
      </c>
      <c r="H529" s="105">
        <v>0.4</v>
      </c>
      <c r="I529" s="103" t="s">
        <v>44</v>
      </c>
      <c r="J529" s="105">
        <v>3.6</v>
      </c>
      <c r="K529" s="111"/>
    </row>
    <row r="530" ht="12" spans="1:11">
      <c r="A530" s="113"/>
      <c r="B530" s="80"/>
      <c r="C530" s="114"/>
      <c r="D530" s="116"/>
      <c r="E530" s="116"/>
      <c r="F530" s="118" t="s">
        <v>1051</v>
      </c>
      <c r="G530" s="117">
        <v>1.8301</v>
      </c>
      <c r="H530" s="117">
        <v>0.5</v>
      </c>
      <c r="I530" s="138" t="s">
        <v>24</v>
      </c>
      <c r="J530" s="117" t="s">
        <v>24</v>
      </c>
      <c r="K530" s="116"/>
    </row>
    <row r="531" ht="12" spans="1:11">
      <c r="A531" s="156">
        <v>45847</v>
      </c>
      <c r="B531" s="157" t="s">
        <v>2406</v>
      </c>
      <c r="C531" s="158">
        <v>5</v>
      </c>
      <c r="D531" s="157" t="s">
        <v>1623</v>
      </c>
      <c r="E531" s="157" t="s">
        <v>1623</v>
      </c>
      <c r="F531" s="157" t="s">
        <v>1064</v>
      </c>
      <c r="G531" s="159">
        <v>1.5</v>
      </c>
      <c r="H531" s="159">
        <v>4.15</v>
      </c>
      <c r="I531" s="157" t="s">
        <v>17</v>
      </c>
      <c r="J531" s="105">
        <v>2</v>
      </c>
      <c r="K531" s="157" t="s">
        <v>2221</v>
      </c>
    </row>
    <row r="532" ht="12" spans="1:11">
      <c r="A532" s="156"/>
      <c r="B532" s="157"/>
      <c r="C532" s="158"/>
      <c r="D532" s="157"/>
      <c r="E532" s="157"/>
      <c r="F532" s="157" t="s">
        <v>1060</v>
      </c>
      <c r="G532" s="159">
        <v>1.5</v>
      </c>
      <c r="H532" s="159">
        <v>0.25</v>
      </c>
      <c r="I532" s="157" t="s">
        <v>22</v>
      </c>
      <c r="J532" s="105">
        <v>2.13</v>
      </c>
      <c r="K532" s="157"/>
    </row>
    <row r="533" ht="12" spans="1:11">
      <c r="A533" s="156"/>
      <c r="B533" s="157"/>
      <c r="C533" s="158"/>
      <c r="D533" s="157"/>
      <c r="E533" s="157"/>
      <c r="F533" s="157" t="s">
        <v>1166</v>
      </c>
      <c r="G533" s="159">
        <v>2</v>
      </c>
      <c r="H533" s="159">
        <v>0.35</v>
      </c>
      <c r="I533" s="157" t="s">
        <v>100</v>
      </c>
      <c r="J533" s="105">
        <v>3.4</v>
      </c>
      <c r="K533" s="157"/>
    </row>
    <row r="534" ht="12" spans="1:11">
      <c r="A534" s="156"/>
      <c r="B534" s="157"/>
      <c r="C534" s="158"/>
      <c r="D534" s="157"/>
      <c r="E534" s="157"/>
      <c r="F534" s="157" t="s">
        <v>1083</v>
      </c>
      <c r="G534" s="159">
        <v>2</v>
      </c>
      <c r="H534" s="159">
        <v>0.25</v>
      </c>
      <c r="I534" s="157" t="s">
        <v>24</v>
      </c>
      <c r="J534" s="105" t="s">
        <v>24</v>
      </c>
      <c r="K534" s="157"/>
    </row>
    <row r="535" ht="12" spans="1:11">
      <c r="A535" s="156">
        <v>45849</v>
      </c>
      <c r="B535" s="157" t="s">
        <v>2407</v>
      </c>
      <c r="C535" s="158">
        <v>9.45</v>
      </c>
      <c r="D535" s="157" t="s">
        <v>2225</v>
      </c>
      <c r="E535" s="157" t="s">
        <v>2250</v>
      </c>
      <c r="F535" s="157" t="s">
        <v>1081</v>
      </c>
      <c r="G535" s="159">
        <v>1</v>
      </c>
      <c r="H535" s="105">
        <v>9</v>
      </c>
      <c r="I535" s="157" t="s">
        <v>17</v>
      </c>
      <c r="J535" s="160">
        <v>1.75</v>
      </c>
      <c r="K535" s="157" t="s">
        <v>2221</v>
      </c>
    </row>
    <row r="536" ht="12" spans="1:11">
      <c r="A536" s="156"/>
      <c r="B536" s="157"/>
      <c r="C536" s="158"/>
      <c r="D536" s="157"/>
      <c r="E536" s="157"/>
      <c r="F536" s="157" t="s">
        <v>1166</v>
      </c>
      <c r="G536" s="159">
        <v>1</v>
      </c>
      <c r="H536" s="105">
        <v>0.45</v>
      </c>
      <c r="I536" s="157" t="s">
        <v>44</v>
      </c>
      <c r="J536" s="160">
        <v>3.3</v>
      </c>
      <c r="K536" s="157"/>
    </row>
    <row r="537" ht="12" spans="1:11">
      <c r="A537" s="156">
        <v>45848</v>
      </c>
      <c r="B537" s="157" t="s">
        <v>2408</v>
      </c>
      <c r="C537" s="158">
        <v>10</v>
      </c>
      <c r="D537" s="157" t="s">
        <v>2219</v>
      </c>
      <c r="E537" s="157" t="s">
        <v>1620</v>
      </c>
      <c r="F537" s="157" t="s">
        <v>1058</v>
      </c>
      <c r="G537" s="159">
        <v>1.08</v>
      </c>
      <c r="H537" s="159">
        <v>3.2</v>
      </c>
      <c r="I537" s="157" t="s">
        <v>17</v>
      </c>
      <c r="J537" s="160">
        <v>1.75</v>
      </c>
      <c r="K537" s="157" t="s">
        <v>2209</v>
      </c>
    </row>
    <row r="538" ht="12" spans="1:11">
      <c r="A538" s="156"/>
      <c r="B538" s="157"/>
      <c r="C538" s="158"/>
      <c r="D538" s="157"/>
      <c r="E538" s="157"/>
      <c r="F538" s="157" t="s">
        <v>1059</v>
      </c>
      <c r="G538" s="159">
        <v>1.67</v>
      </c>
      <c r="H538" s="159">
        <v>5.8</v>
      </c>
      <c r="I538" s="157" t="s">
        <v>17</v>
      </c>
      <c r="J538" s="160">
        <v>1.82</v>
      </c>
      <c r="K538" s="157"/>
    </row>
    <row r="539" ht="12" spans="1:11">
      <c r="A539" s="156"/>
      <c r="B539" s="157"/>
      <c r="C539" s="158"/>
      <c r="D539" s="157"/>
      <c r="E539" s="157"/>
      <c r="F539" s="157" t="s">
        <v>1060</v>
      </c>
      <c r="G539" s="159">
        <v>1.75</v>
      </c>
      <c r="H539" s="159">
        <v>0.5</v>
      </c>
      <c r="I539" s="157" t="s">
        <v>22</v>
      </c>
      <c r="J539" s="160">
        <v>2.05</v>
      </c>
      <c r="K539" s="157"/>
    </row>
    <row r="540" ht="12" spans="1:11">
      <c r="A540" s="161"/>
      <c r="B540" s="162"/>
      <c r="C540" s="163"/>
      <c r="D540" s="162"/>
      <c r="E540" s="162"/>
      <c r="F540" s="157" t="s">
        <v>1083</v>
      </c>
      <c r="G540" s="159">
        <v>1.75</v>
      </c>
      <c r="H540" s="159">
        <v>0.5</v>
      </c>
      <c r="I540" s="157" t="s">
        <v>24</v>
      </c>
      <c r="J540" s="105" t="s">
        <v>24</v>
      </c>
      <c r="K540" s="157"/>
    </row>
    <row r="541" ht="12" spans="1:11">
      <c r="A541" s="53" t="s">
        <v>2409</v>
      </c>
      <c r="B541" s="54" t="s">
        <v>2410</v>
      </c>
      <c r="C541" s="55">
        <v>15</v>
      </c>
      <c r="D541" s="54" t="s">
        <v>2312</v>
      </c>
      <c r="E541" s="54" t="s">
        <v>1620</v>
      </c>
      <c r="F541" s="13" t="s">
        <v>1064</v>
      </c>
      <c r="G541" s="164">
        <v>1.03</v>
      </c>
      <c r="H541" s="52">
        <v>12.225</v>
      </c>
      <c r="I541" s="10" t="s">
        <v>17</v>
      </c>
      <c r="J541" s="52">
        <v>1.78</v>
      </c>
      <c r="K541" s="54" t="s">
        <v>2217</v>
      </c>
    </row>
    <row r="542" ht="12" spans="1:11">
      <c r="A542" s="53"/>
      <c r="B542" s="54"/>
      <c r="C542" s="55"/>
      <c r="D542" s="54"/>
      <c r="E542" s="54"/>
      <c r="F542" s="13" t="s">
        <v>1060</v>
      </c>
      <c r="G542" s="164">
        <v>1.03</v>
      </c>
      <c r="H542" s="52">
        <v>0.975</v>
      </c>
      <c r="I542" s="10" t="s">
        <v>22</v>
      </c>
      <c r="J542" s="52">
        <v>1.87</v>
      </c>
      <c r="K542" s="54"/>
    </row>
    <row r="543" ht="12" spans="1:11">
      <c r="A543" s="53"/>
      <c r="B543" s="54"/>
      <c r="C543" s="55"/>
      <c r="D543" s="54"/>
      <c r="E543" s="54"/>
      <c r="F543" s="13" t="s">
        <v>1083</v>
      </c>
      <c r="G543" s="164">
        <v>3.03</v>
      </c>
      <c r="H543" s="52">
        <v>1.8</v>
      </c>
      <c r="I543" s="10" t="s">
        <v>24</v>
      </c>
      <c r="J543" s="52" t="s">
        <v>24</v>
      </c>
      <c r="K543" s="54"/>
    </row>
    <row r="544" ht="12" spans="1:11">
      <c r="A544" s="53" t="s">
        <v>2409</v>
      </c>
      <c r="B544" s="54" t="s">
        <v>2411</v>
      </c>
      <c r="C544" s="55">
        <v>10</v>
      </c>
      <c r="D544" s="54" t="s">
        <v>2286</v>
      </c>
      <c r="E544" s="54" t="s">
        <v>1628</v>
      </c>
      <c r="F544" s="13" t="s">
        <v>1081</v>
      </c>
      <c r="G544" s="164">
        <v>1</v>
      </c>
      <c r="H544" s="52">
        <v>8.9</v>
      </c>
      <c r="I544" s="10" t="s">
        <v>17</v>
      </c>
      <c r="J544" s="52">
        <v>1.78</v>
      </c>
      <c r="K544" s="54" t="s">
        <v>2214</v>
      </c>
    </row>
    <row r="545" ht="12" spans="1:11">
      <c r="A545" s="53"/>
      <c r="B545" s="54"/>
      <c r="C545" s="55"/>
      <c r="D545" s="54"/>
      <c r="E545" s="54"/>
      <c r="F545" s="13" t="s">
        <v>2215</v>
      </c>
      <c r="G545" s="164">
        <v>1.17</v>
      </c>
      <c r="H545" s="52">
        <v>0.5</v>
      </c>
      <c r="I545" s="10" t="s">
        <v>22</v>
      </c>
      <c r="J545" s="52">
        <v>1.91</v>
      </c>
      <c r="K545" s="54"/>
    </row>
    <row r="546" ht="12" spans="1:11">
      <c r="A546" s="53"/>
      <c r="B546" s="54"/>
      <c r="C546" s="55"/>
      <c r="D546" s="54"/>
      <c r="E546" s="54"/>
      <c r="F546" s="13" t="s">
        <v>1083</v>
      </c>
      <c r="G546" s="164">
        <v>1.75</v>
      </c>
      <c r="H546" s="52">
        <v>0.6</v>
      </c>
      <c r="I546" s="10" t="s">
        <v>24</v>
      </c>
      <c r="J546" s="52" t="s">
        <v>24</v>
      </c>
      <c r="K546" s="54"/>
    </row>
    <row r="547" ht="12" spans="1:11">
      <c r="A547" s="53" t="s">
        <v>2412</v>
      </c>
      <c r="B547" s="54" t="s">
        <v>2413</v>
      </c>
      <c r="C547" s="55">
        <v>10</v>
      </c>
      <c r="D547" s="54" t="s">
        <v>1640</v>
      </c>
      <c r="E547" s="54" t="s">
        <v>1628</v>
      </c>
      <c r="F547" s="13" t="s">
        <v>1081</v>
      </c>
      <c r="G547" s="164">
        <v>1</v>
      </c>
      <c r="H547" s="52">
        <v>8.8</v>
      </c>
      <c r="I547" s="10" t="s">
        <v>17</v>
      </c>
      <c r="J547" s="52">
        <v>1.85</v>
      </c>
      <c r="K547" s="54" t="s">
        <v>2214</v>
      </c>
    </row>
    <row r="548" ht="12" spans="1:11">
      <c r="A548" s="53"/>
      <c r="B548" s="54"/>
      <c r="C548" s="55"/>
      <c r="D548" s="54"/>
      <c r="E548" s="54"/>
      <c r="F548" s="13" t="s">
        <v>2215</v>
      </c>
      <c r="G548" s="164">
        <v>1.08</v>
      </c>
      <c r="H548" s="52">
        <v>0.6</v>
      </c>
      <c r="I548" s="10" t="s">
        <v>22</v>
      </c>
      <c r="J548" s="52">
        <v>1.96</v>
      </c>
      <c r="K548" s="54"/>
    </row>
    <row r="549" ht="12" spans="1:11">
      <c r="A549" s="53"/>
      <c r="B549" s="54"/>
      <c r="C549" s="55"/>
      <c r="D549" s="54"/>
      <c r="E549" s="54"/>
      <c r="F549" s="13" t="s">
        <v>1083</v>
      </c>
      <c r="G549" s="164">
        <v>1.67</v>
      </c>
      <c r="H549" s="52">
        <v>0.6</v>
      </c>
      <c r="I549" s="10" t="s">
        <v>24</v>
      </c>
      <c r="J549" s="52" t="s">
        <v>24</v>
      </c>
      <c r="K549" s="54"/>
    </row>
    <row r="550" ht="13.05" customHeight="1" spans="1:11">
      <c r="A550" s="53" t="s">
        <v>2409</v>
      </c>
      <c r="B550" s="54" t="s">
        <v>2414</v>
      </c>
      <c r="C550" s="55">
        <v>10</v>
      </c>
      <c r="D550" s="54" t="s">
        <v>1628</v>
      </c>
      <c r="E550" s="54" t="s">
        <v>1628</v>
      </c>
      <c r="F550" s="13" t="s">
        <v>1081</v>
      </c>
      <c r="G550" s="164">
        <v>0.75</v>
      </c>
      <c r="H550" s="52">
        <v>9</v>
      </c>
      <c r="I550" s="10" t="s">
        <v>17</v>
      </c>
      <c r="J550" s="52">
        <v>1.85</v>
      </c>
      <c r="K550" s="165" t="s">
        <v>129</v>
      </c>
    </row>
    <row r="551" ht="13.05" customHeight="1" spans="1:11">
      <c r="A551" s="53"/>
      <c r="B551" s="54"/>
      <c r="C551" s="55"/>
      <c r="D551" s="54"/>
      <c r="E551" s="54"/>
      <c r="F551" s="13" t="s">
        <v>2215</v>
      </c>
      <c r="G551" s="164">
        <v>1</v>
      </c>
      <c r="H551" s="52">
        <v>0.4</v>
      </c>
      <c r="I551" s="10" t="s">
        <v>22</v>
      </c>
      <c r="J551" s="52">
        <v>2</v>
      </c>
      <c r="K551" s="140"/>
    </row>
    <row r="552" ht="13.05" customHeight="1" spans="1:11">
      <c r="A552" s="53"/>
      <c r="B552" s="54"/>
      <c r="C552" s="55"/>
      <c r="D552" s="54"/>
      <c r="E552" s="54"/>
      <c r="F552" s="13" t="s">
        <v>1083</v>
      </c>
      <c r="G552" s="164">
        <v>1.5</v>
      </c>
      <c r="H552" s="52">
        <v>0.6</v>
      </c>
      <c r="I552" s="10" t="s">
        <v>24</v>
      </c>
      <c r="J552" s="52" t="s">
        <v>24</v>
      </c>
      <c r="K552" s="143"/>
    </row>
    <row r="553" ht="13.05" customHeight="1" spans="1:11">
      <c r="A553" s="53">
        <v>45860</v>
      </c>
      <c r="B553" s="54" t="s">
        <v>2415</v>
      </c>
      <c r="C553" s="55">
        <v>3</v>
      </c>
      <c r="D553" s="54" t="s">
        <v>1623</v>
      </c>
      <c r="E553" s="54" t="s">
        <v>1623</v>
      </c>
      <c r="F553" s="13" t="s">
        <v>1064</v>
      </c>
      <c r="G553" s="164">
        <v>1.03</v>
      </c>
      <c r="H553" s="52">
        <v>2.52</v>
      </c>
      <c r="I553" s="10" t="s">
        <v>17</v>
      </c>
      <c r="J553" s="52">
        <v>1.8</v>
      </c>
      <c r="K553" s="80" t="s">
        <v>2217</v>
      </c>
    </row>
    <row r="554" ht="13.05" customHeight="1" spans="1:11">
      <c r="A554" s="53"/>
      <c r="B554" s="54"/>
      <c r="C554" s="55"/>
      <c r="D554" s="54"/>
      <c r="E554" s="54"/>
      <c r="F554" s="13" t="s">
        <v>1060</v>
      </c>
      <c r="G554" s="164">
        <v>1.03</v>
      </c>
      <c r="H554" s="52">
        <v>0.17</v>
      </c>
      <c r="I554" s="10" t="s">
        <v>22</v>
      </c>
      <c r="J554" s="52">
        <v>1.9</v>
      </c>
      <c r="K554" s="87"/>
    </row>
    <row r="555" ht="13.05" customHeight="1" spans="1:11">
      <c r="A555" s="53"/>
      <c r="B555" s="54"/>
      <c r="C555" s="55"/>
      <c r="D555" s="54"/>
      <c r="E555" s="54"/>
      <c r="F555" s="13" t="s">
        <v>1083</v>
      </c>
      <c r="G555" s="164">
        <v>1.12</v>
      </c>
      <c r="H555" s="52">
        <v>0.31</v>
      </c>
      <c r="I555" s="10" t="s">
        <v>24</v>
      </c>
      <c r="J555" s="52" t="s">
        <v>24</v>
      </c>
      <c r="K555" s="83"/>
    </row>
    <row r="556" ht="12" spans="1:11">
      <c r="A556" s="53" t="s">
        <v>2416</v>
      </c>
      <c r="B556" s="54" t="s">
        <v>2417</v>
      </c>
      <c r="C556" s="55">
        <v>5</v>
      </c>
      <c r="D556" s="54" t="s">
        <v>2249</v>
      </c>
      <c r="E556" s="54" t="s">
        <v>2250</v>
      </c>
      <c r="F556" s="13" t="s">
        <v>1064</v>
      </c>
      <c r="G556" s="164">
        <v>1.41</v>
      </c>
      <c r="H556" s="52">
        <v>4</v>
      </c>
      <c r="I556" s="10" t="s">
        <v>17</v>
      </c>
      <c r="J556" s="164">
        <v>1.86</v>
      </c>
      <c r="K556" s="54" t="s">
        <v>2251</v>
      </c>
    </row>
    <row r="557" ht="12" spans="1:11">
      <c r="A557" s="53"/>
      <c r="B557" s="54"/>
      <c r="C557" s="55"/>
      <c r="D557" s="54"/>
      <c r="E557" s="54"/>
      <c r="F557" s="13" t="s">
        <v>1060</v>
      </c>
      <c r="G557" s="164">
        <v>1.41</v>
      </c>
      <c r="H557" s="52">
        <v>0.2</v>
      </c>
      <c r="I557" s="10" t="s">
        <v>22</v>
      </c>
      <c r="J557" s="164">
        <v>2</v>
      </c>
      <c r="K557" s="54"/>
    </row>
    <row r="558" ht="12" spans="1:11">
      <c r="A558" s="53"/>
      <c r="B558" s="54"/>
      <c r="C558" s="55"/>
      <c r="D558" s="54"/>
      <c r="E558" s="54"/>
      <c r="F558" s="13" t="s">
        <v>1061</v>
      </c>
      <c r="G558" s="164">
        <v>1.41</v>
      </c>
      <c r="H558" s="164">
        <v>0.3</v>
      </c>
      <c r="I558" s="10" t="s">
        <v>64</v>
      </c>
      <c r="J558" s="164">
        <v>3.3</v>
      </c>
      <c r="K558" s="54"/>
    </row>
    <row r="559" ht="12" spans="1:11">
      <c r="A559" s="53"/>
      <c r="B559" s="54"/>
      <c r="C559" s="55"/>
      <c r="D559" s="54"/>
      <c r="E559" s="54"/>
      <c r="F559" s="13" t="s">
        <v>1083</v>
      </c>
      <c r="G559" s="164">
        <v>1.99</v>
      </c>
      <c r="H559" s="164">
        <v>0.5</v>
      </c>
      <c r="I559" s="166" t="s">
        <v>24</v>
      </c>
      <c r="J559" s="164" t="s">
        <v>24</v>
      </c>
      <c r="K559" s="54"/>
    </row>
    <row r="560" ht="12" spans="1:11">
      <c r="A560" s="53" t="s">
        <v>2418</v>
      </c>
      <c r="B560" s="54" t="s">
        <v>2419</v>
      </c>
      <c r="C560" s="55">
        <v>10</v>
      </c>
      <c r="D560" s="54" t="s">
        <v>1640</v>
      </c>
      <c r="E560" s="54" t="s">
        <v>1640</v>
      </c>
      <c r="F560" s="13" t="s">
        <v>1058</v>
      </c>
      <c r="G560" s="164">
        <v>1.83</v>
      </c>
      <c r="H560" s="164">
        <v>5</v>
      </c>
      <c r="I560" s="10" t="s">
        <v>17</v>
      </c>
      <c r="J560" s="164">
        <v>2.11</v>
      </c>
      <c r="K560" s="54" t="s">
        <v>2303</v>
      </c>
    </row>
    <row r="561" ht="12" spans="1:11">
      <c r="A561" s="53"/>
      <c r="B561" s="54"/>
      <c r="C561" s="55"/>
      <c r="D561" s="54"/>
      <c r="E561" s="54"/>
      <c r="F561" s="13" t="s">
        <v>1059</v>
      </c>
      <c r="G561" s="164">
        <v>1.83</v>
      </c>
      <c r="H561" s="164">
        <v>3.2</v>
      </c>
      <c r="I561" s="10" t="s">
        <v>17</v>
      </c>
      <c r="J561" s="164">
        <v>2.13</v>
      </c>
      <c r="K561" s="54"/>
    </row>
    <row r="562" ht="12" spans="1:11">
      <c r="A562" s="53"/>
      <c r="B562" s="54"/>
      <c r="C562" s="55"/>
      <c r="D562" s="54"/>
      <c r="E562" s="54"/>
      <c r="F562" s="13" t="s">
        <v>1060</v>
      </c>
      <c r="G562" s="164">
        <v>1.83</v>
      </c>
      <c r="H562" s="164">
        <v>0.7</v>
      </c>
      <c r="I562" s="10" t="s">
        <v>22</v>
      </c>
      <c r="J562" s="164">
        <v>2.5</v>
      </c>
      <c r="K562" s="54"/>
    </row>
    <row r="563" ht="12" spans="1:11">
      <c r="A563" s="53"/>
      <c r="B563" s="54"/>
      <c r="C563" s="55"/>
      <c r="D563" s="54"/>
      <c r="E563" s="54"/>
      <c r="F563" s="13" t="s">
        <v>1061</v>
      </c>
      <c r="G563" s="164">
        <v>1.83</v>
      </c>
      <c r="H563" s="164">
        <v>0.35</v>
      </c>
      <c r="I563" s="166" t="s">
        <v>44</v>
      </c>
      <c r="J563" s="164">
        <v>4</v>
      </c>
      <c r="K563" s="54"/>
    </row>
    <row r="564" ht="12" spans="1:11">
      <c r="A564" s="53"/>
      <c r="B564" s="54"/>
      <c r="C564" s="55"/>
      <c r="D564" s="54"/>
      <c r="E564" s="54"/>
      <c r="F564" s="13" t="s">
        <v>1083</v>
      </c>
      <c r="G564" s="164">
        <v>1.83</v>
      </c>
      <c r="H564" s="164">
        <v>0.75</v>
      </c>
      <c r="I564" s="166" t="s">
        <v>24</v>
      </c>
      <c r="J564" s="164" t="s">
        <v>24</v>
      </c>
      <c r="K564" s="54"/>
    </row>
    <row r="565" ht="12" customHeight="1" spans="1:11">
      <c r="A565" s="167" t="s">
        <v>1388</v>
      </c>
      <c r="B565" s="168" t="s">
        <v>2420</v>
      </c>
      <c r="C565" s="169">
        <v>10</v>
      </c>
      <c r="D565" s="168" t="s">
        <v>1505</v>
      </c>
      <c r="E565" s="168" t="s">
        <v>1553</v>
      </c>
      <c r="F565" s="77" t="s">
        <v>1047</v>
      </c>
      <c r="G565" s="74">
        <v>0.9726</v>
      </c>
      <c r="H565" s="170">
        <v>9</v>
      </c>
      <c r="I565" s="171" t="s">
        <v>17</v>
      </c>
      <c r="J565" s="170">
        <v>1.73</v>
      </c>
      <c r="K565" s="75" t="s">
        <v>2264</v>
      </c>
    </row>
    <row r="566" ht="12" spans="1:11">
      <c r="A566" s="172"/>
      <c r="B566" s="173"/>
      <c r="C566" s="174"/>
      <c r="D566" s="173"/>
      <c r="E566" s="173"/>
      <c r="F566" s="77" t="s">
        <v>1048</v>
      </c>
      <c r="G566" s="74">
        <v>1.2411</v>
      </c>
      <c r="H566" s="170">
        <v>0.3</v>
      </c>
      <c r="I566" s="171" t="s">
        <v>22</v>
      </c>
      <c r="J566" s="170">
        <v>2.1</v>
      </c>
      <c r="K566" s="76"/>
    </row>
    <row r="567" ht="12" spans="1:11">
      <c r="A567" s="175"/>
      <c r="B567" s="176"/>
      <c r="C567" s="177"/>
      <c r="D567" s="176"/>
      <c r="E567" s="176"/>
      <c r="F567" s="77" t="s">
        <v>1051</v>
      </c>
      <c r="G567" s="74">
        <v>1.726</v>
      </c>
      <c r="H567" s="170">
        <v>0.7</v>
      </c>
      <c r="I567" s="171" t="s">
        <v>24</v>
      </c>
      <c r="J567" s="170" t="s">
        <v>24</v>
      </c>
      <c r="K567" s="78"/>
    </row>
    <row r="568" ht="12" customHeight="1" spans="1:11">
      <c r="A568" s="167" t="s">
        <v>1388</v>
      </c>
      <c r="B568" s="168" t="s">
        <v>2421</v>
      </c>
      <c r="C568" s="169">
        <v>10</v>
      </c>
      <c r="D568" s="168" t="s">
        <v>1499</v>
      </c>
      <c r="E568" s="168" t="s">
        <v>1505</v>
      </c>
      <c r="F568" s="77" t="s">
        <v>1047</v>
      </c>
      <c r="G568" s="74">
        <v>0.9726</v>
      </c>
      <c r="H568" s="170">
        <v>9</v>
      </c>
      <c r="I568" s="171" t="s">
        <v>17</v>
      </c>
      <c r="J568" s="170">
        <v>1.73</v>
      </c>
      <c r="K568" s="75" t="s">
        <v>2264</v>
      </c>
    </row>
    <row r="569" ht="12" spans="1:11">
      <c r="A569" s="172"/>
      <c r="B569" s="173"/>
      <c r="C569" s="174"/>
      <c r="D569" s="173"/>
      <c r="E569" s="173"/>
      <c r="F569" s="77" t="s">
        <v>1048</v>
      </c>
      <c r="G569" s="74">
        <v>1.2411</v>
      </c>
      <c r="H569" s="170">
        <v>0.3</v>
      </c>
      <c r="I569" s="171" t="s">
        <v>22</v>
      </c>
      <c r="J569" s="170">
        <v>2.1</v>
      </c>
      <c r="K569" s="76"/>
    </row>
    <row r="570" ht="12" spans="1:11">
      <c r="A570" s="175"/>
      <c r="B570" s="176"/>
      <c r="C570" s="177"/>
      <c r="D570" s="176"/>
      <c r="E570" s="176"/>
      <c r="F570" s="77" t="s">
        <v>1051</v>
      </c>
      <c r="G570" s="74">
        <v>1.726</v>
      </c>
      <c r="H570" s="170">
        <v>0.7</v>
      </c>
      <c r="I570" s="171" t="s">
        <v>24</v>
      </c>
      <c r="J570" s="170" t="s">
        <v>24</v>
      </c>
      <c r="K570" s="78"/>
    </row>
    <row r="571" ht="12" customHeight="1" spans="1:11">
      <c r="A571" s="167" t="s">
        <v>1392</v>
      </c>
      <c r="B571" s="168" t="s">
        <v>2422</v>
      </c>
      <c r="C571" s="169">
        <v>10</v>
      </c>
      <c r="D571" s="168" t="s">
        <v>1499</v>
      </c>
      <c r="E571" s="168" t="s">
        <v>1505</v>
      </c>
      <c r="F571" s="77" t="s">
        <v>1047</v>
      </c>
      <c r="G571" s="74">
        <v>0.9726</v>
      </c>
      <c r="H571" s="170">
        <v>9</v>
      </c>
      <c r="I571" s="171" t="s">
        <v>17</v>
      </c>
      <c r="J571" s="170">
        <v>1.78</v>
      </c>
      <c r="K571" s="75" t="s">
        <v>2264</v>
      </c>
    </row>
    <row r="572" ht="12" spans="1:11">
      <c r="A572" s="172"/>
      <c r="B572" s="173"/>
      <c r="C572" s="174"/>
      <c r="D572" s="173"/>
      <c r="E572" s="173"/>
      <c r="F572" s="77" t="s">
        <v>1048</v>
      </c>
      <c r="G572" s="74">
        <v>1.2411</v>
      </c>
      <c r="H572" s="170">
        <v>0.3</v>
      </c>
      <c r="I572" s="171" t="s">
        <v>22</v>
      </c>
      <c r="J572" s="170">
        <v>2.1</v>
      </c>
      <c r="K572" s="76"/>
    </row>
    <row r="573" ht="12" spans="1:11">
      <c r="A573" s="175"/>
      <c r="B573" s="176"/>
      <c r="C573" s="177"/>
      <c r="D573" s="176"/>
      <c r="E573" s="176"/>
      <c r="F573" s="77" t="s">
        <v>1051</v>
      </c>
      <c r="G573" s="74">
        <v>1.726</v>
      </c>
      <c r="H573" s="170">
        <v>0.7</v>
      </c>
      <c r="I573" s="171" t="s">
        <v>24</v>
      </c>
      <c r="J573" s="170" t="s">
        <v>24</v>
      </c>
      <c r="K573" s="78"/>
    </row>
    <row r="574" ht="11" customHeight="1" spans="1:11">
      <c r="A574" s="167" t="s">
        <v>1392</v>
      </c>
      <c r="B574" s="168" t="s">
        <v>2423</v>
      </c>
      <c r="C574" s="169">
        <v>4.7</v>
      </c>
      <c r="D574" s="168" t="s">
        <v>1525</v>
      </c>
      <c r="E574" s="168" t="s">
        <v>1525</v>
      </c>
      <c r="F574" s="77" t="s">
        <v>1047</v>
      </c>
      <c r="G574" s="74">
        <v>1.01</v>
      </c>
      <c r="H574" s="170">
        <v>4.4</v>
      </c>
      <c r="I574" s="171" t="s">
        <v>17</v>
      </c>
      <c r="J574" s="170">
        <v>1.75</v>
      </c>
      <c r="K574" s="75" t="s">
        <v>2198</v>
      </c>
    </row>
    <row r="575" ht="12" spans="1:11">
      <c r="A575" s="175"/>
      <c r="B575" s="176"/>
      <c r="C575" s="177"/>
      <c r="D575" s="176"/>
      <c r="E575" s="176"/>
      <c r="F575" s="77" t="s">
        <v>1048</v>
      </c>
      <c r="G575" s="74">
        <v>1.01</v>
      </c>
      <c r="H575" s="170">
        <v>0.3</v>
      </c>
      <c r="I575" s="171" t="s">
        <v>22</v>
      </c>
      <c r="J575" s="170">
        <v>1.95</v>
      </c>
      <c r="K575" s="78"/>
    </row>
    <row r="576" ht="24" customHeight="1" spans="1:11">
      <c r="A576" s="167" t="s">
        <v>1392</v>
      </c>
      <c r="B576" s="168" t="s">
        <v>2424</v>
      </c>
      <c r="C576" s="169">
        <v>9.4</v>
      </c>
      <c r="D576" s="168" t="s">
        <v>1562</v>
      </c>
      <c r="E576" s="168" t="s">
        <v>1553</v>
      </c>
      <c r="F576" s="77" t="s">
        <v>1121</v>
      </c>
      <c r="G576" s="74">
        <v>1.01</v>
      </c>
      <c r="H576" s="170">
        <v>3</v>
      </c>
      <c r="I576" s="171" t="s">
        <v>17</v>
      </c>
      <c r="J576" s="170">
        <v>1.73</v>
      </c>
      <c r="K576" s="75" t="s">
        <v>2198</v>
      </c>
    </row>
    <row r="577" ht="12" spans="1:11">
      <c r="A577" s="172"/>
      <c r="B577" s="173"/>
      <c r="C577" s="174"/>
      <c r="D577" s="173"/>
      <c r="E577" s="173"/>
      <c r="F577" s="77" t="s">
        <v>1122</v>
      </c>
      <c r="G577" s="74">
        <v>1.01</v>
      </c>
      <c r="H577" s="170">
        <v>5.8</v>
      </c>
      <c r="I577" s="171" t="s">
        <v>17</v>
      </c>
      <c r="J577" s="170">
        <v>1.75</v>
      </c>
      <c r="K577" s="76"/>
    </row>
    <row r="578" ht="12" spans="1:11">
      <c r="A578" s="175"/>
      <c r="B578" s="176"/>
      <c r="C578" s="177"/>
      <c r="D578" s="176"/>
      <c r="E578" s="176"/>
      <c r="F578" s="77" t="s">
        <v>1048</v>
      </c>
      <c r="G578" s="74">
        <v>1.01</v>
      </c>
      <c r="H578" s="170">
        <v>0.6</v>
      </c>
      <c r="I578" s="171" t="s">
        <v>22</v>
      </c>
      <c r="J578" s="170">
        <v>1.95</v>
      </c>
      <c r="K578" s="78"/>
    </row>
    <row r="579" ht="24" customHeight="1" spans="1:11">
      <c r="A579" s="167" t="s">
        <v>1392</v>
      </c>
      <c r="B579" s="168" t="s">
        <v>2425</v>
      </c>
      <c r="C579" s="169">
        <v>5.64</v>
      </c>
      <c r="D579" s="168" t="s">
        <v>1553</v>
      </c>
      <c r="E579" s="168" t="s">
        <v>1553</v>
      </c>
      <c r="F579" s="77" t="s">
        <v>1047</v>
      </c>
      <c r="G579" s="74">
        <v>1.01</v>
      </c>
      <c r="H579" s="170">
        <v>5.28</v>
      </c>
      <c r="I579" s="171" t="s">
        <v>17</v>
      </c>
      <c r="J579" s="170">
        <v>1.75</v>
      </c>
      <c r="K579" s="75" t="s">
        <v>2198</v>
      </c>
    </row>
    <row r="580" ht="12" spans="1:11">
      <c r="A580" s="175"/>
      <c r="B580" s="176"/>
      <c r="C580" s="177"/>
      <c r="D580" s="176"/>
      <c r="E580" s="176"/>
      <c r="F580" s="77" t="s">
        <v>1048</v>
      </c>
      <c r="G580" s="74">
        <v>1.01</v>
      </c>
      <c r="H580" s="170">
        <v>0.36</v>
      </c>
      <c r="I580" s="171" t="s">
        <v>22</v>
      </c>
      <c r="J580" s="170">
        <v>1.95</v>
      </c>
      <c r="K580" s="78"/>
    </row>
    <row r="581" ht="24" customHeight="1" spans="1:11">
      <c r="A581" s="167" t="s">
        <v>1392</v>
      </c>
      <c r="B581" s="168" t="s">
        <v>2426</v>
      </c>
      <c r="C581" s="169">
        <v>4.7</v>
      </c>
      <c r="D581" s="168" t="s">
        <v>1525</v>
      </c>
      <c r="E581" s="168" t="s">
        <v>1525</v>
      </c>
      <c r="F581" s="77" t="s">
        <v>1047</v>
      </c>
      <c r="G581" s="74">
        <v>1.01</v>
      </c>
      <c r="H581" s="170">
        <v>4.4</v>
      </c>
      <c r="I581" s="171" t="s">
        <v>17</v>
      </c>
      <c r="J581" s="170">
        <v>1.74</v>
      </c>
      <c r="K581" s="75" t="s">
        <v>2198</v>
      </c>
    </row>
    <row r="582" ht="12" spans="1:11">
      <c r="A582" s="175"/>
      <c r="B582" s="176"/>
      <c r="C582" s="177"/>
      <c r="D582" s="176"/>
      <c r="E582" s="176"/>
      <c r="F582" s="77" t="s">
        <v>1048</v>
      </c>
      <c r="G582" s="74">
        <v>1.01</v>
      </c>
      <c r="H582" s="170">
        <v>0.3</v>
      </c>
      <c r="I582" s="171" t="s">
        <v>22</v>
      </c>
      <c r="J582" s="170">
        <v>1.95</v>
      </c>
      <c r="K582" s="78"/>
    </row>
    <row r="583" ht="12" customHeight="1" spans="1:11">
      <c r="A583" s="167" t="s">
        <v>1388</v>
      </c>
      <c r="B583" s="168" t="s">
        <v>2427</v>
      </c>
      <c r="C583" s="169">
        <v>3</v>
      </c>
      <c r="D583" s="168" t="s">
        <v>1505</v>
      </c>
      <c r="E583" s="168" t="s">
        <v>2428</v>
      </c>
      <c r="F583" s="77" t="s">
        <v>1137</v>
      </c>
      <c r="G583" s="74">
        <v>1.4767</v>
      </c>
      <c r="H583" s="170">
        <v>2.58</v>
      </c>
      <c r="I583" s="171" t="s">
        <v>17</v>
      </c>
      <c r="J583" s="170">
        <v>2.6</v>
      </c>
      <c r="K583" s="75" t="s">
        <v>2429</v>
      </c>
    </row>
    <row r="584" ht="12" spans="1:11">
      <c r="A584" s="175"/>
      <c r="B584" s="176"/>
      <c r="C584" s="177"/>
      <c r="D584" s="176"/>
      <c r="E584" s="176"/>
      <c r="F584" s="77" t="s">
        <v>1051</v>
      </c>
      <c r="G584" s="74">
        <v>1.9699</v>
      </c>
      <c r="H584" s="170">
        <v>0.42</v>
      </c>
      <c r="I584" s="171" t="s">
        <v>24</v>
      </c>
      <c r="J584" s="170" t="s">
        <v>2430</v>
      </c>
      <c r="K584" s="78"/>
    </row>
    <row r="585" ht="14" customHeight="1" spans="1:11">
      <c r="A585" s="167" t="s">
        <v>1396</v>
      </c>
      <c r="B585" s="168" t="s">
        <v>2431</v>
      </c>
      <c r="C585" s="169">
        <v>6</v>
      </c>
      <c r="D585" s="168" t="s">
        <v>1525</v>
      </c>
      <c r="E585" s="168" t="s">
        <v>1525</v>
      </c>
      <c r="F585" s="77" t="s">
        <v>1047</v>
      </c>
      <c r="G585" s="74">
        <v>1</v>
      </c>
      <c r="H585" s="170">
        <v>5.28</v>
      </c>
      <c r="I585" s="171" t="s">
        <v>17</v>
      </c>
      <c r="J585" s="170">
        <v>1.77</v>
      </c>
      <c r="K585" s="75" t="s">
        <v>2198</v>
      </c>
    </row>
    <row r="586" ht="12" spans="1:11">
      <c r="A586" s="172"/>
      <c r="B586" s="173"/>
      <c r="C586" s="174"/>
      <c r="D586" s="173"/>
      <c r="E586" s="173"/>
      <c r="F586" s="77" t="s">
        <v>1048</v>
      </c>
      <c r="G586" s="74">
        <v>1</v>
      </c>
      <c r="H586" s="170">
        <v>0.36</v>
      </c>
      <c r="I586" s="171" t="s">
        <v>22</v>
      </c>
      <c r="J586" s="170">
        <v>1.95</v>
      </c>
      <c r="K586" s="76"/>
    </row>
    <row r="587" ht="12" spans="1:11">
      <c r="A587" s="175"/>
      <c r="B587" s="176"/>
      <c r="C587" s="177"/>
      <c r="D587" s="176"/>
      <c r="E587" s="176"/>
      <c r="F587" s="77" t="s">
        <v>1051</v>
      </c>
      <c r="G587" s="74">
        <v>3.99</v>
      </c>
      <c r="H587" s="170">
        <v>0.36</v>
      </c>
      <c r="I587" s="171" t="s">
        <v>24</v>
      </c>
      <c r="J587" s="170" t="s">
        <v>2430</v>
      </c>
      <c r="K587" s="78"/>
    </row>
    <row r="588" ht="12" customHeight="1" spans="1:11">
      <c r="A588" s="167" t="s">
        <v>1394</v>
      </c>
      <c r="B588" s="168" t="s">
        <v>2432</v>
      </c>
      <c r="C588" s="169">
        <v>10</v>
      </c>
      <c r="D588" s="168" t="s">
        <v>1536</v>
      </c>
      <c r="E588" s="168" t="s">
        <v>1525</v>
      </c>
      <c r="F588" s="77" t="s">
        <v>1047</v>
      </c>
      <c r="G588" s="74">
        <v>1.011</v>
      </c>
      <c r="H588" s="170">
        <v>8.7</v>
      </c>
      <c r="I588" s="171" t="s">
        <v>17</v>
      </c>
      <c r="J588" s="170">
        <v>1.78</v>
      </c>
      <c r="K588" s="75" t="s">
        <v>2433</v>
      </c>
    </row>
    <row r="589" ht="12" spans="1:11">
      <c r="A589" s="172"/>
      <c r="B589" s="173"/>
      <c r="C589" s="174"/>
      <c r="D589" s="173"/>
      <c r="E589" s="173"/>
      <c r="F589" s="77" t="s">
        <v>1048</v>
      </c>
      <c r="G589" s="74">
        <v>1.011</v>
      </c>
      <c r="H589" s="170">
        <v>0.5</v>
      </c>
      <c r="I589" s="171" t="s">
        <v>22</v>
      </c>
      <c r="J589" s="170">
        <v>1.88</v>
      </c>
      <c r="K589" s="76"/>
    </row>
    <row r="590" ht="12" spans="1:11">
      <c r="A590" s="175"/>
      <c r="B590" s="176"/>
      <c r="C590" s="177"/>
      <c r="D590" s="176"/>
      <c r="E590" s="176"/>
      <c r="F590" s="77" t="s">
        <v>1051</v>
      </c>
      <c r="G590" s="74">
        <v>1.8411</v>
      </c>
      <c r="H590" s="74">
        <v>0.8</v>
      </c>
      <c r="I590" s="77" t="s">
        <v>24</v>
      </c>
      <c r="J590" s="74" t="s">
        <v>24</v>
      </c>
      <c r="K590" s="78"/>
    </row>
    <row r="591" ht="13.05" customHeight="1" spans="1:11">
      <c r="A591" s="167" t="s">
        <v>2434</v>
      </c>
      <c r="B591" s="168" t="s">
        <v>2435</v>
      </c>
      <c r="C591" s="169">
        <v>5</v>
      </c>
      <c r="D591" s="168" t="s">
        <v>2436</v>
      </c>
      <c r="E591" s="168" t="s">
        <v>2437</v>
      </c>
      <c r="F591" s="77" t="s">
        <v>1047</v>
      </c>
      <c r="G591" s="74">
        <v>0.9068</v>
      </c>
      <c r="H591" s="74">
        <v>4.09</v>
      </c>
      <c r="I591" s="77" t="s">
        <v>17</v>
      </c>
      <c r="J591" s="74">
        <v>1.84</v>
      </c>
      <c r="K591" s="75" t="s">
        <v>2438</v>
      </c>
    </row>
    <row r="592" ht="12" spans="1:11">
      <c r="A592" s="172"/>
      <c r="B592" s="173"/>
      <c r="C592" s="174"/>
      <c r="D592" s="173"/>
      <c r="E592" s="173"/>
      <c r="F592" s="77" t="s">
        <v>1048</v>
      </c>
      <c r="G592" s="74">
        <v>0.9068</v>
      </c>
      <c r="H592" s="74">
        <v>0.18</v>
      </c>
      <c r="I592" s="77" t="s">
        <v>22</v>
      </c>
      <c r="J592" s="74">
        <v>2</v>
      </c>
      <c r="K592" s="76"/>
    </row>
    <row r="593" ht="12" spans="1:11">
      <c r="A593" s="172"/>
      <c r="B593" s="173"/>
      <c r="C593" s="174"/>
      <c r="D593" s="173"/>
      <c r="E593" s="173"/>
      <c r="F593" s="77" t="s">
        <v>1050</v>
      </c>
      <c r="G593" s="74">
        <v>0.989</v>
      </c>
      <c r="H593" s="74">
        <v>0.28</v>
      </c>
      <c r="I593" s="77" t="s">
        <v>439</v>
      </c>
      <c r="J593" s="74">
        <v>3.3</v>
      </c>
      <c r="K593" s="76"/>
    </row>
    <row r="594" ht="12" spans="1:11">
      <c r="A594" s="175"/>
      <c r="B594" s="176"/>
      <c r="C594" s="177"/>
      <c r="D594" s="176"/>
      <c r="E594" s="176"/>
      <c r="F594" s="77" t="s">
        <v>1051</v>
      </c>
      <c r="G594" s="74">
        <v>1.4904</v>
      </c>
      <c r="H594" s="74">
        <v>0.45</v>
      </c>
      <c r="I594" s="77" t="s">
        <v>24</v>
      </c>
      <c r="J594" s="74" t="s">
        <v>24</v>
      </c>
      <c r="K594" s="78"/>
    </row>
    <row r="595" ht="12" customHeight="1" spans="1:11">
      <c r="A595" s="167" t="s">
        <v>1400</v>
      </c>
      <c r="B595" s="168" t="s">
        <v>2439</v>
      </c>
      <c r="C595" s="169">
        <v>5</v>
      </c>
      <c r="D595" s="168" t="s">
        <v>2440</v>
      </c>
      <c r="E595" s="168" t="s">
        <v>1505</v>
      </c>
      <c r="F595" s="77" t="s">
        <v>1047</v>
      </c>
      <c r="G595" s="74">
        <v>1.4137</v>
      </c>
      <c r="H595" s="74">
        <v>4.25</v>
      </c>
      <c r="I595" s="77" t="s">
        <v>17</v>
      </c>
      <c r="J595" s="74">
        <v>1.8</v>
      </c>
      <c r="K595" s="75" t="s">
        <v>2441</v>
      </c>
    </row>
    <row r="596" ht="12" spans="1:11">
      <c r="A596" s="172"/>
      <c r="B596" s="173"/>
      <c r="C596" s="174"/>
      <c r="D596" s="173"/>
      <c r="E596" s="173"/>
      <c r="F596" s="77" t="s">
        <v>1048</v>
      </c>
      <c r="G596" s="74">
        <v>1.9973</v>
      </c>
      <c r="H596" s="74">
        <v>0.25</v>
      </c>
      <c r="I596" s="77" t="s">
        <v>22</v>
      </c>
      <c r="J596" s="74">
        <v>1.99</v>
      </c>
      <c r="K596" s="76"/>
    </row>
    <row r="597" ht="12" spans="1:11">
      <c r="A597" s="172"/>
      <c r="B597" s="173"/>
      <c r="C597" s="174"/>
      <c r="D597" s="173"/>
      <c r="E597" s="173"/>
      <c r="F597" s="77" t="s">
        <v>1050</v>
      </c>
      <c r="G597" s="74">
        <v>1.9973</v>
      </c>
      <c r="H597" s="74">
        <v>0.2</v>
      </c>
      <c r="I597" s="77" t="s">
        <v>100</v>
      </c>
      <c r="J597" s="74">
        <v>2.7</v>
      </c>
      <c r="K597" s="76"/>
    </row>
    <row r="598" ht="12" spans="1:11">
      <c r="A598" s="175"/>
      <c r="B598" s="176"/>
      <c r="C598" s="177"/>
      <c r="D598" s="176"/>
      <c r="E598" s="176"/>
      <c r="F598" s="77" t="s">
        <v>1051</v>
      </c>
      <c r="G598" s="74">
        <v>2</v>
      </c>
      <c r="H598" s="74">
        <v>0.3</v>
      </c>
      <c r="I598" s="77" t="s">
        <v>24</v>
      </c>
      <c r="J598" s="74" t="s">
        <v>24</v>
      </c>
      <c r="K598" s="78"/>
    </row>
    <row r="599" ht="12" spans="1:11">
      <c r="A599" s="167" t="s">
        <v>1400</v>
      </c>
      <c r="B599" s="168" t="s">
        <v>2442</v>
      </c>
      <c r="C599" s="169">
        <v>10</v>
      </c>
      <c r="D599" s="168" t="s">
        <v>1523</v>
      </c>
      <c r="E599" s="168" t="s">
        <v>2295</v>
      </c>
      <c r="F599" s="77" t="s">
        <v>1137</v>
      </c>
      <c r="G599" s="74">
        <v>1</v>
      </c>
      <c r="H599" s="74">
        <v>8.9</v>
      </c>
      <c r="I599" s="77" t="s">
        <v>17</v>
      </c>
      <c r="J599" s="74">
        <v>1.78</v>
      </c>
      <c r="K599" s="75" t="s">
        <v>2258</v>
      </c>
    </row>
    <row r="600" ht="12" spans="1:11">
      <c r="A600" s="172"/>
      <c r="B600" s="173"/>
      <c r="C600" s="174"/>
      <c r="D600" s="173"/>
      <c r="E600" s="173"/>
      <c r="F600" s="77" t="s">
        <v>1399</v>
      </c>
      <c r="G600" s="74">
        <v>1.1644</v>
      </c>
      <c r="H600" s="74">
        <v>0.5</v>
      </c>
      <c r="I600" s="77" t="s">
        <v>22</v>
      </c>
      <c r="J600" s="74">
        <v>1.9</v>
      </c>
      <c r="K600" s="76"/>
    </row>
    <row r="601" ht="12" spans="1:11">
      <c r="A601" s="175"/>
      <c r="B601" s="176"/>
      <c r="C601" s="177"/>
      <c r="D601" s="176"/>
      <c r="E601" s="176"/>
      <c r="F601" s="77" t="s">
        <v>1051</v>
      </c>
      <c r="G601" s="74">
        <v>1.7479</v>
      </c>
      <c r="H601" s="74">
        <v>0.6</v>
      </c>
      <c r="I601" s="77" t="s">
        <v>24</v>
      </c>
      <c r="J601" s="74" t="s">
        <v>24</v>
      </c>
      <c r="K601" s="78"/>
    </row>
    <row r="602" ht="13.25" customHeight="1" spans="1:11">
      <c r="A602" s="47" t="s">
        <v>1406</v>
      </c>
      <c r="B602" s="80" t="s">
        <v>2443</v>
      </c>
      <c r="C602" s="178">
        <v>10</v>
      </c>
      <c r="D602" s="179" t="s">
        <v>2444</v>
      </c>
      <c r="E602" s="179" t="s">
        <v>2444</v>
      </c>
      <c r="F602" s="103" t="s">
        <v>1047</v>
      </c>
      <c r="G602" s="105">
        <v>1.7973</v>
      </c>
      <c r="H602" s="105">
        <v>8.4</v>
      </c>
      <c r="I602" s="103" t="s">
        <v>17</v>
      </c>
      <c r="J602" s="105">
        <v>1.78</v>
      </c>
      <c r="K602" s="111" t="s">
        <v>2234</v>
      </c>
    </row>
    <row r="603" ht="13.25" customHeight="1" spans="1:11">
      <c r="A603" s="47"/>
      <c r="B603" s="180"/>
      <c r="C603" s="181"/>
      <c r="D603" s="182"/>
      <c r="E603" s="182"/>
      <c r="F603" s="103" t="s">
        <v>1048</v>
      </c>
      <c r="G603" s="105">
        <v>1.8822</v>
      </c>
      <c r="H603" s="105">
        <v>0.5</v>
      </c>
      <c r="I603" s="103" t="s">
        <v>22</v>
      </c>
      <c r="J603" s="105">
        <v>1.95</v>
      </c>
      <c r="K603" s="111"/>
    </row>
    <row r="604" ht="13.25" customHeight="1" spans="1:11">
      <c r="A604" s="47"/>
      <c r="B604" s="180"/>
      <c r="C604" s="181"/>
      <c r="D604" s="182"/>
      <c r="E604" s="182"/>
      <c r="F604" s="103" t="s">
        <v>1050</v>
      </c>
      <c r="G604" s="105">
        <v>1.9644</v>
      </c>
      <c r="H604" s="105">
        <v>0.3</v>
      </c>
      <c r="I604" s="103" t="s">
        <v>44</v>
      </c>
      <c r="J604" s="105">
        <v>2.05</v>
      </c>
      <c r="K604" s="111"/>
    </row>
    <row r="605" ht="13.25" customHeight="1" spans="1:11">
      <c r="A605" s="47"/>
      <c r="B605" s="183"/>
      <c r="C605" s="184"/>
      <c r="D605" s="185"/>
      <c r="E605" s="185"/>
      <c r="F605" s="103" t="s">
        <v>1051</v>
      </c>
      <c r="G605" s="105">
        <v>2.6311</v>
      </c>
      <c r="H605" s="105">
        <v>0.8</v>
      </c>
      <c r="I605" s="103" t="s">
        <v>24</v>
      </c>
      <c r="J605" s="105" t="s">
        <v>24</v>
      </c>
      <c r="K605" s="111"/>
    </row>
    <row r="606" ht="13.25" customHeight="1" spans="1:11">
      <c r="A606" s="186" t="s">
        <v>1410</v>
      </c>
      <c r="B606" s="80" t="s">
        <v>2445</v>
      </c>
      <c r="C606" s="178">
        <v>10</v>
      </c>
      <c r="D606" s="179" t="s">
        <v>2446</v>
      </c>
      <c r="E606" s="179" t="s">
        <v>2446</v>
      </c>
      <c r="F606" s="13" t="s">
        <v>1081</v>
      </c>
      <c r="G606" s="105">
        <v>0.7507</v>
      </c>
      <c r="H606" s="105">
        <v>9</v>
      </c>
      <c r="I606" s="103" t="s">
        <v>17</v>
      </c>
      <c r="J606" s="105">
        <v>1.85</v>
      </c>
      <c r="K606" s="165" t="s">
        <v>129</v>
      </c>
    </row>
    <row r="607" ht="13.25" customHeight="1" spans="1:11">
      <c r="A607" s="187"/>
      <c r="B607" s="180"/>
      <c r="C607" s="181"/>
      <c r="D607" s="182"/>
      <c r="E607" s="182"/>
      <c r="F607" s="13" t="s">
        <v>2215</v>
      </c>
      <c r="G607" s="105">
        <v>1</v>
      </c>
      <c r="H607" s="105">
        <v>0.4</v>
      </c>
      <c r="I607" s="103" t="s">
        <v>22</v>
      </c>
      <c r="J607" s="105">
        <v>2</v>
      </c>
      <c r="K607" s="140"/>
    </row>
    <row r="608" ht="13.25" customHeight="1" spans="1:11">
      <c r="A608" s="188"/>
      <c r="B608" s="183"/>
      <c r="C608" s="184"/>
      <c r="D608" s="185"/>
      <c r="E608" s="185"/>
      <c r="F608" s="13" t="s">
        <v>1083</v>
      </c>
      <c r="G608" s="105">
        <v>1.5041</v>
      </c>
      <c r="H608" s="105">
        <v>0.6</v>
      </c>
      <c r="I608" s="103" t="s">
        <v>24</v>
      </c>
      <c r="J608" s="105" t="s">
        <v>24</v>
      </c>
      <c r="K608" s="143"/>
    </row>
    <row r="609" ht="13.25" customHeight="1" spans="1:11">
      <c r="A609" s="186" t="s">
        <v>2447</v>
      </c>
      <c r="B609" s="80" t="s">
        <v>2448</v>
      </c>
      <c r="C609" s="178">
        <v>10</v>
      </c>
      <c r="D609" s="179" t="s">
        <v>2449</v>
      </c>
      <c r="E609" s="179" t="s">
        <v>2450</v>
      </c>
      <c r="F609" s="13" t="s">
        <v>1081</v>
      </c>
      <c r="G609" s="105">
        <v>1.9178</v>
      </c>
      <c r="H609" s="105">
        <v>8.9</v>
      </c>
      <c r="I609" s="103" t="s">
        <v>17</v>
      </c>
      <c r="J609" s="105">
        <v>1.86</v>
      </c>
      <c r="K609" s="116" t="s">
        <v>2214</v>
      </c>
    </row>
    <row r="610" ht="13.25" customHeight="1" spans="1:11">
      <c r="A610" s="187"/>
      <c r="B610" s="180"/>
      <c r="C610" s="181"/>
      <c r="D610" s="182"/>
      <c r="E610" s="182"/>
      <c r="F610" s="13" t="s">
        <v>2215</v>
      </c>
      <c r="G610" s="105">
        <v>2</v>
      </c>
      <c r="H610" s="105">
        <v>0.4</v>
      </c>
      <c r="I610" s="103" t="s">
        <v>22</v>
      </c>
      <c r="J610" s="105">
        <v>2.03</v>
      </c>
      <c r="K610" s="140"/>
    </row>
    <row r="611" ht="13.25" customHeight="1" spans="1:11">
      <c r="A611" s="188"/>
      <c r="B611" s="183"/>
      <c r="C611" s="184"/>
      <c r="D611" s="185"/>
      <c r="E611" s="185"/>
      <c r="F611" s="13" t="s">
        <v>1083</v>
      </c>
      <c r="G611" s="105">
        <v>2.6667</v>
      </c>
      <c r="H611" s="105">
        <v>0.7</v>
      </c>
      <c r="I611" s="103" t="s">
        <v>24</v>
      </c>
      <c r="J611" s="105" t="s">
        <v>24</v>
      </c>
      <c r="K611" s="143"/>
    </row>
    <row r="612" ht="13.25" customHeight="1" spans="1:11">
      <c r="A612" s="186" t="s">
        <v>1410</v>
      </c>
      <c r="B612" s="80" t="s">
        <v>2451</v>
      </c>
      <c r="C612" s="178">
        <v>10</v>
      </c>
      <c r="D612" s="179" t="s">
        <v>2446</v>
      </c>
      <c r="E612" s="179" t="s">
        <v>2446</v>
      </c>
      <c r="F612" s="13" t="s">
        <v>1081</v>
      </c>
      <c r="G612" s="105">
        <v>1.9178</v>
      </c>
      <c r="H612" s="105">
        <v>8.9</v>
      </c>
      <c r="I612" s="103" t="s">
        <v>17</v>
      </c>
      <c r="J612" s="105">
        <v>1.88</v>
      </c>
      <c r="K612" s="116" t="s">
        <v>2214</v>
      </c>
    </row>
    <row r="613" ht="13.25" customHeight="1" spans="1:11">
      <c r="A613" s="187"/>
      <c r="B613" s="180"/>
      <c r="C613" s="181"/>
      <c r="D613" s="182"/>
      <c r="E613" s="182"/>
      <c r="F613" s="13" t="s">
        <v>2215</v>
      </c>
      <c r="G613" s="105">
        <v>2</v>
      </c>
      <c r="H613" s="105">
        <v>0.4</v>
      </c>
      <c r="I613" s="103" t="s">
        <v>22</v>
      </c>
      <c r="J613" s="105">
        <v>2.05</v>
      </c>
      <c r="K613" s="140"/>
    </row>
    <row r="614" ht="13.25" customHeight="1" spans="1:11">
      <c r="A614" s="188"/>
      <c r="B614" s="183"/>
      <c r="C614" s="184"/>
      <c r="D614" s="185"/>
      <c r="E614" s="185"/>
      <c r="F614" s="13" t="s">
        <v>1083</v>
      </c>
      <c r="G614" s="105">
        <v>2.6667</v>
      </c>
      <c r="H614" s="105">
        <v>0.7</v>
      </c>
      <c r="I614" s="103" t="s">
        <v>24</v>
      </c>
      <c r="J614" s="105" t="s">
        <v>24</v>
      </c>
      <c r="K614" s="143"/>
    </row>
    <row r="615" ht="13.25" customHeight="1" spans="1:11">
      <c r="A615" s="189" t="s">
        <v>1410</v>
      </c>
      <c r="B615" s="80" t="s">
        <v>2452</v>
      </c>
      <c r="C615" s="178">
        <v>10</v>
      </c>
      <c r="D615" s="179" t="s">
        <v>2453</v>
      </c>
      <c r="E615" s="179" t="s">
        <v>2446</v>
      </c>
      <c r="F615" s="13" t="s">
        <v>1081</v>
      </c>
      <c r="G615" s="105">
        <v>1</v>
      </c>
      <c r="H615" s="105">
        <v>8.9</v>
      </c>
      <c r="I615" s="103" t="s">
        <v>17</v>
      </c>
      <c r="J615" s="105">
        <v>1.78</v>
      </c>
      <c r="K615" s="116" t="s">
        <v>2214</v>
      </c>
    </row>
    <row r="616" ht="13.25" customHeight="1" spans="1:11">
      <c r="A616" s="190"/>
      <c r="B616" s="180"/>
      <c r="C616" s="181"/>
      <c r="D616" s="182"/>
      <c r="E616" s="182"/>
      <c r="F616" s="13" t="s">
        <v>2215</v>
      </c>
      <c r="G616" s="105">
        <v>1.1699</v>
      </c>
      <c r="H616" s="105">
        <v>0.5</v>
      </c>
      <c r="I616" s="103" t="s">
        <v>22</v>
      </c>
      <c r="J616" s="105">
        <v>1.9</v>
      </c>
      <c r="K616" s="140"/>
    </row>
    <row r="617" ht="13.25" customHeight="1" spans="1:11">
      <c r="A617" s="191"/>
      <c r="B617" s="183"/>
      <c r="C617" s="184"/>
      <c r="D617" s="185"/>
      <c r="E617" s="185"/>
      <c r="F617" s="13" t="s">
        <v>1083</v>
      </c>
      <c r="G617" s="105">
        <v>1.7507</v>
      </c>
      <c r="H617" s="105">
        <v>0.6</v>
      </c>
      <c r="I617" s="103" t="s">
        <v>24</v>
      </c>
      <c r="J617" s="105" t="s">
        <v>24</v>
      </c>
      <c r="K617" s="143"/>
    </row>
    <row r="618" ht="13.25" customHeight="1" spans="1:11">
      <c r="A618" s="186" t="s">
        <v>1392</v>
      </c>
      <c r="B618" s="192" t="s">
        <v>2454</v>
      </c>
      <c r="C618" s="178">
        <v>10</v>
      </c>
      <c r="D618" s="179" t="s">
        <v>2449</v>
      </c>
      <c r="E618" s="179" t="s">
        <v>2453</v>
      </c>
      <c r="F618" s="103" t="s">
        <v>1047</v>
      </c>
      <c r="G618" s="105">
        <v>0.9671</v>
      </c>
      <c r="H618" s="105">
        <v>9</v>
      </c>
      <c r="I618" s="103" t="s">
        <v>17</v>
      </c>
      <c r="J618" s="105">
        <v>1.75</v>
      </c>
      <c r="K618" s="116" t="s">
        <v>1670</v>
      </c>
    </row>
    <row r="619" ht="13.25" customHeight="1" spans="1:11">
      <c r="A619" s="187"/>
      <c r="B619" s="180"/>
      <c r="C619" s="181"/>
      <c r="D619" s="182"/>
      <c r="E619" s="182"/>
      <c r="F619" s="103" t="s">
        <v>1048</v>
      </c>
      <c r="G619" s="105">
        <v>1.2384</v>
      </c>
      <c r="H619" s="105">
        <v>0.3</v>
      </c>
      <c r="I619" s="103" t="s">
        <v>22</v>
      </c>
      <c r="J619" s="105">
        <v>2.1</v>
      </c>
      <c r="K619" s="140"/>
    </row>
    <row r="620" ht="13.25" customHeight="1" spans="1:11">
      <c r="A620" s="188"/>
      <c r="B620" s="183"/>
      <c r="C620" s="184"/>
      <c r="D620" s="185"/>
      <c r="E620" s="185"/>
      <c r="F620" s="103" t="s">
        <v>1051</v>
      </c>
      <c r="G620" s="105">
        <v>1.7205</v>
      </c>
      <c r="H620" s="105">
        <v>0.7</v>
      </c>
      <c r="I620" s="103" t="s">
        <v>24</v>
      </c>
      <c r="J620" s="105" t="s">
        <v>24</v>
      </c>
      <c r="K620" s="143"/>
    </row>
    <row r="621" ht="13.25" customHeight="1" spans="1:11">
      <c r="A621" s="186" t="s">
        <v>1410</v>
      </c>
      <c r="B621" s="80" t="s">
        <v>2455</v>
      </c>
      <c r="C621" s="178">
        <v>5</v>
      </c>
      <c r="D621" s="179" t="s">
        <v>2456</v>
      </c>
      <c r="E621" s="179" t="s">
        <v>2444</v>
      </c>
      <c r="F621" s="157" t="s">
        <v>1058</v>
      </c>
      <c r="G621" s="105">
        <v>1.0822</v>
      </c>
      <c r="H621" s="105">
        <v>1.6</v>
      </c>
      <c r="I621" s="103" t="s">
        <v>17</v>
      </c>
      <c r="J621" s="105">
        <v>1.78</v>
      </c>
      <c r="K621" s="116" t="s">
        <v>2209</v>
      </c>
    </row>
    <row r="622" ht="13.25" customHeight="1" spans="1:11">
      <c r="A622" s="187"/>
      <c r="B622" s="180"/>
      <c r="C622" s="181"/>
      <c r="D622" s="182"/>
      <c r="E622" s="182"/>
      <c r="F622" s="157" t="s">
        <v>1059</v>
      </c>
      <c r="G622" s="105">
        <v>1.6658</v>
      </c>
      <c r="H622" s="105">
        <v>2.9</v>
      </c>
      <c r="I622" s="103" t="s">
        <v>17</v>
      </c>
      <c r="J622" s="105">
        <v>1.84</v>
      </c>
      <c r="K622" s="140"/>
    </row>
    <row r="623" ht="13.25" customHeight="1" spans="1:11">
      <c r="A623" s="187"/>
      <c r="B623" s="180"/>
      <c r="C623" s="181"/>
      <c r="D623" s="182"/>
      <c r="E623" s="182"/>
      <c r="F623" s="157" t="s">
        <v>1060</v>
      </c>
      <c r="G623" s="105">
        <v>1.7507</v>
      </c>
      <c r="H623" s="105">
        <v>0.25</v>
      </c>
      <c r="I623" s="103" t="s">
        <v>22</v>
      </c>
      <c r="J623" s="105">
        <v>2.05</v>
      </c>
      <c r="K623" s="140"/>
    </row>
    <row r="624" ht="13.25" customHeight="1" spans="1:11">
      <c r="A624" s="188"/>
      <c r="B624" s="183"/>
      <c r="C624" s="184"/>
      <c r="D624" s="185"/>
      <c r="E624" s="185"/>
      <c r="F624" s="157" t="s">
        <v>1083</v>
      </c>
      <c r="G624" s="105">
        <v>1.7507</v>
      </c>
      <c r="H624" s="105">
        <v>0.25</v>
      </c>
      <c r="I624" s="103" t="s">
        <v>24</v>
      </c>
      <c r="J624" s="105" t="s">
        <v>24</v>
      </c>
      <c r="K624" s="143"/>
    </row>
    <row r="625" ht="13.25" customHeight="1" spans="1:11">
      <c r="A625" s="186" t="s">
        <v>1392</v>
      </c>
      <c r="B625" s="192" t="s">
        <v>2457</v>
      </c>
      <c r="C625" s="178">
        <v>10</v>
      </c>
      <c r="D625" s="179" t="s">
        <v>2453</v>
      </c>
      <c r="E625" s="179" t="s">
        <v>2449</v>
      </c>
      <c r="F625" s="13" t="s">
        <v>1081</v>
      </c>
      <c r="G625" s="105">
        <v>1.9151</v>
      </c>
      <c r="H625" s="105">
        <v>8.9</v>
      </c>
      <c r="I625" s="103" t="s">
        <v>17</v>
      </c>
      <c r="J625" s="105">
        <v>1.86</v>
      </c>
      <c r="K625" s="116" t="s">
        <v>2214</v>
      </c>
    </row>
    <row r="626" ht="13.25" customHeight="1" spans="1:11">
      <c r="A626" s="187"/>
      <c r="B626" s="180"/>
      <c r="C626" s="181"/>
      <c r="D626" s="182"/>
      <c r="E626" s="182"/>
      <c r="F626" s="13" t="s">
        <v>2215</v>
      </c>
      <c r="G626" s="105">
        <v>2</v>
      </c>
      <c r="H626" s="105">
        <v>0.4</v>
      </c>
      <c r="I626" s="103" t="s">
        <v>22</v>
      </c>
      <c r="J626" s="105">
        <v>2.03</v>
      </c>
      <c r="K626" s="140"/>
    </row>
    <row r="627" ht="13.25" customHeight="1" spans="1:11">
      <c r="A627" s="188"/>
      <c r="B627" s="183"/>
      <c r="C627" s="184"/>
      <c r="D627" s="185"/>
      <c r="E627" s="185"/>
      <c r="F627" s="13" t="s">
        <v>1083</v>
      </c>
      <c r="G627" s="105">
        <v>2.6694</v>
      </c>
      <c r="H627" s="105">
        <v>0.7</v>
      </c>
      <c r="I627" s="103" t="s">
        <v>24</v>
      </c>
      <c r="J627" s="105" t="s">
        <v>24</v>
      </c>
      <c r="K627" s="143"/>
    </row>
    <row r="628" ht="13.25" customHeight="1" spans="1:11">
      <c r="A628" s="186" t="s">
        <v>1392</v>
      </c>
      <c r="B628" s="192" t="s">
        <v>2458</v>
      </c>
      <c r="C628" s="178">
        <v>10</v>
      </c>
      <c r="D628" s="179" t="s">
        <v>2450</v>
      </c>
      <c r="E628" s="179" t="s">
        <v>2450</v>
      </c>
      <c r="F628" s="13" t="s">
        <v>1081</v>
      </c>
      <c r="G628" s="105">
        <v>1.0027</v>
      </c>
      <c r="H628" s="105">
        <v>8.9</v>
      </c>
      <c r="I628" s="103" t="s">
        <v>17</v>
      </c>
      <c r="J628" s="105">
        <v>1.78</v>
      </c>
      <c r="K628" s="116" t="s">
        <v>2214</v>
      </c>
    </row>
    <row r="629" ht="13.25" customHeight="1" spans="1:11">
      <c r="A629" s="187"/>
      <c r="B629" s="180"/>
      <c r="C629" s="181"/>
      <c r="D629" s="182"/>
      <c r="E629" s="182"/>
      <c r="F629" s="13" t="s">
        <v>2215</v>
      </c>
      <c r="G629" s="105">
        <v>1.1753</v>
      </c>
      <c r="H629" s="105">
        <v>0.5</v>
      </c>
      <c r="I629" s="103" t="s">
        <v>22</v>
      </c>
      <c r="J629" s="105">
        <v>1.9</v>
      </c>
      <c r="K629" s="140"/>
    </row>
    <row r="630" ht="13.25" customHeight="1" spans="1:11">
      <c r="A630" s="188"/>
      <c r="B630" s="183"/>
      <c r="C630" s="184"/>
      <c r="D630" s="185"/>
      <c r="E630" s="185"/>
      <c r="F630" s="13" t="s">
        <v>1083</v>
      </c>
      <c r="G630" s="105">
        <v>1.7507</v>
      </c>
      <c r="H630" s="105">
        <v>0.6</v>
      </c>
      <c r="I630" s="103" t="s">
        <v>24</v>
      </c>
      <c r="J630" s="105" t="s">
        <v>24</v>
      </c>
      <c r="K630" s="143"/>
    </row>
    <row r="631" ht="13.25" customHeight="1" spans="1:11">
      <c r="A631" s="186" t="s">
        <v>1392</v>
      </c>
      <c r="B631" s="192" t="s">
        <v>2459</v>
      </c>
      <c r="C631" s="178">
        <v>10</v>
      </c>
      <c r="D631" s="179" t="s">
        <v>2460</v>
      </c>
      <c r="E631" s="179" t="s">
        <v>2449</v>
      </c>
      <c r="F631" s="103" t="s">
        <v>1047</v>
      </c>
      <c r="G631" s="105">
        <v>0.9671</v>
      </c>
      <c r="H631" s="105">
        <v>9</v>
      </c>
      <c r="I631" s="103" t="s">
        <v>17</v>
      </c>
      <c r="J631" s="105">
        <v>1.78</v>
      </c>
      <c r="K631" s="116" t="s">
        <v>1670</v>
      </c>
    </row>
    <row r="632" ht="13.25" customHeight="1" spans="1:11">
      <c r="A632" s="187"/>
      <c r="B632" s="180"/>
      <c r="C632" s="181"/>
      <c r="D632" s="182"/>
      <c r="E632" s="182"/>
      <c r="F632" s="103" t="s">
        <v>1048</v>
      </c>
      <c r="G632" s="105">
        <v>1.2247</v>
      </c>
      <c r="H632" s="105">
        <v>0.3</v>
      </c>
      <c r="I632" s="103" t="s">
        <v>22</v>
      </c>
      <c r="J632" s="105">
        <v>2.1</v>
      </c>
      <c r="K632" s="140"/>
    </row>
    <row r="633" ht="13.25" customHeight="1" spans="1:11">
      <c r="A633" s="188"/>
      <c r="B633" s="183"/>
      <c r="C633" s="184"/>
      <c r="D633" s="185"/>
      <c r="E633" s="185"/>
      <c r="F633" s="103" t="s">
        <v>1051</v>
      </c>
      <c r="G633" s="105">
        <v>1.7205</v>
      </c>
      <c r="H633" s="105">
        <v>0.7</v>
      </c>
      <c r="I633" s="193" t="s">
        <v>24</v>
      </c>
      <c r="J633" s="105" t="s">
        <v>24</v>
      </c>
      <c r="K633" s="143"/>
    </row>
    <row r="634" ht="13.25" customHeight="1" spans="1:11">
      <c r="A634" s="47" t="s">
        <v>1392</v>
      </c>
      <c r="B634" s="194" t="s">
        <v>2461</v>
      </c>
      <c r="C634" s="195">
        <v>10</v>
      </c>
      <c r="D634" s="196" t="s">
        <v>2460</v>
      </c>
      <c r="E634" s="196" t="s">
        <v>2462</v>
      </c>
      <c r="F634" s="95" t="s">
        <v>1064</v>
      </c>
      <c r="G634" s="105">
        <v>1.9151</v>
      </c>
      <c r="H634" s="105">
        <v>8.7</v>
      </c>
      <c r="I634" s="103" t="s">
        <v>17</v>
      </c>
      <c r="J634" s="105">
        <v>1.95</v>
      </c>
      <c r="K634" s="116" t="s">
        <v>2221</v>
      </c>
    </row>
    <row r="635" ht="13.25" customHeight="1" spans="1:11">
      <c r="A635" s="47"/>
      <c r="B635" s="194"/>
      <c r="C635" s="195"/>
      <c r="D635" s="196"/>
      <c r="E635" s="196"/>
      <c r="F635" s="95" t="s">
        <v>1060</v>
      </c>
      <c r="G635" s="105">
        <v>1.9151</v>
      </c>
      <c r="H635" s="105">
        <v>0.4</v>
      </c>
      <c r="I635" s="103" t="s">
        <v>22</v>
      </c>
      <c r="J635" s="105">
        <v>2.1</v>
      </c>
      <c r="K635" s="140"/>
    </row>
    <row r="636" ht="12" spans="1:11">
      <c r="A636" s="47"/>
      <c r="B636" s="194"/>
      <c r="C636" s="195"/>
      <c r="D636" s="196"/>
      <c r="E636" s="196"/>
      <c r="F636" s="95" t="s">
        <v>1166</v>
      </c>
      <c r="G636" s="105">
        <v>1.9151</v>
      </c>
      <c r="H636" s="105">
        <v>0.4</v>
      </c>
      <c r="I636" s="103" t="s">
        <v>64</v>
      </c>
      <c r="J636" s="105">
        <v>3.4</v>
      </c>
      <c r="K636" s="140"/>
    </row>
    <row r="637" ht="12" spans="1:11">
      <c r="A637" s="47"/>
      <c r="B637" s="194"/>
      <c r="C637" s="195"/>
      <c r="D637" s="196"/>
      <c r="E637" s="196"/>
      <c r="F637" s="95" t="s">
        <v>1083</v>
      </c>
      <c r="G637" s="105">
        <v>2.8306</v>
      </c>
      <c r="H637" s="105">
        <v>0.5</v>
      </c>
      <c r="I637" s="193" t="s">
        <v>24</v>
      </c>
      <c r="J637" s="105" t="s">
        <v>24</v>
      </c>
      <c r="K637" s="143"/>
    </row>
    <row r="638" ht="13.25" customHeight="1" spans="1:11">
      <c r="A638" s="47" t="s">
        <v>1392</v>
      </c>
      <c r="B638" s="194" t="s">
        <v>2463</v>
      </c>
      <c r="C638" s="195">
        <v>10</v>
      </c>
      <c r="D638" s="196" t="s">
        <v>2453</v>
      </c>
      <c r="E638" s="196" t="s">
        <v>2453</v>
      </c>
      <c r="F638" s="13" t="s">
        <v>1081</v>
      </c>
      <c r="G638" s="105">
        <v>1.0027</v>
      </c>
      <c r="H638" s="105">
        <v>8.9</v>
      </c>
      <c r="I638" s="103" t="s">
        <v>17</v>
      </c>
      <c r="J638" s="105">
        <v>1.78</v>
      </c>
      <c r="K638" s="111" t="s">
        <v>2214</v>
      </c>
    </row>
    <row r="639" ht="12" spans="1:11">
      <c r="A639" s="47"/>
      <c r="B639" s="194"/>
      <c r="C639" s="195"/>
      <c r="D639" s="196"/>
      <c r="E639" s="196"/>
      <c r="F639" s="13" t="s">
        <v>2215</v>
      </c>
      <c r="G639" s="105">
        <v>1.1753</v>
      </c>
      <c r="H639" s="105">
        <v>0.5</v>
      </c>
      <c r="I639" s="103" t="s">
        <v>22</v>
      </c>
      <c r="J639" s="105">
        <v>1.9</v>
      </c>
      <c r="K639" s="111"/>
    </row>
    <row r="640" ht="12" spans="1:11">
      <c r="A640" s="47"/>
      <c r="B640" s="194"/>
      <c r="C640" s="195"/>
      <c r="D640" s="196"/>
      <c r="E640" s="196"/>
      <c r="F640" s="13" t="s">
        <v>1083</v>
      </c>
      <c r="G640" s="105">
        <v>1.7507</v>
      </c>
      <c r="H640" s="105">
        <v>0.6</v>
      </c>
      <c r="I640" s="193" t="s">
        <v>24</v>
      </c>
      <c r="J640" s="105" t="s">
        <v>24</v>
      </c>
      <c r="K640" s="111"/>
    </row>
    <row r="641" ht="12" customHeight="1" spans="1:11">
      <c r="A641" s="79" t="s">
        <v>1416</v>
      </c>
      <c r="B641" s="80" t="s">
        <v>2464</v>
      </c>
      <c r="C641" s="81">
        <v>10</v>
      </c>
      <c r="D641" s="80" t="s">
        <v>2219</v>
      </c>
      <c r="E641" s="80" t="s">
        <v>1620</v>
      </c>
      <c r="F641" s="95" t="s">
        <v>1058</v>
      </c>
      <c r="G641" s="105">
        <v>1.08</v>
      </c>
      <c r="H641" s="105">
        <v>3.2</v>
      </c>
      <c r="I641" s="103" t="s">
        <v>17</v>
      </c>
      <c r="J641" s="105">
        <v>1.76</v>
      </c>
      <c r="K641" s="111" t="s">
        <v>2209</v>
      </c>
    </row>
    <row r="642" ht="12" customHeight="1" spans="1:11">
      <c r="A642" s="97"/>
      <c r="B642" s="87"/>
      <c r="C642" s="107"/>
      <c r="D642" s="87"/>
      <c r="E642" s="87"/>
      <c r="F642" s="95" t="s">
        <v>1059</v>
      </c>
      <c r="G642" s="105">
        <v>1.67</v>
      </c>
      <c r="H642" s="105">
        <v>5.8</v>
      </c>
      <c r="I642" s="103" t="s">
        <v>17</v>
      </c>
      <c r="J642" s="105">
        <v>1.83</v>
      </c>
      <c r="K642" s="111"/>
    </row>
    <row r="643" ht="12" customHeight="1" spans="1:11">
      <c r="A643" s="97"/>
      <c r="B643" s="87"/>
      <c r="C643" s="107"/>
      <c r="D643" s="87"/>
      <c r="E643" s="87"/>
      <c r="F643" s="95" t="s">
        <v>1060</v>
      </c>
      <c r="G643" s="105">
        <v>1.75</v>
      </c>
      <c r="H643" s="105">
        <v>0.5</v>
      </c>
      <c r="I643" s="103" t="s">
        <v>22</v>
      </c>
      <c r="J643" s="105">
        <v>2.05</v>
      </c>
      <c r="K643" s="111"/>
    </row>
    <row r="644" ht="12" customHeight="1" spans="1:11">
      <c r="A644" s="82"/>
      <c r="B644" s="83"/>
      <c r="C644" s="84"/>
      <c r="D644" s="83"/>
      <c r="E644" s="83"/>
      <c r="F644" s="95" t="s">
        <v>1083</v>
      </c>
      <c r="G644" s="105">
        <v>1.75</v>
      </c>
      <c r="H644" s="105">
        <v>0.5</v>
      </c>
      <c r="I644" s="103" t="s">
        <v>24</v>
      </c>
      <c r="J644" s="105" t="s">
        <v>24</v>
      </c>
      <c r="K644" s="111"/>
    </row>
    <row r="645" ht="12" customHeight="1" spans="1:11">
      <c r="A645" s="79" t="s">
        <v>1419</v>
      </c>
      <c r="B645" s="80" t="s">
        <v>2465</v>
      </c>
      <c r="C645" s="81">
        <v>5</v>
      </c>
      <c r="D645" s="80" t="s">
        <v>2466</v>
      </c>
      <c r="E645" s="80" t="s">
        <v>2211</v>
      </c>
      <c r="F645" s="103" t="s">
        <v>1047</v>
      </c>
      <c r="G645" s="105">
        <v>1.55</v>
      </c>
      <c r="H645" s="105">
        <v>4.35</v>
      </c>
      <c r="I645" s="103" t="s">
        <v>17</v>
      </c>
      <c r="J645" s="105">
        <v>2.66</v>
      </c>
      <c r="K645" s="111" t="s">
        <v>2278</v>
      </c>
    </row>
    <row r="646" ht="12" customHeight="1" spans="1:11">
      <c r="A646" s="97"/>
      <c r="B646" s="87"/>
      <c r="C646" s="107"/>
      <c r="D646" s="87"/>
      <c r="E646" s="87"/>
      <c r="F646" s="103" t="s">
        <v>1048</v>
      </c>
      <c r="G646" s="105">
        <v>1.59</v>
      </c>
      <c r="H646" s="105">
        <v>0.2</v>
      </c>
      <c r="I646" s="103" t="s">
        <v>22</v>
      </c>
      <c r="J646" s="105">
        <v>3.5</v>
      </c>
      <c r="K646" s="111"/>
    </row>
    <row r="647" ht="12" customHeight="1" spans="1:11">
      <c r="A647" s="97"/>
      <c r="B647" s="87"/>
      <c r="C647" s="107"/>
      <c r="D647" s="87"/>
      <c r="E647" s="87"/>
      <c r="F647" s="103" t="s">
        <v>1050</v>
      </c>
      <c r="G647" s="105">
        <v>1.69</v>
      </c>
      <c r="H647" s="105">
        <v>0.2</v>
      </c>
      <c r="I647" s="103" t="s">
        <v>96</v>
      </c>
      <c r="J647" s="105">
        <v>5.1</v>
      </c>
      <c r="K647" s="111"/>
    </row>
    <row r="648" ht="12" customHeight="1" spans="1:11">
      <c r="A648" s="82"/>
      <c r="B648" s="83"/>
      <c r="C648" s="84"/>
      <c r="D648" s="83"/>
      <c r="E648" s="83"/>
      <c r="F648" s="103" t="s">
        <v>1051</v>
      </c>
      <c r="G648" s="105">
        <v>2.02</v>
      </c>
      <c r="H648" s="105">
        <v>0.25</v>
      </c>
      <c r="I648" s="103" t="s">
        <v>24</v>
      </c>
      <c r="J648" s="105" t="s">
        <v>24</v>
      </c>
      <c r="K648" s="111"/>
    </row>
    <row r="649" ht="12" customHeight="1" spans="1:11">
      <c r="A649" s="79" t="s">
        <v>1406</v>
      </c>
      <c r="B649" s="80" t="s">
        <v>2467</v>
      </c>
      <c r="C649" s="81">
        <v>5</v>
      </c>
      <c r="D649" s="80" t="s">
        <v>1623</v>
      </c>
      <c r="E649" s="80" t="s">
        <v>1623</v>
      </c>
      <c r="F649" s="95" t="s">
        <v>1058</v>
      </c>
      <c r="G649" s="105">
        <v>0.62</v>
      </c>
      <c r="H649" s="105">
        <v>1.5</v>
      </c>
      <c r="I649" s="103" t="s">
        <v>17</v>
      </c>
      <c r="J649" s="105">
        <v>2.3</v>
      </c>
      <c r="K649" s="111" t="s">
        <v>2243</v>
      </c>
    </row>
    <row r="650" ht="12" customHeight="1" spans="1:11">
      <c r="A650" s="97"/>
      <c r="B650" s="87"/>
      <c r="C650" s="107"/>
      <c r="D650" s="87"/>
      <c r="E650" s="87"/>
      <c r="F650" s="95" t="s">
        <v>1059</v>
      </c>
      <c r="G650" s="105">
        <v>1.62</v>
      </c>
      <c r="H650" s="105">
        <v>2</v>
      </c>
      <c r="I650" s="103" t="s">
        <v>17</v>
      </c>
      <c r="J650" s="105">
        <v>2.7</v>
      </c>
      <c r="K650" s="111"/>
    </row>
    <row r="651" ht="12" customHeight="1" spans="1:11">
      <c r="A651" s="97"/>
      <c r="B651" s="87"/>
      <c r="C651" s="107"/>
      <c r="D651" s="87"/>
      <c r="E651" s="87"/>
      <c r="F651" s="95" t="s">
        <v>1099</v>
      </c>
      <c r="G651" s="105">
        <v>2.62</v>
      </c>
      <c r="H651" s="105">
        <v>1.425</v>
      </c>
      <c r="I651" s="103" t="s">
        <v>17</v>
      </c>
      <c r="J651" s="105">
        <v>4</v>
      </c>
      <c r="K651" s="111"/>
    </row>
    <row r="652" ht="12" customHeight="1" spans="1:11">
      <c r="A652" s="82"/>
      <c r="B652" s="83"/>
      <c r="C652" s="84"/>
      <c r="D652" s="83"/>
      <c r="E652" s="83"/>
      <c r="F652" s="95" t="s">
        <v>1083</v>
      </c>
      <c r="G652" s="105">
        <v>3.21</v>
      </c>
      <c r="H652" s="105">
        <v>0.075</v>
      </c>
      <c r="I652" s="103" t="s">
        <v>24</v>
      </c>
      <c r="J652" s="105" t="s">
        <v>24</v>
      </c>
      <c r="K652" s="111"/>
    </row>
    <row r="653" ht="12" spans="1:11">
      <c r="A653" s="53" t="s">
        <v>1408</v>
      </c>
      <c r="B653" s="54" t="s">
        <v>2468</v>
      </c>
      <c r="C653" s="55">
        <v>10</v>
      </c>
      <c r="D653" s="54" t="s">
        <v>1628</v>
      </c>
      <c r="E653" s="54" t="s">
        <v>1628</v>
      </c>
      <c r="F653" s="13" t="s">
        <v>1081</v>
      </c>
      <c r="G653" s="197">
        <v>1</v>
      </c>
      <c r="H653" s="105">
        <v>8.9</v>
      </c>
      <c r="I653" s="103" t="s">
        <v>17</v>
      </c>
      <c r="J653" s="105">
        <v>1.78</v>
      </c>
      <c r="K653" s="111" t="s">
        <v>2214</v>
      </c>
    </row>
    <row r="654" ht="12" spans="1:11">
      <c r="A654" s="53"/>
      <c r="B654" s="54"/>
      <c r="C654" s="55"/>
      <c r="D654" s="54"/>
      <c r="E654" s="54"/>
      <c r="F654" s="13" t="s">
        <v>2215</v>
      </c>
      <c r="G654" s="197">
        <v>1.18</v>
      </c>
      <c r="H654" s="105">
        <v>0.5</v>
      </c>
      <c r="I654" s="103" t="s">
        <v>22</v>
      </c>
      <c r="J654" s="105">
        <v>1.9</v>
      </c>
      <c r="K654" s="111"/>
    </row>
    <row r="655" ht="12" spans="1:11">
      <c r="A655" s="53"/>
      <c r="B655" s="54"/>
      <c r="C655" s="55"/>
      <c r="D655" s="54"/>
      <c r="E655" s="54"/>
      <c r="F655" s="13" t="s">
        <v>1083</v>
      </c>
      <c r="G655" s="197">
        <v>1.76</v>
      </c>
      <c r="H655" s="105">
        <v>0.6</v>
      </c>
      <c r="I655" s="103" t="s">
        <v>24</v>
      </c>
      <c r="J655" s="105" t="s">
        <v>24</v>
      </c>
      <c r="K655" s="111"/>
    </row>
    <row r="656" ht="12" spans="1:11">
      <c r="A656" s="53" t="s">
        <v>1408</v>
      </c>
      <c r="B656" s="54" t="s">
        <v>2469</v>
      </c>
      <c r="C656" s="55">
        <v>5</v>
      </c>
      <c r="D656" s="54" t="s">
        <v>2249</v>
      </c>
      <c r="E656" s="54" t="s">
        <v>2250</v>
      </c>
      <c r="F656" s="103" t="s">
        <v>1047</v>
      </c>
      <c r="G656" s="197">
        <v>0.91</v>
      </c>
      <c r="H656" s="105">
        <v>4.09</v>
      </c>
      <c r="I656" s="103" t="s">
        <v>17</v>
      </c>
      <c r="J656" s="105">
        <v>1.85</v>
      </c>
      <c r="K656" s="111" t="s">
        <v>2251</v>
      </c>
    </row>
    <row r="657" ht="12" spans="1:11">
      <c r="A657" s="53"/>
      <c r="B657" s="54"/>
      <c r="C657" s="55"/>
      <c r="D657" s="54"/>
      <c r="E657" s="54"/>
      <c r="F657" s="103" t="s">
        <v>1048</v>
      </c>
      <c r="G657" s="105">
        <v>0.91</v>
      </c>
      <c r="H657" s="105">
        <v>0.18</v>
      </c>
      <c r="I657" s="103" t="s">
        <v>22</v>
      </c>
      <c r="J657" s="105">
        <v>2</v>
      </c>
      <c r="K657" s="111"/>
    </row>
    <row r="658" ht="12" spans="1:11">
      <c r="A658" s="53"/>
      <c r="B658" s="54"/>
      <c r="C658" s="55"/>
      <c r="D658" s="54"/>
      <c r="E658" s="54"/>
      <c r="F658" s="103" t="s">
        <v>1050</v>
      </c>
      <c r="G658" s="105">
        <v>0.99</v>
      </c>
      <c r="H658" s="105">
        <v>0.28</v>
      </c>
      <c r="I658" s="103" t="s">
        <v>439</v>
      </c>
      <c r="J658" s="105">
        <v>3.4</v>
      </c>
      <c r="K658" s="111"/>
    </row>
    <row r="659" ht="12" spans="1:11">
      <c r="A659" s="79"/>
      <c r="B659" s="80"/>
      <c r="C659" s="81"/>
      <c r="D659" s="80"/>
      <c r="E659" s="80"/>
      <c r="F659" s="118" t="s">
        <v>1051</v>
      </c>
      <c r="G659" s="117">
        <v>1.5</v>
      </c>
      <c r="H659" s="117">
        <v>0.45</v>
      </c>
      <c r="I659" s="118" t="s">
        <v>24</v>
      </c>
      <c r="J659" s="117" t="s">
        <v>24</v>
      </c>
      <c r="K659" s="116"/>
    </row>
    <row r="660" ht="12" spans="1:11">
      <c r="A660" s="120">
        <v>45883</v>
      </c>
      <c r="B660" s="95" t="s">
        <v>2470</v>
      </c>
      <c r="C660" s="121">
        <v>10</v>
      </c>
      <c r="D660" s="95" t="s">
        <v>1630</v>
      </c>
      <c r="E660" s="95" t="s">
        <v>1640</v>
      </c>
      <c r="F660" s="95" t="s">
        <v>1081</v>
      </c>
      <c r="G660" s="52">
        <v>1</v>
      </c>
      <c r="H660" s="52">
        <v>8.8</v>
      </c>
      <c r="I660" s="95" t="s">
        <v>17</v>
      </c>
      <c r="J660" s="52">
        <v>1.77</v>
      </c>
      <c r="K660" s="95" t="s">
        <v>2214</v>
      </c>
    </row>
    <row r="661" ht="12" spans="1:11">
      <c r="A661" s="120"/>
      <c r="B661" s="95"/>
      <c r="C661" s="121"/>
      <c r="D661" s="95"/>
      <c r="E661" s="95"/>
      <c r="F661" s="95" t="s">
        <v>2215</v>
      </c>
      <c r="G661" s="52">
        <v>1.08</v>
      </c>
      <c r="H661" s="52">
        <v>0.6</v>
      </c>
      <c r="I661" s="95" t="s">
        <v>22</v>
      </c>
      <c r="J661" s="52">
        <v>1.9</v>
      </c>
      <c r="K661" s="95"/>
    </row>
    <row r="662" ht="12" spans="1:11">
      <c r="A662" s="120"/>
      <c r="B662" s="95"/>
      <c r="C662" s="121"/>
      <c r="D662" s="95"/>
      <c r="E662" s="95"/>
      <c r="F662" s="95" t="s">
        <v>1083</v>
      </c>
      <c r="G662" s="52">
        <v>1.67</v>
      </c>
      <c r="H662" s="52">
        <v>0.6</v>
      </c>
      <c r="I662" s="95" t="s">
        <v>24</v>
      </c>
      <c r="J662" s="52" t="s">
        <v>24</v>
      </c>
      <c r="K662" s="95"/>
    </row>
    <row r="663" ht="12" spans="1:11">
      <c r="A663" s="120">
        <v>45884</v>
      </c>
      <c r="B663" s="95" t="s">
        <v>2471</v>
      </c>
      <c r="C663" s="121">
        <v>18.8</v>
      </c>
      <c r="D663" s="95" t="s">
        <v>2219</v>
      </c>
      <c r="E663" s="95" t="s">
        <v>1640</v>
      </c>
      <c r="F663" s="95" t="s">
        <v>1058</v>
      </c>
      <c r="G663" s="52">
        <v>1.01</v>
      </c>
      <c r="H663" s="52">
        <v>6</v>
      </c>
      <c r="I663" s="95" t="s">
        <v>17</v>
      </c>
      <c r="J663" s="52">
        <v>1.75</v>
      </c>
      <c r="K663" s="95" t="s">
        <v>2209</v>
      </c>
    </row>
    <row r="664" ht="12" spans="1:11">
      <c r="A664" s="120"/>
      <c r="B664" s="95"/>
      <c r="C664" s="121"/>
      <c r="D664" s="95"/>
      <c r="E664" s="95"/>
      <c r="F664" s="95" t="s">
        <v>1059</v>
      </c>
      <c r="G664" s="52">
        <v>1.01</v>
      </c>
      <c r="H664" s="52">
        <v>11.6</v>
      </c>
      <c r="I664" s="95" t="s">
        <v>17</v>
      </c>
      <c r="J664" s="52">
        <v>1.75</v>
      </c>
      <c r="K664" s="95"/>
    </row>
    <row r="665" ht="12" spans="1:11">
      <c r="A665" s="120"/>
      <c r="B665" s="95"/>
      <c r="C665" s="121"/>
      <c r="D665" s="95"/>
      <c r="E665" s="95"/>
      <c r="F665" s="95" t="s">
        <v>1060</v>
      </c>
      <c r="G665" s="52">
        <v>1.01</v>
      </c>
      <c r="H665" s="52">
        <v>1.2</v>
      </c>
      <c r="I665" s="95" t="s">
        <v>22</v>
      </c>
      <c r="J665" s="52">
        <v>1.98</v>
      </c>
      <c r="K665" s="95"/>
    </row>
    <row r="666" ht="12" spans="1:11">
      <c r="A666" s="120">
        <v>45882</v>
      </c>
      <c r="B666" s="95" t="s">
        <v>2472</v>
      </c>
      <c r="C666" s="121">
        <v>15</v>
      </c>
      <c r="D666" s="95" t="s">
        <v>2312</v>
      </c>
      <c r="E666" s="95" t="s">
        <v>1620</v>
      </c>
      <c r="F666" s="95" t="s">
        <v>1064</v>
      </c>
      <c r="G666" s="52">
        <v>1.04</v>
      </c>
      <c r="H666" s="52">
        <v>12.225</v>
      </c>
      <c r="I666" s="95" t="s">
        <v>17</v>
      </c>
      <c r="J666" s="52">
        <v>1.78</v>
      </c>
      <c r="K666" s="95" t="s">
        <v>2217</v>
      </c>
    </row>
    <row r="667" ht="12" spans="1:11">
      <c r="A667" s="120"/>
      <c r="B667" s="95"/>
      <c r="C667" s="121"/>
      <c r="D667" s="95"/>
      <c r="E667" s="95"/>
      <c r="F667" s="95" t="s">
        <v>1060</v>
      </c>
      <c r="G667" s="52">
        <v>1.04</v>
      </c>
      <c r="H667" s="52">
        <v>0.975</v>
      </c>
      <c r="I667" s="95" t="s">
        <v>22</v>
      </c>
      <c r="J667" s="52">
        <v>1.85</v>
      </c>
      <c r="K667" s="95"/>
    </row>
    <row r="668" ht="12" spans="1:11">
      <c r="A668" s="120"/>
      <c r="B668" s="95"/>
      <c r="C668" s="121"/>
      <c r="D668" s="95"/>
      <c r="E668" s="95"/>
      <c r="F668" s="95" t="s">
        <v>1083</v>
      </c>
      <c r="G668" s="52">
        <v>3.04</v>
      </c>
      <c r="H668" s="52">
        <v>1.8</v>
      </c>
      <c r="I668" s="95" t="s">
        <v>24</v>
      </c>
      <c r="J668" s="52" t="s">
        <v>24</v>
      </c>
      <c r="K668" s="95"/>
    </row>
    <row r="669" ht="12" spans="1:11">
      <c r="A669" s="120">
        <v>45881</v>
      </c>
      <c r="B669" s="95" t="s">
        <v>2473</v>
      </c>
      <c r="C669" s="121">
        <v>10</v>
      </c>
      <c r="D669" s="95" t="s">
        <v>1620</v>
      </c>
      <c r="E669" s="95" t="s">
        <v>1640</v>
      </c>
      <c r="F669" s="95" t="s">
        <v>1064</v>
      </c>
      <c r="G669" s="52">
        <v>1</v>
      </c>
      <c r="H669" s="52">
        <v>8.8</v>
      </c>
      <c r="I669" s="95" t="s">
        <v>17</v>
      </c>
      <c r="J669" s="52">
        <v>1.75</v>
      </c>
      <c r="K669" s="95" t="s">
        <v>2209</v>
      </c>
    </row>
    <row r="670" ht="12" spans="1:11">
      <c r="A670" s="120"/>
      <c r="B670" s="95"/>
      <c r="C670" s="121"/>
      <c r="D670" s="95"/>
      <c r="E670" s="95"/>
      <c r="F670" s="95" t="s">
        <v>1060</v>
      </c>
      <c r="G670" s="52">
        <v>1</v>
      </c>
      <c r="H670" s="52">
        <v>0.6</v>
      </c>
      <c r="I670" s="95" t="s">
        <v>22</v>
      </c>
      <c r="J670" s="52">
        <v>1.95</v>
      </c>
      <c r="K670" s="95"/>
    </row>
    <row r="671" ht="12" spans="1:11">
      <c r="A671" s="120"/>
      <c r="B671" s="95"/>
      <c r="C671" s="121"/>
      <c r="D671" s="95"/>
      <c r="E671" s="95"/>
      <c r="F671" s="95" t="s">
        <v>1083</v>
      </c>
      <c r="G671" s="52">
        <v>3.99</v>
      </c>
      <c r="H671" s="52">
        <v>0.6</v>
      </c>
      <c r="I671" s="95" t="s">
        <v>24</v>
      </c>
      <c r="J671" s="52" t="s">
        <v>24</v>
      </c>
      <c r="K671" s="95"/>
    </row>
    <row r="672" ht="12" customHeight="1" spans="1:11">
      <c r="A672" s="167" t="s">
        <v>1437</v>
      </c>
      <c r="B672" s="168" t="s">
        <v>2474</v>
      </c>
      <c r="C672" s="169">
        <v>4</v>
      </c>
      <c r="D672" s="168" t="s">
        <v>1505</v>
      </c>
      <c r="E672" s="168" t="s">
        <v>1525</v>
      </c>
      <c r="F672" s="77" t="s">
        <v>1047</v>
      </c>
      <c r="G672" s="74">
        <v>1.4192</v>
      </c>
      <c r="H672" s="74">
        <v>3.36</v>
      </c>
      <c r="I672" s="77" t="s">
        <v>17</v>
      </c>
      <c r="J672" s="74">
        <v>2.39</v>
      </c>
      <c r="K672" s="75" t="s">
        <v>2475</v>
      </c>
    </row>
    <row r="673" ht="12" spans="1:11">
      <c r="A673" s="172"/>
      <c r="B673" s="173"/>
      <c r="C673" s="174"/>
      <c r="D673" s="173"/>
      <c r="E673" s="173"/>
      <c r="F673" s="77" t="s">
        <v>1048</v>
      </c>
      <c r="G673" s="74">
        <v>1.5068</v>
      </c>
      <c r="H673" s="74">
        <v>0.16</v>
      </c>
      <c r="I673" s="77" t="s">
        <v>22</v>
      </c>
      <c r="J673" s="74">
        <v>2.8</v>
      </c>
      <c r="K673" s="76"/>
    </row>
    <row r="674" ht="12" spans="1:11">
      <c r="A674" s="175"/>
      <c r="B674" s="176"/>
      <c r="C674" s="177"/>
      <c r="D674" s="176"/>
      <c r="E674" s="176"/>
      <c r="F674" s="77" t="s">
        <v>1051</v>
      </c>
      <c r="G674" s="74">
        <v>2.582</v>
      </c>
      <c r="H674" s="74">
        <v>0.48</v>
      </c>
      <c r="I674" s="77" t="s">
        <v>24</v>
      </c>
      <c r="J674" s="52" t="s">
        <v>24</v>
      </c>
      <c r="K674" s="78"/>
    </row>
    <row r="675" ht="12" customHeight="1" spans="1:11">
      <c r="A675" s="167" t="s">
        <v>2476</v>
      </c>
      <c r="B675" s="168" t="s">
        <v>2477</v>
      </c>
      <c r="C675" s="169">
        <v>9.4</v>
      </c>
      <c r="D675" s="168" t="s">
        <v>1562</v>
      </c>
      <c r="E675" s="168" t="s">
        <v>1553</v>
      </c>
      <c r="F675" s="77" t="s">
        <v>1121</v>
      </c>
      <c r="G675" s="74">
        <v>1</v>
      </c>
      <c r="H675" s="74">
        <v>3</v>
      </c>
      <c r="I675" s="77" t="s">
        <v>17</v>
      </c>
      <c r="J675" s="198">
        <v>1.8</v>
      </c>
      <c r="K675" s="75" t="s">
        <v>2198</v>
      </c>
    </row>
    <row r="676" ht="12" spans="1:11">
      <c r="A676" s="172"/>
      <c r="B676" s="173"/>
      <c r="C676" s="174"/>
      <c r="D676" s="173"/>
      <c r="E676" s="173"/>
      <c r="F676" s="77" t="s">
        <v>1122</v>
      </c>
      <c r="G676" s="74">
        <v>1</v>
      </c>
      <c r="H676" s="74">
        <v>5.8</v>
      </c>
      <c r="I676" s="77" t="s">
        <v>17</v>
      </c>
      <c r="J676" s="198">
        <v>1.8</v>
      </c>
      <c r="K676" s="76"/>
    </row>
    <row r="677" ht="12" spans="1:11">
      <c r="A677" s="175"/>
      <c r="B677" s="176"/>
      <c r="C677" s="177"/>
      <c r="D677" s="176"/>
      <c r="E677" s="176"/>
      <c r="F677" s="77" t="s">
        <v>1048</v>
      </c>
      <c r="G677" s="74">
        <v>1</v>
      </c>
      <c r="H677" s="74">
        <v>0.6</v>
      </c>
      <c r="I677" s="77" t="s">
        <v>17</v>
      </c>
      <c r="J677" s="198">
        <v>1.95</v>
      </c>
      <c r="K677" s="78"/>
    </row>
    <row r="678" ht="14" customHeight="1" spans="1:11">
      <c r="A678" s="167" t="s">
        <v>1445</v>
      </c>
      <c r="B678" s="168" t="s">
        <v>2478</v>
      </c>
      <c r="C678" s="169">
        <v>5</v>
      </c>
      <c r="D678" s="168" t="s">
        <v>2436</v>
      </c>
      <c r="E678" s="168" t="s">
        <v>2437</v>
      </c>
      <c r="F678" s="77" t="s">
        <v>1047</v>
      </c>
      <c r="G678" s="74">
        <v>0.9096</v>
      </c>
      <c r="H678" s="74">
        <v>4.1</v>
      </c>
      <c r="I678" s="77" t="s">
        <v>17</v>
      </c>
      <c r="J678" s="198">
        <v>1.8</v>
      </c>
      <c r="K678" s="75" t="s">
        <v>2438</v>
      </c>
    </row>
    <row r="679" ht="12" spans="1:11">
      <c r="A679" s="172"/>
      <c r="B679" s="173"/>
      <c r="C679" s="174"/>
      <c r="D679" s="173"/>
      <c r="E679" s="173"/>
      <c r="F679" s="77" t="s">
        <v>1048</v>
      </c>
      <c r="G679" s="74">
        <v>0.9096</v>
      </c>
      <c r="H679" s="74">
        <v>0.18</v>
      </c>
      <c r="I679" s="77" t="s">
        <v>22</v>
      </c>
      <c r="J679" s="198">
        <v>2</v>
      </c>
      <c r="K679" s="76"/>
    </row>
    <row r="680" ht="12" spans="1:11">
      <c r="A680" s="172"/>
      <c r="B680" s="173"/>
      <c r="C680" s="174"/>
      <c r="D680" s="173"/>
      <c r="E680" s="173"/>
      <c r="F680" s="77" t="s">
        <v>1050</v>
      </c>
      <c r="G680" s="74">
        <v>1</v>
      </c>
      <c r="H680" s="74">
        <v>0.28</v>
      </c>
      <c r="I680" s="77" t="s">
        <v>439</v>
      </c>
      <c r="J680" s="198">
        <v>3.3</v>
      </c>
      <c r="K680" s="76"/>
    </row>
    <row r="681" ht="12" spans="1:11">
      <c r="A681" s="175"/>
      <c r="B681" s="176"/>
      <c r="C681" s="177"/>
      <c r="D681" s="176"/>
      <c r="E681" s="176"/>
      <c r="F681" s="77" t="s">
        <v>1051</v>
      </c>
      <c r="G681" s="74">
        <v>1.5041</v>
      </c>
      <c r="H681" s="74">
        <v>0.44</v>
      </c>
      <c r="I681" s="77" t="s">
        <v>24</v>
      </c>
      <c r="J681" s="198" t="s">
        <v>24</v>
      </c>
      <c r="K681" s="78"/>
    </row>
    <row r="682" ht="15" customHeight="1" spans="1:11">
      <c r="A682" s="167">
        <v>45894</v>
      </c>
      <c r="B682" s="168" t="s">
        <v>2479</v>
      </c>
      <c r="C682" s="169">
        <v>6.58</v>
      </c>
      <c r="D682" s="168" t="s">
        <v>1553</v>
      </c>
      <c r="E682" s="168" t="s">
        <v>1553</v>
      </c>
      <c r="F682" s="77" t="s">
        <v>1047</v>
      </c>
      <c r="G682" s="74">
        <v>1</v>
      </c>
      <c r="H682" s="74">
        <v>6.16</v>
      </c>
      <c r="I682" s="77" t="s">
        <v>17</v>
      </c>
      <c r="J682" s="198">
        <v>1.8</v>
      </c>
      <c r="K682" s="75" t="s">
        <v>2198</v>
      </c>
    </row>
    <row r="683" ht="12" spans="1:11">
      <c r="A683" s="175"/>
      <c r="B683" s="176"/>
      <c r="C683" s="177"/>
      <c r="D683" s="176"/>
      <c r="E683" s="176"/>
      <c r="F683" s="77" t="s">
        <v>1048</v>
      </c>
      <c r="G683" s="74">
        <v>1</v>
      </c>
      <c r="H683" s="74">
        <v>0.42</v>
      </c>
      <c r="I683" s="77" t="s">
        <v>17</v>
      </c>
      <c r="J683" s="198">
        <v>1.95</v>
      </c>
      <c r="K683" s="78"/>
    </row>
    <row r="684" ht="12" customHeight="1" spans="1:11">
      <c r="A684" s="167" t="s">
        <v>2476</v>
      </c>
      <c r="B684" s="168" t="s">
        <v>2480</v>
      </c>
      <c r="C684" s="169">
        <v>18.8</v>
      </c>
      <c r="D684" s="168" t="s">
        <v>1562</v>
      </c>
      <c r="E684" s="168" t="s">
        <v>1553</v>
      </c>
      <c r="F684" s="77" t="s">
        <v>1121</v>
      </c>
      <c r="G684" s="74">
        <v>1</v>
      </c>
      <c r="H684" s="74">
        <v>6</v>
      </c>
      <c r="I684" s="77" t="s">
        <v>17</v>
      </c>
      <c r="J684" s="198">
        <v>1.77</v>
      </c>
      <c r="K684" s="75" t="s">
        <v>2198</v>
      </c>
    </row>
    <row r="685" ht="12" spans="1:11">
      <c r="A685" s="172"/>
      <c r="B685" s="173"/>
      <c r="C685" s="174"/>
      <c r="D685" s="173"/>
      <c r="E685" s="173"/>
      <c r="F685" s="77" t="s">
        <v>1122</v>
      </c>
      <c r="G685" s="74">
        <v>1</v>
      </c>
      <c r="H685" s="74">
        <v>11.6</v>
      </c>
      <c r="I685" s="77" t="s">
        <v>17</v>
      </c>
      <c r="J685" s="198">
        <v>1.77</v>
      </c>
      <c r="K685" s="76"/>
    </row>
    <row r="686" ht="12" spans="1:11">
      <c r="A686" s="175"/>
      <c r="B686" s="176"/>
      <c r="C686" s="177"/>
      <c r="D686" s="176"/>
      <c r="E686" s="176"/>
      <c r="F686" s="77" t="s">
        <v>1048</v>
      </c>
      <c r="G686" s="74">
        <v>1</v>
      </c>
      <c r="H686" s="74">
        <v>1.2</v>
      </c>
      <c r="I686" s="77" t="s">
        <v>17</v>
      </c>
      <c r="J686" s="198">
        <v>1.95</v>
      </c>
      <c r="K686" s="78"/>
    </row>
    <row r="687" ht="12" customHeight="1" spans="1:11">
      <c r="A687" s="167" t="s">
        <v>1440</v>
      </c>
      <c r="B687" s="168" t="s">
        <v>2481</v>
      </c>
      <c r="C687" s="169">
        <v>10</v>
      </c>
      <c r="D687" s="168" t="s">
        <v>1553</v>
      </c>
      <c r="E687" s="168" t="s">
        <v>1499</v>
      </c>
      <c r="F687" s="77" t="s">
        <v>1047</v>
      </c>
      <c r="G687" s="74">
        <v>0.8986</v>
      </c>
      <c r="H687" s="74">
        <v>9</v>
      </c>
      <c r="I687" s="77" t="s">
        <v>17</v>
      </c>
      <c r="J687" s="198">
        <v>1.77</v>
      </c>
      <c r="K687" s="75" t="s">
        <v>2264</v>
      </c>
    </row>
    <row r="688" ht="12" spans="1:11">
      <c r="A688" s="172"/>
      <c r="B688" s="173"/>
      <c r="C688" s="174"/>
      <c r="D688" s="173"/>
      <c r="E688" s="173"/>
      <c r="F688" s="77" t="s">
        <v>1048</v>
      </c>
      <c r="G688" s="74">
        <v>1.1699</v>
      </c>
      <c r="H688" s="74">
        <v>0.3</v>
      </c>
      <c r="I688" s="77" t="s">
        <v>22</v>
      </c>
      <c r="J688" s="74">
        <v>2.06</v>
      </c>
      <c r="K688" s="76"/>
    </row>
    <row r="689" ht="12" spans="1:11">
      <c r="A689" s="175"/>
      <c r="B689" s="176"/>
      <c r="C689" s="177"/>
      <c r="D689" s="176"/>
      <c r="E689" s="176"/>
      <c r="F689" s="77" t="s">
        <v>1051</v>
      </c>
      <c r="G689" s="74">
        <v>1.6521</v>
      </c>
      <c r="H689" s="74">
        <v>0.7</v>
      </c>
      <c r="I689" s="77" t="s">
        <v>24</v>
      </c>
      <c r="J689" s="74" t="s">
        <v>24</v>
      </c>
      <c r="K689" s="78"/>
    </row>
    <row r="690" ht="12" customHeight="1" spans="1:11">
      <c r="A690" s="167">
        <v>45889</v>
      </c>
      <c r="B690" s="168" t="s">
        <v>2482</v>
      </c>
      <c r="C690" s="169">
        <v>10</v>
      </c>
      <c r="D690" s="168" t="s">
        <v>1505</v>
      </c>
      <c r="E690" s="168" t="s">
        <v>1505</v>
      </c>
      <c r="F690" s="77" t="s">
        <v>1047</v>
      </c>
      <c r="G690" s="74">
        <v>1.5014</v>
      </c>
      <c r="H690" s="74">
        <v>8.3</v>
      </c>
      <c r="I690" s="77" t="s">
        <v>17</v>
      </c>
      <c r="J690" s="74">
        <v>1.89</v>
      </c>
      <c r="K690" s="75" t="s">
        <v>2200</v>
      </c>
    </row>
    <row r="691" ht="12" spans="1:11">
      <c r="A691" s="172"/>
      <c r="B691" s="173"/>
      <c r="C691" s="174"/>
      <c r="D691" s="173"/>
      <c r="E691" s="173"/>
      <c r="F691" s="77" t="s">
        <v>1048</v>
      </c>
      <c r="G691" s="74">
        <v>1.5014</v>
      </c>
      <c r="H691" s="74">
        <v>0.5</v>
      </c>
      <c r="I691" s="77" t="s">
        <v>22</v>
      </c>
      <c r="J691" s="74">
        <v>2</v>
      </c>
      <c r="K691" s="76"/>
    </row>
    <row r="692" ht="12" spans="1:11">
      <c r="A692" s="172"/>
      <c r="B692" s="173"/>
      <c r="C692" s="174"/>
      <c r="D692" s="173"/>
      <c r="E692" s="173"/>
      <c r="F692" s="77" t="s">
        <v>1055</v>
      </c>
      <c r="G692" s="74">
        <v>2</v>
      </c>
      <c r="H692" s="74">
        <v>0.7</v>
      </c>
      <c r="I692" s="77" t="s">
        <v>100</v>
      </c>
      <c r="J692" s="74">
        <v>3.4</v>
      </c>
      <c r="K692" s="76"/>
    </row>
    <row r="693" ht="12" spans="1:11">
      <c r="A693" s="175"/>
      <c r="B693" s="176"/>
      <c r="C693" s="177"/>
      <c r="D693" s="176"/>
      <c r="E693" s="176"/>
      <c r="F693" s="77" t="s">
        <v>1051</v>
      </c>
      <c r="G693" s="74">
        <v>2</v>
      </c>
      <c r="H693" s="74">
        <v>0.5</v>
      </c>
      <c r="I693" s="77" t="s">
        <v>24</v>
      </c>
      <c r="J693" s="74" t="s">
        <v>24</v>
      </c>
      <c r="K693" s="78"/>
    </row>
    <row r="694" ht="12" customHeight="1" spans="1:11">
      <c r="A694" s="167" t="s">
        <v>1440</v>
      </c>
      <c r="B694" s="168" t="s">
        <v>2483</v>
      </c>
      <c r="C694" s="169">
        <v>3</v>
      </c>
      <c r="D694" s="168" t="s">
        <v>1505</v>
      </c>
      <c r="E694" s="168" t="s">
        <v>1505</v>
      </c>
      <c r="F694" s="77" t="s">
        <v>1047</v>
      </c>
      <c r="G694" s="74">
        <v>1.0356</v>
      </c>
      <c r="H694" s="74">
        <v>2.54</v>
      </c>
      <c r="I694" s="77" t="s">
        <v>17</v>
      </c>
      <c r="J694" s="74">
        <v>1.8</v>
      </c>
      <c r="K694" s="75" t="s">
        <v>2433</v>
      </c>
    </row>
    <row r="695" ht="12" spans="1:11">
      <c r="A695" s="172"/>
      <c r="B695" s="173"/>
      <c r="C695" s="174"/>
      <c r="D695" s="173"/>
      <c r="E695" s="173"/>
      <c r="F695" s="77" t="s">
        <v>1048</v>
      </c>
      <c r="G695" s="74">
        <v>1.0356</v>
      </c>
      <c r="H695" s="74">
        <v>0.12</v>
      </c>
      <c r="I695" s="77" t="s">
        <v>22</v>
      </c>
      <c r="J695" s="74">
        <v>1.85</v>
      </c>
      <c r="K695" s="76"/>
    </row>
    <row r="696" ht="12" spans="1:11">
      <c r="A696" s="172"/>
      <c r="B696" s="173"/>
      <c r="C696" s="174"/>
      <c r="D696" s="173"/>
      <c r="E696" s="173"/>
      <c r="F696" s="77" t="s">
        <v>1055</v>
      </c>
      <c r="G696" s="74">
        <v>2.0355</v>
      </c>
      <c r="H696" s="74">
        <v>0.12</v>
      </c>
      <c r="I696" s="77" t="s">
        <v>100</v>
      </c>
      <c r="J696" s="74">
        <v>3.3</v>
      </c>
      <c r="K696" s="76"/>
    </row>
    <row r="697" ht="12" spans="1:11">
      <c r="A697" s="175"/>
      <c r="B697" s="176"/>
      <c r="C697" s="177"/>
      <c r="D697" s="176"/>
      <c r="E697" s="176"/>
      <c r="F697" s="77" t="s">
        <v>1051</v>
      </c>
      <c r="G697" s="74">
        <v>3.137</v>
      </c>
      <c r="H697" s="74">
        <v>0.22</v>
      </c>
      <c r="I697" s="77" t="s">
        <v>24</v>
      </c>
      <c r="J697" s="74" t="s">
        <v>24</v>
      </c>
      <c r="K697" s="78"/>
    </row>
    <row r="698" ht="12" customHeight="1" spans="1:11">
      <c r="A698" s="167" t="s">
        <v>1437</v>
      </c>
      <c r="B698" s="168" t="s">
        <v>2484</v>
      </c>
      <c r="C698" s="169">
        <v>10</v>
      </c>
      <c r="D698" s="168" t="s">
        <v>1499</v>
      </c>
      <c r="E698" s="168" t="s">
        <v>1505</v>
      </c>
      <c r="F698" s="77" t="s">
        <v>1047</v>
      </c>
      <c r="G698" s="74">
        <v>0.8959</v>
      </c>
      <c r="H698" s="74">
        <v>9</v>
      </c>
      <c r="I698" s="77" t="s">
        <v>17</v>
      </c>
      <c r="J698" s="74">
        <v>1.79</v>
      </c>
      <c r="K698" s="75" t="s">
        <v>2264</v>
      </c>
    </row>
    <row r="699" ht="12" spans="1:11">
      <c r="A699" s="172"/>
      <c r="B699" s="173"/>
      <c r="C699" s="174"/>
      <c r="D699" s="173"/>
      <c r="E699" s="173"/>
      <c r="F699" s="77" t="s">
        <v>1048</v>
      </c>
      <c r="G699" s="74">
        <v>1.1671</v>
      </c>
      <c r="H699" s="74">
        <v>0.3</v>
      </c>
      <c r="I699" s="77" t="s">
        <v>22</v>
      </c>
      <c r="J699" s="74">
        <v>2.1</v>
      </c>
      <c r="K699" s="76"/>
    </row>
    <row r="700" ht="12" spans="1:11">
      <c r="A700" s="175"/>
      <c r="B700" s="176"/>
      <c r="C700" s="177"/>
      <c r="D700" s="176"/>
      <c r="E700" s="176"/>
      <c r="F700" s="77" t="s">
        <v>1051</v>
      </c>
      <c r="G700" s="74">
        <v>1.6493</v>
      </c>
      <c r="H700" s="74">
        <v>0.7</v>
      </c>
      <c r="I700" s="77" t="s">
        <v>24</v>
      </c>
      <c r="J700" s="74" t="s">
        <v>24</v>
      </c>
      <c r="K700" s="78"/>
    </row>
    <row r="701" ht="12" customHeight="1" spans="1:11">
      <c r="A701" s="167" t="s">
        <v>1449</v>
      </c>
      <c r="B701" s="168" t="s">
        <v>2485</v>
      </c>
      <c r="C701" s="169">
        <v>10</v>
      </c>
      <c r="D701" s="168" t="s">
        <v>2295</v>
      </c>
      <c r="E701" s="168" t="s">
        <v>2295</v>
      </c>
      <c r="F701" s="77" t="s">
        <v>1137</v>
      </c>
      <c r="G701" s="74">
        <v>0.7425</v>
      </c>
      <c r="H701" s="74">
        <v>9</v>
      </c>
      <c r="I701" s="77" t="s">
        <v>17</v>
      </c>
      <c r="J701" s="74">
        <v>1.8</v>
      </c>
      <c r="K701" s="199" t="s">
        <v>129</v>
      </c>
    </row>
    <row r="702" ht="12" spans="1:11">
      <c r="A702" s="172"/>
      <c r="B702" s="173"/>
      <c r="C702" s="174"/>
      <c r="D702" s="173"/>
      <c r="E702" s="173"/>
      <c r="F702" s="77" t="s">
        <v>1399</v>
      </c>
      <c r="G702" s="74">
        <v>1</v>
      </c>
      <c r="H702" s="74">
        <v>0.4</v>
      </c>
      <c r="I702" s="77" t="s">
        <v>22</v>
      </c>
      <c r="J702" s="74">
        <v>1.95</v>
      </c>
      <c r="K702" s="76"/>
    </row>
    <row r="703" ht="12" spans="1:11">
      <c r="A703" s="175"/>
      <c r="B703" s="176"/>
      <c r="C703" s="177"/>
      <c r="D703" s="176"/>
      <c r="E703" s="176"/>
      <c r="F703" s="77" t="s">
        <v>1051</v>
      </c>
      <c r="G703" s="74">
        <v>1.4986</v>
      </c>
      <c r="H703" s="74">
        <v>0.6</v>
      </c>
      <c r="I703" s="77" t="s">
        <v>24</v>
      </c>
      <c r="J703" s="74" t="s">
        <v>24</v>
      </c>
      <c r="K703" s="78"/>
    </row>
    <row r="704" ht="24" customHeight="1" spans="1:11">
      <c r="A704" s="186" t="s">
        <v>1445</v>
      </c>
      <c r="B704" s="88" t="s">
        <v>2486</v>
      </c>
      <c r="C704" s="200">
        <v>4</v>
      </c>
      <c r="D704" s="88" t="s">
        <v>1525</v>
      </c>
      <c r="E704" s="88" t="s">
        <v>1525</v>
      </c>
      <c r="F704" s="103" t="s">
        <v>1047</v>
      </c>
      <c r="G704" s="105">
        <v>0.9342</v>
      </c>
      <c r="H704" s="105">
        <v>3.35</v>
      </c>
      <c r="I704" s="103" t="s">
        <v>17</v>
      </c>
      <c r="J704" s="105">
        <v>1.8</v>
      </c>
      <c r="K704" s="119" t="s">
        <v>2433</v>
      </c>
    </row>
    <row r="705" ht="12" spans="1:11">
      <c r="A705" s="187"/>
      <c r="B705" s="89"/>
      <c r="C705" s="201"/>
      <c r="D705" s="89"/>
      <c r="E705" s="89"/>
      <c r="F705" s="103" t="s">
        <v>1048</v>
      </c>
      <c r="G705" s="105">
        <v>1.0192</v>
      </c>
      <c r="H705" s="105">
        <v>0.21</v>
      </c>
      <c r="I705" s="103" t="s">
        <v>22</v>
      </c>
      <c r="J705" s="105">
        <v>1.85</v>
      </c>
      <c r="K705" s="202"/>
    </row>
    <row r="706" ht="12" spans="1:11">
      <c r="A706" s="187"/>
      <c r="B706" s="89"/>
      <c r="C706" s="201"/>
      <c r="D706" s="89"/>
      <c r="E706" s="89"/>
      <c r="F706" s="103" t="s">
        <v>1113</v>
      </c>
      <c r="G706" s="105">
        <v>3.0192</v>
      </c>
      <c r="H706" s="105">
        <v>0.24</v>
      </c>
      <c r="I706" s="103" t="s">
        <v>24</v>
      </c>
      <c r="J706" s="105" t="s">
        <v>24</v>
      </c>
      <c r="K706" s="202"/>
    </row>
    <row r="707" ht="12" spans="1:11">
      <c r="A707" s="188"/>
      <c r="B707" s="90"/>
      <c r="C707" s="203"/>
      <c r="D707" s="90"/>
      <c r="E707" s="90"/>
      <c r="F707" s="103" t="s">
        <v>1114</v>
      </c>
      <c r="G707" s="105">
        <v>3.0192</v>
      </c>
      <c r="H707" s="105">
        <v>0.2</v>
      </c>
      <c r="I707" s="103" t="s">
        <v>24</v>
      </c>
      <c r="J707" s="105" t="s">
        <v>24</v>
      </c>
      <c r="K707" s="204"/>
    </row>
    <row r="708" ht="14.55" customHeight="1" spans="1:11">
      <c r="A708" s="108" t="s">
        <v>2487</v>
      </c>
      <c r="B708" s="54" t="s">
        <v>2488</v>
      </c>
      <c r="C708" s="109">
        <v>4</v>
      </c>
      <c r="D708" s="111" t="s">
        <v>1620</v>
      </c>
      <c r="E708" s="111" t="s">
        <v>1620</v>
      </c>
      <c r="F708" s="103" t="s">
        <v>1047</v>
      </c>
      <c r="G708" s="105">
        <v>0.9945</v>
      </c>
      <c r="H708" s="105">
        <v>3.48</v>
      </c>
      <c r="I708" s="103" t="s">
        <v>17</v>
      </c>
      <c r="J708" s="105">
        <v>1.8</v>
      </c>
      <c r="K708" s="111" t="s">
        <v>2217</v>
      </c>
    </row>
    <row r="709" ht="12" spans="1:11">
      <c r="A709" s="108"/>
      <c r="B709" s="54"/>
      <c r="C709" s="109"/>
      <c r="D709" s="111"/>
      <c r="E709" s="111"/>
      <c r="F709" s="103" t="s">
        <v>1048</v>
      </c>
      <c r="G709" s="105">
        <v>0.9945</v>
      </c>
      <c r="H709" s="105">
        <v>0.12</v>
      </c>
      <c r="I709" s="103" t="s">
        <v>22</v>
      </c>
      <c r="J709" s="105">
        <v>1.85</v>
      </c>
      <c r="K709" s="111"/>
    </row>
    <row r="710" ht="12" spans="1:11">
      <c r="A710" s="108"/>
      <c r="B710" s="54"/>
      <c r="C710" s="109"/>
      <c r="D710" s="111"/>
      <c r="E710" s="111"/>
      <c r="F710" s="103" t="s">
        <v>1113</v>
      </c>
      <c r="G710" s="105">
        <v>1.7425</v>
      </c>
      <c r="H710" s="105">
        <v>0.2</v>
      </c>
      <c r="I710" s="103" t="s">
        <v>24</v>
      </c>
      <c r="J710" s="105" t="s">
        <v>24</v>
      </c>
      <c r="K710" s="111"/>
    </row>
    <row r="711" ht="12" spans="1:11">
      <c r="A711" s="108"/>
      <c r="B711" s="54"/>
      <c r="C711" s="109"/>
      <c r="D711" s="111"/>
      <c r="E711" s="111"/>
      <c r="F711" s="103" t="s">
        <v>1114</v>
      </c>
      <c r="G711" s="105">
        <v>1.7425</v>
      </c>
      <c r="H711" s="105">
        <v>0.2</v>
      </c>
      <c r="I711" s="103" t="s">
        <v>24</v>
      </c>
      <c r="J711" s="105" t="s">
        <v>24</v>
      </c>
      <c r="K711" s="111"/>
    </row>
    <row r="712" ht="14.55" customHeight="1" spans="1:11">
      <c r="A712" s="108" t="s">
        <v>2489</v>
      </c>
      <c r="B712" s="54" t="s">
        <v>2490</v>
      </c>
      <c r="C712" s="109">
        <v>8</v>
      </c>
      <c r="D712" s="111" t="s">
        <v>1640</v>
      </c>
      <c r="E712" s="111" t="s">
        <v>1630</v>
      </c>
      <c r="F712" s="103" t="s">
        <v>1137</v>
      </c>
      <c r="G712" s="105">
        <v>1.9151</v>
      </c>
      <c r="H712" s="105">
        <v>7.12</v>
      </c>
      <c r="I712" s="103" t="s">
        <v>17</v>
      </c>
      <c r="J712" s="105">
        <v>1.87</v>
      </c>
      <c r="K712" s="111" t="s">
        <v>2214</v>
      </c>
    </row>
    <row r="713" ht="12" spans="1:11">
      <c r="A713" s="108"/>
      <c r="B713" s="54"/>
      <c r="C713" s="109"/>
      <c r="D713" s="111"/>
      <c r="E713" s="111"/>
      <c r="F713" s="103" t="s">
        <v>1399</v>
      </c>
      <c r="G713" s="105">
        <v>2</v>
      </c>
      <c r="H713" s="105">
        <v>0.32</v>
      </c>
      <c r="I713" s="103" t="s">
        <v>22</v>
      </c>
      <c r="J713" s="105">
        <v>2.05</v>
      </c>
      <c r="K713" s="111"/>
    </row>
    <row r="714" ht="12" spans="1:11">
      <c r="A714" s="108"/>
      <c r="B714" s="54"/>
      <c r="C714" s="109"/>
      <c r="D714" s="111"/>
      <c r="E714" s="111"/>
      <c r="F714" s="103" t="s">
        <v>1051</v>
      </c>
      <c r="G714" s="105">
        <v>2.6667</v>
      </c>
      <c r="H714" s="105">
        <v>0.56</v>
      </c>
      <c r="I714" s="103" t="s">
        <v>24</v>
      </c>
      <c r="J714" s="105" t="s">
        <v>24</v>
      </c>
      <c r="K714" s="111"/>
    </row>
    <row r="715" ht="14.55" customHeight="1" spans="1:11">
      <c r="A715" s="108" t="s">
        <v>2487</v>
      </c>
      <c r="B715" s="54" t="s">
        <v>2491</v>
      </c>
      <c r="C715" s="109">
        <v>9.45</v>
      </c>
      <c r="D715" s="111" t="s">
        <v>2225</v>
      </c>
      <c r="E715" s="111" t="s">
        <v>2250</v>
      </c>
      <c r="F715" s="95" t="s">
        <v>1081</v>
      </c>
      <c r="G715" s="105">
        <v>1</v>
      </c>
      <c r="H715" s="105">
        <v>9</v>
      </c>
      <c r="I715" s="103" t="s">
        <v>17</v>
      </c>
      <c r="J715" s="105">
        <v>1.79</v>
      </c>
      <c r="K715" s="111" t="s">
        <v>2221</v>
      </c>
    </row>
    <row r="716" ht="12" spans="1:11">
      <c r="A716" s="108"/>
      <c r="B716" s="54"/>
      <c r="C716" s="109"/>
      <c r="D716" s="111"/>
      <c r="E716" s="111"/>
      <c r="F716" s="95" t="s">
        <v>1166</v>
      </c>
      <c r="G716" s="105">
        <v>1</v>
      </c>
      <c r="H716" s="105">
        <v>0.45</v>
      </c>
      <c r="I716" s="103" t="s">
        <v>44</v>
      </c>
      <c r="J716" s="105">
        <v>3.3</v>
      </c>
      <c r="K716" s="111"/>
    </row>
    <row r="717" ht="14.55" customHeight="1" spans="1:11">
      <c r="A717" s="108" t="s">
        <v>2489</v>
      </c>
      <c r="B717" s="54" t="s">
        <v>2492</v>
      </c>
      <c r="C717" s="109">
        <v>10</v>
      </c>
      <c r="D717" s="111" t="s">
        <v>2286</v>
      </c>
      <c r="E717" s="111" t="s">
        <v>1628</v>
      </c>
      <c r="F717" s="103" t="s">
        <v>1137</v>
      </c>
      <c r="G717" s="105">
        <v>1</v>
      </c>
      <c r="H717" s="105">
        <v>8.9</v>
      </c>
      <c r="I717" s="103" t="s">
        <v>17</v>
      </c>
      <c r="J717" s="105">
        <v>1.77</v>
      </c>
      <c r="K717" s="111" t="s">
        <v>2214</v>
      </c>
    </row>
    <row r="718" ht="12" spans="1:11">
      <c r="A718" s="108"/>
      <c r="B718" s="54"/>
      <c r="C718" s="109"/>
      <c r="D718" s="111"/>
      <c r="E718" s="111"/>
      <c r="F718" s="103" t="s">
        <v>1399</v>
      </c>
      <c r="G718" s="105">
        <v>1.1671</v>
      </c>
      <c r="H718" s="105">
        <v>0.5</v>
      </c>
      <c r="I718" s="103" t="s">
        <v>22</v>
      </c>
      <c r="J718" s="105">
        <v>1.9</v>
      </c>
      <c r="K718" s="111"/>
    </row>
    <row r="719" ht="12" spans="1:11">
      <c r="A719" s="108"/>
      <c r="B719" s="54"/>
      <c r="C719" s="109"/>
      <c r="D719" s="111"/>
      <c r="E719" s="111"/>
      <c r="F719" s="103" t="s">
        <v>1051</v>
      </c>
      <c r="G719" s="105">
        <v>1.7479</v>
      </c>
      <c r="H719" s="105">
        <v>0.6</v>
      </c>
      <c r="I719" s="103" t="s">
        <v>24</v>
      </c>
      <c r="J719" s="105" t="s">
        <v>24</v>
      </c>
      <c r="K719" s="111"/>
    </row>
    <row r="720" ht="14.55" customHeight="1" spans="1:11">
      <c r="A720" s="108" t="s">
        <v>2476</v>
      </c>
      <c r="B720" s="54" t="s">
        <v>2493</v>
      </c>
      <c r="C720" s="109">
        <v>6.58</v>
      </c>
      <c r="D720" s="111" t="s">
        <v>1620</v>
      </c>
      <c r="E720" s="111" t="s">
        <v>1620</v>
      </c>
      <c r="F720" s="103" t="s">
        <v>1047</v>
      </c>
      <c r="G720" s="105">
        <v>1</v>
      </c>
      <c r="H720" s="105">
        <v>6.16</v>
      </c>
      <c r="I720" s="103" t="s">
        <v>17</v>
      </c>
      <c r="J720" s="105">
        <v>1.76</v>
      </c>
      <c r="K720" s="111" t="s">
        <v>2209</v>
      </c>
    </row>
    <row r="721" ht="12" spans="1:11">
      <c r="A721" s="108"/>
      <c r="B721" s="54"/>
      <c r="C721" s="109"/>
      <c r="D721" s="111"/>
      <c r="E721" s="111"/>
      <c r="F721" s="103" t="s">
        <v>1048</v>
      </c>
      <c r="G721" s="105">
        <v>1</v>
      </c>
      <c r="H721" s="105">
        <v>0.42</v>
      </c>
      <c r="I721" s="103" t="s">
        <v>22</v>
      </c>
      <c r="J721" s="105">
        <v>1.97</v>
      </c>
      <c r="K721" s="111"/>
    </row>
    <row r="722" ht="14.55" customHeight="1" spans="1:11">
      <c r="A722" s="108" t="s">
        <v>2476</v>
      </c>
      <c r="B722" s="54" t="s">
        <v>2494</v>
      </c>
      <c r="C722" s="109">
        <v>4.7</v>
      </c>
      <c r="D722" s="111" t="s">
        <v>1620</v>
      </c>
      <c r="E722" s="111" t="s">
        <v>1620</v>
      </c>
      <c r="F722" s="103" t="s">
        <v>1047</v>
      </c>
      <c r="G722" s="105">
        <v>1</v>
      </c>
      <c r="H722" s="105">
        <v>4.4</v>
      </c>
      <c r="I722" s="103" t="s">
        <v>17</v>
      </c>
      <c r="J722" s="105">
        <v>1.76</v>
      </c>
      <c r="K722" s="111" t="s">
        <v>2209</v>
      </c>
    </row>
    <row r="723" ht="12" spans="1:11">
      <c r="A723" s="108"/>
      <c r="B723" s="54"/>
      <c r="C723" s="109"/>
      <c r="D723" s="111"/>
      <c r="E723" s="111"/>
      <c r="F723" s="103" t="s">
        <v>1048</v>
      </c>
      <c r="G723" s="105">
        <v>1</v>
      </c>
      <c r="H723" s="105">
        <v>0.3</v>
      </c>
      <c r="I723" s="103" t="s">
        <v>22</v>
      </c>
      <c r="J723" s="105">
        <v>1.97</v>
      </c>
      <c r="K723" s="111"/>
    </row>
    <row r="724" ht="14.55" customHeight="1" spans="1:11">
      <c r="A724" s="108" t="s">
        <v>2476</v>
      </c>
      <c r="B724" s="54" t="s">
        <v>2495</v>
      </c>
      <c r="C724" s="109">
        <v>10</v>
      </c>
      <c r="D724" s="111" t="s">
        <v>1628</v>
      </c>
      <c r="E724" s="111" t="s">
        <v>1628</v>
      </c>
      <c r="F724" s="103" t="s">
        <v>1137</v>
      </c>
      <c r="G724" s="105">
        <v>1</v>
      </c>
      <c r="H724" s="105">
        <v>8.9</v>
      </c>
      <c r="I724" s="103" t="s">
        <v>2496</v>
      </c>
      <c r="J724" s="105">
        <v>1.78</v>
      </c>
      <c r="K724" s="111" t="s">
        <v>2214</v>
      </c>
    </row>
    <row r="725" ht="12" spans="1:11">
      <c r="A725" s="108"/>
      <c r="B725" s="54"/>
      <c r="C725" s="109"/>
      <c r="D725" s="111"/>
      <c r="E725" s="111"/>
      <c r="F725" s="103" t="s">
        <v>1399</v>
      </c>
      <c r="G725" s="105">
        <v>1.17</v>
      </c>
      <c r="H725" s="105">
        <v>0.5</v>
      </c>
      <c r="I725" s="103" t="s">
        <v>22</v>
      </c>
      <c r="J725" s="105">
        <v>1.9</v>
      </c>
      <c r="K725" s="111"/>
    </row>
    <row r="726" ht="12" spans="1:11">
      <c r="A726" s="108"/>
      <c r="B726" s="54"/>
      <c r="C726" s="109"/>
      <c r="D726" s="111"/>
      <c r="E726" s="111"/>
      <c r="F726" s="103" t="s">
        <v>1051</v>
      </c>
      <c r="G726" s="105">
        <v>1.75</v>
      </c>
      <c r="H726" s="105">
        <v>0.6</v>
      </c>
      <c r="I726" s="103" t="s">
        <v>24</v>
      </c>
      <c r="J726" s="105" t="s">
        <v>24</v>
      </c>
      <c r="K726" s="111"/>
    </row>
    <row r="727" ht="14.55" customHeight="1" spans="1:11">
      <c r="A727" s="108" t="s">
        <v>2497</v>
      </c>
      <c r="B727" s="54" t="s">
        <v>2498</v>
      </c>
      <c r="C727" s="109">
        <v>10</v>
      </c>
      <c r="D727" s="111" t="s">
        <v>1623</v>
      </c>
      <c r="E727" s="111" t="s">
        <v>1640</v>
      </c>
      <c r="F727" s="103" t="s">
        <v>1047</v>
      </c>
      <c r="G727" s="105">
        <v>0.88</v>
      </c>
      <c r="H727" s="105">
        <v>9</v>
      </c>
      <c r="I727" s="103" t="s">
        <v>17</v>
      </c>
      <c r="J727" s="105">
        <v>1.79</v>
      </c>
      <c r="K727" s="111" t="s">
        <v>1670</v>
      </c>
    </row>
    <row r="728" ht="12" spans="1:11">
      <c r="A728" s="108"/>
      <c r="B728" s="54"/>
      <c r="C728" s="109"/>
      <c r="D728" s="111"/>
      <c r="E728" s="111"/>
      <c r="F728" s="103" t="s">
        <v>1048</v>
      </c>
      <c r="G728" s="105">
        <v>1.15</v>
      </c>
      <c r="H728" s="105">
        <v>0.3</v>
      </c>
      <c r="I728" s="103" t="s">
        <v>22</v>
      </c>
      <c r="J728" s="105">
        <v>2.1</v>
      </c>
      <c r="K728" s="111"/>
    </row>
    <row r="729" ht="12" spans="1:11">
      <c r="A729" s="108"/>
      <c r="B729" s="54"/>
      <c r="C729" s="109"/>
      <c r="D729" s="111"/>
      <c r="E729" s="111"/>
      <c r="F729" s="103" t="s">
        <v>1051</v>
      </c>
      <c r="G729" s="105">
        <v>1.64</v>
      </c>
      <c r="H729" s="105">
        <v>0.7</v>
      </c>
      <c r="I729" s="103" t="s">
        <v>24</v>
      </c>
      <c r="J729" s="105" t="s">
        <v>24</v>
      </c>
      <c r="K729" s="111"/>
    </row>
    <row r="730" ht="14.55" customHeight="1" spans="1:11">
      <c r="A730" s="108" t="s">
        <v>2497</v>
      </c>
      <c r="B730" s="54" t="s">
        <v>2499</v>
      </c>
      <c r="C730" s="109">
        <v>7</v>
      </c>
      <c r="D730" s="111" t="s">
        <v>1628</v>
      </c>
      <c r="E730" s="111" t="s">
        <v>1628</v>
      </c>
      <c r="F730" s="103" t="s">
        <v>1137</v>
      </c>
      <c r="G730" s="105">
        <v>0.75</v>
      </c>
      <c r="H730" s="105">
        <v>6.3</v>
      </c>
      <c r="I730" s="103" t="s">
        <v>2496</v>
      </c>
      <c r="J730" s="105">
        <v>1.8</v>
      </c>
      <c r="K730" s="205" t="s">
        <v>129</v>
      </c>
    </row>
    <row r="731" ht="12" spans="1:11">
      <c r="A731" s="108"/>
      <c r="B731" s="54"/>
      <c r="C731" s="109"/>
      <c r="D731" s="111"/>
      <c r="E731" s="111"/>
      <c r="F731" s="103" t="s">
        <v>1399</v>
      </c>
      <c r="G731" s="105">
        <v>1</v>
      </c>
      <c r="H731" s="105">
        <v>0.28</v>
      </c>
      <c r="I731" s="103" t="s">
        <v>22</v>
      </c>
      <c r="J731" s="105">
        <v>1.95</v>
      </c>
      <c r="K731" s="111"/>
    </row>
    <row r="732" ht="12" spans="1:11">
      <c r="A732" s="108"/>
      <c r="B732" s="54"/>
      <c r="C732" s="109"/>
      <c r="D732" s="111"/>
      <c r="E732" s="111"/>
      <c r="F732" s="103" t="s">
        <v>1051</v>
      </c>
      <c r="G732" s="105">
        <v>1.5</v>
      </c>
      <c r="H732" s="105">
        <v>0.42</v>
      </c>
      <c r="I732" s="103" t="s">
        <v>24</v>
      </c>
      <c r="J732" s="105" t="s">
        <v>24</v>
      </c>
      <c r="K732" s="111"/>
    </row>
    <row r="733" ht="14.55" customHeight="1" spans="1:11">
      <c r="A733" s="108" t="s">
        <v>1442</v>
      </c>
      <c r="B733" s="54" t="s">
        <v>2500</v>
      </c>
      <c r="C733" s="109">
        <v>10</v>
      </c>
      <c r="D733" s="111" t="s">
        <v>1623</v>
      </c>
      <c r="E733" s="111" t="s">
        <v>1640</v>
      </c>
      <c r="F733" s="103" t="s">
        <v>1047</v>
      </c>
      <c r="G733" s="105">
        <v>0.8904</v>
      </c>
      <c r="H733" s="105">
        <v>9</v>
      </c>
      <c r="I733" s="103" t="s">
        <v>17</v>
      </c>
      <c r="J733" s="105">
        <v>1.8</v>
      </c>
      <c r="K733" s="111" t="s">
        <v>1670</v>
      </c>
    </row>
    <row r="734" ht="12" spans="1:11">
      <c r="A734" s="108"/>
      <c r="B734" s="54"/>
      <c r="C734" s="109"/>
      <c r="D734" s="111"/>
      <c r="E734" s="111"/>
      <c r="F734" s="103" t="s">
        <v>1048</v>
      </c>
      <c r="G734" s="105">
        <v>1.1589</v>
      </c>
      <c r="H734" s="105">
        <v>0.3</v>
      </c>
      <c r="I734" s="103" t="s">
        <v>2501</v>
      </c>
      <c r="J734" s="105">
        <v>2.1</v>
      </c>
      <c r="K734" s="111"/>
    </row>
    <row r="735" ht="12" spans="1:11">
      <c r="A735" s="108"/>
      <c r="B735" s="54"/>
      <c r="C735" s="109"/>
      <c r="D735" s="111"/>
      <c r="E735" s="111"/>
      <c r="F735" s="103" t="s">
        <v>1051</v>
      </c>
      <c r="G735" s="105">
        <v>1.6438</v>
      </c>
      <c r="H735" s="105">
        <v>0.7</v>
      </c>
      <c r="I735" s="103" t="s">
        <v>24</v>
      </c>
      <c r="J735" s="105" t="s">
        <v>24</v>
      </c>
      <c r="K735" s="111"/>
    </row>
    <row r="736" ht="14.55" customHeight="1" spans="1:11">
      <c r="A736" s="108" t="s">
        <v>2487</v>
      </c>
      <c r="B736" s="54" t="s">
        <v>2502</v>
      </c>
      <c r="C736" s="109">
        <v>10</v>
      </c>
      <c r="D736" s="111" t="s">
        <v>1620</v>
      </c>
      <c r="E736" s="111" t="s">
        <v>1620</v>
      </c>
      <c r="F736" s="103" t="s">
        <v>1047</v>
      </c>
      <c r="G736" s="105">
        <v>1.81</v>
      </c>
      <c r="H736" s="105">
        <v>8.4</v>
      </c>
      <c r="I736" s="103" t="s">
        <v>17</v>
      </c>
      <c r="J736" s="105">
        <v>1.79</v>
      </c>
      <c r="K736" s="112" t="s">
        <v>2205</v>
      </c>
    </row>
    <row r="737" ht="12" spans="1:11">
      <c r="A737" s="108"/>
      <c r="B737" s="54"/>
      <c r="C737" s="109"/>
      <c r="D737" s="111"/>
      <c r="E737" s="111"/>
      <c r="F737" s="103" t="s">
        <v>1048</v>
      </c>
      <c r="G737" s="105">
        <v>1.89</v>
      </c>
      <c r="H737" s="105">
        <v>0.5</v>
      </c>
      <c r="I737" s="103" t="s">
        <v>22</v>
      </c>
      <c r="J737" s="105">
        <v>1.95</v>
      </c>
      <c r="K737" s="112"/>
    </row>
    <row r="738" ht="12" spans="1:11">
      <c r="A738" s="108"/>
      <c r="B738" s="54"/>
      <c r="C738" s="109"/>
      <c r="D738" s="111"/>
      <c r="E738" s="111"/>
      <c r="F738" s="103" t="s">
        <v>1050</v>
      </c>
      <c r="G738" s="105">
        <v>1.97</v>
      </c>
      <c r="H738" s="105">
        <v>0.3</v>
      </c>
      <c r="I738" s="103" t="s">
        <v>44</v>
      </c>
      <c r="J738" s="105">
        <v>2.05</v>
      </c>
      <c r="K738" s="112"/>
    </row>
    <row r="739" ht="12" spans="1:11">
      <c r="A739" s="108"/>
      <c r="B739" s="54"/>
      <c r="C739" s="109"/>
      <c r="D739" s="111"/>
      <c r="E739" s="111"/>
      <c r="F739" s="103" t="s">
        <v>1051</v>
      </c>
      <c r="G739" s="105">
        <v>2.64</v>
      </c>
      <c r="H739" s="105">
        <v>0.8</v>
      </c>
      <c r="I739" s="103" t="s">
        <v>24</v>
      </c>
      <c r="J739" s="105" t="s">
        <v>24</v>
      </c>
      <c r="K739" s="112"/>
    </row>
    <row r="740" ht="12" spans="1:11">
      <c r="A740" s="108" t="s">
        <v>2497</v>
      </c>
      <c r="B740" s="54" t="s">
        <v>2503</v>
      </c>
      <c r="C740" s="109">
        <v>2.5</v>
      </c>
      <c r="D740" s="111" t="s">
        <v>1620</v>
      </c>
      <c r="E740" s="111" t="s">
        <v>1620</v>
      </c>
      <c r="F740" s="103" t="s">
        <v>1047</v>
      </c>
      <c r="G740" s="105">
        <v>1.82</v>
      </c>
      <c r="H740" s="105">
        <v>2.1</v>
      </c>
      <c r="I740" s="103" t="s">
        <v>17</v>
      </c>
      <c r="J740" s="105">
        <v>2.3</v>
      </c>
      <c r="K740" s="112" t="s">
        <v>2504</v>
      </c>
    </row>
    <row r="741" ht="12" spans="1:11">
      <c r="A741" s="108"/>
      <c r="B741" s="54"/>
      <c r="C741" s="109"/>
      <c r="D741" s="111"/>
      <c r="E741" s="111"/>
      <c r="F741" s="103" t="s">
        <v>1048</v>
      </c>
      <c r="G741" s="105">
        <v>1.9</v>
      </c>
      <c r="H741" s="105">
        <v>0.1</v>
      </c>
      <c r="I741" s="103" t="s">
        <v>22</v>
      </c>
      <c r="J741" s="105">
        <v>2.95</v>
      </c>
      <c r="K741" s="112"/>
    </row>
    <row r="742" ht="12" spans="1:11">
      <c r="A742" s="108"/>
      <c r="B742" s="54"/>
      <c r="C742" s="109"/>
      <c r="D742" s="111"/>
      <c r="E742" s="111"/>
      <c r="F742" s="103" t="s">
        <v>1051</v>
      </c>
      <c r="G742" s="105">
        <v>2.66</v>
      </c>
      <c r="H742" s="105">
        <v>0.3</v>
      </c>
      <c r="I742" s="103" t="s">
        <v>24</v>
      </c>
      <c r="J742" s="105" t="s">
        <v>24</v>
      </c>
      <c r="K742" s="112"/>
    </row>
    <row r="743" ht="15" customHeight="1" spans="1:11">
      <c r="A743" s="206" t="s">
        <v>2505</v>
      </c>
      <c r="B743" s="207" t="s">
        <v>2506</v>
      </c>
      <c r="C743" s="49">
        <v>9.45</v>
      </c>
      <c r="D743" s="85" t="s">
        <v>2225</v>
      </c>
      <c r="E743" s="85" t="s">
        <v>1640</v>
      </c>
      <c r="F743" s="95" t="s">
        <v>1081</v>
      </c>
      <c r="G743" s="105">
        <v>1</v>
      </c>
      <c r="H743" s="105">
        <v>9</v>
      </c>
      <c r="I743" s="103" t="s">
        <v>17</v>
      </c>
      <c r="J743" s="105">
        <v>1.76</v>
      </c>
      <c r="K743" s="208" t="s">
        <v>2221</v>
      </c>
    </row>
    <row r="744" ht="16.05" customHeight="1" spans="1:11">
      <c r="A744" s="206"/>
      <c r="B744" s="50"/>
      <c r="C744" s="49"/>
      <c r="D744" s="50"/>
      <c r="E744" s="50"/>
      <c r="F744" s="95" t="s">
        <v>1166</v>
      </c>
      <c r="G744" s="105">
        <v>1</v>
      </c>
      <c r="H744" s="105">
        <v>0.45</v>
      </c>
      <c r="I744" s="103" t="s">
        <v>22</v>
      </c>
      <c r="J744" s="105">
        <v>3.3</v>
      </c>
      <c r="K744" s="103"/>
    </row>
    <row r="745" ht="13.05" customHeight="1" spans="1:11">
      <c r="A745" s="206" t="s">
        <v>1531</v>
      </c>
      <c r="B745" s="207" t="s">
        <v>2507</v>
      </c>
      <c r="C745" s="49">
        <v>9.45</v>
      </c>
      <c r="D745" s="85" t="s">
        <v>2225</v>
      </c>
      <c r="E745" s="85" t="s">
        <v>1640</v>
      </c>
      <c r="F745" s="95" t="s">
        <v>1081</v>
      </c>
      <c r="G745" s="105">
        <v>1.01</v>
      </c>
      <c r="H745" s="105">
        <v>9</v>
      </c>
      <c r="I745" s="103" t="s">
        <v>17</v>
      </c>
      <c r="J745" s="105">
        <v>1.76</v>
      </c>
      <c r="K745" s="208" t="s">
        <v>2221</v>
      </c>
    </row>
    <row r="746" ht="13.05" customHeight="1" spans="1:11">
      <c r="A746" s="206"/>
      <c r="B746" s="50"/>
      <c r="C746" s="49"/>
      <c r="D746" s="50"/>
      <c r="E746" s="50"/>
      <c r="F746" s="95" t="s">
        <v>1166</v>
      </c>
      <c r="G746" s="105">
        <v>1.01</v>
      </c>
      <c r="H746" s="105">
        <v>0.45</v>
      </c>
      <c r="I746" s="103" t="s">
        <v>22</v>
      </c>
      <c r="J746" s="105">
        <v>3.3</v>
      </c>
      <c r="K746" s="103"/>
    </row>
    <row r="747" ht="12" customHeight="1" spans="1:11">
      <c r="A747" s="206" t="s">
        <v>2508</v>
      </c>
      <c r="B747" s="85" t="s">
        <v>2509</v>
      </c>
      <c r="C747" s="49">
        <v>7</v>
      </c>
      <c r="D747" s="85" t="s">
        <v>1623</v>
      </c>
      <c r="E747" s="85" t="s">
        <v>1623</v>
      </c>
      <c r="F747" s="103" t="s">
        <v>1047</v>
      </c>
      <c r="G747" s="105">
        <v>1.5</v>
      </c>
      <c r="H747" s="105">
        <v>5.84</v>
      </c>
      <c r="I747" s="103" t="s">
        <v>17</v>
      </c>
      <c r="J747" s="105">
        <v>2.1</v>
      </c>
      <c r="K747" s="209" t="s">
        <v>2207</v>
      </c>
    </row>
    <row r="748" ht="12" spans="1:11">
      <c r="A748" s="206"/>
      <c r="B748" s="50"/>
      <c r="C748" s="49"/>
      <c r="D748" s="50"/>
      <c r="E748" s="50"/>
      <c r="F748" s="103" t="s">
        <v>1048</v>
      </c>
      <c r="G748" s="105">
        <v>1.5</v>
      </c>
      <c r="H748" s="105">
        <v>0.4</v>
      </c>
      <c r="I748" s="103" t="s">
        <v>22</v>
      </c>
      <c r="J748" s="105">
        <v>2.5</v>
      </c>
      <c r="K748" s="209"/>
    </row>
    <row r="749" ht="12" spans="1:11">
      <c r="A749" s="206"/>
      <c r="B749" s="50"/>
      <c r="C749" s="49"/>
      <c r="D749" s="50"/>
      <c r="E749" s="50"/>
      <c r="F749" s="103" t="s">
        <v>1050</v>
      </c>
      <c r="G749" s="105">
        <v>1.5</v>
      </c>
      <c r="H749" s="105">
        <v>0.27</v>
      </c>
      <c r="I749" s="103" t="s">
        <v>44</v>
      </c>
      <c r="J749" s="105">
        <v>4</v>
      </c>
      <c r="K749" s="209"/>
    </row>
    <row r="750" ht="12" spans="1:11">
      <c r="A750" s="206"/>
      <c r="B750" s="50"/>
      <c r="C750" s="49"/>
      <c r="D750" s="50"/>
      <c r="E750" s="50"/>
      <c r="F750" s="103" t="s">
        <v>1051</v>
      </c>
      <c r="G750" s="105">
        <v>1.5</v>
      </c>
      <c r="H750" s="105">
        <v>0.49</v>
      </c>
      <c r="I750" s="103" t="s">
        <v>24</v>
      </c>
      <c r="J750" s="105" t="s">
        <v>24</v>
      </c>
      <c r="K750" s="209"/>
    </row>
    <row r="751" ht="11.55" customHeight="1" spans="1:11">
      <c r="A751" s="206" t="s">
        <v>2510</v>
      </c>
      <c r="B751" s="85" t="s">
        <v>2511</v>
      </c>
      <c r="C751" s="49">
        <v>12</v>
      </c>
      <c r="D751" s="85" t="s">
        <v>2286</v>
      </c>
      <c r="E751" s="85" t="s">
        <v>2286</v>
      </c>
      <c r="F751" s="103" t="s">
        <v>1137</v>
      </c>
      <c r="G751" s="105">
        <v>1</v>
      </c>
      <c r="H751" s="105">
        <v>10.68</v>
      </c>
      <c r="I751" s="103" t="s">
        <v>17</v>
      </c>
      <c r="J751" s="105">
        <v>1.77</v>
      </c>
      <c r="K751" s="208" t="s">
        <v>2214</v>
      </c>
    </row>
    <row r="752" ht="11.55" customHeight="1" spans="1:11">
      <c r="A752" s="206"/>
      <c r="B752" s="50"/>
      <c r="C752" s="49"/>
      <c r="D752" s="50"/>
      <c r="E752" s="50"/>
      <c r="F752" s="103" t="s">
        <v>1399</v>
      </c>
      <c r="G752" s="105">
        <v>1.16</v>
      </c>
      <c r="H752" s="105">
        <v>0.6</v>
      </c>
      <c r="I752" s="103" t="s">
        <v>22</v>
      </c>
      <c r="J752" s="105">
        <v>1.9</v>
      </c>
      <c r="K752" s="103"/>
    </row>
    <row r="753" ht="11.55" customHeight="1" spans="1:11">
      <c r="A753" s="206"/>
      <c r="B753" s="50"/>
      <c r="C753" s="49"/>
      <c r="D753" s="50"/>
      <c r="E753" s="50"/>
      <c r="F753" s="103" t="s">
        <v>1051</v>
      </c>
      <c r="G753" s="105">
        <v>1.75</v>
      </c>
      <c r="H753" s="105">
        <v>0.72</v>
      </c>
      <c r="I753" s="103" t="s">
        <v>24</v>
      </c>
      <c r="J753" s="105" t="s">
        <v>24</v>
      </c>
      <c r="K753" s="103"/>
    </row>
    <row r="754" ht="11.55" customHeight="1" spans="1:11">
      <c r="A754" s="206" t="s">
        <v>2510</v>
      </c>
      <c r="B754" s="85" t="s">
        <v>2512</v>
      </c>
      <c r="C754" s="49">
        <v>10</v>
      </c>
      <c r="D754" s="85" t="s">
        <v>1628</v>
      </c>
      <c r="E754" s="85" t="s">
        <v>1628</v>
      </c>
      <c r="F754" s="103" t="s">
        <v>1137</v>
      </c>
      <c r="G754" s="105">
        <v>0.74</v>
      </c>
      <c r="H754" s="105">
        <v>9</v>
      </c>
      <c r="I754" s="103" t="s">
        <v>17</v>
      </c>
      <c r="J754" s="105">
        <v>1.85</v>
      </c>
      <c r="K754" s="210" t="s">
        <v>129</v>
      </c>
    </row>
    <row r="755" ht="11.55" customHeight="1" spans="1:11">
      <c r="A755" s="206"/>
      <c r="B755" s="50"/>
      <c r="C755" s="49"/>
      <c r="D755" s="50"/>
      <c r="E755" s="50"/>
      <c r="F755" s="103" t="s">
        <v>1399</v>
      </c>
      <c r="G755" s="105">
        <v>1</v>
      </c>
      <c r="H755" s="105">
        <v>0.4</v>
      </c>
      <c r="I755" s="103" t="s">
        <v>22</v>
      </c>
      <c r="J755" s="105">
        <v>1.95</v>
      </c>
      <c r="K755" s="103"/>
    </row>
    <row r="756" ht="11.55" customHeight="1" spans="1:11">
      <c r="A756" s="206"/>
      <c r="B756" s="50"/>
      <c r="C756" s="49"/>
      <c r="D756" s="50"/>
      <c r="E756" s="50"/>
      <c r="F756" s="103" t="s">
        <v>1051</v>
      </c>
      <c r="G756" s="105">
        <v>1.49</v>
      </c>
      <c r="H756" s="105">
        <v>0.6</v>
      </c>
      <c r="I756" s="103" t="s">
        <v>24</v>
      </c>
      <c r="J756" s="105" t="s">
        <v>24</v>
      </c>
      <c r="K756" s="103"/>
    </row>
    <row r="757" ht="11.55" customHeight="1" spans="1:11">
      <c r="A757" s="206" t="s">
        <v>2487</v>
      </c>
      <c r="B757" s="85" t="s">
        <v>2513</v>
      </c>
      <c r="C757" s="49">
        <v>15</v>
      </c>
      <c r="D757" s="85" t="s">
        <v>1628</v>
      </c>
      <c r="E757" s="85" t="s">
        <v>1628</v>
      </c>
      <c r="F757" s="103" t="s">
        <v>1137</v>
      </c>
      <c r="G757" s="105">
        <v>1.91</v>
      </c>
      <c r="H757" s="105">
        <v>13.35</v>
      </c>
      <c r="I757" s="103" t="s">
        <v>17</v>
      </c>
      <c r="J757" s="105">
        <v>1.87</v>
      </c>
      <c r="K757" s="208" t="s">
        <v>2214</v>
      </c>
    </row>
    <row r="758" ht="11.55" customHeight="1" spans="1:11">
      <c r="A758" s="206"/>
      <c r="B758" s="50"/>
      <c r="C758" s="49"/>
      <c r="D758" s="50"/>
      <c r="E758" s="50"/>
      <c r="F758" s="103" t="s">
        <v>1399</v>
      </c>
      <c r="G758" s="105">
        <v>2</v>
      </c>
      <c r="H758" s="105">
        <v>0.6</v>
      </c>
      <c r="I758" s="103" t="s">
        <v>22</v>
      </c>
      <c r="J758" s="105">
        <v>2.05</v>
      </c>
      <c r="K758" s="103"/>
    </row>
    <row r="759" ht="11.55" customHeight="1" spans="1:11">
      <c r="A759" s="206"/>
      <c r="B759" s="50"/>
      <c r="C759" s="49"/>
      <c r="D759" s="50"/>
      <c r="E759" s="50"/>
      <c r="F759" s="103" t="s">
        <v>1051</v>
      </c>
      <c r="G759" s="105">
        <v>2.66</v>
      </c>
      <c r="H759" s="105">
        <v>1.05</v>
      </c>
      <c r="I759" s="103" t="s">
        <v>24</v>
      </c>
      <c r="J759" s="105" t="s">
        <v>24</v>
      </c>
      <c r="K759" s="103"/>
    </row>
    <row r="760" ht="12" customHeight="1" spans="1:11">
      <c r="A760" s="206" t="s">
        <v>2510</v>
      </c>
      <c r="B760" s="85" t="s">
        <v>2514</v>
      </c>
      <c r="C760" s="49">
        <v>8</v>
      </c>
      <c r="D760" s="85" t="s">
        <v>1640</v>
      </c>
      <c r="E760" s="85" t="s">
        <v>1640</v>
      </c>
      <c r="F760" s="103" t="s">
        <v>1137</v>
      </c>
      <c r="G760" s="105">
        <v>1.91</v>
      </c>
      <c r="H760" s="105">
        <v>7.12</v>
      </c>
      <c r="I760" s="103" t="s">
        <v>17</v>
      </c>
      <c r="J760" s="105">
        <v>1.87</v>
      </c>
      <c r="K760" s="208" t="s">
        <v>2214</v>
      </c>
    </row>
    <row r="761" ht="12" spans="1:11">
      <c r="A761" s="206"/>
      <c r="B761" s="50"/>
      <c r="C761" s="49"/>
      <c r="D761" s="50"/>
      <c r="E761" s="50"/>
      <c r="F761" s="103" t="s">
        <v>1399</v>
      </c>
      <c r="G761" s="105">
        <v>2</v>
      </c>
      <c r="H761" s="105">
        <v>0.32</v>
      </c>
      <c r="I761" s="103" t="s">
        <v>22</v>
      </c>
      <c r="J761" s="105">
        <v>2.05</v>
      </c>
      <c r="K761" s="103"/>
    </row>
    <row r="762" ht="12" spans="1:11">
      <c r="A762" s="211"/>
      <c r="B762" s="212"/>
      <c r="C762" s="200"/>
      <c r="D762" s="212"/>
      <c r="E762" s="212"/>
      <c r="F762" s="118" t="s">
        <v>1051</v>
      </c>
      <c r="G762" s="117">
        <v>2.67</v>
      </c>
      <c r="H762" s="117">
        <v>0.56</v>
      </c>
      <c r="I762" s="118" t="s">
        <v>24</v>
      </c>
      <c r="J762" s="117" t="s">
        <v>24</v>
      </c>
      <c r="K762" s="118"/>
    </row>
    <row r="763" ht="12" spans="1:11">
      <c r="A763" s="120">
        <v>45911</v>
      </c>
      <c r="B763" s="95" t="s">
        <v>2515</v>
      </c>
      <c r="C763" s="121">
        <v>20</v>
      </c>
      <c r="D763" s="95" t="s">
        <v>1640</v>
      </c>
      <c r="E763" s="95" t="s">
        <v>1630</v>
      </c>
      <c r="F763" s="95" t="s">
        <v>1064</v>
      </c>
      <c r="G763" s="52">
        <v>0.92</v>
      </c>
      <c r="H763" s="52">
        <v>18</v>
      </c>
      <c r="I763" s="95" t="s">
        <v>17</v>
      </c>
      <c r="J763" s="52">
        <v>1.8</v>
      </c>
      <c r="K763" s="95" t="s">
        <v>1670</v>
      </c>
    </row>
    <row r="764" ht="12" spans="1:11">
      <c r="A764" s="120"/>
      <c r="B764" s="95"/>
      <c r="C764" s="121"/>
      <c r="D764" s="95"/>
      <c r="E764" s="95"/>
      <c r="F764" s="95" t="s">
        <v>1060</v>
      </c>
      <c r="G764" s="52">
        <v>1.17</v>
      </c>
      <c r="H764" s="52">
        <v>0.6</v>
      </c>
      <c r="I764" s="95" t="s">
        <v>22</v>
      </c>
      <c r="J764" s="52">
        <v>2.1</v>
      </c>
      <c r="K764" s="95"/>
    </row>
    <row r="765" ht="12" spans="1:11">
      <c r="A765" s="120"/>
      <c r="B765" s="95"/>
      <c r="C765" s="121"/>
      <c r="D765" s="95"/>
      <c r="E765" s="95"/>
      <c r="F765" s="95" t="s">
        <v>1083</v>
      </c>
      <c r="G765" s="52">
        <v>1.68</v>
      </c>
      <c r="H765" s="52">
        <v>1.4</v>
      </c>
      <c r="I765" s="95" t="s">
        <v>24</v>
      </c>
      <c r="J765" s="52" t="s">
        <v>24</v>
      </c>
      <c r="K765" s="95"/>
    </row>
    <row r="766" ht="12" spans="1:11">
      <c r="A766" s="120">
        <v>45909</v>
      </c>
      <c r="B766" s="95" t="s">
        <v>2516</v>
      </c>
      <c r="C766" s="121">
        <v>10</v>
      </c>
      <c r="D766" s="95" t="s">
        <v>1623</v>
      </c>
      <c r="E766" s="95" t="s">
        <v>1640</v>
      </c>
      <c r="F766" s="95" t="s">
        <v>1064</v>
      </c>
      <c r="G766" s="52">
        <v>0.93</v>
      </c>
      <c r="H766" s="52">
        <v>9</v>
      </c>
      <c r="I766" s="95" t="s">
        <v>17</v>
      </c>
      <c r="J766" s="52">
        <v>1.78</v>
      </c>
      <c r="K766" s="95" t="s">
        <v>1670</v>
      </c>
    </row>
    <row r="767" ht="12" spans="1:11">
      <c r="A767" s="120"/>
      <c r="B767" s="95"/>
      <c r="C767" s="121"/>
      <c r="D767" s="95"/>
      <c r="E767" s="95"/>
      <c r="F767" s="95" t="s">
        <v>1060</v>
      </c>
      <c r="G767" s="52">
        <v>1.18</v>
      </c>
      <c r="H767" s="52">
        <v>0.3</v>
      </c>
      <c r="I767" s="95" t="s">
        <v>22</v>
      </c>
      <c r="J767" s="52">
        <v>2.1</v>
      </c>
      <c r="K767" s="95"/>
    </row>
    <row r="768" ht="12" spans="1:11">
      <c r="A768" s="120"/>
      <c r="B768" s="95"/>
      <c r="C768" s="121"/>
      <c r="D768" s="95"/>
      <c r="E768" s="95"/>
      <c r="F768" s="95" t="s">
        <v>1083</v>
      </c>
      <c r="G768" s="52">
        <v>1.69</v>
      </c>
      <c r="H768" s="52">
        <v>0.7</v>
      </c>
      <c r="I768" s="95" t="s">
        <v>24</v>
      </c>
      <c r="J768" s="52" t="s">
        <v>24</v>
      </c>
      <c r="K768" s="95"/>
    </row>
    <row r="769" ht="12" spans="1:11">
      <c r="A769" s="120">
        <v>45910</v>
      </c>
      <c r="B769" s="95" t="s">
        <v>2517</v>
      </c>
      <c r="C769" s="121">
        <v>10</v>
      </c>
      <c r="D769" s="95" t="s">
        <v>2219</v>
      </c>
      <c r="E769" s="95" t="s">
        <v>1620</v>
      </c>
      <c r="F769" s="95" t="s">
        <v>1058</v>
      </c>
      <c r="G769" s="52">
        <v>1.08</v>
      </c>
      <c r="H769" s="52">
        <v>3.2</v>
      </c>
      <c r="I769" s="95" t="s">
        <v>17</v>
      </c>
      <c r="J769" s="52">
        <v>1.78</v>
      </c>
      <c r="K769" s="95" t="s">
        <v>2209</v>
      </c>
    </row>
    <row r="770" ht="12" spans="1:11">
      <c r="A770" s="120"/>
      <c r="B770" s="95"/>
      <c r="C770" s="121"/>
      <c r="D770" s="95"/>
      <c r="E770" s="95"/>
      <c r="F770" s="95" t="s">
        <v>1059</v>
      </c>
      <c r="G770" s="52">
        <v>1.66</v>
      </c>
      <c r="H770" s="52">
        <v>5.8</v>
      </c>
      <c r="I770" s="95" t="s">
        <v>17</v>
      </c>
      <c r="J770" s="52">
        <v>1.8</v>
      </c>
      <c r="K770" s="95"/>
    </row>
    <row r="771" ht="12" spans="1:11">
      <c r="A771" s="120"/>
      <c r="B771" s="95"/>
      <c r="C771" s="121"/>
      <c r="D771" s="95"/>
      <c r="E771" s="95"/>
      <c r="F771" s="95" t="s">
        <v>1060</v>
      </c>
      <c r="G771" s="52">
        <v>1.75</v>
      </c>
      <c r="H771" s="52">
        <v>0.5</v>
      </c>
      <c r="I771" s="95" t="s">
        <v>22</v>
      </c>
      <c r="J771" s="52">
        <v>2.05</v>
      </c>
      <c r="K771" s="95"/>
    </row>
    <row r="772" ht="12" spans="1:11">
      <c r="A772" s="120"/>
      <c r="B772" s="95"/>
      <c r="C772" s="121"/>
      <c r="D772" s="95"/>
      <c r="E772" s="95"/>
      <c r="F772" s="95" t="s">
        <v>1083</v>
      </c>
      <c r="G772" s="52">
        <v>1.75</v>
      </c>
      <c r="H772" s="52">
        <v>0.5</v>
      </c>
      <c r="I772" s="95" t="s">
        <v>24</v>
      </c>
      <c r="J772" s="52" t="s">
        <v>24</v>
      </c>
      <c r="K772" s="95"/>
    </row>
    <row r="773" ht="12" spans="1:11">
      <c r="A773" s="120">
        <v>45909</v>
      </c>
      <c r="B773" s="95" t="s">
        <v>2518</v>
      </c>
      <c r="C773" s="121">
        <v>10</v>
      </c>
      <c r="D773" s="95" t="s">
        <v>1630</v>
      </c>
      <c r="E773" s="95" t="s">
        <v>1623</v>
      </c>
      <c r="F773" s="95" t="s">
        <v>1064</v>
      </c>
      <c r="G773" s="52">
        <v>0.93</v>
      </c>
      <c r="H773" s="52">
        <v>9</v>
      </c>
      <c r="I773" s="95" t="s">
        <v>17</v>
      </c>
      <c r="J773" s="52">
        <v>1.78</v>
      </c>
      <c r="K773" s="95" t="s">
        <v>1670</v>
      </c>
    </row>
    <row r="774" ht="12" spans="1:11">
      <c r="A774" s="120"/>
      <c r="B774" s="95"/>
      <c r="C774" s="121"/>
      <c r="D774" s="95"/>
      <c r="E774" s="95"/>
      <c r="F774" s="95" t="s">
        <v>1060</v>
      </c>
      <c r="G774" s="52">
        <v>1.18</v>
      </c>
      <c r="H774" s="52">
        <v>0.3</v>
      </c>
      <c r="I774" s="95" t="s">
        <v>22</v>
      </c>
      <c r="J774" s="52">
        <v>2.1</v>
      </c>
      <c r="K774" s="95"/>
    </row>
    <row r="775" ht="12" spans="1:11">
      <c r="A775" s="120"/>
      <c r="B775" s="95"/>
      <c r="C775" s="121"/>
      <c r="D775" s="95"/>
      <c r="E775" s="95"/>
      <c r="F775" s="95" t="s">
        <v>1083</v>
      </c>
      <c r="G775" s="52">
        <v>1.69</v>
      </c>
      <c r="H775" s="52">
        <v>0.7</v>
      </c>
      <c r="I775" s="95" t="s">
        <v>24</v>
      </c>
      <c r="J775" s="52" t="s">
        <v>24</v>
      </c>
      <c r="K775" s="95"/>
    </row>
    <row r="776" ht="12" spans="1:11">
      <c r="A776" s="167" t="s">
        <v>1496</v>
      </c>
      <c r="B776" s="213" t="s">
        <v>2519</v>
      </c>
      <c r="C776" s="169">
        <v>8</v>
      </c>
      <c r="D776" s="168" t="s">
        <v>2295</v>
      </c>
      <c r="E776" s="168" t="s">
        <v>2295</v>
      </c>
      <c r="F776" s="77" t="s">
        <v>1137</v>
      </c>
      <c r="G776" s="74">
        <v>0.7479</v>
      </c>
      <c r="H776" s="74">
        <v>7.2</v>
      </c>
      <c r="I776" s="77" t="s">
        <v>17</v>
      </c>
      <c r="J776" s="74">
        <v>1.85</v>
      </c>
      <c r="K776" s="199" t="s">
        <v>129</v>
      </c>
    </row>
    <row r="777" ht="12" spans="1:11">
      <c r="A777" s="172"/>
      <c r="B777" s="173"/>
      <c r="C777" s="174"/>
      <c r="D777" s="173"/>
      <c r="E777" s="173"/>
      <c r="F777" s="77" t="s">
        <v>1399</v>
      </c>
      <c r="G777" s="74">
        <v>1</v>
      </c>
      <c r="H777" s="74">
        <v>0.32</v>
      </c>
      <c r="I777" s="77" t="s">
        <v>22</v>
      </c>
      <c r="J777" s="74">
        <v>1.95</v>
      </c>
      <c r="K777" s="76"/>
    </row>
    <row r="778" ht="12" spans="1:11">
      <c r="A778" s="175"/>
      <c r="B778" s="176"/>
      <c r="C778" s="177"/>
      <c r="D778" s="176"/>
      <c r="E778" s="176"/>
      <c r="F778" s="77" t="s">
        <v>1051</v>
      </c>
      <c r="G778" s="74">
        <v>1.4959</v>
      </c>
      <c r="H778" s="74">
        <v>0.48</v>
      </c>
      <c r="I778" s="77" t="s">
        <v>24</v>
      </c>
      <c r="J778" s="74" t="s">
        <v>24</v>
      </c>
      <c r="K778" s="78"/>
    </row>
    <row r="779" ht="12" spans="1:11">
      <c r="A779" s="167" t="s">
        <v>1555</v>
      </c>
      <c r="B779" s="213" t="s">
        <v>2520</v>
      </c>
      <c r="C779" s="169">
        <v>4</v>
      </c>
      <c r="D779" s="168" t="s">
        <v>1499</v>
      </c>
      <c r="E779" s="168" t="s">
        <v>1505</v>
      </c>
      <c r="F779" s="77" t="s">
        <v>1047</v>
      </c>
      <c r="G779" s="74">
        <v>1.1671</v>
      </c>
      <c r="H779" s="74">
        <v>3.28</v>
      </c>
      <c r="I779" s="77" t="s">
        <v>17</v>
      </c>
      <c r="J779" s="74">
        <v>2.35</v>
      </c>
      <c r="K779" s="75" t="s">
        <v>2475</v>
      </c>
    </row>
    <row r="780" ht="12" spans="1:11">
      <c r="A780" s="172"/>
      <c r="B780" s="173"/>
      <c r="C780" s="174"/>
      <c r="D780" s="173"/>
      <c r="E780" s="173"/>
      <c r="F780" s="77" t="s">
        <v>1048</v>
      </c>
      <c r="G780" s="74">
        <v>1.3342</v>
      </c>
      <c r="H780" s="74">
        <v>0.32</v>
      </c>
      <c r="I780" s="77" t="s">
        <v>22</v>
      </c>
      <c r="J780" s="74">
        <v>2.8</v>
      </c>
      <c r="K780" s="76"/>
    </row>
    <row r="781" ht="12" spans="1:11">
      <c r="A781" s="175"/>
      <c r="B781" s="176"/>
      <c r="C781" s="177"/>
      <c r="D781" s="176"/>
      <c r="E781" s="176"/>
      <c r="F781" s="77" t="s">
        <v>1051</v>
      </c>
      <c r="G781" s="74">
        <v>2.582</v>
      </c>
      <c r="H781" s="74">
        <v>0.4</v>
      </c>
      <c r="I781" s="77" t="s">
        <v>24</v>
      </c>
      <c r="J781" s="74" t="s">
        <v>24</v>
      </c>
      <c r="K781" s="78"/>
    </row>
    <row r="782" ht="12" spans="1:11">
      <c r="A782" s="167" t="s">
        <v>1501</v>
      </c>
      <c r="B782" s="213" t="s">
        <v>2521</v>
      </c>
      <c r="C782" s="169">
        <v>10</v>
      </c>
      <c r="D782" s="168" t="s">
        <v>1499</v>
      </c>
      <c r="E782" s="168" t="s">
        <v>1499</v>
      </c>
      <c r="F782" s="77" t="s">
        <v>1137</v>
      </c>
      <c r="G782" s="74">
        <v>1</v>
      </c>
      <c r="H782" s="74">
        <v>8.9</v>
      </c>
      <c r="I782" s="77" t="s">
        <v>17</v>
      </c>
      <c r="J782" s="74">
        <v>1.77</v>
      </c>
      <c r="K782" s="75" t="s">
        <v>2258</v>
      </c>
    </row>
    <row r="783" ht="12" spans="1:11">
      <c r="A783" s="172"/>
      <c r="B783" s="173"/>
      <c r="C783" s="174"/>
      <c r="D783" s="173"/>
      <c r="E783" s="173"/>
      <c r="F783" s="77" t="s">
        <v>1399</v>
      </c>
      <c r="G783" s="74">
        <v>1.1671</v>
      </c>
      <c r="H783" s="74">
        <v>0.5</v>
      </c>
      <c r="I783" s="77" t="s">
        <v>22</v>
      </c>
      <c r="J783" s="74">
        <v>1.9</v>
      </c>
      <c r="K783" s="76"/>
    </row>
    <row r="784" ht="12" spans="1:11">
      <c r="A784" s="175"/>
      <c r="B784" s="176"/>
      <c r="C784" s="177"/>
      <c r="D784" s="176"/>
      <c r="E784" s="176"/>
      <c r="F784" s="77" t="s">
        <v>1051</v>
      </c>
      <c r="G784" s="74">
        <v>1.7479</v>
      </c>
      <c r="H784" s="74">
        <v>0.6</v>
      </c>
      <c r="I784" s="77" t="s">
        <v>24</v>
      </c>
      <c r="J784" s="74" t="s">
        <v>24</v>
      </c>
      <c r="K784" s="78"/>
    </row>
    <row r="785" ht="12" spans="1:11">
      <c r="A785" s="167" t="s">
        <v>1507</v>
      </c>
      <c r="B785" s="213" t="s">
        <v>2522</v>
      </c>
      <c r="C785" s="169">
        <v>10</v>
      </c>
      <c r="D785" s="168" t="s">
        <v>2295</v>
      </c>
      <c r="E785" s="168" t="s">
        <v>2295</v>
      </c>
      <c r="F785" s="77" t="s">
        <v>1137</v>
      </c>
      <c r="G785" s="74">
        <v>0.7479</v>
      </c>
      <c r="H785" s="74">
        <v>9</v>
      </c>
      <c r="I785" s="77" t="s">
        <v>17</v>
      </c>
      <c r="J785" s="74">
        <v>1.85</v>
      </c>
      <c r="K785" s="199" t="s">
        <v>129</v>
      </c>
    </row>
    <row r="786" ht="12" spans="1:11">
      <c r="A786" s="172"/>
      <c r="B786" s="173"/>
      <c r="C786" s="174"/>
      <c r="D786" s="173"/>
      <c r="E786" s="173"/>
      <c r="F786" s="77" t="s">
        <v>1399</v>
      </c>
      <c r="G786" s="74">
        <v>1</v>
      </c>
      <c r="H786" s="74">
        <v>0.4</v>
      </c>
      <c r="I786" s="77" t="s">
        <v>22</v>
      </c>
      <c r="J786" s="74">
        <v>1.95</v>
      </c>
      <c r="K786" s="76"/>
    </row>
    <row r="787" ht="12" spans="1:11">
      <c r="A787" s="175"/>
      <c r="B787" s="176"/>
      <c r="C787" s="177"/>
      <c r="D787" s="176"/>
      <c r="E787" s="176"/>
      <c r="F787" s="77" t="s">
        <v>1051</v>
      </c>
      <c r="G787" s="74">
        <v>1.4959</v>
      </c>
      <c r="H787" s="74">
        <v>0.6</v>
      </c>
      <c r="I787" s="77" t="s">
        <v>24</v>
      </c>
      <c r="J787" s="74" t="s">
        <v>24</v>
      </c>
      <c r="K787" s="78"/>
    </row>
    <row r="788" ht="12" spans="1:11">
      <c r="A788" s="167" t="s">
        <v>1496</v>
      </c>
      <c r="B788" s="213" t="s">
        <v>2523</v>
      </c>
      <c r="C788" s="169">
        <v>10</v>
      </c>
      <c r="D788" s="168" t="s">
        <v>1499</v>
      </c>
      <c r="E788" s="168" t="s">
        <v>1505</v>
      </c>
      <c r="F788" s="77" t="s">
        <v>1047</v>
      </c>
      <c r="G788" s="74">
        <v>0.9041</v>
      </c>
      <c r="H788" s="74">
        <v>9</v>
      </c>
      <c r="I788" s="77" t="s">
        <v>17</v>
      </c>
      <c r="J788" s="74">
        <v>1.79</v>
      </c>
      <c r="K788" s="75" t="s">
        <v>2264</v>
      </c>
    </row>
    <row r="789" ht="12" spans="1:11">
      <c r="A789" s="172"/>
      <c r="B789" s="173"/>
      <c r="C789" s="174"/>
      <c r="D789" s="173"/>
      <c r="E789" s="173"/>
      <c r="F789" s="77" t="s">
        <v>1048</v>
      </c>
      <c r="G789" s="74">
        <v>1.1534</v>
      </c>
      <c r="H789" s="74">
        <v>0.3</v>
      </c>
      <c r="I789" s="77" t="s">
        <v>22</v>
      </c>
      <c r="J789" s="74">
        <v>1.9</v>
      </c>
      <c r="K789" s="76"/>
    </row>
    <row r="790" ht="12" spans="1:11">
      <c r="A790" s="175"/>
      <c r="B790" s="176"/>
      <c r="C790" s="177"/>
      <c r="D790" s="176"/>
      <c r="E790" s="176"/>
      <c r="F790" s="77" t="s">
        <v>1051</v>
      </c>
      <c r="G790" s="74">
        <v>1.6658</v>
      </c>
      <c r="H790" s="74">
        <v>0.7</v>
      </c>
      <c r="I790" s="77" t="s">
        <v>24</v>
      </c>
      <c r="J790" s="74" t="s">
        <v>24</v>
      </c>
      <c r="K790" s="78"/>
    </row>
    <row r="791" ht="12" spans="1:11">
      <c r="A791" s="167" t="s">
        <v>1496</v>
      </c>
      <c r="B791" s="213" t="s">
        <v>2524</v>
      </c>
      <c r="C791" s="169">
        <v>10</v>
      </c>
      <c r="D791" s="168" t="s">
        <v>1525</v>
      </c>
      <c r="E791" s="168" t="s">
        <v>1525</v>
      </c>
      <c r="F791" s="77" t="s">
        <v>1047</v>
      </c>
      <c r="G791" s="74">
        <v>1.8301</v>
      </c>
      <c r="H791" s="74">
        <v>8.4</v>
      </c>
      <c r="I791" s="77" t="s">
        <v>17</v>
      </c>
      <c r="J791" s="74">
        <v>1.79</v>
      </c>
      <c r="K791" s="75" t="s">
        <v>2205</v>
      </c>
    </row>
    <row r="792" ht="12" spans="1:11">
      <c r="A792" s="172"/>
      <c r="B792" s="173"/>
      <c r="C792" s="174"/>
      <c r="D792" s="173"/>
      <c r="E792" s="173"/>
      <c r="F792" s="77" t="s">
        <v>1048</v>
      </c>
      <c r="G792" s="74">
        <v>1.9151</v>
      </c>
      <c r="H792" s="74">
        <v>0.5</v>
      </c>
      <c r="I792" s="77" t="s">
        <v>22</v>
      </c>
      <c r="J792" s="74">
        <v>1.95</v>
      </c>
      <c r="K792" s="76"/>
    </row>
    <row r="793" ht="12" spans="1:11">
      <c r="A793" s="172"/>
      <c r="B793" s="173"/>
      <c r="C793" s="174"/>
      <c r="D793" s="173"/>
      <c r="E793" s="173"/>
      <c r="F793" s="77" t="s">
        <v>1050</v>
      </c>
      <c r="G793" s="74">
        <v>2</v>
      </c>
      <c r="H793" s="74">
        <v>0.3</v>
      </c>
      <c r="I793" s="77" t="s">
        <v>44</v>
      </c>
      <c r="J793" s="74">
        <v>2.05</v>
      </c>
      <c r="K793" s="76"/>
    </row>
    <row r="794" ht="12" spans="1:11">
      <c r="A794" s="175"/>
      <c r="B794" s="176"/>
      <c r="C794" s="177"/>
      <c r="D794" s="176"/>
      <c r="E794" s="176"/>
      <c r="F794" s="77" t="s">
        <v>1051</v>
      </c>
      <c r="G794" s="74">
        <v>2.6639</v>
      </c>
      <c r="H794" s="74">
        <v>0.8</v>
      </c>
      <c r="I794" s="77" t="s">
        <v>24</v>
      </c>
      <c r="J794" s="74" t="s">
        <v>24</v>
      </c>
      <c r="K794" s="78"/>
    </row>
    <row r="795" ht="12" spans="1:11">
      <c r="A795" s="167" t="s">
        <v>1507</v>
      </c>
      <c r="B795" s="213" t="s">
        <v>2525</v>
      </c>
      <c r="C795" s="169">
        <v>10</v>
      </c>
      <c r="D795" s="168" t="s">
        <v>1505</v>
      </c>
      <c r="E795" s="168" t="s">
        <v>1505</v>
      </c>
      <c r="F795" s="77" t="s">
        <v>1047</v>
      </c>
      <c r="G795" s="74">
        <v>1.4959</v>
      </c>
      <c r="H795" s="74">
        <v>8.3</v>
      </c>
      <c r="I795" s="77" t="s">
        <v>17</v>
      </c>
      <c r="J795" s="74">
        <v>2</v>
      </c>
      <c r="K795" s="75" t="s">
        <v>2200</v>
      </c>
    </row>
    <row r="796" ht="12" spans="1:11">
      <c r="A796" s="172"/>
      <c r="B796" s="173"/>
      <c r="C796" s="174"/>
      <c r="D796" s="173"/>
      <c r="E796" s="173"/>
      <c r="F796" s="77" t="s">
        <v>1048</v>
      </c>
      <c r="G796" s="74">
        <v>1.4959</v>
      </c>
      <c r="H796" s="74">
        <v>0.5</v>
      </c>
      <c r="I796" s="77" t="s">
        <v>22</v>
      </c>
      <c r="J796" s="74">
        <v>2.2</v>
      </c>
      <c r="K796" s="76"/>
    </row>
    <row r="797" ht="12" spans="1:11">
      <c r="A797" s="172"/>
      <c r="B797" s="173"/>
      <c r="C797" s="174"/>
      <c r="D797" s="173"/>
      <c r="E797" s="173"/>
      <c r="F797" s="77" t="s">
        <v>1055</v>
      </c>
      <c r="G797" s="74">
        <v>2</v>
      </c>
      <c r="H797" s="74">
        <v>0.7</v>
      </c>
      <c r="I797" s="77" t="s">
        <v>100</v>
      </c>
      <c r="J797" s="74">
        <v>3.4</v>
      </c>
      <c r="K797" s="76"/>
    </row>
    <row r="798" ht="12" spans="1:11">
      <c r="A798" s="175"/>
      <c r="B798" s="176"/>
      <c r="C798" s="177"/>
      <c r="D798" s="176"/>
      <c r="E798" s="176"/>
      <c r="F798" s="77" t="s">
        <v>1051</v>
      </c>
      <c r="G798" s="74">
        <v>2</v>
      </c>
      <c r="H798" s="74">
        <v>0.5</v>
      </c>
      <c r="I798" s="77" t="s">
        <v>24</v>
      </c>
      <c r="J798" s="74" t="s">
        <v>24</v>
      </c>
      <c r="K798" s="78"/>
    </row>
    <row r="799" ht="14" customHeight="1" spans="1:11">
      <c r="A799" s="167" t="s">
        <v>2505</v>
      </c>
      <c r="B799" s="213" t="s">
        <v>2526</v>
      </c>
      <c r="C799" s="169">
        <v>9.4</v>
      </c>
      <c r="D799" s="168" t="s">
        <v>1562</v>
      </c>
      <c r="E799" s="168" t="s">
        <v>1553</v>
      </c>
      <c r="F799" s="77" t="s">
        <v>1121</v>
      </c>
      <c r="G799" s="74">
        <v>1</v>
      </c>
      <c r="H799" s="52">
        <v>3</v>
      </c>
      <c r="I799" s="77" t="s">
        <v>17</v>
      </c>
      <c r="J799" s="74">
        <v>1.78</v>
      </c>
      <c r="K799" s="75" t="s">
        <v>2198</v>
      </c>
    </row>
    <row r="800" ht="12" spans="1:11">
      <c r="A800" s="172"/>
      <c r="B800" s="173"/>
      <c r="C800" s="174"/>
      <c r="D800" s="173"/>
      <c r="E800" s="173"/>
      <c r="F800" s="77" t="s">
        <v>1122</v>
      </c>
      <c r="G800" s="74">
        <v>1</v>
      </c>
      <c r="H800" s="74">
        <v>5.8</v>
      </c>
      <c r="I800" s="77" t="s">
        <v>17</v>
      </c>
      <c r="J800" s="74">
        <v>1.77</v>
      </c>
      <c r="K800" s="76"/>
    </row>
    <row r="801" ht="12" spans="1:14">
      <c r="A801" s="175"/>
      <c r="B801" s="176"/>
      <c r="C801" s="177"/>
      <c r="D801" s="176"/>
      <c r="E801" s="176"/>
      <c r="F801" s="77" t="s">
        <v>1048</v>
      </c>
      <c r="G801" s="74">
        <v>1</v>
      </c>
      <c r="H801" s="74">
        <v>0.6</v>
      </c>
      <c r="I801" s="77" t="s">
        <v>22</v>
      </c>
      <c r="J801" s="74">
        <v>1.95</v>
      </c>
      <c r="K801" s="78"/>
    </row>
    <row r="802" ht="12.5" customHeight="1" spans="1:14">
      <c r="A802" s="47" t="s">
        <v>1540</v>
      </c>
      <c r="B802" s="214" t="s">
        <v>2527</v>
      </c>
      <c r="C802" s="49">
        <v>5</v>
      </c>
      <c r="D802" s="48" t="s">
        <v>1505</v>
      </c>
      <c r="E802" s="48" t="s">
        <v>1505</v>
      </c>
      <c r="F802" s="103" t="s">
        <v>1047</v>
      </c>
      <c r="G802" s="105">
        <v>1.4932</v>
      </c>
      <c r="H802" s="105">
        <v>4.15</v>
      </c>
      <c r="I802" s="193" t="s">
        <v>17</v>
      </c>
      <c r="J802" s="215">
        <v>2.08</v>
      </c>
      <c r="K802" s="112" t="s">
        <v>2200</v>
      </c>
      <c r="N802" s="216">
        <v>0.25</v>
      </c>
    </row>
    <row r="803" ht="12" spans="1:14">
      <c r="A803" s="47"/>
      <c r="B803" s="48"/>
      <c r="C803" s="49"/>
      <c r="D803" s="48"/>
      <c r="E803" s="48"/>
      <c r="F803" s="103" t="s">
        <v>1048</v>
      </c>
      <c r="G803" s="105">
        <v>1.4932</v>
      </c>
      <c r="H803" s="105">
        <v>0.25</v>
      </c>
      <c r="I803" s="193" t="s">
        <v>22</v>
      </c>
      <c r="J803" s="215">
        <v>2.2</v>
      </c>
      <c r="K803" s="112"/>
    </row>
    <row r="804" ht="12" spans="1:14">
      <c r="A804" s="47"/>
      <c r="B804" s="48"/>
      <c r="C804" s="49"/>
      <c r="D804" s="48"/>
      <c r="E804" s="48"/>
      <c r="F804" s="103" t="s">
        <v>1055</v>
      </c>
      <c r="G804" s="105">
        <v>1.9973</v>
      </c>
      <c r="H804" s="105">
        <v>0.35</v>
      </c>
      <c r="I804" s="193" t="s">
        <v>100</v>
      </c>
      <c r="J804" s="215">
        <v>3.4</v>
      </c>
      <c r="K804" s="112"/>
    </row>
    <row r="805" ht="12" spans="1:14">
      <c r="A805" s="47"/>
      <c r="B805" s="48"/>
      <c r="C805" s="49"/>
      <c r="D805" s="48"/>
      <c r="E805" s="48"/>
      <c r="F805" s="103" t="s">
        <v>1051</v>
      </c>
      <c r="G805" s="105">
        <v>1.9973</v>
      </c>
      <c r="H805" s="105">
        <v>0.25</v>
      </c>
      <c r="I805" s="193" t="s">
        <v>24</v>
      </c>
      <c r="J805" s="215" t="s">
        <v>24</v>
      </c>
      <c r="K805" s="112"/>
    </row>
    <row r="806" ht="12" spans="1:14">
      <c r="A806" s="47" t="s">
        <v>1540</v>
      </c>
      <c r="B806" s="214" t="s">
        <v>2528</v>
      </c>
      <c r="C806" s="49">
        <v>10</v>
      </c>
      <c r="D806" s="48" t="s">
        <v>2295</v>
      </c>
      <c r="E806" s="48" t="s">
        <v>2295</v>
      </c>
      <c r="F806" s="103" t="s">
        <v>1137</v>
      </c>
      <c r="G806" s="105">
        <v>0.75</v>
      </c>
      <c r="H806" s="105">
        <v>9</v>
      </c>
      <c r="I806" s="193" t="s">
        <v>17</v>
      </c>
      <c r="J806" s="215">
        <v>1.84</v>
      </c>
      <c r="K806" s="217" t="s">
        <v>129</v>
      </c>
    </row>
    <row r="807" ht="12" spans="1:14">
      <c r="A807" s="47"/>
      <c r="B807" s="48"/>
      <c r="C807" s="49"/>
      <c r="D807" s="48"/>
      <c r="E807" s="48"/>
      <c r="F807" s="103" t="s">
        <v>1399</v>
      </c>
      <c r="G807" s="105">
        <v>1.01</v>
      </c>
      <c r="H807" s="105">
        <v>0.4</v>
      </c>
      <c r="I807" s="193" t="s">
        <v>22</v>
      </c>
      <c r="J807" s="215">
        <v>1.95</v>
      </c>
      <c r="K807" s="112"/>
    </row>
    <row r="808" ht="12" spans="1:14">
      <c r="A808" s="47"/>
      <c r="B808" s="48"/>
      <c r="C808" s="49"/>
      <c r="D808" s="48"/>
      <c r="E808" s="48"/>
      <c r="F808" s="103" t="s">
        <v>1051</v>
      </c>
      <c r="G808" s="105">
        <v>1.5</v>
      </c>
      <c r="H808" s="105">
        <v>0.6</v>
      </c>
      <c r="I808" s="103" t="s">
        <v>24</v>
      </c>
      <c r="J808" s="215" t="s">
        <v>24</v>
      </c>
      <c r="K808" s="112"/>
    </row>
    <row r="809" s="31" customFormat="1" ht="12" spans="1:14">
      <c r="A809" s="47" t="s">
        <v>1572</v>
      </c>
      <c r="B809" s="214" t="s">
        <v>2529</v>
      </c>
      <c r="C809" s="49">
        <v>10</v>
      </c>
      <c r="D809" s="214" t="s">
        <v>536</v>
      </c>
      <c r="E809" s="214" t="s">
        <v>536</v>
      </c>
      <c r="F809" s="218" t="s">
        <v>531</v>
      </c>
      <c r="G809" s="105">
        <v>1.92</v>
      </c>
      <c r="H809" s="105">
        <v>8.9</v>
      </c>
      <c r="I809" s="103" t="s">
        <v>17</v>
      </c>
      <c r="J809" s="215">
        <v>1.88</v>
      </c>
      <c r="K809" s="217" t="s">
        <v>129</v>
      </c>
    </row>
    <row r="810" s="31" customFormat="1" ht="12" spans="1:14">
      <c r="A810" s="47"/>
      <c r="B810" s="48"/>
      <c r="C810" s="49"/>
      <c r="D810" s="48"/>
      <c r="E810" s="48"/>
      <c r="F810" s="218" t="s">
        <v>539</v>
      </c>
      <c r="G810" s="105">
        <v>2</v>
      </c>
      <c r="H810" s="105">
        <v>0.4</v>
      </c>
      <c r="I810" s="103" t="s">
        <v>22</v>
      </c>
      <c r="J810" s="215">
        <v>2.05</v>
      </c>
      <c r="K810" s="112"/>
    </row>
    <row r="811" s="31" customFormat="1" ht="12" spans="1:14">
      <c r="A811" s="47"/>
      <c r="B811" s="48"/>
      <c r="C811" s="49"/>
      <c r="D811" s="48"/>
      <c r="E811" s="48"/>
      <c r="F811" s="218" t="s">
        <v>503</v>
      </c>
      <c r="G811" s="105">
        <v>2.66</v>
      </c>
      <c r="H811" s="105">
        <v>0.7</v>
      </c>
      <c r="I811" s="103" t="s">
        <v>24</v>
      </c>
      <c r="J811" s="215" t="s">
        <v>24</v>
      </c>
      <c r="K811" s="112"/>
    </row>
    <row r="812" ht="12" spans="1:14">
      <c r="A812" s="47" t="s">
        <v>1540</v>
      </c>
      <c r="B812" s="214" t="s">
        <v>2530</v>
      </c>
      <c r="C812" s="49">
        <v>10</v>
      </c>
      <c r="D812" s="48" t="s">
        <v>1523</v>
      </c>
      <c r="E812" s="48" t="s">
        <v>1523</v>
      </c>
      <c r="F812" s="103" t="s">
        <v>1137</v>
      </c>
      <c r="G812" s="105">
        <v>1</v>
      </c>
      <c r="H812" s="105">
        <v>8.9</v>
      </c>
      <c r="I812" s="103" t="s">
        <v>17</v>
      </c>
      <c r="J812" s="215">
        <v>1.8</v>
      </c>
      <c r="K812" s="112" t="s">
        <v>2258</v>
      </c>
    </row>
    <row r="813" ht="12" spans="1:14">
      <c r="A813" s="47"/>
      <c r="B813" s="48"/>
      <c r="C813" s="49"/>
      <c r="D813" s="48"/>
      <c r="E813" s="48"/>
      <c r="F813" s="103" t="s">
        <v>1399</v>
      </c>
      <c r="G813" s="105">
        <v>1.17</v>
      </c>
      <c r="H813" s="105">
        <v>0.5</v>
      </c>
      <c r="I813" s="103" t="s">
        <v>22</v>
      </c>
      <c r="J813" s="215">
        <v>1.9</v>
      </c>
      <c r="K813" s="112"/>
    </row>
    <row r="814" ht="12" spans="1:14">
      <c r="A814" s="47"/>
      <c r="B814" s="48"/>
      <c r="C814" s="49"/>
      <c r="D814" s="48"/>
      <c r="E814" s="48"/>
      <c r="F814" s="103" t="s">
        <v>1051</v>
      </c>
      <c r="G814" s="105">
        <v>1.75</v>
      </c>
      <c r="H814" s="105">
        <v>0.6</v>
      </c>
      <c r="I814" s="103" t="s">
        <v>24</v>
      </c>
      <c r="J814" s="215" t="s">
        <v>24</v>
      </c>
      <c r="K814" s="112"/>
    </row>
    <row r="815" ht="12" spans="1:14">
      <c r="A815" s="47" t="s">
        <v>1572</v>
      </c>
      <c r="B815" s="214" t="s">
        <v>2531</v>
      </c>
      <c r="C815" s="49">
        <v>10</v>
      </c>
      <c r="D815" s="48" t="s">
        <v>1553</v>
      </c>
      <c r="E815" s="48" t="s">
        <v>1499</v>
      </c>
      <c r="F815" s="103" t="s">
        <v>1137</v>
      </c>
      <c r="G815" s="105">
        <v>0.97</v>
      </c>
      <c r="H815" s="105">
        <v>9</v>
      </c>
      <c r="I815" s="103" t="s">
        <v>17</v>
      </c>
      <c r="J815" s="215">
        <v>1.8</v>
      </c>
      <c r="K815" s="112" t="s">
        <v>2264</v>
      </c>
    </row>
    <row r="816" ht="12" spans="1:14">
      <c r="A816" s="47"/>
      <c r="B816" s="48"/>
      <c r="C816" s="49"/>
      <c r="D816" s="48"/>
      <c r="E816" s="48"/>
      <c r="F816" s="103" t="s">
        <v>1399</v>
      </c>
      <c r="G816" s="105">
        <v>1.22</v>
      </c>
      <c r="H816" s="105">
        <v>0.3</v>
      </c>
      <c r="I816" s="103" t="s">
        <v>22</v>
      </c>
      <c r="J816" s="215">
        <v>1.9</v>
      </c>
      <c r="K816" s="112"/>
    </row>
    <row r="817" ht="12" spans="1:11">
      <c r="A817" s="47"/>
      <c r="B817" s="48"/>
      <c r="C817" s="49"/>
      <c r="D817" s="48"/>
      <c r="E817" s="48"/>
      <c r="F817" s="103" t="s">
        <v>1051</v>
      </c>
      <c r="G817" s="105">
        <v>1.72</v>
      </c>
      <c r="H817" s="105">
        <v>0.7</v>
      </c>
      <c r="I817" s="103" t="s">
        <v>24</v>
      </c>
      <c r="J817" s="215" t="s">
        <v>24</v>
      </c>
      <c r="K817" s="112"/>
    </row>
    <row r="818" ht="12" spans="1:11">
      <c r="A818" s="47" t="s">
        <v>1543</v>
      </c>
      <c r="B818" s="214" t="s">
        <v>2532</v>
      </c>
      <c r="C818" s="49">
        <v>10</v>
      </c>
      <c r="D818" s="48" t="s">
        <v>1499</v>
      </c>
      <c r="E818" s="48" t="s">
        <v>1553</v>
      </c>
      <c r="F818" s="103" t="s">
        <v>1137</v>
      </c>
      <c r="G818" s="105">
        <v>1.92</v>
      </c>
      <c r="H818" s="105">
        <v>8.9</v>
      </c>
      <c r="I818" s="103" t="s">
        <v>17</v>
      </c>
      <c r="J818" s="215">
        <v>1.88</v>
      </c>
      <c r="K818" s="112" t="s">
        <v>2258</v>
      </c>
    </row>
    <row r="819" ht="12" spans="1:11">
      <c r="A819" s="47"/>
      <c r="B819" s="48"/>
      <c r="C819" s="49"/>
      <c r="D819" s="48"/>
      <c r="E819" s="48"/>
      <c r="F819" s="103" t="s">
        <v>1399</v>
      </c>
      <c r="G819" s="105">
        <v>2</v>
      </c>
      <c r="H819" s="105">
        <v>0.4</v>
      </c>
      <c r="I819" s="103" t="s">
        <v>22</v>
      </c>
      <c r="J819" s="215">
        <v>2.05</v>
      </c>
      <c r="K819" s="112"/>
    </row>
    <row r="820" ht="12" spans="1:11">
      <c r="A820" s="47"/>
      <c r="B820" s="48"/>
      <c r="C820" s="49"/>
      <c r="D820" s="48"/>
      <c r="E820" s="48"/>
      <c r="F820" s="103" t="s">
        <v>1051</v>
      </c>
      <c r="G820" s="105">
        <v>2.66</v>
      </c>
      <c r="H820" s="105">
        <v>0.7</v>
      </c>
      <c r="I820" s="103" t="s">
        <v>24</v>
      </c>
      <c r="J820" s="215" t="s">
        <v>24</v>
      </c>
      <c r="K820" s="112"/>
    </row>
    <row r="821" ht="13.5" customHeight="1" spans="1:11">
      <c r="A821" s="47" t="s">
        <v>1543</v>
      </c>
      <c r="B821" s="214" t="s">
        <v>2533</v>
      </c>
      <c r="C821" s="49">
        <v>20</v>
      </c>
      <c r="D821" s="48" t="s">
        <v>1505</v>
      </c>
      <c r="E821" s="48" t="s">
        <v>2534</v>
      </c>
      <c r="F821" s="103" t="s">
        <v>1047</v>
      </c>
      <c r="G821" s="105">
        <v>0.97</v>
      </c>
      <c r="H821" s="105">
        <v>18</v>
      </c>
      <c r="I821" s="103" t="s">
        <v>17</v>
      </c>
      <c r="J821" s="215">
        <v>1.8</v>
      </c>
      <c r="K821" s="112" t="s">
        <v>2264</v>
      </c>
    </row>
    <row r="822" ht="12" spans="1:11">
      <c r="A822" s="47"/>
      <c r="B822" s="48"/>
      <c r="C822" s="49"/>
      <c r="D822" s="48"/>
      <c r="E822" s="48"/>
      <c r="F822" s="103" t="s">
        <v>1048</v>
      </c>
      <c r="G822" s="105">
        <v>1.22</v>
      </c>
      <c r="H822" s="105">
        <v>0.6</v>
      </c>
      <c r="I822" s="103" t="s">
        <v>22</v>
      </c>
      <c r="J822" s="215">
        <v>1.9</v>
      </c>
      <c r="K822" s="112"/>
    </row>
    <row r="823" ht="12" spans="1:11">
      <c r="A823" s="47"/>
      <c r="B823" s="48"/>
      <c r="C823" s="49"/>
      <c r="D823" s="48"/>
      <c r="E823" s="48"/>
      <c r="F823" s="103" t="s">
        <v>1051</v>
      </c>
      <c r="G823" s="105">
        <v>1.72</v>
      </c>
      <c r="H823" s="105">
        <v>1.4</v>
      </c>
      <c r="I823" s="103" t="s">
        <v>24</v>
      </c>
      <c r="J823" s="215" t="s">
        <v>24</v>
      </c>
      <c r="K823" s="112"/>
    </row>
    <row r="824" ht="12.75" customHeight="1" spans="1:11">
      <c r="A824" s="47" t="s">
        <v>1540</v>
      </c>
      <c r="B824" s="214" t="s">
        <v>2535</v>
      </c>
      <c r="C824" s="49">
        <v>7.52</v>
      </c>
      <c r="D824" s="48" t="s">
        <v>1553</v>
      </c>
      <c r="E824" s="48" t="s">
        <v>1525</v>
      </c>
      <c r="F824" s="103" t="s">
        <v>1047</v>
      </c>
      <c r="G824" s="105">
        <v>1</v>
      </c>
      <c r="H824" s="105">
        <v>7.04</v>
      </c>
      <c r="I824" s="103" t="s">
        <v>17</v>
      </c>
      <c r="J824" s="215">
        <v>1.79</v>
      </c>
      <c r="K824" s="112" t="s">
        <v>2198</v>
      </c>
    </row>
    <row r="825" ht="12" spans="1:11">
      <c r="A825" s="47"/>
      <c r="B825" s="48"/>
      <c r="C825" s="49"/>
      <c r="D825" s="48"/>
      <c r="E825" s="48"/>
      <c r="F825" s="103" t="s">
        <v>1048</v>
      </c>
      <c r="G825" s="105">
        <v>1</v>
      </c>
      <c r="H825" s="105">
        <v>0.48</v>
      </c>
      <c r="I825" s="103" t="s">
        <v>22</v>
      </c>
      <c r="J825" s="215">
        <v>1.94</v>
      </c>
      <c r="K825" s="112"/>
    </row>
    <row r="826" ht="12" spans="1:11">
      <c r="A826" s="47" t="s">
        <v>1550</v>
      </c>
      <c r="B826" s="214" t="s">
        <v>2536</v>
      </c>
      <c r="C826" s="49">
        <v>8</v>
      </c>
      <c r="D826" s="48" t="s">
        <v>2295</v>
      </c>
      <c r="E826" s="48" t="s">
        <v>2295</v>
      </c>
      <c r="F826" s="103" t="s">
        <v>1137</v>
      </c>
      <c r="G826" s="105">
        <v>0.75</v>
      </c>
      <c r="H826" s="105">
        <v>7.2</v>
      </c>
      <c r="I826" s="103" t="s">
        <v>17</v>
      </c>
      <c r="J826" s="215">
        <v>1.84</v>
      </c>
      <c r="K826" s="217" t="s">
        <v>129</v>
      </c>
    </row>
    <row r="827" ht="12" spans="1:11">
      <c r="A827" s="47"/>
      <c r="B827" s="48"/>
      <c r="C827" s="49"/>
      <c r="D827" s="48"/>
      <c r="E827" s="48"/>
      <c r="F827" s="103" t="s">
        <v>1399</v>
      </c>
      <c r="G827" s="105">
        <v>1</v>
      </c>
      <c r="H827" s="105">
        <v>0.32</v>
      </c>
      <c r="I827" s="103" t="s">
        <v>22</v>
      </c>
      <c r="J827" s="215">
        <v>1.95</v>
      </c>
      <c r="K827" s="112"/>
    </row>
    <row r="828" ht="12" spans="1:11">
      <c r="A828" s="47"/>
      <c r="B828" s="48"/>
      <c r="C828" s="49"/>
      <c r="D828" s="48"/>
      <c r="E828" s="48"/>
      <c r="F828" s="103" t="s">
        <v>1051</v>
      </c>
      <c r="G828" s="105">
        <v>1.5</v>
      </c>
      <c r="H828" s="105">
        <v>0.48</v>
      </c>
      <c r="I828" s="193" t="s">
        <v>24</v>
      </c>
      <c r="J828" s="215" t="s">
        <v>24</v>
      </c>
      <c r="K828" s="112"/>
    </row>
    <row r="829" ht="14" customHeight="1" spans="1:11">
      <c r="A829" s="47" t="s">
        <v>1550</v>
      </c>
      <c r="B829" s="214" t="s">
        <v>2537</v>
      </c>
      <c r="C829" s="49">
        <v>20</v>
      </c>
      <c r="D829" s="48" t="s">
        <v>1499</v>
      </c>
      <c r="E829" s="48" t="s">
        <v>1505</v>
      </c>
      <c r="F829" s="103" t="s">
        <v>1047</v>
      </c>
      <c r="G829" s="105">
        <v>0.98</v>
      </c>
      <c r="H829" s="105">
        <v>18</v>
      </c>
      <c r="I829" s="103" t="s">
        <v>17</v>
      </c>
      <c r="J829" s="215">
        <v>1.8</v>
      </c>
      <c r="K829" s="112" t="s">
        <v>2264</v>
      </c>
    </row>
    <row r="830" ht="12" spans="1:11">
      <c r="A830" s="47"/>
      <c r="B830" s="48"/>
      <c r="C830" s="49"/>
      <c r="D830" s="48"/>
      <c r="E830" s="48"/>
      <c r="F830" s="103" t="s">
        <v>1048</v>
      </c>
      <c r="G830" s="105">
        <v>1.22</v>
      </c>
      <c r="H830" s="105">
        <v>0.6</v>
      </c>
      <c r="I830" s="103" t="s">
        <v>22</v>
      </c>
      <c r="J830" s="215">
        <v>1.9</v>
      </c>
      <c r="K830" s="112"/>
    </row>
    <row r="831" ht="12" spans="1:11">
      <c r="A831" s="47"/>
      <c r="B831" s="48"/>
      <c r="C831" s="49"/>
      <c r="D831" s="48"/>
      <c r="E831" s="48"/>
      <c r="F831" s="103" t="s">
        <v>1051</v>
      </c>
      <c r="G831" s="105">
        <v>1.73</v>
      </c>
      <c r="H831" s="105">
        <v>1.4</v>
      </c>
      <c r="I831" s="193" t="s">
        <v>24</v>
      </c>
      <c r="J831" s="215" t="s">
        <v>24</v>
      </c>
      <c r="K831" s="112"/>
    </row>
    <row r="832" ht="12" spans="1:11">
      <c r="A832" s="47" t="s">
        <v>1550</v>
      </c>
      <c r="B832" s="214" t="s">
        <v>2538</v>
      </c>
      <c r="C832" s="49">
        <v>10</v>
      </c>
      <c r="D832" s="48" t="s">
        <v>1553</v>
      </c>
      <c r="E832" s="48" t="s">
        <v>1553</v>
      </c>
      <c r="F832" s="103" t="s">
        <v>1137</v>
      </c>
      <c r="G832" s="105">
        <v>1</v>
      </c>
      <c r="H832" s="105">
        <v>8.9</v>
      </c>
      <c r="I832" s="103" t="s">
        <v>17</v>
      </c>
      <c r="J832" s="215">
        <v>1.77</v>
      </c>
      <c r="K832" s="112" t="s">
        <v>2258</v>
      </c>
    </row>
    <row r="833" ht="12" spans="1:11">
      <c r="A833" s="47"/>
      <c r="B833" s="48"/>
      <c r="C833" s="49"/>
      <c r="D833" s="48"/>
      <c r="E833" s="48"/>
      <c r="F833" s="103" t="s">
        <v>1399</v>
      </c>
      <c r="G833" s="105">
        <v>1.17</v>
      </c>
      <c r="H833" s="105">
        <v>0.5</v>
      </c>
      <c r="I833" s="103" t="s">
        <v>22</v>
      </c>
      <c r="J833" s="215">
        <v>1.9</v>
      </c>
      <c r="K833" s="112"/>
    </row>
    <row r="834" ht="12" spans="1:11">
      <c r="A834" s="47"/>
      <c r="B834" s="48"/>
      <c r="C834" s="49"/>
      <c r="D834" s="48"/>
      <c r="E834" s="48"/>
      <c r="F834" s="103" t="s">
        <v>1051</v>
      </c>
      <c r="G834" s="105">
        <v>1.75</v>
      </c>
      <c r="H834" s="105">
        <v>0.6</v>
      </c>
      <c r="I834" s="193" t="s">
        <v>24</v>
      </c>
      <c r="J834" s="215" t="s">
        <v>24</v>
      </c>
      <c r="K834" s="112"/>
    </row>
    <row r="835" ht="12" customHeight="1" spans="1:11">
      <c r="A835" s="186" t="s">
        <v>1540</v>
      </c>
      <c r="B835" s="214" t="s">
        <v>2539</v>
      </c>
      <c r="C835" s="49">
        <v>7.52</v>
      </c>
      <c r="D835" s="48" t="s">
        <v>1553</v>
      </c>
      <c r="E835" s="48" t="s">
        <v>1525</v>
      </c>
      <c r="F835" s="103" t="s">
        <v>1047</v>
      </c>
      <c r="G835" s="105">
        <v>1</v>
      </c>
      <c r="H835" s="105">
        <v>7.04</v>
      </c>
      <c r="I835" s="103" t="s">
        <v>17</v>
      </c>
      <c r="J835" s="52">
        <v>1.79</v>
      </c>
      <c r="K835" s="112" t="s">
        <v>2198</v>
      </c>
    </row>
    <row r="836" ht="12" spans="1:11">
      <c r="A836" s="188"/>
      <c r="B836" s="48"/>
      <c r="C836" s="49"/>
      <c r="D836" s="48"/>
      <c r="E836" s="48"/>
      <c r="F836" s="103" t="s">
        <v>1048</v>
      </c>
      <c r="G836" s="105">
        <v>1</v>
      </c>
      <c r="H836" s="105">
        <v>0.48</v>
      </c>
      <c r="I836" s="103" t="s">
        <v>22</v>
      </c>
      <c r="J836" s="52">
        <v>1.94</v>
      </c>
      <c r="K836" s="112"/>
    </row>
    <row r="837" ht="12" spans="1:11">
      <c r="A837" s="47" t="s">
        <v>2540</v>
      </c>
      <c r="B837" s="214" t="s">
        <v>2541</v>
      </c>
      <c r="C837" s="49">
        <v>10</v>
      </c>
      <c r="D837" s="48" t="s">
        <v>2295</v>
      </c>
      <c r="E837" s="48" t="s">
        <v>1553</v>
      </c>
      <c r="F837" s="103" t="s">
        <v>1137</v>
      </c>
      <c r="G837" s="105">
        <v>1</v>
      </c>
      <c r="H837" s="105">
        <v>8.9</v>
      </c>
      <c r="I837" s="103" t="s">
        <v>17</v>
      </c>
      <c r="J837" s="52">
        <v>1.77</v>
      </c>
      <c r="K837" s="112" t="s">
        <v>2258</v>
      </c>
    </row>
    <row r="838" ht="12" spans="1:11">
      <c r="A838" s="47"/>
      <c r="B838" s="48"/>
      <c r="C838" s="49"/>
      <c r="D838" s="48"/>
      <c r="E838" s="48"/>
      <c r="F838" s="103" t="s">
        <v>1399</v>
      </c>
      <c r="G838" s="105">
        <v>1.17</v>
      </c>
      <c r="H838" s="105">
        <v>0.5</v>
      </c>
      <c r="I838" s="103" t="s">
        <v>22</v>
      </c>
      <c r="J838" s="52">
        <v>1.9</v>
      </c>
      <c r="K838" s="112"/>
    </row>
    <row r="839" ht="12" spans="1:11">
      <c r="A839" s="47"/>
      <c r="B839" s="48"/>
      <c r="C839" s="49"/>
      <c r="D839" s="48"/>
      <c r="E839" s="48"/>
      <c r="F839" s="103" t="s">
        <v>1051</v>
      </c>
      <c r="G839" s="105">
        <v>1.75</v>
      </c>
      <c r="H839" s="105">
        <v>0.6</v>
      </c>
      <c r="I839" s="193" t="s">
        <v>24</v>
      </c>
      <c r="J839" s="52" t="s">
        <v>24</v>
      </c>
      <c r="K839" s="112"/>
    </row>
    <row r="840" ht="12.75" customHeight="1" spans="1:11">
      <c r="A840" s="47" t="s">
        <v>1550</v>
      </c>
      <c r="B840" s="214" t="s">
        <v>2542</v>
      </c>
      <c r="C840" s="49">
        <v>10</v>
      </c>
      <c r="D840" s="48" t="s">
        <v>1505</v>
      </c>
      <c r="E840" s="48" t="s">
        <v>1505</v>
      </c>
      <c r="F840" s="103" t="s">
        <v>1047</v>
      </c>
      <c r="G840" s="105">
        <v>1.5</v>
      </c>
      <c r="H840" s="105">
        <v>8.3</v>
      </c>
      <c r="I840" s="103" t="s">
        <v>17</v>
      </c>
      <c r="J840" s="52">
        <v>2</v>
      </c>
      <c r="K840" s="112" t="s">
        <v>2200</v>
      </c>
    </row>
    <row r="841" ht="12" spans="1:11">
      <c r="A841" s="47"/>
      <c r="B841" s="48"/>
      <c r="C841" s="49"/>
      <c r="D841" s="48"/>
      <c r="E841" s="48"/>
      <c r="F841" s="103" t="s">
        <v>1048</v>
      </c>
      <c r="G841" s="105">
        <v>1.5</v>
      </c>
      <c r="H841" s="105">
        <v>0.5</v>
      </c>
      <c r="I841" s="103" t="s">
        <v>22</v>
      </c>
      <c r="J841" s="52">
        <v>2.2</v>
      </c>
      <c r="K841" s="112"/>
    </row>
    <row r="842" ht="12" spans="1:11">
      <c r="A842" s="47"/>
      <c r="B842" s="48"/>
      <c r="C842" s="49"/>
      <c r="D842" s="48"/>
      <c r="E842" s="48"/>
      <c r="F842" s="103" t="s">
        <v>1055</v>
      </c>
      <c r="G842" s="105">
        <v>2</v>
      </c>
      <c r="H842" s="105">
        <v>0.7</v>
      </c>
      <c r="I842" s="103" t="s">
        <v>100</v>
      </c>
      <c r="J842" s="52">
        <v>3.4</v>
      </c>
      <c r="K842" s="112"/>
    </row>
    <row r="843" ht="12" spans="1:11">
      <c r="A843" s="47"/>
      <c r="B843" s="48"/>
      <c r="C843" s="49"/>
      <c r="D843" s="48"/>
      <c r="E843" s="48"/>
      <c r="F843" s="103" t="s">
        <v>1051</v>
      </c>
      <c r="G843" s="105">
        <v>2</v>
      </c>
      <c r="H843" s="105">
        <v>0.5</v>
      </c>
      <c r="I843" s="193" t="s">
        <v>24</v>
      </c>
      <c r="J843" s="52" t="s">
        <v>24</v>
      </c>
      <c r="K843" s="112"/>
    </row>
    <row r="844" ht="12" customHeight="1" spans="1:11">
      <c r="A844" s="47" t="s">
        <v>1550</v>
      </c>
      <c r="B844" s="214" t="s">
        <v>2543</v>
      </c>
      <c r="C844" s="49">
        <v>3</v>
      </c>
      <c r="D844" s="48" t="s">
        <v>1505</v>
      </c>
      <c r="E844" s="48" t="s">
        <v>1505</v>
      </c>
      <c r="F844" s="103" t="s">
        <v>1047</v>
      </c>
      <c r="G844" s="105">
        <v>1.06</v>
      </c>
      <c r="H844" s="105">
        <v>2.52</v>
      </c>
      <c r="I844" s="103" t="s">
        <v>17</v>
      </c>
      <c r="J844" s="52">
        <v>1.78</v>
      </c>
      <c r="K844" s="112" t="s">
        <v>2433</v>
      </c>
    </row>
    <row r="845" ht="12" spans="1:11">
      <c r="A845" s="47"/>
      <c r="B845" s="48"/>
      <c r="C845" s="49"/>
      <c r="D845" s="48"/>
      <c r="E845" s="48"/>
      <c r="F845" s="103" t="s">
        <v>1048</v>
      </c>
      <c r="G845" s="105">
        <v>1.06</v>
      </c>
      <c r="H845" s="105">
        <v>0.17</v>
      </c>
      <c r="I845" s="103" t="s">
        <v>22</v>
      </c>
      <c r="J845" s="52">
        <v>1.85</v>
      </c>
      <c r="K845" s="112"/>
    </row>
    <row r="846" ht="12" spans="1:11">
      <c r="A846" s="47"/>
      <c r="B846" s="48"/>
      <c r="C846" s="49"/>
      <c r="D846" s="48"/>
      <c r="E846" s="48"/>
      <c r="F846" s="103" t="s">
        <v>1051</v>
      </c>
      <c r="G846" s="105">
        <v>1.12</v>
      </c>
      <c r="H846" s="105">
        <v>0.31</v>
      </c>
      <c r="I846" s="193" t="s">
        <v>24</v>
      </c>
      <c r="J846" s="52" t="s">
        <v>24</v>
      </c>
      <c r="K846" s="112"/>
    </row>
    <row r="847" ht="11.75" customHeight="1" spans="1:11">
      <c r="A847" s="47" t="s">
        <v>1555</v>
      </c>
      <c r="B847" s="48" t="s">
        <v>2544</v>
      </c>
      <c r="C847" s="49">
        <v>10</v>
      </c>
      <c r="D847" s="48" t="s">
        <v>1505</v>
      </c>
      <c r="E847" s="48" t="s">
        <v>1553</v>
      </c>
      <c r="F847" s="103" t="s">
        <v>1047</v>
      </c>
      <c r="G847" s="105">
        <v>0.8986</v>
      </c>
      <c r="H847" s="105">
        <v>9</v>
      </c>
      <c r="I847" s="103" t="s">
        <v>17</v>
      </c>
      <c r="J847" s="52">
        <v>1.79</v>
      </c>
      <c r="K847" s="112" t="s">
        <v>2264</v>
      </c>
    </row>
    <row r="848" ht="12" spans="1:11">
      <c r="A848" s="47"/>
      <c r="B848" s="48"/>
      <c r="C848" s="49"/>
      <c r="D848" s="48"/>
      <c r="E848" s="48"/>
      <c r="F848" s="103" t="s">
        <v>1048</v>
      </c>
      <c r="G848" s="105">
        <v>1.1479</v>
      </c>
      <c r="H848" s="105">
        <v>0.3</v>
      </c>
      <c r="I848" s="103" t="s">
        <v>22</v>
      </c>
      <c r="J848" s="52">
        <v>1.9</v>
      </c>
      <c r="K848" s="112"/>
    </row>
    <row r="849" ht="12" spans="1:13">
      <c r="A849" s="47"/>
      <c r="B849" s="48"/>
      <c r="C849" s="49"/>
      <c r="D849" s="48"/>
      <c r="E849" s="48"/>
      <c r="F849" s="103" t="s">
        <v>1051</v>
      </c>
      <c r="G849" s="105">
        <v>1.6575</v>
      </c>
      <c r="H849" s="105">
        <v>0.7</v>
      </c>
      <c r="I849" s="193" t="s">
        <v>24</v>
      </c>
      <c r="J849" s="52" t="s">
        <v>24</v>
      </c>
      <c r="K849" s="112"/>
    </row>
    <row r="850" ht="12" spans="1:13">
      <c r="A850" s="47" t="s">
        <v>2540</v>
      </c>
      <c r="B850" s="214" t="s">
        <v>2545</v>
      </c>
      <c r="C850" s="49">
        <v>10</v>
      </c>
      <c r="D850" s="48" t="s">
        <v>2295</v>
      </c>
      <c r="E850" s="48" t="s">
        <v>2295</v>
      </c>
      <c r="F850" s="103" t="s">
        <v>1137</v>
      </c>
      <c r="G850" s="105">
        <v>1</v>
      </c>
      <c r="H850" s="105">
        <v>8.9</v>
      </c>
      <c r="I850" s="103" t="s">
        <v>17</v>
      </c>
      <c r="J850" s="52">
        <v>1.77</v>
      </c>
      <c r="K850" s="112" t="s">
        <v>2258</v>
      </c>
    </row>
    <row r="851" ht="12" spans="1:13">
      <c r="A851" s="47"/>
      <c r="B851" s="48"/>
      <c r="C851" s="49"/>
      <c r="D851" s="48"/>
      <c r="E851" s="48"/>
      <c r="F851" s="103" t="s">
        <v>1399</v>
      </c>
      <c r="G851" s="105">
        <v>1.17</v>
      </c>
      <c r="H851" s="105">
        <v>0.5</v>
      </c>
      <c r="I851" s="103" t="s">
        <v>22</v>
      </c>
      <c r="J851" s="52">
        <v>1.9</v>
      </c>
      <c r="K851" s="112"/>
    </row>
    <row r="852" ht="12" spans="1:13">
      <c r="A852" s="47"/>
      <c r="B852" s="48"/>
      <c r="C852" s="49"/>
      <c r="D852" s="48"/>
      <c r="E852" s="48"/>
      <c r="F852" s="103" t="s">
        <v>1051</v>
      </c>
      <c r="G852" s="105">
        <v>1.75</v>
      </c>
      <c r="H852" s="105">
        <v>0.6</v>
      </c>
      <c r="I852" s="193" t="s">
        <v>24</v>
      </c>
      <c r="J852" s="52" t="s">
        <v>24</v>
      </c>
      <c r="K852" s="112"/>
    </row>
    <row r="853" ht="13.05" customHeight="1" spans="1:13">
      <c r="A853" s="108" t="s">
        <v>1569</v>
      </c>
      <c r="B853" s="148" t="s">
        <v>2546</v>
      </c>
      <c r="C853" s="109">
        <v>15</v>
      </c>
      <c r="D853" s="219" t="s">
        <v>477</v>
      </c>
      <c r="E853" s="219" t="s">
        <v>477</v>
      </c>
      <c r="F853" s="218" t="s">
        <v>1047</v>
      </c>
      <c r="G853" s="105">
        <v>1.5</v>
      </c>
      <c r="H853" s="105">
        <v>12.45</v>
      </c>
      <c r="I853" s="103" t="s">
        <v>17</v>
      </c>
      <c r="J853" s="52">
        <v>2.2</v>
      </c>
      <c r="K853" s="220" t="s">
        <v>35</v>
      </c>
      <c r="M853" s="221"/>
    </row>
    <row r="854" ht="13.05" customHeight="1" spans="1:13">
      <c r="A854" s="108"/>
      <c r="B854" s="54"/>
      <c r="C854" s="109"/>
      <c r="D854" s="222"/>
      <c r="E854" s="222"/>
      <c r="F854" s="218" t="s">
        <v>1048</v>
      </c>
      <c r="G854" s="105">
        <v>1.5</v>
      </c>
      <c r="H854" s="105">
        <v>0.75</v>
      </c>
      <c r="I854" s="103" t="s">
        <v>22</v>
      </c>
      <c r="J854" s="52">
        <v>2.3</v>
      </c>
      <c r="K854" s="223"/>
    </row>
    <row r="855" ht="13.05" customHeight="1" spans="1:13">
      <c r="A855" s="108"/>
      <c r="B855" s="54"/>
      <c r="C855" s="109"/>
      <c r="D855" s="222"/>
      <c r="E855" s="222"/>
      <c r="F855" s="218" t="s">
        <v>509</v>
      </c>
      <c r="G855" s="105">
        <v>2</v>
      </c>
      <c r="H855" s="105">
        <v>1.05</v>
      </c>
      <c r="I855" s="103" t="s">
        <v>100</v>
      </c>
      <c r="J855" s="52">
        <v>3.4</v>
      </c>
      <c r="K855" s="223"/>
    </row>
    <row r="856" ht="13.05" customHeight="1" spans="1:13">
      <c r="A856" s="108"/>
      <c r="B856" s="54"/>
      <c r="C856" s="109"/>
      <c r="D856" s="222"/>
      <c r="E856" s="222"/>
      <c r="F856" s="218" t="s">
        <v>503</v>
      </c>
      <c r="G856" s="105">
        <v>2</v>
      </c>
      <c r="H856" s="105">
        <v>0.75</v>
      </c>
      <c r="I856" s="193" t="s">
        <v>24</v>
      </c>
      <c r="J856" s="52" t="s">
        <v>24</v>
      </c>
      <c r="K856" s="223"/>
    </row>
    <row r="857" ht="12" spans="1:13">
      <c r="A857" s="108" t="s">
        <v>1569</v>
      </c>
      <c r="B857" s="148" t="s">
        <v>2547</v>
      </c>
      <c r="C857" s="109">
        <v>10</v>
      </c>
      <c r="D857" s="219" t="s">
        <v>484</v>
      </c>
      <c r="E857" s="219" t="s">
        <v>481</v>
      </c>
      <c r="F857" s="218" t="s">
        <v>531</v>
      </c>
      <c r="G857" s="105">
        <v>1</v>
      </c>
      <c r="H857" s="105">
        <v>8.9</v>
      </c>
      <c r="I857" s="103" t="s">
        <v>17</v>
      </c>
      <c r="J857" s="52">
        <v>1.8</v>
      </c>
      <c r="K857" s="205" t="s">
        <v>129</v>
      </c>
    </row>
    <row r="858" ht="13.05" customHeight="1" spans="1:13">
      <c r="A858" s="108"/>
      <c r="B858" s="54"/>
      <c r="C858" s="109"/>
      <c r="D858" s="222"/>
      <c r="E858" s="222"/>
      <c r="F858" s="218" t="s">
        <v>539</v>
      </c>
      <c r="G858" s="105">
        <v>1.17</v>
      </c>
      <c r="H858" s="105">
        <v>0.5</v>
      </c>
      <c r="I858" s="103" t="s">
        <v>22</v>
      </c>
      <c r="J858" s="52">
        <v>1.9</v>
      </c>
      <c r="K858" s="111"/>
    </row>
    <row r="859" ht="13.05" customHeight="1" spans="1:13">
      <c r="A859" s="108"/>
      <c r="B859" s="54"/>
      <c r="C859" s="109"/>
      <c r="D859" s="222"/>
      <c r="E859" s="222"/>
      <c r="F859" s="218" t="s">
        <v>503</v>
      </c>
      <c r="G859" s="105">
        <v>1.75</v>
      </c>
      <c r="H859" s="105">
        <v>0.6</v>
      </c>
      <c r="I859" s="193" t="s">
        <v>24</v>
      </c>
      <c r="J859" s="52" t="s">
        <v>24</v>
      </c>
      <c r="K859" s="111"/>
    </row>
    <row r="860" ht="12" spans="1:13">
      <c r="A860" s="108" t="s">
        <v>1569</v>
      </c>
      <c r="B860" s="148" t="s">
        <v>2548</v>
      </c>
      <c r="C860" s="109">
        <v>10</v>
      </c>
      <c r="D860" s="219" t="s">
        <v>477</v>
      </c>
      <c r="E860" s="219" t="s">
        <v>477</v>
      </c>
      <c r="F860" s="218" t="s">
        <v>1047</v>
      </c>
      <c r="G860" s="105">
        <v>1.5</v>
      </c>
      <c r="H860" s="105">
        <v>8.3</v>
      </c>
      <c r="I860" s="103" t="s">
        <v>17</v>
      </c>
      <c r="J860" s="52">
        <v>2.25</v>
      </c>
      <c r="K860" s="220" t="s">
        <v>35</v>
      </c>
    </row>
    <row r="861" ht="13.05" customHeight="1" spans="1:13">
      <c r="A861" s="108"/>
      <c r="B861" s="54"/>
      <c r="C861" s="109"/>
      <c r="D861" s="222"/>
      <c r="E861" s="222"/>
      <c r="F861" s="218" t="s">
        <v>1048</v>
      </c>
      <c r="G861" s="105">
        <v>1.5</v>
      </c>
      <c r="H861" s="105">
        <v>0.5</v>
      </c>
      <c r="I861" s="103" t="s">
        <v>22</v>
      </c>
      <c r="J861" s="52">
        <v>2.3</v>
      </c>
      <c r="K861" s="223"/>
    </row>
    <row r="862" ht="13.05" customHeight="1" spans="1:13">
      <c r="A862" s="108"/>
      <c r="B862" s="54"/>
      <c r="C862" s="109"/>
      <c r="D862" s="222"/>
      <c r="E862" s="222"/>
      <c r="F862" s="218" t="s">
        <v>509</v>
      </c>
      <c r="G862" s="105">
        <v>2</v>
      </c>
      <c r="H862" s="105">
        <v>0.7</v>
      </c>
      <c r="I862" s="103" t="s">
        <v>100</v>
      </c>
      <c r="J862" s="52">
        <v>3.4</v>
      </c>
      <c r="K862" s="223"/>
    </row>
    <row r="863" ht="13.05" customHeight="1" spans="1:13">
      <c r="A863" s="108"/>
      <c r="B863" s="54"/>
      <c r="C863" s="109"/>
      <c r="D863" s="222"/>
      <c r="E863" s="222"/>
      <c r="F863" s="218" t="s">
        <v>503</v>
      </c>
      <c r="G863" s="105">
        <v>2</v>
      </c>
      <c r="H863" s="105">
        <v>0.5</v>
      </c>
      <c r="I863" s="193" t="s">
        <v>24</v>
      </c>
      <c r="J863" s="52" t="s">
        <v>24</v>
      </c>
      <c r="K863" s="223"/>
    </row>
    <row r="864" ht="13.05" customHeight="1" spans="1:13">
      <c r="A864" s="108" t="s">
        <v>1572</v>
      </c>
      <c r="B864" s="148" t="s">
        <v>2549</v>
      </c>
      <c r="C864" s="109">
        <v>10</v>
      </c>
      <c r="D864" s="219" t="s">
        <v>477</v>
      </c>
      <c r="E864" s="219" t="s">
        <v>1136</v>
      </c>
      <c r="F864" s="218" t="s">
        <v>1047</v>
      </c>
      <c r="G864" s="105">
        <v>1.91</v>
      </c>
      <c r="H864" s="105">
        <v>8.7</v>
      </c>
      <c r="I864" s="103" t="s">
        <v>17</v>
      </c>
      <c r="J864" s="52">
        <v>2.13</v>
      </c>
      <c r="K864" s="205" t="s">
        <v>35</v>
      </c>
      <c r="M864" s="224"/>
    </row>
    <row r="865" ht="13.05" customHeight="1" spans="1:11">
      <c r="A865" s="108"/>
      <c r="B865" s="54"/>
      <c r="C865" s="109"/>
      <c r="D865" s="222"/>
      <c r="E865" s="222"/>
      <c r="F865" s="218" t="s">
        <v>1048</v>
      </c>
      <c r="G865" s="105">
        <v>1.91</v>
      </c>
      <c r="H865" s="105">
        <v>0.4</v>
      </c>
      <c r="I865" s="103" t="s">
        <v>22</v>
      </c>
      <c r="J865" s="52">
        <v>2.29</v>
      </c>
      <c r="K865" s="111"/>
    </row>
    <row r="866" ht="13.05" customHeight="1" spans="1:11">
      <c r="A866" s="108"/>
      <c r="B866" s="54"/>
      <c r="C866" s="109"/>
      <c r="D866" s="222"/>
      <c r="E866" s="222"/>
      <c r="F866" s="218" t="s">
        <v>509</v>
      </c>
      <c r="G866" s="105">
        <v>1.91</v>
      </c>
      <c r="H866" s="105">
        <v>0.4</v>
      </c>
      <c r="I866" s="103" t="s">
        <v>64</v>
      </c>
      <c r="J866" s="52">
        <v>3.4</v>
      </c>
      <c r="K866" s="111"/>
    </row>
    <row r="867" ht="13.05" customHeight="1" spans="1:11">
      <c r="A867" s="108"/>
      <c r="B867" s="54"/>
      <c r="C867" s="109"/>
      <c r="D867" s="222"/>
      <c r="E867" s="222"/>
      <c r="F867" s="218" t="s">
        <v>503</v>
      </c>
      <c r="G867" s="105">
        <v>2.83</v>
      </c>
      <c r="H867" s="105">
        <v>0.5</v>
      </c>
      <c r="I867" s="193" t="s">
        <v>24</v>
      </c>
      <c r="J867" s="52" t="s">
        <v>24</v>
      </c>
      <c r="K867" s="111"/>
    </row>
    <row r="868" ht="12" spans="1:11">
      <c r="A868" s="108" t="s">
        <v>2550</v>
      </c>
      <c r="B868" s="148" t="s">
        <v>2551</v>
      </c>
      <c r="C868" s="109">
        <v>20</v>
      </c>
      <c r="D868" s="219" t="s">
        <v>477</v>
      </c>
      <c r="E868" s="219" t="s">
        <v>2552</v>
      </c>
      <c r="F868" s="218" t="s">
        <v>1047</v>
      </c>
      <c r="G868" s="105">
        <v>0.96</v>
      </c>
      <c r="H868" s="105">
        <v>18</v>
      </c>
      <c r="I868" s="103" t="s">
        <v>17</v>
      </c>
      <c r="J868" s="52">
        <v>1.85</v>
      </c>
      <c r="K868" s="220" t="s">
        <v>74</v>
      </c>
    </row>
    <row r="869" ht="13.05" customHeight="1" spans="1:11">
      <c r="A869" s="108"/>
      <c r="B869" s="54"/>
      <c r="C869" s="109"/>
      <c r="D869" s="222"/>
      <c r="E869" s="222"/>
      <c r="F869" s="218" t="s">
        <v>1048</v>
      </c>
      <c r="G869" s="105">
        <v>1.21</v>
      </c>
      <c r="H869" s="105">
        <v>0.6</v>
      </c>
      <c r="I869" s="103" t="s">
        <v>22</v>
      </c>
      <c r="J869" s="52">
        <v>1.9</v>
      </c>
      <c r="K869" s="223"/>
    </row>
    <row r="870" ht="13.05" customHeight="1" spans="1:11">
      <c r="A870" s="108"/>
      <c r="B870" s="54"/>
      <c r="C870" s="109"/>
      <c r="D870" s="222"/>
      <c r="E870" s="222"/>
      <c r="F870" s="218" t="s">
        <v>503</v>
      </c>
      <c r="G870" s="105">
        <v>1.21</v>
      </c>
      <c r="H870" s="105">
        <v>1.4</v>
      </c>
      <c r="I870" s="193" t="s">
        <v>24</v>
      </c>
      <c r="J870" s="52" t="s">
        <v>24</v>
      </c>
      <c r="K870" s="223"/>
    </row>
    <row r="871" ht="12" spans="1:11">
      <c r="A871" s="108" t="s">
        <v>1569</v>
      </c>
      <c r="B871" s="148" t="s">
        <v>2553</v>
      </c>
      <c r="C871" s="109">
        <v>10</v>
      </c>
      <c r="D871" s="219" t="s">
        <v>536</v>
      </c>
      <c r="E871" s="219" t="s">
        <v>484</v>
      </c>
      <c r="F871" s="218" t="s">
        <v>1047</v>
      </c>
      <c r="G871" s="105">
        <v>1.92</v>
      </c>
      <c r="H871" s="105">
        <v>8.7</v>
      </c>
      <c r="I871" s="103" t="s">
        <v>17</v>
      </c>
      <c r="J871" s="52">
        <v>2.2</v>
      </c>
      <c r="K871" s="205" t="s">
        <v>35</v>
      </c>
    </row>
    <row r="872" ht="13.05" customHeight="1" spans="1:11">
      <c r="A872" s="108"/>
      <c r="B872" s="54"/>
      <c r="C872" s="109"/>
      <c r="D872" s="222"/>
      <c r="E872" s="222"/>
      <c r="F872" s="218" t="s">
        <v>1048</v>
      </c>
      <c r="G872" s="105">
        <v>1.92</v>
      </c>
      <c r="H872" s="105">
        <v>0.4</v>
      </c>
      <c r="I872" s="103" t="s">
        <v>22</v>
      </c>
      <c r="J872" s="52">
        <v>2.3</v>
      </c>
      <c r="K872" s="111"/>
    </row>
    <row r="873" ht="13.05" customHeight="1" spans="1:11">
      <c r="A873" s="108"/>
      <c r="B873" s="54"/>
      <c r="C873" s="109"/>
      <c r="D873" s="222"/>
      <c r="E873" s="222"/>
      <c r="F873" s="218" t="s">
        <v>509</v>
      </c>
      <c r="G873" s="105">
        <v>1.92</v>
      </c>
      <c r="H873" s="105">
        <v>0.4</v>
      </c>
      <c r="I873" s="103" t="s">
        <v>64</v>
      </c>
      <c r="J873" s="52">
        <v>3.4</v>
      </c>
      <c r="K873" s="111"/>
    </row>
    <row r="874" ht="13.05" customHeight="1" spans="1:11">
      <c r="A874" s="108"/>
      <c r="B874" s="54"/>
      <c r="C874" s="109"/>
      <c r="D874" s="222"/>
      <c r="E874" s="222"/>
      <c r="F874" s="218" t="s">
        <v>503</v>
      </c>
      <c r="G874" s="105">
        <v>2.83</v>
      </c>
      <c r="H874" s="105">
        <v>0.5</v>
      </c>
      <c r="I874" s="193" t="s">
        <v>24</v>
      </c>
      <c r="J874" s="52" t="s">
        <v>24</v>
      </c>
      <c r="K874" s="111"/>
    </row>
    <row r="875" ht="13.05" customHeight="1" spans="1:11">
      <c r="A875" s="108" t="s">
        <v>1572</v>
      </c>
      <c r="B875" s="148" t="s">
        <v>2554</v>
      </c>
      <c r="C875" s="109">
        <v>10</v>
      </c>
      <c r="D875" s="219" t="s">
        <v>492</v>
      </c>
      <c r="E875" s="219" t="s">
        <v>492</v>
      </c>
      <c r="F875" s="218" t="s">
        <v>531</v>
      </c>
      <c r="G875" s="105">
        <v>1</v>
      </c>
      <c r="H875" s="105">
        <v>8.8</v>
      </c>
      <c r="I875" s="103" t="s">
        <v>17</v>
      </c>
      <c r="J875" s="52">
        <v>1.83</v>
      </c>
      <c r="K875" s="220" t="s">
        <v>129</v>
      </c>
    </row>
    <row r="876" ht="13.05" customHeight="1" spans="1:11">
      <c r="A876" s="108"/>
      <c r="B876" s="54"/>
      <c r="C876" s="109"/>
      <c r="D876" s="222"/>
      <c r="E876" s="222"/>
      <c r="F876" s="218" t="s">
        <v>539</v>
      </c>
      <c r="G876" s="105">
        <v>1.08</v>
      </c>
      <c r="H876" s="105">
        <v>0.6</v>
      </c>
      <c r="I876" s="103" t="s">
        <v>22</v>
      </c>
      <c r="J876" s="52">
        <v>1.9</v>
      </c>
      <c r="K876" s="223"/>
    </row>
    <row r="877" ht="13.05" customHeight="1" spans="1:11">
      <c r="A877" s="108"/>
      <c r="B877" s="54"/>
      <c r="C877" s="109"/>
      <c r="D877" s="222"/>
      <c r="E877" s="222"/>
      <c r="F877" s="218" t="s">
        <v>503</v>
      </c>
      <c r="G877" s="105">
        <v>1.66</v>
      </c>
      <c r="H877" s="105">
        <v>0.6</v>
      </c>
      <c r="I877" s="193" t="s">
        <v>24</v>
      </c>
      <c r="J877" s="52" t="s">
        <v>24</v>
      </c>
      <c r="K877" s="223"/>
    </row>
    <row r="878" ht="12" spans="1:11">
      <c r="A878" s="108" t="s">
        <v>1572</v>
      </c>
      <c r="B878" s="148" t="s">
        <v>2555</v>
      </c>
      <c r="C878" s="109">
        <v>10</v>
      </c>
      <c r="D878" s="219" t="s">
        <v>492</v>
      </c>
      <c r="E878" s="219" t="s">
        <v>481</v>
      </c>
      <c r="F878" s="218" t="s">
        <v>1047</v>
      </c>
      <c r="G878" s="105">
        <v>0.96</v>
      </c>
      <c r="H878" s="105">
        <v>9</v>
      </c>
      <c r="I878" s="103" t="s">
        <v>17</v>
      </c>
      <c r="J878" s="52">
        <v>1.8</v>
      </c>
      <c r="K878" s="205" t="s">
        <v>74</v>
      </c>
    </row>
    <row r="879" ht="13.05" customHeight="1" spans="1:11">
      <c r="A879" s="108"/>
      <c r="B879" s="54"/>
      <c r="C879" s="109"/>
      <c r="D879" s="222"/>
      <c r="E879" s="222"/>
      <c r="F879" s="218" t="s">
        <v>1048</v>
      </c>
      <c r="G879" s="105">
        <v>1.21</v>
      </c>
      <c r="H879" s="105">
        <v>0.3</v>
      </c>
      <c r="I879" s="103" t="s">
        <v>22</v>
      </c>
      <c r="J879" s="52">
        <v>1.9</v>
      </c>
      <c r="K879" s="111"/>
    </row>
    <row r="880" ht="13.05" customHeight="1" spans="1:11">
      <c r="A880" s="108"/>
      <c r="B880" s="54"/>
      <c r="C880" s="109"/>
      <c r="D880" s="222"/>
      <c r="E880" s="222"/>
      <c r="F880" s="218" t="s">
        <v>503</v>
      </c>
      <c r="G880" s="105">
        <v>1.72</v>
      </c>
      <c r="H880" s="105">
        <v>0.7</v>
      </c>
      <c r="I880" s="193" t="s">
        <v>24</v>
      </c>
      <c r="J880" s="52" t="s">
        <v>24</v>
      </c>
      <c r="K880" s="111"/>
    </row>
    <row r="881" ht="13.05" customHeight="1" spans="1:11">
      <c r="A881" s="108" t="s">
        <v>1572</v>
      </c>
      <c r="B881" s="148" t="s">
        <v>2556</v>
      </c>
      <c r="C881" s="109">
        <v>3</v>
      </c>
      <c r="D881" s="219" t="s">
        <v>477</v>
      </c>
      <c r="E881" s="219" t="s">
        <v>477</v>
      </c>
      <c r="F881" s="218" t="s">
        <v>1047</v>
      </c>
      <c r="G881" s="105">
        <v>1.05</v>
      </c>
      <c r="H881" s="105">
        <v>2.52</v>
      </c>
      <c r="I881" s="103" t="s">
        <v>17</v>
      </c>
      <c r="J881" s="52">
        <v>1.78</v>
      </c>
      <c r="K881" s="205" t="s">
        <v>27</v>
      </c>
    </row>
    <row r="882" ht="13.05" customHeight="1" spans="1:11">
      <c r="A882" s="108"/>
      <c r="B882" s="54"/>
      <c r="C882" s="109"/>
      <c r="D882" s="222"/>
      <c r="E882" s="222"/>
      <c r="F882" s="218" t="s">
        <v>1048</v>
      </c>
      <c r="G882" s="105">
        <v>1.05</v>
      </c>
      <c r="H882" s="105">
        <v>0.17</v>
      </c>
      <c r="I882" s="103" t="s">
        <v>22</v>
      </c>
      <c r="J882" s="52">
        <v>1.9</v>
      </c>
      <c r="K882" s="111"/>
    </row>
    <row r="883" ht="13.05" customHeight="1" spans="1:11">
      <c r="A883" s="108"/>
      <c r="B883" s="54"/>
      <c r="C883" s="109"/>
      <c r="D883" s="222"/>
      <c r="E883" s="222"/>
      <c r="F883" s="218" t="s">
        <v>509</v>
      </c>
      <c r="G883" s="105">
        <v>1.11</v>
      </c>
      <c r="H883" s="105">
        <v>0.12</v>
      </c>
      <c r="I883" s="103" t="s">
        <v>44</v>
      </c>
      <c r="J883" s="52">
        <v>3.3</v>
      </c>
      <c r="K883" s="111"/>
    </row>
    <row r="884" ht="13.05" customHeight="1" spans="1:11">
      <c r="A884" s="108"/>
      <c r="B884" s="54"/>
      <c r="C884" s="109"/>
      <c r="D884" s="222"/>
      <c r="E884" s="222"/>
      <c r="F884" s="218" t="s">
        <v>503</v>
      </c>
      <c r="G884" s="105">
        <v>1.11</v>
      </c>
      <c r="H884" s="105">
        <v>0.19</v>
      </c>
      <c r="I884" s="193" t="s">
        <v>24</v>
      </c>
      <c r="J884" s="52" t="s">
        <v>24</v>
      </c>
      <c r="K884" s="111"/>
    </row>
    <row r="885" ht="12" spans="1:11">
      <c r="A885" s="108" t="s">
        <v>1572</v>
      </c>
      <c r="B885" s="148" t="s">
        <v>2557</v>
      </c>
      <c r="C885" s="109">
        <v>3</v>
      </c>
      <c r="D885" s="219" t="s">
        <v>2558</v>
      </c>
      <c r="E885" s="219" t="s">
        <v>2559</v>
      </c>
      <c r="F885" s="218" t="s">
        <v>1047</v>
      </c>
      <c r="G885" s="105">
        <v>1.45</v>
      </c>
      <c r="H885" s="105">
        <v>2.61</v>
      </c>
      <c r="I885" s="103" t="s">
        <v>17</v>
      </c>
      <c r="J885" s="52">
        <v>2.5</v>
      </c>
      <c r="K885" s="205" t="s">
        <v>1643</v>
      </c>
    </row>
    <row r="886" ht="13.05" customHeight="1" spans="1:11">
      <c r="A886" s="108"/>
      <c r="B886" s="54"/>
      <c r="C886" s="109"/>
      <c r="D886" s="222"/>
      <c r="E886" s="222"/>
      <c r="F886" s="218" t="s">
        <v>1048</v>
      </c>
      <c r="G886" s="105">
        <v>1.55</v>
      </c>
      <c r="H886" s="105">
        <v>0.12</v>
      </c>
      <c r="I886" s="103" t="s">
        <v>22</v>
      </c>
      <c r="J886" s="52">
        <v>3.5</v>
      </c>
      <c r="K886" s="111"/>
    </row>
    <row r="887" ht="13.05" customHeight="1" spans="1:11">
      <c r="A887" s="108"/>
      <c r="B887" s="54"/>
      <c r="C887" s="109"/>
      <c r="D887" s="222"/>
      <c r="E887" s="222"/>
      <c r="F887" s="218" t="s">
        <v>1050</v>
      </c>
      <c r="G887" s="105">
        <v>1.64</v>
      </c>
      <c r="H887" s="105">
        <v>0.12</v>
      </c>
      <c r="I887" s="103" t="s">
        <v>96</v>
      </c>
      <c r="J887" s="52">
        <v>5</v>
      </c>
      <c r="K887" s="111"/>
    </row>
    <row r="888" ht="13.05" customHeight="1" spans="1:11">
      <c r="A888" s="113"/>
      <c r="B888" s="80"/>
      <c r="C888" s="114"/>
      <c r="D888" s="225"/>
      <c r="E888" s="225"/>
      <c r="F888" s="226" t="s">
        <v>503</v>
      </c>
      <c r="G888" s="117">
        <v>1.96</v>
      </c>
      <c r="H888" s="117">
        <v>0.15</v>
      </c>
      <c r="I888" s="227" t="s">
        <v>24</v>
      </c>
      <c r="J888" s="52" t="s">
        <v>24</v>
      </c>
      <c r="K888" s="116"/>
    </row>
    <row r="889" ht="12" spans="1:11">
      <c r="A889" s="120">
        <v>45946</v>
      </c>
      <c r="B889" s="122" t="s">
        <v>2560</v>
      </c>
      <c r="C889" s="121">
        <v>10</v>
      </c>
      <c r="D889" s="228" t="s">
        <v>486</v>
      </c>
      <c r="E889" s="228" t="s">
        <v>486</v>
      </c>
      <c r="F889" s="122" t="s">
        <v>1064</v>
      </c>
      <c r="G889" s="52">
        <v>1.84</v>
      </c>
      <c r="H889" s="117">
        <v>8.4</v>
      </c>
      <c r="I889" s="103" t="s">
        <v>17</v>
      </c>
      <c r="J889" s="52">
        <v>1.8</v>
      </c>
      <c r="K889" s="122" t="s">
        <v>18</v>
      </c>
    </row>
    <row r="890" ht="12" spans="1:11">
      <c r="A890" s="120"/>
      <c r="B890" s="122"/>
      <c r="C890" s="121"/>
      <c r="D890" s="228"/>
      <c r="E890" s="228"/>
      <c r="F890" s="122" t="s">
        <v>1060</v>
      </c>
      <c r="G890" s="52">
        <v>1.92</v>
      </c>
      <c r="H890" s="117">
        <v>0.5</v>
      </c>
      <c r="I890" s="103" t="s">
        <v>22</v>
      </c>
      <c r="J890" s="52">
        <v>1.95</v>
      </c>
      <c r="K890" s="122"/>
    </row>
    <row r="891" ht="12" spans="1:11">
      <c r="A891" s="120"/>
      <c r="B891" s="122"/>
      <c r="C891" s="121"/>
      <c r="D891" s="228"/>
      <c r="E891" s="228"/>
      <c r="F891" s="122" t="s">
        <v>1061</v>
      </c>
      <c r="G891" s="52">
        <v>2.01</v>
      </c>
      <c r="H891" s="117">
        <v>0.3</v>
      </c>
      <c r="I891" s="103" t="s">
        <v>44</v>
      </c>
      <c r="J891" s="52">
        <v>2.05</v>
      </c>
      <c r="K891" s="122"/>
    </row>
    <row r="892" ht="12" spans="1:11">
      <c r="A892" s="120"/>
      <c r="B892" s="122"/>
      <c r="C892" s="121"/>
      <c r="D892" s="228"/>
      <c r="E892" s="228"/>
      <c r="F892" s="122" t="s">
        <v>503</v>
      </c>
      <c r="G892" s="52">
        <v>2.67</v>
      </c>
      <c r="H892" s="117">
        <v>0.8</v>
      </c>
      <c r="I892" s="227" t="s">
        <v>24</v>
      </c>
      <c r="J892" s="52" t="s">
        <v>24</v>
      </c>
      <c r="K892" s="122"/>
    </row>
    <row r="893" ht="12" spans="1:11">
      <c r="A893" s="120">
        <v>45947</v>
      </c>
      <c r="B893" s="122" t="s">
        <v>2561</v>
      </c>
      <c r="C893" s="121">
        <v>9.4</v>
      </c>
      <c r="D893" s="228" t="s">
        <v>521</v>
      </c>
      <c r="E893" s="228" t="s">
        <v>492</v>
      </c>
      <c r="F893" s="122" t="s">
        <v>1058</v>
      </c>
      <c r="G893" s="52">
        <v>1.01</v>
      </c>
      <c r="H893" s="52">
        <v>3</v>
      </c>
      <c r="I893" s="95" t="s">
        <v>17</v>
      </c>
      <c r="J893" s="52">
        <v>1.78</v>
      </c>
      <c r="K893" s="122" t="s">
        <v>86</v>
      </c>
    </row>
    <row r="894" ht="12" spans="1:11">
      <c r="A894" s="120"/>
      <c r="B894" s="122"/>
      <c r="C894" s="121"/>
      <c r="D894" s="228"/>
      <c r="E894" s="228"/>
      <c r="F894" s="122" t="s">
        <v>1059</v>
      </c>
      <c r="G894" s="52">
        <v>1.01</v>
      </c>
      <c r="H894" s="52">
        <v>5.8</v>
      </c>
      <c r="I894" s="95" t="s">
        <v>17</v>
      </c>
      <c r="J894" s="52">
        <v>1.78</v>
      </c>
      <c r="K894" s="122"/>
    </row>
    <row r="895" ht="12" spans="1:11">
      <c r="A895" s="120"/>
      <c r="B895" s="122"/>
      <c r="C895" s="121"/>
      <c r="D895" s="228"/>
      <c r="E895" s="228"/>
      <c r="F895" s="122" t="s">
        <v>1060</v>
      </c>
      <c r="G895" s="52">
        <v>1.01</v>
      </c>
      <c r="H895" s="52">
        <v>0.6</v>
      </c>
      <c r="I895" s="95" t="s">
        <v>22</v>
      </c>
      <c r="J895" s="52">
        <v>1.95</v>
      </c>
      <c r="K895" s="122"/>
    </row>
    <row r="896" ht="12" spans="1:11">
      <c r="A896" s="120">
        <v>45946</v>
      </c>
      <c r="B896" s="122" t="s">
        <v>2562</v>
      </c>
      <c r="C896" s="121">
        <v>10</v>
      </c>
      <c r="D896" s="228" t="s">
        <v>1109</v>
      </c>
      <c r="E896" s="228" t="s">
        <v>486</v>
      </c>
      <c r="F896" s="122" t="s">
        <v>1064</v>
      </c>
      <c r="G896" s="52">
        <v>1.03</v>
      </c>
      <c r="H896" s="52">
        <v>8.35</v>
      </c>
      <c r="I896" s="95" t="s">
        <v>17</v>
      </c>
      <c r="J896" s="52">
        <v>1.79</v>
      </c>
      <c r="K896" s="122" t="s">
        <v>27</v>
      </c>
    </row>
    <row r="897" ht="12" spans="1:11">
      <c r="A897" s="120"/>
      <c r="B897" s="122"/>
      <c r="C897" s="121"/>
      <c r="D897" s="228"/>
      <c r="E897" s="228"/>
      <c r="F897" s="122" t="s">
        <v>1060</v>
      </c>
      <c r="G897" s="52">
        <v>1.03</v>
      </c>
      <c r="H897" s="52">
        <v>0.7</v>
      </c>
      <c r="I897" s="95" t="s">
        <v>22</v>
      </c>
      <c r="J897" s="52">
        <v>1.85</v>
      </c>
      <c r="K897" s="122"/>
    </row>
    <row r="898" ht="12" spans="1:11">
      <c r="A898" s="120"/>
      <c r="B898" s="122"/>
      <c r="C898" s="121"/>
      <c r="D898" s="228"/>
      <c r="E898" s="228"/>
      <c r="F898" s="122" t="s">
        <v>503</v>
      </c>
      <c r="G898" s="52">
        <v>1.78</v>
      </c>
      <c r="H898" s="52">
        <v>0.95</v>
      </c>
      <c r="I898" s="95" t="s">
        <v>24</v>
      </c>
      <c r="J898" s="52" t="s">
        <v>24</v>
      </c>
      <c r="K898" s="122"/>
    </row>
    <row r="899" ht="12" spans="1:11">
      <c r="A899" s="229" t="s">
        <v>1633</v>
      </c>
      <c r="B899" s="230" t="s">
        <v>2563</v>
      </c>
      <c r="C899" s="231">
        <v>18.8</v>
      </c>
      <c r="D899" s="230" t="s">
        <v>521</v>
      </c>
      <c r="E899" s="232" t="s">
        <v>492</v>
      </c>
      <c r="F899" s="122" t="s">
        <v>1058</v>
      </c>
      <c r="G899" s="52">
        <v>1.01</v>
      </c>
      <c r="H899" s="52">
        <v>6</v>
      </c>
      <c r="I899" s="95" t="s">
        <v>17</v>
      </c>
      <c r="J899" s="52">
        <v>1.78</v>
      </c>
      <c r="K899" s="232" t="s">
        <v>86</v>
      </c>
    </row>
    <row r="900" ht="12" spans="1:11">
      <c r="A900" s="233"/>
      <c r="B900" s="234"/>
      <c r="C900" s="235"/>
      <c r="D900" s="236"/>
      <c r="E900" s="237"/>
      <c r="F900" s="122" t="s">
        <v>1059</v>
      </c>
      <c r="G900" s="52">
        <v>1.01</v>
      </c>
      <c r="H900" s="52">
        <v>11.6</v>
      </c>
      <c r="I900" s="95" t="s">
        <v>17</v>
      </c>
      <c r="J900" s="52">
        <v>1.78</v>
      </c>
      <c r="K900" s="237"/>
    </row>
    <row r="901" ht="12" spans="1:11">
      <c r="A901" s="233"/>
      <c r="B901" s="234"/>
      <c r="C901" s="235"/>
      <c r="D901" s="236"/>
      <c r="E901" s="237"/>
      <c r="F901" s="122" t="s">
        <v>1060</v>
      </c>
      <c r="G901" s="52">
        <v>1.01</v>
      </c>
      <c r="H901" s="52">
        <v>1.2</v>
      </c>
      <c r="I901" s="95" t="s">
        <v>22</v>
      </c>
      <c r="J901" s="52">
        <v>1.87</v>
      </c>
      <c r="K901" s="237"/>
    </row>
    <row r="902" ht="12" spans="1:11">
      <c r="A902" s="229" t="s">
        <v>1603</v>
      </c>
      <c r="B902" s="230" t="s">
        <v>2564</v>
      </c>
      <c r="C902" s="231">
        <v>10</v>
      </c>
      <c r="D902" s="230" t="s">
        <v>1066</v>
      </c>
      <c r="E902" s="232" t="s">
        <v>484</v>
      </c>
      <c r="F902" s="122" t="s">
        <v>531</v>
      </c>
      <c r="G902" s="52">
        <v>1</v>
      </c>
      <c r="H902" s="52">
        <v>8.9</v>
      </c>
      <c r="I902" s="95" t="s">
        <v>17</v>
      </c>
      <c r="J902" s="52">
        <v>1.79</v>
      </c>
      <c r="K902" s="232" t="s">
        <v>129</v>
      </c>
    </row>
    <row r="903" ht="12" spans="1:11">
      <c r="A903" s="233"/>
      <c r="B903" s="234"/>
      <c r="C903" s="235"/>
      <c r="D903" s="236"/>
      <c r="E903" s="237"/>
      <c r="F903" s="122" t="s">
        <v>539</v>
      </c>
      <c r="G903" s="52">
        <v>1.17</v>
      </c>
      <c r="H903" s="52">
        <v>0.5</v>
      </c>
      <c r="I903" s="95" t="s">
        <v>22</v>
      </c>
      <c r="J903" s="52">
        <v>1.9</v>
      </c>
      <c r="K903" s="237"/>
    </row>
    <row r="904" ht="12" spans="1:11">
      <c r="A904" s="238"/>
      <c r="B904" s="239"/>
      <c r="C904" s="240"/>
      <c r="D904" s="241"/>
      <c r="E904" s="242"/>
      <c r="F904" s="122" t="s">
        <v>503</v>
      </c>
      <c r="G904" s="52">
        <v>1.75</v>
      </c>
      <c r="H904" s="52">
        <v>0.6</v>
      </c>
      <c r="I904" s="95" t="s">
        <v>24</v>
      </c>
      <c r="J904" s="52" t="s">
        <v>24</v>
      </c>
      <c r="K904" s="242"/>
    </row>
    <row r="905" ht="12" spans="1:11">
      <c r="A905" s="229" t="s">
        <v>2565</v>
      </c>
      <c r="B905" s="230" t="s">
        <v>2566</v>
      </c>
      <c r="C905" s="231">
        <v>5</v>
      </c>
      <c r="D905" s="230" t="s">
        <v>2567</v>
      </c>
      <c r="E905" s="232" t="s">
        <v>2568</v>
      </c>
      <c r="F905" s="122" t="s">
        <v>1064</v>
      </c>
      <c r="G905" s="52">
        <v>0.91</v>
      </c>
      <c r="H905" s="52">
        <v>4.04</v>
      </c>
      <c r="I905" s="95" t="s">
        <v>17</v>
      </c>
      <c r="J905" s="52">
        <v>1.8</v>
      </c>
      <c r="K905" s="232" t="s">
        <v>2569</v>
      </c>
    </row>
    <row r="906" ht="12" spans="1:11">
      <c r="A906" s="233"/>
      <c r="B906" s="234"/>
      <c r="C906" s="235"/>
      <c r="D906" s="236"/>
      <c r="E906" s="237"/>
      <c r="F906" s="122" t="s">
        <v>1060</v>
      </c>
      <c r="G906" s="52">
        <v>0.91</v>
      </c>
      <c r="H906" s="52">
        <v>0.22</v>
      </c>
      <c r="I906" s="95" t="s">
        <v>22</v>
      </c>
      <c r="J906" s="52">
        <v>2</v>
      </c>
      <c r="K906" s="237"/>
    </row>
    <row r="907" ht="12" spans="1:11">
      <c r="A907" s="233"/>
      <c r="B907" s="234"/>
      <c r="C907" s="235"/>
      <c r="D907" s="236"/>
      <c r="E907" s="237"/>
      <c r="F907" s="122" t="s">
        <v>1061</v>
      </c>
      <c r="G907" s="52">
        <v>1</v>
      </c>
      <c r="H907" s="52">
        <v>0.28</v>
      </c>
      <c r="I907" s="95" t="s">
        <v>439</v>
      </c>
      <c r="J907" s="52">
        <v>3.3</v>
      </c>
      <c r="K907" s="237"/>
    </row>
    <row r="908" ht="12" spans="1:11">
      <c r="A908" s="238"/>
      <c r="B908" s="239"/>
      <c r="C908" s="240"/>
      <c r="D908" s="241"/>
      <c r="E908" s="242"/>
      <c r="F908" s="122" t="s">
        <v>503</v>
      </c>
      <c r="G908" s="52">
        <v>1.5</v>
      </c>
      <c r="H908" s="52">
        <v>0.46</v>
      </c>
      <c r="I908" s="95" t="s">
        <v>24</v>
      </c>
      <c r="J908" s="52" t="s">
        <v>24</v>
      </c>
      <c r="K908" s="242"/>
    </row>
    <row r="909" ht="12" spans="1:11">
      <c r="A909" s="229" t="s">
        <v>2570</v>
      </c>
      <c r="B909" s="230" t="s">
        <v>2571</v>
      </c>
      <c r="C909" s="231">
        <v>5</v>
      </c>
      <c r="D909" s="230" t="s">
        <v>2567</v>
      </c>
      <c r="E909" s="232" t="s">
        <v>2568</v>
      </c>
      <c r="F909" s="122" t="s">
        <v>1064</v>
      </c>
      <c r="G909" s="52">
        <v>1.41</v>
      </c>
      <c r="H909" s="52">
        <v>4.06</v>
      </c>
      <c r="I909" s="95" t="s">
        <v>17</v>
      </c>
      <c r="J909" s="52">
        <v>1.82</v>
      </c>
      <c r="K909" s="232" t="s">
        <v>2569</v>
      </c>
    </row>
    <row r="910" ht="12" spans="1:11">
      <c r="A910" s="233"/>
      <c r="B910" s="234"/>
      <c r="C910" s="235"/>
      <c r="D910" s="236"/>
      <c r="E910" s="237"/>
      <c r="F910" s="122" t="s">
        <v>1060</v>
      </c>
      <c r="G910" s="52">
        <v>1.41</v>
      </c>
      <c r="H910" s="52">
        <v>0.2</v>
      </c>
      <c r="I910" s="95" t="s">
        <v>22</v>
      </c>
      <c r="J910" s="52">
        <v>2</v>
      </c>
      <c r="K910" s="237"/>
    </row>
    <row r="911" ht="12" spans="1:11">
      <c r="A911" s="233"/>
      <c r="B911" s="234"/>
      <c r="C911" s="235"/>
      <c r="D911" s="236"/>
      <c r="E911" s="237"/>
      <c r="F911" s="122" t="s">
        <v>1061</v>
      </c>
      <c r="G911" s="52">
        <v>1.49</v>
      </c>
      <c r="H911" s="52">
        <v>0.24</v>
      </c>
      <c r="I911" s="95" t="s">
        <v>44</v>
      </c>
      <c r="J911" s="52">
        <v>3.3</v>
      </c>
      <c r="K911" s="237"/>
    </row>
    <row r="912" ht="12" spans="1:11">
      <c r="A912" s="238"/>
      <c r="B912" s="239"/>
      <c r="C912" s="240"/>
      <c r="D912" s="241"/>
      <c r="E912" s="242"/>
      <c r="F912" s="122" t="s">
        <v>503</v>
      </c>
      <c r="G912" s="52">
        <v>1.99</v>
      </c>
      <c r="H912" s="52">
        <v>0.5</v>
      </c>
      <c r="I912" s="95" t="s">
        <v>24</v>
      </c>
      <c r="J912" s="52" t="s">
        <v>24</v>
      </c>
      <c r="K912" s="242"/>
    </row>
    <row r="913" ht="12" spans="1:14">
      <c r="A913" s="229" t="s">
        <v>1603</v>
      </c>
      <c r="B913" s="230" t="s">
        <v>2572</v>
      </c>
      <c r="C913" s="231">
        <v>10</v>
      </c>
      <c r="D913" s="230" t="s">
        <v>477</v>
      </c>
      <c r="E913" s="232" t="s">
        <v>2552</v>
      </c>
      <c r="F913" s="122" t="s">
        <v>1064</v>
      </c>
      <c r="G913" s="52">
        <v>1</v>
      </c>
      <c r="H913" s="52">
        <v>9</v>
      </c>
      <c r="I913" s="95" t="s">
        <v>17</v>
      </c>
      <c r="J913" s="52">
        <v>1.83</v>
      </c>
      <c r="K913" s="232" t="s">
        <v>74</v>
      </c>
    </row>
    <row r="914" ht="12" spans="1:14">
      <c r="A914" s="233"/>
      <c r="B914" s="234"/>
      <c r="C914" s="235"/>
      <c r="D914" s="236"/>
      <c r="E914" s="237"/>
      <c r="F914" s="122" t="s">
        <v>1060</v>
      </c>
      <c r="G914" s="52">
        <v>1.24</v>
      </c>
      <c r="H914" s="52">
        <v>0.3</v>
      </c>
      <c r="I914" s="95" t="s">
        <v>22</v>
      </c>
      <c r="J914" s="52">
        <v>1.9</v>
      </c>
      <c r="K914" s="237"/>
    </row>
    <row r="915" ht="12" spans="1:14">
      <c r="A915" s="238"/>
      <c r="B915" s="239"/>
      <c r="C915" s="240"/>
      <c r="D915" s="241"/>
      <c r="E915" s="242"/>
      <c r="F915" s="122" t="s">
        <v>503</v>
      </c>
      <c r="G915" s="52">
        <v>1.73</v>
      </c>
      <c r="H915" s="52">
        <v>0.7</v>
      </c>
      <c r="I915" s="95" t="s">
        <v>24</v>
      </c>
      <c r="J915" s="52" t="s">
        <v>24</v>
      </c>
      <c r="K915" s="242"/>
    </row>
    <row r="916" ht="12" spans="1:14">
      <c r="A916" s="229" t="s">
        <v>1633</v>
      </c>
      <c r="B916" s="230" t="s">
        <v>2573</v>
      </c>
      <c r="C916" s="231">
        <v>9.3</v>
      </c>
      <c r="D916" s="230" t="s">
        <v>477</v>
      </c>
      <c r="E916" s="232" t="s">
        <v>536</v>
      </c>
      <c r="F916" s="122" t="s">
        <v>1064</v>
      </c>
      <c r="G916" s="52">
        <v>0.92</v>
      </c>
      <c r="H916" s="52">
        <v>9</v>
      </c>
      <c r="I916" s="95" t="s">
        <v>17</v>
      </c>
      <c r="J916" s="52">
        <v>1.8</v>
      </c>
      <c r="K916" s="232" t="s">
        <v>35</v>
      </c>
    </row>
    <row r="917" ht="12" spans="1:14">
      <c r="A917" s="238"/>
      <c r="B917" s="239"/>
      <c r="C917" s="240"/>
      <c r="D917" s="241"/>
      <c r="E917" s="243"/>
      <c r="F917" s="122" t="s">
        <v>1060</v>
      </c>
      <c r="G917" s="52">
        <v>0.92</v>
      </c>
      <c r="H917" s="52">
        <v>0.3</v>
      </c>
      <c r="I917" s="95" t="s">
        <v>22</v>
      </c>
      <c r="J917" s="52">
        <v>1.98</v>
      </c>
      <c r="K917" s="242"/>
    </row>
    <row r="918" ht="12" spans="1:14">
      <c r="A918" s="244" t="s">
        <v>1603</v>
      </c>
      <c r="B918" s="245" t="s">
        <v>2574</v>
      </c>
      <c r="C918" s="246">
        <v>15</v>
      </c>
      <c r="D918" s="245" t="s">
        <v>521</v>
      </c>
      <c r="E918" s="220" t="s">
        <v>486</v>
      </c>
      <c r="F918" s="122" t="s">
        <v>1058</v>
      </c>
      <c r="G918" s="52">
        <v>1.08</v>
      </c>
      <c r="H918" s="52">
        <v>4.8</v>
      </c>
      <c r="I918" s="95" t="s">
        <v>17</v>
      </c>
      <c r="J918" s="52">
        <v>1.79</v>
      </c>
      <c r="K918" s="220" t="s">
        <v>86</v>
      </c>
    </row>
    <row r="919" ht="12" spans="1:14">
      <c r="A919" s="244"/>
      <c r="B919" s="245"/>
      <c r="C919" s="246"/>
      <c r="D919" s="247"/>
      <c r="E919" s="223"/>
      <c r="F919" s="122" t="s">
        <v>1059</v>
      </c>
      <c r="G919" s="52">
        <v>1.67</v>
      </c>
      <c r="H919" s="52">
        <v>8.7</v>
      </c>
      <c r="I919" s="95" t="s">
        <v>17</v>
      </c>
      <c r="J919" s="52">
        <v>1.84</v>
      </c>
      <c r="K919" s="223"/>
    </row>
    <row r="920" ht="12" spans="1:14">
      <c r="A920" s="244"/>
      <c r="B920" s="245"/>
      <c r="C920" s="246"/>
      <c r="D920" s="247"/>
      <c r="E920" s="223"/>
      <c r="F920" s="122" t="s">
        <v>1060</v>
      </c>
      <c r="G920" s="52">
        <v>1.75</v>
      </c>
      <c r="H920" s="52">
        <v>0.75</v>
      </c>
      <c r="I920" s="95" t="s">
        <v>22</v>
      </c>
      <c r="J920" s="52">
        <v>2.05</v>
      </c>
      <c r="K920" s="223"/>
    </row>
    <row r="921" ht="12" spans="1:14">
      <c r="A921" s="244"/>
      <c r="B921" s="245"/>
      <c r="C921" s="246"/>
      <c r="D921" s="247"/>
      <c r="E921" s="223"/>
      <c r="F921" s="122" t="s">
        <v>503</v>
      </c>
      <c r="G921" s="52">
        <v>1.75</v>
      </c>
      <c r="H921" s="52">
        <v>0.75</v>
      </c>
      <c r="I921" s="95" t="s">
        <v>24</v>
      </c>
      <c r="J921" s="52" t="s">
        <v>24</v>
      </c>
      <c r="K921" s="223"/>
    </row>
    <row r="922" s="32" customFormat="1" ht="13" spans="1:14">
      <c r="A922" s="53" t="s">
        <v>1621</v>
      </c>
      <c r="B922" s="148" t="s">
        <v>2575</v>
      </c>
      <c r="C922" s="55">
        <v>9.45</v>
      </c>
      <c r="D922" s="54" t="s">
        <v>2225</v>
      </c>
      <c r="E922" s="54" t="s">
        <v>1630</v>
      </c>
      <c r="F922" s="122" t="s">
        <v>531</v>
      </c>
      <c r="G922" s="248">
        <v>1</v>
      </c>
      <c r="H922" s="248">
        <v>9</v>
      </c>
      <c r="I922" s="95" t="s">
        <v>17</v>
      </c>
      <c r="J922" s="248">
        <v>1.78</v>
      </c>
      <c r="K922" s="247" t="s">
        <v>2221</v>
      </c>
      <c r="N922" s="249"/>
    </row>
    <row r="923" s="32" customFormat="1" ht="13" spans="1:14">
      <c r="A923" s="53"/>
      <c r="B923" s="54"/>
      <c r="C923" s="55"/>
      <c r="D923" s="54"/>
      <c r="E923" s="54"/>
      <c r="F923" s="218" t="s">
        <v>509</v>
      </c>
      <c r="G923" s="248">
        <v>1</v>
      </c>
      <c r="H923" s="248">
        <v>0.45</v>
      </c>
      <c r="I923" s="95" t="s">
        <v>44</v>
      </c>
      <c r="J923" s="248">
        <v>3.3</v>
      </c>
      <c r="K923" s="247"/>
      <c r="N923" s="249"/>
    </row>
    <row r="924" s="32" customFormat="1" ht="13" spans="1:14">
      <c r="A924" s="53" t="s">
        <v>1621</v>
      </c>
      <c r="B924" s="148" t="s">
        <v>2576</v>
      </c>
      <c r="C924" s="55">
        <v>15</v>
      </c>
      <c r="D924" s="54" t="s">
        <v>1630</v>
      </c>
      <c r="E924" s="54" t="s">
        <v>1623</v>
      </c>
      <c r="F924" s="122" t="s">
        <v>1064</v>
      </c>
      <c r="G924" s="250">
        <v>0.97</v>
      </c>
      <c r="H924" s="248">
        <v>13.5</v>
      </c>
      <c r="I924" s="95" t="s">
        <v>17</v>
      </c>
      <c r="J924" s="248">
        <v>1.85</v>
      </c>
      <c r="K924" s="54" t="s">
        <v>1670</v>
      </c>
      <c r="N924" s="249"/>
    </row>
    <row r="925" s="32" customFormat="1" ht="13" spans="1:14">
      <c r="A925" s="53"/>
      <c r="B925" s="54"/>
      <c r="C925" s="55"/>
      <c r="D925" s="54"/>
      <c r="E925" s="54"/>
      <c r="F925" s="122" t="s">
        <v>1060</v>
      </c>
      <c r="G925" s="250">
        <v>1.21</v>
      </c>
      <c r="H925" s="248">
        <v>0.45</v>
      </c>
      <c r="I925" s="95" t="s">
        <v>22</v>
      </c>
      <c r="J925" s="248">
        <v>1.9</v>
      </c>
      <c r="K925" s="54"/>
      <c r="N925" s="249"/>
    </row>
    <row r="926" s="32" customFormat="1" ht="13" spans="1:14">
      <c r="A926" s="53"/>
      <c r="B926" s="54"/>
      <c r="C926" s="55"/>
      <c r="D926" s="54"/>
      <c r="E926" s="54"/>
      <c r="F926" s="218" t="s">
        <v>503</v>
      </c>
      <c r="G926" s="250">
        <v>1.7</v>
      </c>
      <c r="H926" s="248">
        <v>1.05</v>
      </c>
      <c r="I926" s="95" t="s">
        <v>24</v>
      </c>
      <c r="J926" s="248" t="s">
        <v>24</v>
      </c>
      <c r="K926" s="54"/>
      <c r="N926" s="249"/>
    </row>
    <row r="927" s="32" customFormat="1" ht="13" spans="1:14">
      <c r="A927" s="53" t="s">
        <v>1626</v>
      </c>
      <c r="B927" s="148" t="s">
        <v>2577</v>
      </c>
      <c r="C927" s="55">
        <v>5</v>
      </c>
      <c r="D927" s="54" t="s">
        <v>1628</v>
      </c>
      <c r="E927" s="54" t="s">
        <v>1628</v>
      </c>
      <c r="F927" s="122" t="s">
        <v>531</v>
      </c>
      <c r="G927" s="250">
        <v>0.75</v>
      </c>
      <c r="H927" s="248">
        <v>4.5</v>
      </c>
      <c r="I927" s="95" t="s">
        <v>17</v>
      </c>
      <c r="J927" s="248">
        <v>1.84</v>
      </c>
      <c r="K927" s="245" t="s">
        <v>129</v>
      </c>
      <c r="N927" s="249"/>
    </row>
    <row r="928" s="32" customFormat="1" ht="13" spans="1:14">
      <c r="A928" s="53"/>
      <c r="B928" s="54"/>
      <c r="C928" s="55"/>
      <c r="D928" s="54"/>
      <c r="E928" s="54"/>
      <c r="F928" s="122" t="s">
        <v>539</v>
      </c>
      <c r="G928" s="250">
        <v>1</v>
      </c>
      <c r="H928" s="248">
        <v>0.2</v>
      </c>
      <c r="I928" s="95" t="s">
        <v>22</v>
      </c>
      <c r="J928" s="248">
        <v>1.95</v>
      </c>
      <c r="K928" s="247"/>
      <c r="N928" s="249"/>
    </row>
    <row r="929" s="32" customFormat="1" ht="13" spans="1:14">
      <c r="A929" s="53"/>
      <c r="B929" s="54"/>
      <c r="C929" s="55"/>
      <c r="D929" s="54"/>
      <c r="E929" s="54"/>
      <c r="F929" s="122" t="s">
        <v>503</v>
      </c>
      <c r="G929" s="250">
        <v>1.5</v>
      </c>
      <c r="H929" s="248">
        <v>0.3</v>
      </c>
      <c r="I929" s="95" t="s">
        <v>24</v>
      </c>
      <c r="J929" s="248" t="s">
        <v>24</v>
      </c>
      <c r="K929" s="247"/>
      <c r="N929" s="249"/>
    </row>
    <row r="930" s="32" customFormat="1" ht="13" spans="1:14">
      <c r="A930" s="53" t="s">
        <v>1621</v>
      </c>
      <c r="B930" s="148" t="s">
        <v>2578</v>
      </c>
      <c r="C930" s="55">
        <v>9.45</v>
      </c>
      <c r="D930" s="54" t="s">
        <v>2225</v>
      </c>
      <c r="E930" s="54" t="s">
        <v>1630</v>
      </c>
      <c r="F930" s="122" t="s">
        <v>531</v>
      </c>
      <c r="G930" s="248">
        <v>1</v>
      </c>
      <c r="H930" s="248">
        <v>9</v>
      </c>
      <c r="I930" s="95" t="s">
        <v>17</v>
      </c>
      <c r="J930" s="248">
        <v>1.78</v>
      </c>
      <c r="K930" s="247" t="s">
        <v>2221</v>
      </c>
      <c r="N930" s="249"/>
    </row>
    <row r="931" s="32" customFormat="1" ht="13" spans="1:14">
      <c r="A931" s="53"/>
      <c r="B931" s="54"/>
      <c r="C931" s="55"/>
      <c r="D931" s="54"/>
      <c r="E931" s="54"/>
      <c r="F931" s="218" t="s">
        <v>509</v>
      </c>
      <c r="G931" s="248">
        <v>1</v>
      </c>
      <c r="H931" s="248">
        <v>0.45</v>
      </c>
      <c r="I931" s="95" t="s">
        <v>44</v>
      </c>
      <c r="J931" s="248">
        <v>3.3</v>
      </c>
      <c r="K931" s="247"/>
      <c r="N931" s="249"/>
    </row>
    <row r="932" s="32" customFormat="1" ht="13" spans="1:14">
      <c r="A932" s="53" t="s">
        <v>1626</v>
      </c>
      <c r="B932" s="148" t="s">
        <v>2579</v>
      </c>
      <c r="C932" s="55">
        <v>10</v>
      </c>
      <c r="D932" s="54" t="s">
        <v>1640</v>
      </c>
      <c r="E932" s="54" t="s">
        <v>1640</v>
      </c>
      <c r="F932" s="122" t="s">
        <v>531</v>
      </c>
      <c r="G932" s="250">
        <v>1.92</v>
      </c>
      <c r="H932" s="248">
        <v>8.9</v>
      </c>
      <c r="I932" s="95" t="s">
        <v>17</v>
      </c>
      <c r="J932" s="248">
        <v>1.9</v>
      </c>
      <c r="K932" s="247" t="s">
        <v>2214</v>
      </c>
      <c r="N932" s="249"/>
    </row>
    <row r="933" s="32" customFormat="1" ht="13" spans="1:14">
      <c r="A933" s="53"/>
      <c r="B933" s="54"/>
      <c r="C933" s="55"/>
      <c r="D933" s="54"/>
      <c r="E933" s="54"/>
      <c r="F933" s="122" t="s">
        <v>539</v>
      </c>
      <c r="G933" s="250">
        <v>2</v>
      </c>
      <c r="H933" s="248">
        <v>0.4</v>
      </c>
      <c r="I933" s="95" t="s">
        <v>22</v>
      </c>
      <c r="J933" s="248">
        <v>2.05</v>
      </c>
      <c r="K933" s="247"/>
      <c r="N933" s="249"/>
    </row>
    <row r="934" s="32" customFormat="1" ht="13" spans="1:14">
      <c r="A934" s="53"/>
      <c r="B934" s="54"/>
      <c r="C934" s="55"/>
      <c r="D934" s="54"/>
      <c r="E934" s="54"/>
      <c r="F934" s="122" t="s">
        <v>503</v>
      </c>
      <c r="G934" s="250">
        <v>2.67</v>
      </c>
      <c r="H934" s="248">
        <v>0.7</v>
      </c>
      <c r="I934" s="95" t="s">
        <v>24</v>
      </c>
      <c r="J934" s="248" t="s">
        <v>24</v>
      </c>
      <c r="K934" s="247"/>
      <c r="N934" s="251"/>
    </row>
    <row r="935" s="32" customFormat="1" ht="13" spans="1:14">
      <c r="A935" s="53" t="s">
        <v>1636</v>
      </c>
      <c r="B935" s="148" t="s">
        <v>2580</v>
      </c>
      <c r="C935" s="55">
        <v>10</v>
      </c>
      <c r="D935" s="54" t="s">
        <v>2286</v>
      </c>
      <c r="E935" s="54" t="s">
        <v>1628</v>
      </c>
      <c r="F935" s="122" t="s">
        <v>531</v>
      </c>
      <c r="G935" s="250">
        <v>1.92</v>
      </c>
      <c r="H935" s="248">
        <v>8.9</v>
      </c>
      <c r="I935" s="95" t="s">
        <v>17</v>
      </c>
      <c r="J935" s="248">
        <v>1.9</v>
      </c>
      <c r="K935" s="54" t="s">
        <v>2214</v>
      </c>
      <c r="N935" s="251"/>
    </row>
    <row r="936" s="32" customFormat="1" ht="12" spans="1:14">
      <c r="A936" s="53"/>
      <c r="B936" s="54"/>
      <c r="C936" s="55"/>
      <c r="D936" s="54"/>
      <c r="E936" s="54"/>
      <c r="F936" s="122" t="s">
        <v>539</v>
      </c>
      <c r="G936" s="250">
        <v>2</v>
      </c>
      <c r="H936" s="248">
        <v>0.4</v>
      </c>
      <c r="I936" s="95" t="s">
        <v>22</v>
      </c>
      <c r="J936" s="248">
        <v>2.05</v>
      </c>
      <c r="K936" s="54"/>
    </row>
    <row r="937" s="32" customFormat="1" ht="12" spans="1:14">
      <c r="A937" s="53"/>
      <c r="B937" s="54"/>
      <c r="C937" s="55"/>
      <c r="D937" s="54"/>
      <c r="E937" s="54"/>
      <c r="F937" s="122" t="s">
        <v>503</v>
      </c>
      <c r="G937" s="250">
        <v>2.67</v>
      </c>
      <c r="H937" s="248">
        <v>0.7</v>
      </c>
      <c r="I937" s="95" t="s">
        <v>24</v>
      </c>
      <c r="J937" s="248" t="s">
        <v>24</v>
      </c>
      <c r="K937" s="54"/>
    </row>
    <row r="938" s="32" customFormat="1" ht="12" spans="1:14">
      <c r="A938" s="53" t="s">
        <v>1626</v>
      </c>
      <c r="B938" s="148" t="s">
        <v>2581</v>
      </c>
      <c r="C938" s="55">
        <v>4</v>
      </c>
      <c r="D938" s="54" t="s">
        <v>1620</v>
      </c>
      <c r="E938" s="54" t="s">
        <v>1620</v>
      </c>
      <c r="F938" s="122" t="s">
        <v>1064</v>
      </c>
      <c r="G938" s="250">
        <v>0.91</v>
      </c>
      <c r="H938" s="248">
        <v>3.35</v>
      </c>
      <c r="I938" s="95" t="s">
        <v>17</v>
      </c>
      <c r="J938" s="248">
        <v>1.82</v>
      </c>
      <c r="K938" s="247" t="s">
        <v>2217</v>
      </c>
    </row>
    <row r="939" s="32" customFormat="1" ht="12" spans="1:14">
      <c r="A939" s="53"/>
      <c r="B939" s="54"/>
      <c r="C939" s="55"/>
      <c r="D939" s="54"/>
      <c r="E939" s="54"/>
      <c r="F939" s="122" t="s">
        <v>1060</v>
      </c>
      <c r="G939" s="250">
        <v>0.99</v>
      </c>
      <c r="H939" s="248">
        <v>0.21</v>
      </c>
      <c r="I939" s="95" t="s">
        <v>22</v>
      </c>
      <c r="J939" s="248">
        <v>1.9</v>
      </c>
      <c r="K939" s="247"/>
    </row>
    <row r="940" s="32" customFormat="1" ht="12" spans="1:14">
      <c r="A940" s="53"/>
      <c r="B940" s="54"/>
      <c r="C940" s="55"/>
      <c r="D940" s="54"/>
      <c r="E940" s="54"/>
      <c r="F940" s="54" t="s">
        <v>1086</v>
      </c>
      <c r="G940" s="250">
        <v>2.99</v>
      </c>
      <c r="H940" s="248">
        <v>0.24</v>
      </c>
      <c r="I940" s="95" t="s">
        <v>24</v>
      </c>
      <c r="J940" s="248" t="s">
        <v>24</v>
      </c>
      <c r="K940" s="247"/>
    </row>
    <row r="941" s="32" customFormat="1" ht="12" spans="1:14">
      <c r="A941" s="53"/>
      <c r="B941" s="54"/>
      <c r="C941" s="55"/>
      <c r="D941" s="54"/>
      <c r="E941" s="54"/>
      <c r="F941" s="54" t="s">
        <v>1087</v>
      </c>
      <c r="G941" s="250">
        <v>2.99</v>
      </c>
      <c r="H941" s="248">
        <v>0.2</v>
      </c>
      <c r="I941" s="95" t="s">
        <v>24</v>
      </c>
      <c r="J941" s="248" t="s">
        <v>24</v>
      </c>
      <c r="K941" s="247"/>
    </row>
    <row r="942" s="32" customFormat="1" ht="12" spans="1:14">
      <c r="A942" s="53" t="s">
        <v>1636</v>
      </c>
      <c r="B942" s="148" t="s">
        <v>2582</v>
      </c>
      <c r="C942" s="55">
        <v>20</v>
      </c>
      <c r="D942" s="54" t="s">
        <v>1630</v>
      </c>
      <c r="E942" s="54" t="s">
        <v>1623</v>
      </c>
      <c r="F942" s="122" t="s">
        <v>1064</v>
      </c>
      <c r="G942" s="250">
        <v>0.98</v>
      </c>
      <c r="H942" s="248">
        <v>18</v>
      </c>
      <c r="I942" s="95" t="s">
        <v>17</v>
      </c>
      <c r="J942" s="248">
        <v>1.85</v>
      </c>
      <c r="K942" s="54" t="s">
        <v>1670</v>
      </c>
    </row>
    <row r="943" s="32" customFormat="1" ht="12" spans="1:14">
      <c r="A943" s="53"/>
      <c r="B943" s="54"/>
      <c r="C943" s="55"/>
      <c r="D943" s="54"/>
      <c r="E943" s="54"/>
      <c r="F943" s="122" t="s">
        <v>1060</v>
      </c>
      <c r="G943" s="250">
        <v>1.22</v>
      </c>
      <c r="H943" s="248">
        <v>0.6</v>
      </c>
      <c r="I943" s="95" t="s">
        <v>22</v>
      </c>
      <c r="J943" s="248">
        <v>1.95</v>
      </c>
      <c r="K943" s="54"/>
      <c r="N943" s="252"/>
    </row>
    <row r="944" s="32" customFormat="1" ht="12" spans="1:14">
      <c r="A944" s="53"/>
      <c r="B944" s="54"/>
      <c r="C944" s="55"/>
      <c r="D944" s="54"/>
      <c r="E944" s="54"/>
      <c r="F944" s="218" t="s">
        <v>503</v>
      </c>
      <c r="G944" s="250">
        <v>1.71</v>
      </c>
      <c r="H944" s="248">
        <v>1.4</v>
      </c>
      <c r="I944" s="95" t="s">
        <v>24</v>
      </c>
      <c r="J944" s="248" t="s">
        <v>24</v>
      </c>
      <c r="K944" s="54"/>
    </row>
    <row r="945" s="32" customFormat="1" ht="12" spans="1:11">
      <c r="A945" s="53" t="s">
        <v>1633</v>
      </c>
      <c r="B945" s="54" t="s">
        <v>2583</v>
      </c>
      <c r="C945" s="55">
        <v>10</v>
      </c>
      <c r="D945" s="54" t="s">
        <v>1640</v>
      </c>
      <c r="E945" s="54" t="s">
        <v>1630</v>
      </c>
      <c r="F945" s="122" t="s">
        <v>531</v>
      </c>
      <c r="G945" s="250">
        <v>1</v>
      </c>
      <c r="H945" s="248">
        <v>8.9</v>
      </c>
      <c r="I945" s="95" t="s">
        <v>17</v>
      </c>
      <c r="J945" s="248">
        <v>1.78</v>
      </c>
      <c r="K945" s="247" t="s">
        <v>2214</v>
      </c>
    </row>
    <row r="946" s="32" customFormat="1" ht="12" spans="1:11">
      <c r="A946" s="53"/>
      <c r="B946" s="54"/>
      <c r="C946" s="55"/>
      <c r="D946" s="54"/>
      <c r="E946" s="54"/>
      <c r="F946" s="122" t="s">
        <v>539</v>
      </c>
      <c r="G946" s="250">
        <v>1.16</v>
      </c>
      <c r="H946" s="248">
        <v>0.5</v>
      </c>
      <c r="I946" s="95" t="s">
        <v>22</v>
      </c>
      <c r="J946" s="248">
        <v>1.9</v>
      </c>
      <c r="K946" s="247"/>
    </row>
    <row r="947" s="32" customFormat="1" ht="12" spans="1:11">
      <c r="A947" s="53"/>
      <c r="B947" s="54"/>
      <c r="C947" s="55"/>
      <c r="D947" s="54"/>
      <c r="E947" s="54"/>
      <c r="F947" s="122" t="s">
        <v>503</v>
      </c>
      <c r="G947" s="250">
        <v>1.75</v>
      </c>
      <c r="H947" s="248">
        <v>0.6</v>
      </c>
      <c r="I947" s="95" t="s">
        <v>24</v>
      </c>
      <c r="J947" s="248" t="s">
        <v>24</v>
      </c>
      <c r="K947" s="247"/>
    </row>
    <row r="948" s="32" customFormat="1" ht="12" spans="1:11">
      <c r="A948" s="53" t="s">
        <v>2584</v>
      </c>
      <c r="B948" s="54" t="s">
        <v>2585</v>
      </c>
      <c r="C948" s="55">
        <v>5.64</v>
      </c>
      <c r="D948" s="54" t="s">
        <v>1620</v>
      </c>
      <c r="E948" s="54" t="s">
        <v>1620</v>
      </c>
      <c r="F948" s="122" t="s">
        <v>1064</v>
      </c>
      <c r="G948" s="250">
        <v>1</v>
      </c>
      <c r="H948" s="248">
        <v>5.28</v>
      </c>
      <c r="I948" s="95" t="s">
        <v>17</v>
      </c>
      <c r="J948" s="248">
        <v>1.79</v>
      </c>
      <c r="K948" s="54" t="s">
        <v>2209</v>
      </c>
    </row>
    <row r="949" s="32" customFormat="1" ht="12" spans="1:11">
      <c r="A949" s="53"/>
      <c r="B949" s="54"/>
      <c r="C949" s="55"/>
      <c r="D949" s="54"/>
      <c r="E949" s="54"/>
      <c r="F949" s="122" t="s">
        <v>1060</v>
      </c>
      <c r="G949" s="250">
        <v>1</v>
      </c>
      <c r="H949" s="248">
        <v>0.36</v>
      </c>
      <c r="I949" s="95" t="s">
        <v>22</v>
      </c>
      <c r="J949" s="248">
        <v>1.95</v>
      </c>
      <c r="K949" s="54"/>
    </row>
    <row r="950" s="32" customFormat="1" ht="12" spans="1:11">
      <c r="A950" s="53" t="s">
        <v>2584</v>
      </c>
      <c r="B950" s="148" t="s">
        <v>2586</v>
      </c>
      <c r="C950" s="55">
        <v>5.64</v>
      </c>
      <c r="D950" s="54" t="s">
        <v>1640</v>
      </c>
      <c r="E950" s="54" t="s">
        <v>1640</v>
      </c>
      <c r="F950" s="122" t="s">
        <v>1064</v>
      </c>
      <c r="G950" s="250">
        <v>1</v>
      </c>
      <c r="H950" s="248">
        <v>5.28</v>
      </c>
      <c r="I950" s="95" t="s">
        <v>17</v>
      </c>
      <c r="J950" s="248">
        <v>1.79</v>
      </c>
      <c r="K950" s="54" t="s">
        <v>2209</v>
      </c>
    </row>
    <row r="951" s="32" customFormat="1" ht="12" spans="1:11">
      <c r="A951" s="53"/>
      <c r="B951" s="54"/>
      <c r="C951" s="55"/>
      <c r="D951" s="54"/>
      <c r="E951" s="54"/>
      <c r="F951" s="122" t="s">
        <v>1060</v>
      </c>
      <c r="G951" s="250">
        <v>1</v>
      </c>
      <c r="H951" s="248">
        <v>0.36</v>
      </c>
      <c r="I951" s="95" t="s">
        <v>22</v>
      </c>
      <c r="J951" s="248">
        <v>1.95</v>
      </c>
      <c r="K951" s="54"/>
    </row>
    <row r="952" s="32" customFormat="1" ht="12" spans="1:11">
      <c r="A952" s="79" t="s">
        <v>1633</v>
      </c>
      <c r="B952" s="148" t="s">
        <v>2587</v>
      </c>
      <c r="C952" s="55">
        <v>10</v>
      </c>
      <c r="D952" s="54" t="s">
        <v>2286</v>
      </c>
      <c r="E952" s="54" t="s">
        <v>2286</v>
      </c>
      <c r="F952" s="122" t="s">
        <v>531</v>
      </c>
      <c r="G952" s="250">
        <v>1.91</v>
      </c>
      <c r="H952" s="248">
        <v>8.9</v>
      </c>
      <c r="I952" s="95" t="s">
        <v>17</v>
      </c>
      <c r="J952" s="248">
        <v>1.88</v>
      </c>
      <c r="K952" s="247" t="s">
        <v>2214</v>
      </c>
    </row>
    <row r="953" s="32" customFormat="1" ht="12" spans="1:11">
      <c r="A953" s="97"/>
      <c r="B953" s="54"/>
      <c r="C953" s="55"/>
      <c r="D953" s="54"/>
      <c r="E953" s="54"/>
      <c r="F953" s="122" t="s">
        <v>539</v>
      </c>
      <c r="G953" s="250">
        <v>2</v>
      </c>
      <c r="H953" s="248">
        <v>0.4</v>
      </c>
      <c r="I953" s="95" t="s">
        <v>22</v>
      </c>
      <c r="J953" s="248">
        <v>2.05</v>
      </c>
      <c r="K953" s="247"/>
    </row>
    <row r="954" s="32" customFormat="1" ht="12" spans="1:11">
      <c r="A954" s="82"/>
      <c r="B954" s="54"/>
      <c r="C954" s="55"/>
      <c r="D954" s="54"/>
      <c r="E954" s="54"/>
      <c r="F954" s="122" t="s">
        <v>503</v>
      </c>
      <c r="G954" s="250">
        <v>2.67</v>
      </c>
      <c r="H954" s="248">
        <v>0.7</v>
      </c>
      <c r="I954" s="95" t="s">
        <v>24</v>
      </c>
      <c r="J954" s="250" t="s">
        <v>24</v>
      </c>
      <c r="K954" s="247"/>
    </row>
    <row r="955" s="32" customFormat="1" ht="14" customHeight="1" spans="1:11">
      <c r="A955" s="79">
        <v>45967</v>
      </c>
      <c r="B955" s="253" t="s">
        <v>2588</v>
      </c>
      <c r="C955" s="81">
        <v>10</v>
      </c>
      <c r="D955" s="80" t="s">
        <v>1623</v>
      </c>
      <c r="E955" s="80" t="s">
        <v>2589</v>
      </c>
      <c r="F955" s="95" t="s">
        <v>1064</v>
      </c>
      <c r="G955" s="250">
        <v>0.96</v>
      </c>
      <c r="H955" s="248">
        <v>9</v>
      </c>
      <c r="I955" s="254" t="s">
        <v>17</v>
      </c>
      <c r="J955" s="250">
        <v>1.84</v>
      </c>
      <c r="K955" s="255" t="s">
        <v>1670</v>
      </c>
    </row>
    <row r="956" s="32" customFormat="1" ht="12" spans="1:11">
      <c r="A956" s="97"/>
      <c r="B956" s="87"/>
      <c r="C956" s="107"/>
      <c r="D956" s="87"/>
      <c r="E956" s="87"/>
      <c r="F956" s="95" t="s">
        <v>1060</v>
      </c>
      <c r="G956" s="250">
        <v>0.19</v>
      </c>
      <c r="H956" s="248">
        <v>0.3</v>
      </c>
      <c r="I956" s="95" t="s">
        <v>2501</v>
      </c>
      <c r="J956" s="250">
        <v>1.9</v>
      </c>
      <c r="K956" s="236"/>
    </row>
    <row r="957" s="32" customFormat="1" ht="12" spans="1:11">
      <c r="A957" s="82"/>
      <c r="B957" s="83"/>
      <c r="C957" s="84"/>
      <c r="D957" s="83"/>
      <c r="E957" s="83"/>
      <c r="F957" s="50" t="s">
        <v>1051</v>
      </c>
      <c r="G957" s="250">
        <v>1.68</v>
      </c>
      <c r="H957" s="250">
        <v>0.7</v>
      </c>
      <c r="I957" s="50" t="s">
        <v>24</v>
      </c>
      <c r="J957" s="250" t="s">
        <v>24</v>
      </c>
      <c r="K957" s="241"/>
    </row>
    <row r="958" s="32" customFormat="1" ht="14" customHeight="1" spans="1:11">
      <c r="A958" s="79" t="s">
        <v>1621</v>
      </c>
      <c r="B958" s="80" t="s">
        <v>2590</v>
      </c>
      <c r="C958" s="81">
        <v>5</v>
      </c>
      <c r="D958" s="80" t="s">
        <v>1623</v>
      </c>
      <c r="E958" s="80" t="s">
        <v>1623</v>
      </c>
      <c r="F958" s="50" t="s">
        <v>1047</v>
      </c>
      <c r="G958" s="250">
        <v>1.49</v>
      </c>
      <c r="H958" s="250">
        <v>4.15</v>
      </c>
      <c r="I958" s="50" t="s">
        <v>17</v>
      </c>
      <c r="J958" s="250">
        <v>2</v>
      </c>
      <c r="K958" s="255" t="s">
        <v>2221</v>
      </c>
    </row>
    <row r="959" s="32" customFormat="1" ht="14" customHeight="1" spans="1:11">
      <c r="A959" s="97"/>
      <c r="B959" s="87"/>
      <c r="C959" s="107"/>
      <c r="D959" s="87"/>
      <c r="E959" s="87"/>
      <c r="F959" s="50" t="s">
        <v>1048</v>
      </c>
      <c r="G959" s="250">
        <v>1.49</v>
      </c>
      <c r="H959" s="250">
        <v>0.25</v>
      </c>
      <c r="I959" s="50" t="s">
        <v>22</v>
      </c>
      <c r="J959" s="250">
        <v>2.14</v>
      </c>
      <c r="K959" s="236"/>
    </row>
    <row r="960" s="32" customFormat="1" ht="14" customHeight="1" spans="1:11">
      <c r="A960" s="97"/>
      <c r="B960" s="87"/>
      <c r="C960" s="107"/>
      <c r="D960" s="87"/>
      <c r="E960" s="87"/>
      <c r="F960" s="50" t="s">
        <v>1055</v>
      </c>
      <c r="G960" s="250">
        <v>1.99</v>
      </c>
      <c r="H960" s="250">
        <v>0.35</v>
      </c>
      <c r="I960" s="50" t="s">
        <v>100</v>
      </c>
      <c r="J960" s="250">
        <v>3.4</v>
      </c>
      <c r="K960" s="236"/>
    </row>
    <row r="961" s="32" customFormat="1" ht="12" spans="1:11">
      <c r="A961" s="82"/>
      <c r="B961" s="83"/>
      <c r="C961" s="84"/>
      <c r="D961" s="83"/>
      <c r="E961" s="83"/>
      <c r="F961" s="50" t="s">
        <v>1051</v>
      </c>
      <c r="G961" s="250">
        <v>1.99</v>
      </c>
      <c r="H961" s="250">
        <v>0.25</v>
      </c>
      <c r="I961" s="50" t="s">
        <v>24</v>
      </c>
      <c r="J961" s="250" t="s">
        <v>24</v>
      </c>
      <c r="K961" s="241"/>
    </row>
    <row r="962" ht="12" spans="1:11">
      <c r="A962" s="116" t="s">
        <v>2591</v>
      </c>
      <c r="B962" s="253" t="s">
        <v>2592</v>
      </c>
      <c r="C962" s="114">
        <v>10</v>
      </c>
      <c r="D962" s="165" t="s">
        <v>477</v>
      </c>
      <c r="E962" s="165" t="s">
        <v>2552</v>
      </c>
      <c r="F962" s="256" t="s">
        <v>1047</v>
      </c>
      <c r="G962" s="250">
        <v>0.93</v>
      </c>
      <c r="H962" s="257">
        <v>9</v>
      </c>
      <c r="I962" s="50" t="s">
        <v>17</v>
      </c>
      <c r="J962" s="250">
        <v>1.77</v>
      </c>
      <c r="K962" s="165" t="s">
        <v>74</v>
      </c>
    </row>
    <row r="963" ht="12" spans="1:11">
      <c r="A963" s="140"/>
      <c r="B963" s="258"/>
      <c r="C963" s="152"/>
      <c r="D963" s="140"/>
      <c r="E963" s="140"/>
      <c r="F963" s="256" t="s">
        <v>1048</v>
      </c>
      <c r="G963" s="250">
        <v>1.17</v>
      </c>
      <c r="H963" s="257">
        <v>0.3</v>
      </c>
      <c r="I963" s="50" t="s">
        <v>22</v>
      </c>
      <c r="J963" s="250">
        <v>1.9</v>
      </c>
      <c r="K963" s="259"/>
    </row>
    <row r="964" ht="12" spans="1:11">
      <c r="A964" s="143"/>
      <c r="B964" s="260"/>
      <c r="C964" s="151"/>
      <c r="D964" s="143"/>
      <c r="E964" s="143"/>
      <c r="F964" s="256" t="s">
        <v>503</v>
      </c>
      <c r="G964" s="250">
        <v>1.67</v>
      </c>
      <c r="H964" s="257">
        <v>0.7</v>
      </c>
      <c r="I964" s="50" t="s">
        <v>24</v>
      </c>
      <c r="J964" s="250" t="s">
        <v>24</v>
      </c>
      <c r="K964" s="261"/>
    </row>
    <row r="965" ht="12" spans="1:11">
      <c r="A965" s="116" t="s">
        <v>1664</v>
      </c>
      <c r="B965" s="253" t="s">
        <v>2593</v>
      </c>
      <c r="C965" s="114">
        <v>12</v>
      </c>
      <c r="D965" s="165" t="s">
        <v>1109</v>
      </c>
      <c r="E965" s="165" t="s">
        <v>486</v>
      </c>
      <c r="F965" s="256" t="s">
        <v>1047</v>
      </c>
      <c r="G965" s="250">
        <v>1.04</v>
      </c>
      <c r="H965" s="257">
        <v>10.44</v>
      </c>
      <c r="I965" s="254" t="s">
        <v>17</v>
      </c>
      <c r="J965" s="250">
        <v>1.77</v>
      </c>
      <c r="K965" s="165" t="s">
        <v>27</v>
      </c>
    </row>
    <row r="966" ht="12" spans="1:11">
      <c r="A966" s="140"/>
      <c r="B966" s="258"/>
      <c r="C966" s="152"/>
      <c r="D966" s="140"/>
      <c r="E966" s="140"/>
      <c r="F966" s="256" t="s">
        <v>1048</v>
      </c>
      <c r="G966" s="250">
        <v>1.04</v>
      </c>
      <c r="H966" s="257">
        <v>0.6</v>
      </c>
      <c r="I966" s="254" t="s">
        <v>22</v>
      </c>
      <c r="J966" s="250">
        <v>1.83</v>
      </c>
      <c r="K966" s="259"/>
    </row>
    <row r="967" ht="12" spans="1:11">
      <c r="A967" s="143"/>
      <c r="B967" s="260"/>
      <c r="C967" s="151"/>
      <c r="D967" s="143"/>
      <c r="E967" s="143"/>
      <c r="F967" s="256" t="s">
        <v>503</v>
      </c>
      <c r="G967" s="250">
        <v>1.87</v>
      </c>
      <c r="H967" s="257">
        <v>0.96</v>
      </c>
      <c r="I967" s="50" t="s">
        <v>24</v>
      </c>
      <c r="J967" s="250" t="s">
        <v>24</v>
      </c>
      <c r="K967" s="261"/>
    </row>
    <row r="968" ht="12" spans="1:11">
      <c r="A968" s="116" t="s">
        <v>1664</v>
      </c>
      <c r="B968" s="253" t="s">
        <v>2594</v>
      </c>
      <c r="C968" s="114">
        <v>10</v>
      </c>
      <c r="D968" s="165" t="s">
        <v>536</v>
      </c>
      <c r="E968" s="253" t="s">
        <v>477</v>
      </c>
      <c r="F968" s="256" t="s">
        <v>1047</v>
      </c>
      <c r="G968" s="250">
        <v>0.94</v>
      </c>
      <c r="H968" s="257">
        <v>9</v>
      </c>
      <c r="I968" s="50" t="s">
        <v>17</v>
      </c>
      <c r="J968" s="262">
        <v>1.77</v>
      </c>
      <c r="K968" s="165" t="s">
        <v>74</v>
      </c>
    </row>
    <row r="969" ht="12" spans="1:11">
      <c r="A969" s="140"/>
      <c r="B969" s="87"/>
      <c r="C969" s="152"/>
      <c r="D969" s="140"/>
      <c r="E969" s="87"/>
      <c r="F969" s="256" t="s">
        <v>1048</v>
      </c>
      <c r="G969" s="250">
        <v>1.18</v>
      </c>
      <c r="H969" s="257">
        <v>0.3</v>
      </c>
      <c r="I969" s="50" t="s">
        <v>22</v>
      </c>
      <c r="J969" s="262">
        <v>1.9</v>
      </c>
      <c r="K969" s="259"/>
    </row>
    <row r="970" ht="12" spans="1:11">
      <c r="A970" s="140"/>
      <c r="B970" s="87"/>
      <c r="C970" s="152"/>
      <c r="D970" s="140"/>
      <c r="E970" s="87"/>
      <c r="F970" s="263" t="s">
        <v>503</v>
      </c>
      <c r="G970" s="264">
        <v>1.67</v>
      </c>
      <c r="H970" s="265">
        <v>0.7</v>
      </c>
      <c r="I970" s="212" t="s">
        <v>24</v>
      </c>
      <c r="J970" s="266" t="s">
        <v>24</v>
      </c>
      <c r="K970" s="259"/>
    </row>
    <row r="971" ht="12" spans="1:11">
      <c r="A971" s="267">
        <v>45981</v>
      </c>
      <c r="B971" s="122" t="s">
        <v>2595</v>
      </c>
      <c r="C971" s="121">
        <v>3</v>
      </c>
      <c r="D971" s="122" t="s">
        <v>477</v>
      </c>
      <c r="E971" s="122" t="s">
        <v>2559</v>
      </c>
      <c r="F971" s="95" t="s">
        <v>1064</v>
      </c>
      <c r="G971" s="248">
        <v>1.49</v>
      </c>
      <c r="H971" s="248">
        <v>2.61</v>
      </c>
      <c r="I971" s="95" t="s">
        <v>17</v>
      </c>
      <c r="J971" s="268">
        <v>2.6</v>
      </c>
      <c r="K971" s="122" t="s">
        <v>1643</v>
      </c>
    </row>
    <row r="972" ht="12" spans="1:11">
      <c r="A972" s="267"/>
      <c r="B972" s="122"/>
      <c r="C972" s="121"/>
      <c r="D972" s="122"/>
      <c r="E972" s="122"/>
      <c r="F972" s="95" t="s">
        <v>1060</v>
      </c>
      <c r="G972" s="248">
        <v>1.57</v>
      </c>
      <c r="H972" s="248">
        <v>0.12</v>
      </c>
      <c r="I972" s="95" t="s">
        <v>22</v>
      </c>
      <c r="J972" s="268">
        <v>3.5</v>
      </c>
      <c r="K972" s="122"/>
    </row>
    <row r="973" ht="12" spans="1:11">
      <c r="A973" s="267"/>
      <c r="B973" s="122"/>
      <c r="C973" s="121"/>
      <c r="D973" s="122"/>
      <c r="E973" s="122"/>
      <c r="F973" s="95" t="s">
        <v>1061</v>
      </c>
      <c r="G973" s="248">
        <v>1.65</v>
      </c>
      <c r="H973" s="248">
        <v>0.12</v>
      </c>
      <c r="I973" s="95" t="s">
        <v>96</v>
      </c>
      <c r="J973" s="268">
        <v>5</v>
      </c>
      <c r="K973" s="122"/>
    </row>
    <row r="974" ht="12" spans="1:11">
      <c r="A974" s="267"/>
      <c r="B974" s="122"/>
      <c r="C974" s="121"/>
      <c r="D974" s="122"/>
      <c r="E974" s="122"/>
      <c r="F974" s="95" t="s">
        <v>1083</v>
      </c>
      <c r="G974" s="248">
        <v>1.98</v>
      </c>
      <c r="H974" s="248">
        <v>0.15</v>
      </c>
      <c r="I974" s="95" t="s">
        <v>24</v>
      </c>
      <c r="J974" s="248" t="s">
        <v>24</v>
      </c>
      <c r="K974" s="122"/>
    </row>
    <row r="975" ht="12" spans="1:11">
      <c r="A975" s="267">
        <v>45979</v>
      </c>
      <c r="B975" s="122" t="s">
        <v>2596</v>
      </c>
      <c r="C975" s="121">
        <v>6</v>
      </c>
      <c r="D975" s="122" t="s">
        <v>477</v>
      </c>
      <c r="E975" s="122" t="s">
        <v>477</v>
      </c>
      <c r="F975" s="95" t="s">
        <v>1064</v>
      </c>
      <c r="G975" s="248">
        <v>1.5</v>
      </c>
      <c r="H975" s="248">
        <v>5</v>
      </c>
      <c r="I975" s="95" t="s">
        <v>17</v>
      </c>
      <c r="J975" s="248">
        <v>2.05</v>
      </c>
      <c r="K975" s="122" t="s">
        <v>67</v>
      </c>
    </row>
    <row r="976" ht="12" spans="1:11">
      <c r="A976" s="267"/>
      <c r="B976" s="122"/>
      <c r="C976" s="121"/>
      <c r="D976" s="122"/>
      <c r="E976" s="122"/>
      <c r="F976" s="95" t="s">
        <v>1060</v>
      </c>
      <c r="G976" s="248">
        <v>1.5</v>
      </c>
      <c r="H976" s="248">
        <v>0.3</v>
      </c>
      <c r="I976" s="95" t="s">
        <v>22</v>
      </c>
      <c r="J976" s="248">
        <v>2.4</v>
      </c>
      <c r="K976" s="122"/>
    </row>
    <row r="977" ht="12" spans="1:11">
      <c r="A977" s="267"/>
      <c r="B977" s="122"/>
      <c r="C977" s="121"/>
      <c r="D977" s="122"/>
      <c r="E977" s="122"/>
      <c r="F977" s="95" t="s">
        <v>1061</v>
      </c>
      <c r="G977" s="248">
        <v>1.5</v>
      </c>
      <c r="H977" s="248">
        <v>0.28</v>
      </c>
      <c r="I977" s="95" t="s">
        <v>44</v>
      </c>
      <c r="J977" s="248">
        <v>4</v>
      </c>
      <c r="K977" s="122"/>
    </row>
    <row r="978" ht="12" spans="1:11">
      <c r="A978" s="267"/>
      <c r="B978" s="122"/>
      <c r="C978" s="121"/>
      <c r="D978" s="122"/>
      <c r="E978" s="122"/>
      <c r="F978" s="95" t="s">
        <v>1083</v>
      </c>
      <c r="G978" s="248">
        <v>1.5</v>
      </c>
      <c r="H978" s="248">
        <v>0.42</v>
      </c>
      <c r="I978" s="95" t="s">
        <v>24</v>
      </c>
      <c r="J978" s="248" t="s">
        <v>24</v>
      </c>
      <c r="K978" s="122"/>
    </row>
    <row r="979" ht="12" spans="1:11">
      <c r="A979" s="267">
        <v>45975</v>
      </c>
      <c r="B979" s="122" t="s">
        <v>2597</v>
      </c>
      <c r="C979" s="121">
        <v>5</v>
      </c>
      <c r="D979" s="122" t="s">
        <v>484</v>
      </c>
      <c r="E979" s="122" t="s">
        <v>484</v>
      </c>
      <c r="F979" s="95" t="s">
        <v>1081</v>
      </c>
      <c r="G979" s="248">
        <v>0.75</v>
      </c>
      <c r="H979" s="248">
        <v>4.5</v>
      </c>
      <c r="I979" s="95" t="s">
        <v>17</v>
      </c>
      <c r="J979" s="248">
        <v>1.84</v>
      </c>
      <c r="K979" s="122" t="s">
        <v>129</v>
      </c>
    </row>
    <row r="980" ht="12" spans="1:11">
      <c r="A980" s="267"/>
      <c r="B980" s="122"/>
      <c r="C980" s="121"/>
      <c r="D980" s="122"/>
      <c r="E980" s="122"/>
      <c r="F980" s="95" t="s">
        <v>2215</v>
      </c>
      <c r="G980" s="248">
        <v>1</v>
      </c>
      <c r="H980" s="248">
        <v>0.2</v>
      </c>
      <c r="I980" s="95" t="s">
        <v>22</v>
      </c>
      <c r="J980" s="248">
        <v>1.95</v>
      </c>
      <c r="K980" s="122"/>
    </row>
    <row r="981" ht="12" spans="1:11">
      <c r="A981" s="267"/>
      <c r="B981" s="122"/>
      <c r="C981" s="121"/>
      <c r="D981" s="122"/>
      <c r="E981" s="122"/>
      <c r="F981" s="95" t="s">
        <v>1083</v>
      </c>
      <c r="G981" s="248">
        <v>1.49</v>
      </c>
      <c r="H981" s="248">
        <v>0.3</v>
      </c>
      <c r="I981" s="95" t="s">
        <v>24</v>
      </c>
      <c r="J981" s="269" t="s">
        <v>24</v>
      </c>
      <c r="K981" s="122"/>
    </row>
    <row r="982" ht="12" spans="1:11">
      <c r="A982" s="54" t="s">
        <v>1682</v>
      </c>
      <c r="B982" s="148" t="s">
        <v>2598</v>
      </c>
      <c r="C982" s="55">
        <v>10</v>
      </c>
      <c r="D982" s="148" t="s">
        <v>486</v>
      </c>
      <c r="E982" s="148" t="s">
        <v>486</v>
      </c>
      <c r="F982" s="122" t="s">
        <v>1064</v>
      </c>
      <c r="G982" s="250">
        <v>1.81</v>
      </c>
      <c r="H982" s="250">
        <v>8.4</v>
      </c>
      <c r="I982" s="95" t="s">
        <v>17</v>
      </c>
      <c r="J982" s="250">
        <v>1.8</v>
      </c>
      <c r="K982" s="148" t="s">
        <v>18</v>
      </c>
    </row>
    <row r="983" ht="13.05" customHeight="1" spans="1:11">
      <c r="A983" s="54"/>
      <c r="B983" s="54"/>
      <c r="C983" s="55"/>
      <c r="D983" s="54"/>
      <c r="E983" s="54"/>
      <c r="F983" s="122" t="s">
        <v>1060</v>
      </c>
      <c r="G983" s="250">
        <v>1.89</v>
      </c>
      <c r="H983" s="250">
        <v>0.5</v>
      </c>
      <c r="I983" s="95" t="s">
        <v>22</v>
      </c>
      <c r="J983" s="250">
        <v>1.95</v>
      </c>
      <c r="K983" s="54"/>
    </row>
    <row r="984" ht="13.05" customHeight="1" spans="1:11">
      <c r="A984" s="54"/>
      <c r="B984" s="54"/>
      <c r="C984" s="55"/>
      <c r="D984" s="54"/>
      <c r="E984" s="54"/>
      <c r="F984" s="122" t="s">
        <v>1061</v>
      </c>
      <c r="G984" s="250">
        <v>1.98</v>
      </c>
      <c r="H984" s="250">
        <v>0.3</v>
      </c>
      <c r="I984" s="95" t="s">
        <v>44</v>
      </c>
      <c r="J984" s="250">
        <v>2.05</v>
      </c>
      <c r="K984" s="54"/>
    </row>
    <row r="985" ht="13.05" customHeight="1" spans="1:11">
      <c r="A985" s="54"/>
      <c r="B985" s="54"/>
      <c r="C985" s="55"/>
      <c r="D985" s="54"/>
      <c r="E985" s="54"/>
      <c r="F985" s="122" t="s">
        <v>503</v>
      </c>
      <c r="G985" s="250">
        <v>2.64</v>
      </c>
      <c r="H985" s="250">
        <v>0.8</v>
      </c>
      <c r="I985" s="95" t="s">
        <v>24</v>
      </c>
      <c r="J985" s="95" t="s">
        <v>24</v>
      </c>
      <c r="K985" s="54"/>
    </row>
    <row r="986" ht="12" spans="1:11">
      <c r="A986" s="54" t="s">
        <v>2599</v>
      </c>
      <c r="B986" s="148" t="s">
        <v>2600</v>
      </c>
      <c r="C986" s="55">
        <v>5</v>
      </c>
      <c r="D986" s="148" t="s">
        <v>1277</v>
      </c>
      <c r="E986" s="148" t="s">
        <v>477</v>
      </c>
      <c r="F986" s="122" t="s">
        <v>1064</v>
      </c>
      <c r="G986" s="250">
        <v>1.41</v>
      </c>
      <c r="H986" s="250">
        <v>4.25</v>
      </c>
      <c r="I986" s="95" t="s">
        <v>17</v>
      </c>
      <c r="J986" s="270">
        <v>1.8</v>
      </c>
      <c r="K986" s="148" t="s">
        <v>355</v>
      </c>
    </row>
    <row r="987" ht="13.05" customHeight="1" spans="1:11">
      <c r="A987" s="54"/>
      <c r="B987" s="54"/>
      <c r="C987" s="55"/>
      <c r="D987" s="54"/>
      <c r="E987" s="54"/>
      <c r="F987" s="122" t="s">
        <v>1060</v>
      </c>
      <c r="G987" s="250">
        <v>2</v>
      </c>
      <c r="H987" s="250">
        <v>0.25</v>
      </c>
      <c r="I987" s="95" t="s">
        <v>22</v>
      </c>
      <c r="J987" s="270">
        <v>1.95</v>
      </c>
      <c r="K987" s="54"/>
    </row>
    <row r="988" ht="13.05" customHeight="1" spans="1:11">
      <c r="A988" s="54"/>
      <c r="B988" s="54"/>
      <c r="C988" s="55"/>
      <c r="D988" s="54"/>
      <c r="E988" s="54"/>
      <c r="F988" s="122" t="s">
        <v>1061</v>
      </c>
      <c r="G988" s="250">
        <v>2</v>
      </c>
      <c r="H988" s="250">
        <v>0.2</v>
      </c>
      <c r="I988" s="95" t="s">
        <v>351</v>
      </c>
      <c r="J988" s="270">
        <v>2.7</v>
      </c>
      <c r="K988" s="54"/>
    </row>
    <row r="989" ht="13.05" customHeight="1" spans="1:11">
      <c r="A989" s="54"/>
      <c r="B989" s="54"/>
      <c r="C989" s="55"/>
      <c r="D989" s="54"/>
      <c r="E989" s="54"/>
      <c r="F989" s="122" t="s">
        <v>503</v>
      </c>
      <c r="G989" s="250">
        <v>2</v>
      </c>
      <c r="H989" s="250">
        <v>0.3</v>
      </c>
      <c r="I989" s="95" t="s">
        <v>24</v>
      </c>
      <c r="J989" s="122" t="s">
        <v>24</v>
      </c>
      <c r="K989" s="54"/>
    </row>
    <row r="990" ht="12" spans="1:11">
      <c r="A990" s="54" t="s">
        <v>1684</v>
      </c>
      <c r="B990" s="148" t="s">
        <v>2601</v>
      </c>
      <c r="C990" s="55">
        <v>10</v>
      </c>
      <c r="D990" s="148" t="s">
        <v>1066</v>
      </c>
      <c r="E990" s="148" t="s">
        <v>484</v>
      </c>
      <c r="F990" s="122" t="s">
        <v>531</v>
      </c>
      <c r="G990" s="250">
        <v>1</v>
      </c>
      <c r="H990" s="250">
        <v>8.9</v>
      </c>
      <c r="I990" s="95" t="s">
        <v>17</v>
      </c>
      <c r="J990" s="250">
        <v>1.77</v>
      </c>
      <c r="K990" s="245" t="s">
        <v>129</v>
      </c>
    </row>
    <row r="991" ht="13.05" customHeight="1" spans="1:11">
      <c r="A991" s="54"/>
      <c r="B991" s="54"/>
      <c r="C991" s="55"/>
      <c r="D991" s="54"/>
      <c r="E991" s="54"/>
      <c r="F991" s="122" t="s">
        <v>539</v>
      </c>
      <c r="G991" s="250">
        <v>1.17</v>
      </c>
      <c r="H991" s="250">
        <v>0.5</v>
      </c>
      <c r="I991" s="95" t="s">
        <v>22</v>
      </c>
      <c r="J991" s="250">
        <v>1.9</v>
      </c>
      <c r="K991" s="245"/>
    </row>
    <row r="992" ht="13.05" customHeight="1" spans="1:11">
      <c r="A992" s="54"/>
      <c r="B992" s="54"/>
      <c r="C992" s="55"/>
      <c r="D992" s="54"/>
      <c r="E992" s="54"/>
      <c r="F992" s="122" t="s">
        <v>503</v>
      </c>
      <c r="G992" s="250">
        <v>1.75</v>
      </c>
      <c r="H992" s="250">
        <v>0.6</v>
      </c>
      <c r="I992" s="95" t="s">
        <v>24</v>
      </c>
      <c r="J992" s="122" t="s">
        <v>24</v>
      </c>
      <c r="K992" s="245"/>
    </row>
    <row r="993" ht="12" spans="1:11">
      <c r="A993" s="54" t="s">
        <v>1684</v>
      </c>
      <c r="B993" s="148" t="s">
        <v>2602</v>
      </c>
      <c r="C993" s="55">
        <v>4</v>
      </c>
      <c r="D993" s="148" t="s">
        <v>536</v>
      </c>
      <c r="E993" s="148" t="s">
        <v>477</v>
      </c>
      <c r="F993" s="122" t="s">
        <v>1064</v>
      </c>
      <c r="G993" s="250">
        <v>1.17</v>
      </c>
      <c r="H993" s="250">
        <v>3.28</v>
      </c>
      <c r="I993" s="95" t="s">
        <v>17</v>
      </c>
      <c r="J993" s="250">
        <v>2.3</v>
      </c>
      <c r="K993" s="148" t="s">
        <v>233</v>
      </c>
    </row>
    <row r="994" ht="13.05" customHeight="1" spans="1:11">
      <c r="A994" s="54"/>
      <c r="B994" s="54"/>
      <c r="C994" s="55"/>
      <c r="D994" s="54"/>
      <c r="E994" s="54"/>
      <c r="F994" s="122" t="s">
        <v>1060</v>
      </c>
      <c r="G994" s="250">
        <v>1.33</v>
      </c>
      <c r="H994" s="250">
        <v>0.32</v>
      </c>
      <c r="I994" s="95" t="s">
        <v>22</v>
      </c>
      <c r="J994" s="250">
        <v>2.8</v>
      </c>
      <c r="K994" s="54"/>
    </row>
    <row r="995" ht="13.05" customHeight="1" spans="1:11">
      <c r="A995" s="54"/>
      <c r="B995" s="54"/>
      <c r="C995" s="55"/>
      <c r="D995" s="54"/>
      <c r="E995" s="54"/>
      <c r="F995" s="122" t="s">
        <v>503</v>
      </c>
      <c r="G995" s="250">
        <v>2.58</v>
      </c>
      <c r="H995" s="250">
        <v>0.4</v>
      </c>
      <c r="I995" s="95" t="s">
        <v>24</v>
      </c>
      <c r="J995" s="250" t="s">
        <v>24</v>
      </c>
      <c r="K995" s="54"/>
    </row>
    <row r="996" ht="12" spans="1:11">
      <c r="A996" s="54" t="s">
        <v>1687</v>
      </c>
      <c r="B996" s="148" t="s">
        <v>2603</v>
      </c>
      <c r="C996" s="55">
        <v>4.7</v>
      </c>
      <c r="D996" s="148" t="s">
        <v>492</v>
      </c>
      <c r="E996" s="148" t="s">
        <v>486</v>
      </c>
      <c r="F996" s="122" t="s">
        <v>1064</v>
      </c>
      <c r="G996" s="250">
        <v>1</v>
      </c>
      <c r="H996" s="250">
        <v>4.4</v>
      </c>
      <c r="I996" s="95" t="s">
        <v>17</v>
      </c>
      <c r="J996" s="250">
        <v>1.75</v>
      </c>
      <c r="K996" s="245" t="s">
        <v>86</v>
      </c>
    </row>
    <row r="997" ht="13.05" customHeight="1" spans="1:11">
      <c r="A997" s="54"/>
      <c r="B997" s="54"/>
      <c r="C997" s="55"/>
      <c r="D997" s="54"/>
      <c r="E997" s="54"/>
      <c r="F997" s="122" t="s">
        <v>1060</v>
      </c>
      <c r="G997" s="250">
        <v>1</v>
      </c>
      <c r="H997" s="250">
        <v>0.3</v>
      </c>
      <c r="I997" s="95" t="s">
        <v>22</v>
      </c>
      <c r="J997" s="250">
        <v>1.83</v>
      </c>
      <c r="K997" s="247"/>
    </row>
    <row r="998" ht="12" spans="1:11">
      <c r="A998" s="54" t="s">
        <v>1687</v>
      </c>
      <c r="B998" s="148" t="s">
        <v>2604</v>
      </c>
      <c r="C998" s="55">
        <v>5.64</v>
      </c>
      <c r="D998" s="148" t="s">
        <v>486</v>
      </c>
      <c r="E998" s="148" t="s">
        <v>492</v>
      </c>
      <c r="F998" s="122" t="s">
        <v>1064</v>
      </c>
      <c r="G998" s="250">
        <v>1</v>
      </c>
      <c r="H998" s="250">
        <v>5.28</v>
      </c>
      <c r="I998" s="95" t="s">
        <v>17</v>
      </c>
      <c r="J998" s="250">
        <v>1.75</v>
      </c>
      <c r="K998" s="148" t="s">
        <v>86</v>
      </c>
    </row>
    <row r="999" ht="13.05" customHeight="1" spans="1:11">
      <c r="A999" s="54"/>
      <c r="B999" s="54"/>
      <c r="C999" s="55"/>
      <c r="D999" s="54"/>
      <c r="E999" s="54"/>
      <c r="F999" s="122" t="s">
        <v>1060</v>
      </c>
      <c r="G999" s="250">
        <v>1</v>
      </c>
      <c r="H999" s="250">
        <v>0.36</v>
      </c>
      <c r="I999" s="95" t="s">
        <v>22</v>
      </c>
      <c r="J999" s="250">
        <v>1.82</v>
      </c>
      <c r="K999" s="54"/>
    </row>
    <row r="1000" ht="12" spans="1:11">
      <c r="A1000" s="54" t="s">
        <v>1690</v>
      </c>
      <c r="B1000" s="148" t="s">
        <v>2605</v>
      </c>
      <c r="C1000" s="55">
        <v>10</v>
      </c>
      <c r="D1000" s="148" t="s">
        <v>1066</v>
      </c>
      <c r="E1000" s="148" t="s">
        <v>1066</v>
      </c>
      <c r="F1000" s="122" t="s">
        <v>531</v>
      </c>
      <c r="G1000" s="250">
        <v>1</v>
      </c>
      <c r="H1000" s="250">
        <v>8.9</v>
      </c>
      <c r="I1000" s="95" t="s">
        <v>17</v>
      </c>
      <c r="J1000" s="250">
        <v>1.77</v>
      </c>
      <c r="K1000" s="148" t="s">
        <v>129</v>
      </c>
    </row>
    <row r="1001" ht="12" spans="1:11">
      <c r="A1001" s="54"/>
      <c r="B1001" s="54"/>
      <c r="C1001" s="55"/>
      <c r="D1001" s="54"/>
      <c r="E1001" s="54"/>
      <c r="F1001" s="122" t="s">
        <v>539</v>
      </c>
      <c r="G1001" s="250">
        <v>1.16</v>
      </c>
      <c r="H1001" s="250">
        <v>0.5</v>
      </c>
      <c r="I1001" s="95" t="s">
        <v>22</v>
      </c>
      <c r="J1001" s="250">
        <v>1.9</v>
      </c>
      <c r="K1001" s="148"/>
    </row>
    <row r="1002" ht="12" spans="1:11">
      <c r="A1002" s="54"/>
      <c r="B1002" s="54"/>
      <c r="C1002" s="55"/>
      <c r="D1002" s="54"/>
      <c r="E1002" s="54"/>
      <c r="F1002" s="122" t="s">
        <v>503</v>
      </c>
      <c r="G1002" s="250">
        <v>1.75</v>
      </c>
      <c r="H1002" s="250">
        <v>0.6</v>
      </c>
      <c r="I1002" s="95" t="s">
        <v>24</v>
      </c>
      <c r="J1002" s="250" t="s">
        <v>24</v>
      </c>
      <c r="K1002" s="148"/>
    </row>
    <row r="1003" ht="13.05" customHeight="1" spans="1:11">
      <c r="A1003" s="54" t="s">
        <v>1687</v>
      </c>
      <c r="B1003" s="148" t="s">
        <v>2606</v>
      </c>
      <c r="C1003" s="55">
        <v>5.64</v>
      </c>
      <c r="D1003" s="148" t="s">
        <v>492</v>
      </c>
      <c r="E1003" s="148" t="s">
        <v>486</v>
      </c>
      <c r="F1003" s="122" t="s">
        <v>1064</v>
      </c>
      <c r="G1003" s="250">
        <v>1</v>
      </c>
      <c r="H1003" s="250">
        <v>5.28</v>
      </c>
      <c r="I1003" s="95" t="s">
        <v>17</v>
      </c>
      <c r="J1003" s="250">
        <v>1.75</v>
      </c>
      <c r="K1003" s="245" t="s">
        <v>86</v>
      </c>
    </row>
    <row r="1004" ht="13.05" customHeight="1" spans="1:11">
      <c r="A1004" s="54"/>
      <c r="B1004" s="54"/>
      <c r="C1004" s="55"/>
      <c r="D1004" s="54"/>
      <c r="E1004" s="54"/>
      <c r="F1004" s="122" t="s">
        <v>1060</v>
      </c>
      <c r="G1004" s="250">
        <v>1</v>
      </c>
      <c r="H1004" s="250">
        <v>0.36</v>
      </c>
      <c r="I1004" s="95" t="s">
        <v>22</v>
      </c>
      <c r="J1004" s="250">
        <v>1.83</v>
      </c>
      <c r="K1004" s="247"/>
    </row>
    <row r="1005" ht="13.05" customHeight="1" spans="1:11">
      <c r="A1005" s="116" t="s">
        <v>2599</v>
      </c>
      <c r="B1005" s="148" t="s">
        <v>2607</v>
      </c>
      <c r="C1005" s="81">
        <v>9.5</v>
      </c>
      <c r="D1005" s="253" t="s">
        <v>911</v>
      </c>
      <c r="E1005" s="165" t="s">
        <v>2608</v>
      </c>
      <c r="F1005" s="95" t="s">
        <v>1064</v>
      </c>
      <c r="G1005" s="250">
        <v>0.49</v>
      </c>
      <c r="H1005" s="250">
        <v>9</v>
      </c>
      <c r="I1005" s="95" t="s">
        <v>17</v>
      </c>
      <c r="J1005" s="250">
        <v>1.71</v>
      </c>
      <c r="K1005" s="205" t="s">
        <v>35</v>
      </c>
    </row>
    <row r="1006" ht="13.05" customHeight="1" spans="1:11">
      <c r="A1006" s="140"/>
      <c r="B1006" s="148"/>
      <c r="C1006" s="107"/>
      <c r="D1006" s="258"/>
      <c r="E1006" s="259"/>
      <c r="F1006" s="95" t="s">
        <v>1060</v>
      </c>
      <c r="G1006" s="250">
        <v>0.49</v>
      </c>
      <c r="H1006" s="250">
        <v>0.3</v>
      </c>
      <c r="I1006" s="95" t="s">
        <v>22</v>
      </c>
      <c r="J1006" s="250">
        <v>1.79</v>
      </c>
      <c r="K1006" s="205"/>
    </row>
    <row r="1007" ht="13.05" customHeight="1" spans="1:11">
      <c r="A1007" s="143"/>
      <c r="B1007" s="148"/>
      <c r="C1007" s="107"/>
      <c r="D1007" s="258"/>
      <c r="E1007" s="259"/>
      <c r="F1007" s="95" t="s">
        <v>1166</v>
      </c>
      <c r="G1007" s="250">
        <v>0.49</v>
      </c>
      <c r="H1007" s="250">
        <v>0.2</v>
      </c>
      <c r="I1007" s="95" t="s">
        <v>96</v>
      </c>
      <c r="J1007" s="250">
        <v>3.2</v>
      </c>
      <c r="K1007" s="205"/>
    </row>
    <row r="1008" ht="13.05" customHeight="1" spans="1:11">
      <c r="A1008" s="111" t="s">
        <v>1682</v>
      </c>
      <c r="B1008" s="253" t="s">
        <v>2609</v>
      </c>
      <c r="C1008" s="55">
        <v>5</v>
      </c>
      <c r="D1008" s="148" t="s">
        <v>2558</v>
      </c>
      <c r="E1008" s="205" t="s">
        <v>2559</v>
      </c>
      <c r="F1008" s="95" t="s">
        <v>1064</v>
      </c>
      <c r="G1008" s="250">
        <v>1.46</v>
      </c>
      <c r="H1008" s="250">
        <v>4.15</v>
      </c>
      <c r="I1008" s="95" t="s">
        <v>17</v>
      </c>
      <c r="J1008" s="250">
        <v>2.6</v>
      </c>
      <c r="K1008" s="205" t="s">
        <v>1643</v>
      </c>
    </row>
    <row r="1009" ht="13.05" customHeight="1" spans="1:14">
      <c r="A1009" s="111"/>
      <c r="B1009" s="258"/>
      <c r="C1009" s="55"/>
      <c r="D1009" s="148"/>
      <c r="E1009" s="205"/>
      <c r="F1009" s="95" t="s">
        <v>1060</v>
      </c>
      <c r="G1009" s="250">
        <v>1.53</v>
      </c>
      <c r="H1009" s="250">
        <v>0.4</v>
      </c>
      <c r="I1009" s="95" t="s">
        <v>22</v>
      </c>
      <c r="J1009" s="250">
        <v>3.2</v>
      </c>
      <c r="K1009" s="205"/>
    </row>
    <row r="1010" ht="13.05" customHeight="1" spans="1:14">
      <c r="A1010" s="111"/>
      <c r="B1010" s="258"/>
      <c r="C1010" s="55"/>
      <c r="D1010" s="148"/>
      <c r="E1010" s="205"/>
      <c r="F1010" s="95" t="s">
        <v>1061</v>
      </c>
      <c r="G1010" s="250">
        <v>1.61</v>
      </c>
      <c r="H1010" s="250">
        <v>0.2</v>
      </c>
      <c r="I1010" s="95" t="s">
        <v>96</v>
      </c>
      <c r="J1010" s="250">
        <v>4.5</v>
      </c>
      <c r="K1010" s="205"/>
    </row>
    <row r="1011" s="33" customFormat="1" ht="15" customHeight="1" spans="1:14">
      <c r="A1011" s="111"/>
      <c r="B1011" s="260"/>
      <c r="C1011" s="55"/>
      <c r="D1011" s="148"/>
      <c r="E1011" s="205"/>
      <c r="F1011" s="95" t="s">
        <v>1083</v>
      </c>
      <c r="G1011" s="250">
        <v>1.95</v>
      </c>
      <c r="H1011" s="250">
        <v>0.25</v>
      </c>
      <c r="I1011" s="271" t="s">
        <v>24</v>
      </c>
      <c r="J1011" s="271" t="s">
        <v>24</v>
      </c>
      <c r="K1011" s="205"/>
      <c r="L1011" s="249"/>
      <c r="M1011" s="249"/>
      <c r="N1011" s="249"/>
    </row>
    <row r="1012" s="33" customFormat="1" ht="13.05" customHeight="1" spans="1:14">
      <c r="A1012" s="111" t="s">
        <v>2599</v>
      </c>
      <c r="B1012" s="148" t="s">
        <v>2610</v>
      </c>
      <c r="C1012" s="55">
        <v>10</v>
      </c>
      <c r="D1012" s="148" t="s">
        <v>1066</v>
      </c>
      <c r="E1012" s="205" t="s">
        <v>536</v>
      </c>
      <c r="F1012" s="95" t="s">
        <v>1081</v>
      </c>
      <c r="G1012" s="250">
        <v>1</v>
      </c>
      <c r="H1012" s="215">
        <v>8.9</v>
      </c>
      <c r="I1012" s="215" t="s">
        <v>17</v>
      </c>
      <c r="J1012" s="215">
        <v>1.77</v>
      </c>
      <c r="K1012" s="205" t="s">
        <v>129</v>
      </c>
      <c r="L1012" s="249"/>
      <c r="M1012" s="249"/>
      <c r="N1012" s="249"/>
    </row>
    <row r="1013" ht="12" spans="1:14">
      <c r="A1013" s="111"/>
      <c r="B1013" s="148"/>
      <c r="C1013" s="55"/>
      <c r="D1013" s="148"/>
      <c r="E1013" s="205"/>
      <c r="F1013" s="95" t="s">
        <v>2215</v>
      </c>
      <c r="G1013" s="250">
        <v>1.16</v>
      </c>
      <c r="H1013" s="215">
        <v>0.5</v>
      </c>
      <c r="I1013" s="103" t="s">
        <v>22</v>
      </c>
      <c r="J1013" s="215">
        <v>1.9</v>
      </c>
      <c r="K1013" s="205"/>
    </row>
    <row r="1014" ht="12" spans="1:14">
      <c r="A1014" s="116"/>
      <c r="B1014" s="253"/>
      <c r="C1014" s="81"/>
      <c r="D1014" s="253"/>
      <c r="E1014" s="165"/>
      <c r="F1014" s="138" t="s">
        <v>1083</v>
      </c>
      <c r="G1014" s="264">
        <v>1.75</v>
      </c>
      <c r="H1014" s="272">
        <v>0.6</v>
      </c>
      <c r="I1014" s="118"/>
      <c r="J1014" s="272" t="s">
        <v>24</v>
      </c>
      <c r="K1014" s="165"/>
    </row>
    <row r="1015" ht="12" spans="1:14">
      <c r="A1015" s="267">
        <v>46003</v>
      </c>
      <c r="B1015" s="122" t="s">
        <v>2611</v>
      </c>
      <c r="C1015" s="273">
        <v>10</v>
      </c>
      <c r="D1015" s="122" t="s">
        <v>477</v>
      </c>
      <c r="E1015" s="122" t="s">
        <v>477</v>
      </c>
      <c r="F1015" s="122" t="s">
        <v>1064</v>
      </c>
      <c r="G1015" s="248">
        <v>1</v>
      </c>
      <c r="H1015" s="269">
        <v>8.3</v>
      </c>
      <c r="I1015" s="248" t="s">
        <v>17</v>
      </c>
      <c r="J1015" s="248">
        <v>1.87</v>
      </c>
      <c r="K1015" s="122" t="s">
        <v>35</v>
      </c>
    </row>
    <row r="1016" ht="12" spans="1:14">
      <c r="A1016" s="95"/>
      <c r="B1016" s="122"/>
      <c r="C1016" s="273"/>
      <c r="D1016" s="122"/>
      <c r="E1016" s="122"/>
      <c r="F1016" s="122" t="s">
        <v>1060</v>
      </c>
      <c r="G1016" s="248">
        <v>1</v>
      </c>
      <c r="H1016" s="269">
        <v>0.5</v>
      </c>
      <c r="I1016" s="248" t="s">
        <v>22</v>
      </c>
      <c r="J1016" s="248">
        <v>1.97</v>
      </c>
      <c r="K1016" s="122"/>
    </row>
    <row r="1017" ht="12" spans="1:14">
      <c r="A1017" s="95"/>
      <c r="B1017" s="122"/>
      <c r="C1017" s="273"/>
      <c r="D1017" s="122"/>
      <c r="E1017" s="122"/>
      <c r="F1017" s="122" t="s">
        <v>509</v>
      </c>
      <c r="G1017" s="248">
        <v>1</v>
      </c>
      <c r="H1017" s="269">
        <v>0.7</v>
      </c>
      <c r="I1017" s="248" t="s">
        <v>100</v>
      </c>
      <c r="J1017" s="248">
        <v>3.4</v>
      </c>
      <c r="K1017" s="122"/>
    </row>
    <row r="1018" ht="12" spans="1:14">
      <c r="A1018" s="95"/>
      <c r="B1018" s="122"/>
      <c r="C1018" s="273"/>
      <c r="D1018" s="122"/>
      <c r="E1018" s="122"/>
      <c r="F1018" s="122" t="s">
        <v>503</v>
      </c>
      <c r="G1018" s="248">
        <v>1.99</v>
      </c>
      <c r="H1018" s="269">
        <v>0.5</v>
      </c>
      <c r="I1018" s="248" t="s">
        <v>24</v>
      </c>
      <c r="J1018" s="248" t="s">
        <v>24</v>
      </c>
      <c r="K1018" s="122"/>
    </row>
    <row r="1019" ht="12" spans="1:14">
      <c r="A1019" s="267">
        <v>46003</v>
      </c>
      <c r="B1019" s="122" t="s">
        <v>2612</v>
      </c>
      <c r="C1019" s="248">
        <v>18.8</v>
      </c>
      <c r="D1019" s="122" t="s">
        <v>521</v>
      </c>
      <c r="E1019" s="122" t="s">
        <v>492</v>
      </c>
      <c r="F1019" s="122" t="s">
        <v>1058</v>
      </c>
      <c r="G1019" s="248">
        <v>1.01</v>
      </c>
      <c r="H1019" s="248">
        <v>6</v>
      </c>
      <c r="I1019" s="248" t="s">
        <v>17</v>
      </c>
      <c r="J1019" s="248">
        <v>1.77</v>
      </c>
      <c r="K1019" s="122" t="s">
        <v>86</v>
      </c>
    </row>
    <row r="1020" ht="12" spans="1:14">
      <c r="A1020" s="267"/>
      <c r="B1020" s="122"/>
      <c r="C1020" s="248"/>
      <c r="D1020" s="122"/>
      <c r="E1020" s="122"/>
      <c r="F1020" s="122" t="s">
        <v>1059</v>
      </c>
      <c r="G1020" s="248">
        <v>1.01</v>
      </c>
      <c r="H1020" s="248">
        <v>11.6</v>
      </c>
      <c r="I1020" s="248" t="s">
        <v>17</v>
      </c>
      <c r="J1020" s="248">
        <v>1.77</v>
      </c>
      <c r="K1020" s="122"/>
    </row>
    <row r="1021" ht="12" spans="1:14">
      <c r="A1021" s="267"/>
      <c r="B1021" s="122"/>
      <c r="C1021" s="248"/>
      <c r="D1021" s="122"/>
      <c r="E1021" s="122"/>
      <c r="F1021" s="122" t="s">
        <v>1060</v>
      </c>
      <c r="G1021" s="248">
        <v>1.01</v>
      </c>
      <c r="H1021" s="248">
        <v>1.2</v>
      </c>
      <c r="I1021" s="248" t="s">
        <v>22</v>
      </c>
      <c r="J1021" s="248">
        <v>1.85</v>
      </c>
      <c r="K1021" s="122"/>
    </row>
    <row r="1022" ht="12" spans="1:14">
      <c r="A1022" s="267">
        <v>46001</v>
      </c>
      <c r="B1022" s="122" t="s">
        <v>2613</v>
      </c>
      <c r="C1022" s="248">
        <v>10</v>
      </c>
      <c r="D1022" s="122" t="s">
        <v>481</v>
      </c>
      <c r="E1022" s="122" t="s">
        <v>477</v>
      </c>
      <c r="F1022" s="122" t="s">
        <v>1064</v>
      </c>
      <c r="G1022" s="248">
        <v>0.93</v>
      </c>
      <c r="H1022" s="248">
        <v>9</v>
      </c>
      <c r="I1022" s="248" t="s">
        <v>17</v>
      </c>
      <c r="J1022" s="248">
        <v>1.78</v>
      </c>
      <c r="K1022" s="122" t="s">
        <v>74</v>
      </c>
    </row>
    <row r="1023" ht="12" spans="1:14">
      <c r="A1023" s="267"/>
      <c r="B1023" s="122"/>
      <c r="C1023" s="248"/>
      <c r="D1023" s="122"/>
      <c r="E1023" s="122"/>
      <c r="F1023" s="122" t="s">
        <v>1060</v>
      </c>
      <c r="G1023" s="248">
        <v>1.19</v>
      </c>
      <c r="H1023" s="248">
        <v>0.3</v>
      </c>
      <c r="I1023" s="248" t="s">
        <v>22</v>
      </c>
      <c r="J1023" s="248">
        <v>1.9</v>
      </c>
      <c r="K1023" s="122"/>
    </row>
    <row r="1024" ht="12" spans="1:14">
      <c r="A1024" s="267"/>
      <c r="B1024" s="122"/>
      <c r="C1024" s="248"/>
      <c r="D1024" s="122"/>
      <c r="E1024" s="122"/>
      <c r="F1024" s="122" t="s">
        <v>503</v>
      </c>
      <c r="G1024" s="248">
        <v>1.67</v>
      </c>
      <c r="H1024" s="248">
        <v>0.7</v>
      </c>
      <c r="I1024" s="248" t="s">
        <v>24</v>
      </c>
      <c r="J1024" s="248" t="s">
        <v>24</v>
      </c>
      <c r="K1024" s="122"/>
    </row>
    <row r="1025" ht="12" spans="1:11">
      <c r="A1025" s="205" t="s">
        <v>2020</v>
      </c>
      <c r="B1025" s="148" t="s">
        <v>2614</v>
      </c>
      <c r="C1025" s="109">
        <v>9.4</v>
      </c>
      <c r="D1025" s="148" t="s">
        <v>521</v>
      </c>
      <c r="E1025" s="205" t="s">
        <v>492</v>
      </c>
      <c r="F1025" s="103" t="s">
        <v>1121</v>
      </c>
      <c r="G1025" s="193">
        <v>1</v>
      </c>
      <c r="H1025" s="193">
        <v>3</v>
      </c>
      <c r="I1025" s="248" t="s">
        <v>17</v>
      </c>
      <c r="J1025" s="274" t="s">
        <v>2020</v>
      </c>
      <c r="K1025" s="205" t="s">
        <v>86</v>
      </c>
    </row>
    <row r="1026" ht="12" spans="1:11">
      <c r="A1026" s="205"/>
      <c r="B1026" s="54"/>
      <c r="C1026" s="109"/>
      <c r="D1026" s="148"/>
      <c r="E1026" s="205"/>
      <c r="F1026" s="103" t="s">
        <v>1122</v>
      </c>
      <c r="G1026" s="193">
        <v>1</v>
      </c>
      <c r="H1026" s="193">
        <v>5.8</v>
      </c>
      <c r="I1026" s="248" t="s">
        <v>17</v>
      </c>
      <c r="J1026" s="274" t="s">
        <v>2020</v>
      </c>
      <c r="K1026" s="205"/>
    </row>
    <row r="1027" ht="12" spans="1:11">
      <c r="A1027" s="205"/>
      <c r="B1027" s="54"/>
      <c r="C1027" s="109"/>
      <c r="D1027" s="148"/>
      <c r="E1027" s="205"/>
      <c r="F1027" s="103" t="s">
        <v>1048</v>
      </c>
      <c r="G1027" s="193">
        <v>1</v>
      </c>
      <c r="H1027" s="193">
        <v>0.6</v>
      </c>
      <c r="I1027" s="248" t="s">
        <v>22</v>
      </c>
      <c r="J1027" s="274" t="s">
        <v>2020</v>
      </c>
      <c r="K1027" s="205"/>
    </row>
    <row r="1028" ht="12.75" customHeight="1" spans="1:11">
      <c r="A1028" s="116" t="s">
        <v>1718</v>
      </c>
      <c r="B1028" s="253" t="s">
        <v>2615</v>
      </c>
      <c r="C1028" s="114">
        <v>10</v>
      </c>
      <c r="D1028" s="165" t="s">
        <v>492</v>
      </c>
      <c r="E1028" s="165" t="s">
        <v>536</v>
      </c>
      <c r="F1028" s="95" t="s">
        <v>1064</v>
      </c>
      <c r="G1028" s="215">
        <v>0.91</v>
      </c>
      <c r="H1028" s="215">
        <v>9</v>
      </c>
      <c r="I1028" s="248" t="s">
        <v>17</v>
      </c>
      <c r="J1028" s="193">
        <v>1.76</v>
      </c>
      <c r="K1028" s="165" t="s">
        <v>74</v>
      </c>
    </row>
    <row r="1029" ht="12" spans="1:11">
      <c r="A1029" s="140"/>
      <c r="B1029" s="87"/>
      <c r="C1029" s="152"/>
      <c r="D1029" s="259"/>
      <c r="E1029" s="259"/>
      <c r="F1029" s="95" t="s">
        <v>1060</v>
      </c>
      <c r="G1029" s="215">
        <v>1.18</v>
      </c>
      <c r="H1029" s="215">
        <v>0.3</v>
      </c>
      <c r="I1029" s="248" t="s">
        <v>22</v>
      </c>
      <c r="J1029" s="193">
        <v>1.9</v>
      </c>
      <c r="K1029" s="259"/>
    </row>
    <row r="1030" ht="12" spans="1:11">
      <c r="A1030" s="143"/>
      <c r="B1030" s="83"/>
      <c r="C1030" s="151"/>
      <c r="D1030" s="261"/>
      <c r="E1030" s="261"/>
      <c r="F1030" s="95" t="s">
        <v>1083</v>
      </c>
      <c r="G1030" s="215">
        <v>1.66</v>
      </c>
      <c r="H1030" s="215">
        <v>0.7</v>
      </c>
      <c r="I1030" s="248" t="s">
        <v>24</v>
      </c>
      <c r="J1030" s="215" t="s">
        <v>24</v>
      </c>
      <c r="K1030" s="261"/>
    </row>
    <row r="1031" ht="12" spans="1:11">
      <c r="A1031" s="116" t="s">
        <v>1716</v>
      </c>
      <c r="B1031" s="253" t="s">
        <v>2616</v>
      </c>
      <c r="C1031" s="114">
        <v>7.8</v>
      </c>
      <c r="D1031" s="165" t="s">
        <v>486</v>
      </c>
      <c r="E1031" s="165" t="s">
        <v>486</v>
      </c>
      <c r="F1031" s="103" t="s">
        <v>1121</v>
      </c>
      <c r="G1031" s="215">
        <v>0.76</v>
      </c>
      <c r="H1031" s="215">
        <v>2.34</v>
      </c>
      <c r="I1031" s="248" t="s">
        <v>17</v>
      </c>
      <c r="J1031" s="215">
        <v>2.3</v>
      </c>
      <c r="K1031" s="165" t="s">
        <v>1082</v>
      </c>
    </row>
    <row r="1032" ht="12" spans="1:11">
      <c r="A1032" s="140"/>
      <c r="B1032" s="87"/>
      <c r="C1032" s="152"/>
      <c r="D1032" s="259"/>
      <c r="E1032" s="259"/>
      <c r="F1032" s="103" t="s">
        <v>1122</v>
      </c>
      <c r="G1032" s="215">
        <v>1.59</v>
      </c>
      <c r="H1032" s="215">
        <v>3.12</v>
      </c>
      <c r="I1032" s="248" t="s">
        <v>17</v>
      </c>
      <c r="J1032" s="215">
        <v>2.7</v>
      </c>
      <c r="K1032" s="259"/>
    </row>
    <row r="1033" ht="12" spans="1:11">
      <c r="A1033" s="140"/>
      <c r="B1033" s="87"/>
      <c r="C1033" s="152"/>
      <c r="D1033" s="259"/>
      <c r="E1033" s="259"/>
      <c r="F1033" s="103" t="s">
        <v>1141</v>
      </c>
      <c r="G1033" s="215">
        <v>2.76</v>
      </c>
      <c r="H1033" s="275">
        <v>2.223</v>
      </c>
      <c r="I1033" s="248" t="s">
        <v>17</v>
      </c>
      <c r="J1033" s="215">
        <v>3.6</v>
      </c>
      <c r="K1033" s="259"/>
    </row>
    <row r="1034" ht="12" spans="1:11">
      <c r="A1034" s="143"/>
      <c r="B1034" s="83"/>
      <c r="C1034" s="151"/>
      <c r="D1034" s="261"/>
      <c r="E1034" s="261"/>
      <c r="F1034" s="103" t="s">
        <v>1051</v>
      </c>
      <c r="G1034" s="215">
        <v>3.25</v>
      </c>
      <c r="H1034" s="275">
        <v>0.117</v>
      </c>
      <c r="I1034" s="103" t="s">
        <v>24</v>
      </c>
      <c r="J1034" s="215" t="s">
        <v>24</v>
      </c>
      <c r="K1034" s="261"/>
    </row>
    <row r="1035" ht="12" spans="1:11">
      <c r="A1035" s="116" t="s">
        <v>1716</v>
      </c>
      <c r="B1035" s="253" t="s">
        <v>2617</v>
      </c>
      <c r="C1035" s="114">
        <v>2.5</v>
      </c>
      <c r="D1035" s="165" t="s">
        <v>486</v>
      </c>
      <c r="E1035" s="165" t="s">
        <v>486</v>
      </c>
      <c r="F1035" s="103" t="s">
        <v>1047</v>
      </c>
      <c r="G1035" s="215">
        <v>1.86</v>
      </c>
      <c r="H1035" s="215">
        <v>2.1</v>
      </c>
      <c r="I1035" s="248" t="s">
        <v>17</v>
      </c>
      <c r="J1035" s="215">
        <v>2.34</v>
      </c>
      <c r="K1035" s="165" t="s">
        <v>70</v>
      </c>
    </row>
    <row r="1036" ht="12" spans="1:11">
      <c r="A1036" s="140"/>
      <c r="B1036" s="87"/>
      <c r="C1036" s="152"/>
      <c r="D1036" s="259"/>
      <c r="E1036" s="259"/>
      <c r="F1036" s="103" t="s">
        <v>1048</v>
      </c>
      <c r="G1036" s="215">
        <v>1.94</v>
      </c>
      <c r="H1036" s="215">
        <v>0.1</v>
      </c>
      <c r="I1036" s="248" t="s">
        <v>22</v>
      </c>
      <c r="J1036" s="215">
        <v>2.9</v>
      </c>
      <c r="K1036" s="259"/>
    </row>
    <row r="1037" ht="12" spans="1:11">
      <c r="A1037" s="143"/>
      <c r="B1037" s="83"/>
      <c r="C1037" s="151"/>
      <c r="D1037" s="261"/>
      <c r="E1037" s="261"/>
      <c r="F1037" s="103" t="s">
        <v>1051</v>
      </c>
      <c r="G1037" s="215">
        <v>2.69</v>
      </c>
      <c r="H1037" s="215">
        <v>0.3</v>
      </c>
      <c r="I1037" s="248" t="s">
        <v>24</v>
      </c>
      <c r="J1037" s="215" t="s">
        <v>24</v>
      </c>
      <c r="K1037" s="261"/>
    </row>
    <row r="1038" ht="12" spans="1:11">
      <c r="A1038" s="116" t="s">
        <v>1716</v>
      </c>
      <c r="B1038" s="253" t="s">
        <v>2611</v>
      </c>
      <c r="C1038" s="114">
        <v>10</v>
      </c>
      <c r="D1038" s="165" t="s">
        <v>477</v>
      </c>
      <c r="E1038" s="165" t="s">
        <v>477</v>
      </c>
      <c r="F1038" s="103" t="s">
        <v>1047</v>
      </c>
      <c r="G1038" s="215">
        <v>0.99</v>
      </c>
      <c r="H1038" s="215">
        <v>8.3</v>
      </c>
      <c r="I1038" s="248" t="s">
        <v>17</v>
      </c>
      <c r="J1038" s="215">
        <v>1.87</v>
      </c>
      <c r="K1038" s="165" t="s">
        <v>35</v>
      </c>
    </row>
    <row r="1039" ht="12" spans="1:11">
      <c r="A1039" s="140"/>
      <c r="B1039" s="87"/>
      <c r="C1039" s="152"/>
      <c r="D1039" s="259"/>
      <c r="E1039" s="259"/>
      <c r="F1039" s="103" t="s">
        <v>1048</v>
      </c>
      <c r="G1039" s="215">
        <v>0.99</v>
      </c>
      <c r="H1039" s="215">
        <v>0.5</v>
      </c>
      <c r="I1039" s="248" t="s">
        <v>22</v>
      </c>
      <c r="J1039" s="215">
        <v>1.97</v>
      </c>
      <c r="K1039" s="259"/>
    </row>
    <row r="1040" ht="12" spans="1:11">
      <c r="A1040" s="140"/>
      <c r="B1040" s="87"/>
      <c r="C1040" s="152"/>
      <c r="D1040" s="259"/>
      <c r="E1040" s="259"/>
      <c r="F1040" s="103" t="s">
        <v>1055</v>
      </c>
      <c r="G1040" s="215">
        <v>0.99</v>
      </c>
      <c r="H1040" s="215">
        <v>0.7</v>
      </c>
      <c r="I1040" s="103" t="s">
        <v>100</v>
      </c>
      <c r="J1040" s="215">
        <v>3.4</v>
      </c>
      <c r="K1040" s="259"/>
    </row>
    <row r="1041" ht="12" spans="1:11">
      <c r="A1041" s="143"/>
      <c r="B1041" s="83"/>
      <c r="C1041" s="151"/>
      <c r="D1041" s="261"/>
      <c r="E1041" s="261"/>
      <c r="F1041" s="103" t="s">
        <v>1051</v>
      </c>
      <c r="G1041" s="215">
        <v>1.99</v>
      </c>
      <c r="H1041" s="215">
        <v>0.5</v>
      </c>
      <c r="I1041" s="103" t="s">
        <v>24</v>
      </c>
      <c r="J1041" s="215" t="s">
        <v>24</v>
      </c>
      <c r="K1041" s="261"/>
    </row>
    <row r="1042" ht="12" spans="1:11">
      <c r="A1042" s="116" t="s">
        <v>1718</v>
      </c>
      <c r="B1042" s="253" t="s">
        <v>2618</v>
      </c>
      <c r="C1042" s="114">
        <v>10</v>
      </c>
      <c r="D1042" s="165" t="s">
        <v>486</v>
      </c>
      <c r="E1042" s="165" t="s">
        <v>486</v>
      </c>
      <c r="F1042" s="103" t="s">
        <v>1047</v>
      </c>
      <c r="G1042" s="215">
        <v>1.84</v>
      </c>
      <c r="H1042" s="215">
        <v>8.4</v>
      </c>
      <c r="I1042" s="248" t="s">
        <v>17</v>
      </c>
      <c r="J1042" s="215">
        <v>1.8</v>
      </c>
      <c r="K1042" s="165" t="s">
        <v>18</v>
      </c>
    </row>
    <row r="1043" ht="12" spans="1:11">
      <c r="A1043" s="140"/>
      <c r="B1043" s="87"/>
      <c r="C1043" s="152"/>
      <c r="D1043" s="259"/>
      <c r="E1043" s="259"/>
      <c r="F1043" s="103" t="s">
        <v>1048</v>
      </c>
      <c r="G1043" s="215">
        <v>1.92</v>
      </c>
      <c r="H1043" s="215">
        <v>0.5</v>
      </c>
      <c r="I1043" s="248" t="s">
        <v>22</v>
      </c>
      <c r="J1043" s="215">
        <v>1.95</v>
      </c>
      <c r="K1043" s="259"/>
    </row>
    <row r="1044" ht="12" spans="1:11">
      <c r="A1044" s="140"/>
      <c r="B1044" s="87"/>
      <c r="C1044" s="152"/>
      <c r="D1044" s="259"/>
      <c r="E1044" s="259"/>
      <c r="F1044" s="103" t="s">
        <v>1050</v>
      </c>
      <c r="G1044" s="215">
        <v>2.01</v>
      </c>
      <c r="H1044" s="215">
        <v>0.3</v>
      </c>
      <c r="I1044" s="103" t="s">
        <v>44</v>
      </c>
      <c r="J1044" s="215">
        <v>2.05</v>
      </c>
      <c r="K1044" s="259"/>
    </row>
    <row r="1045" ht="12" spans="1:11">
      <c r="A1045" s="143"/>
      <c r="B1045" s="83"/>
      <c r="C1045" s="151"/>
      <c r="D1045" s="261"/>
      <c r="E1045" s="261"/>
      <c r="F1045" s="103" t="s">
        <v>1051</v>
      </c>
      <c r="G1045" s="215">
        <v>2.67</v>
      </c>
      <c r="H1045" s="215">
        <v>0.8</v>
      </c>
      <c r="I1045" s="103" t="s">
        <v>24</v>
      </c>
      <c r="J1045" s="215" t="s">
        <v>24</v>
      </c>
      <c r="K1045" s="261"/>
    </row>
    <row r="1046" ht="13.05" customHeight="1" spans="1:11">
      <c r="A1046" s="116" t="s">
        <v>2619</v>
      </c>
      <c r="B1046" s="253" t="s">
        <v>2620</v>
      </c>
      <c r="C1046" s="114">
        <v>2</v>
      </c>
      <c r="D1046" s="165" t="s">
        <v>477</v>
      </c>
      <c r="E1046" s="165" t="s">
        <v>486</v>
      </c>
      <c r="F1046" s="103" t="s">
        <v>1047</v>
      </c>
      <c r="G1046" s="215">
        <v>1.25</v>
      </c>
      <c r="H1046" s="215">
        <v>1.68</v>
      </c>
      <c r="I1046" s="248" t="s">
        <v>17</v>
      </c>
      <c r="J1046" s="215">
        <v>2.3</v>
      </c>
      <c r="K1046" s="165" t="s">
        <v>233</v>
      </c>
    </row>
    <row r="1047" ht="12" spans="1:11">
      <c r="A1047" s="140"/>
      <c r="B1047" s="87"/>
      <c r="C1047" s="152"/>
      <c r="D1047" s="259"/>
      <c r="E1047" s="259"/>
      <c r="F1047" s="103" t="s">
        <v>1048</v>
      </c>
      <c r="G1047" s="215">
        <v>1.34</v>
      </c>
      <c r="H1047" s="215">
        <v>0.08</v>
      </c>
      <c r="I1047" s="248" t="s">
        <v>22</v>
      </c>
      <c r="J1047" s="215">
        <v>2.8</v>
      </c>
      <c r="K1047" s="259"/>
    </row>
    <row r="1048" ht="12" spans="1:11">
      <c r="A1048" s="143"/>
      <c r="B1048" s="83"/>
      <c r="C1048" s="151"/>
      <c r="D1048" s="261"/>
      <c r="E1048" s="261"/>
      <c r="F1048" s="103" t="s">
        <v>1051</v>
      </c>
      <c r="G1048" s="215">
        <v>2.42</v>
      </c>
      <c r="H1048" s="215">
        <v>0.24</v>
      </c>
      <c r="I1048" s="248" t="s">
        <v>24</v>
      </c>
      <c r="J1048" s="215" t="s">
        <v>24</v>
      </c>
      <c r="K1048" s="261"/>
    </row>
    <row r="1049" ht="12" spans="1:11">
      <c r="A1049" s="116" t="s">
        <v>1710</v>
      </c>
      <c r="B1049" s="253" t="s">
        <v>2621</v>
      </c>
      <c r="C1049" s="114">
        <v>3</v>
      </c>
      <c r="D1049" s="165" t="s">
        <v>536</v>
      </c>
      <c r="E1049" s="165" t="s">
        <v>536</v>
      </c>
      <c r="F1049" s="103" t="s">
        <v>1047</v>
      </c>
      <c r="G1049" s="215">
        <v>1.02</v>
      </c>
      <c r="H1049" s="215">
        <v>2.64</v>
      </c>
      <c r="I1049" s="248" t="s">
        <v>17</v>
      </c>
      <c r="J1049" s="215">
        <v>1.77</v>
      </c>
      <c r="K1049" s="165" t="s">
        <v>27</v>
      </c>
    </row>
    <row r="1050" ht="12" spans="1:11">
      <c r="A1050" s="140"/>
      <c r="B1050" s="87"/>
      <c r="C1050" s="152"/>
      <c r="D1050" s="259"/>
      <c r="E1050" s="259"/>
      <c r="F1050" s="103" t="s">
        <v>1048</v>
      </c>
      <c r="G1050" s="215">
        <v>1.02</v>
      </c>
      <c r="H1050" s="215">
        <v>0.14</v>
      </c>
      <c r="I1050" s="103" t="s">
        <v>22</v>
      </c>
      <c r="J1050" s="215">
        <v>1.82</v>
      </c>
      <c r="K1050" s="259"/>
    </row>
    <row r="1051" ht="12" spans="1:11">
      <c r="A1051" s="140"/>
      <c r="B1051" s="87"/>
      <c r="C1051" s="152"/>
      <c r="D1051" s="259"/>
      <c r="E1051" s="259"/>
      <c r="F1051" s="103" t="s">
        <v>1055</v>
      </c>
      <c r="G1051" s="215">
        <v>1.11</v>
      </c>
      <c r="H1051" s="215">
        <v>0.07</v>
      </c>
      <c r="I1051" s="103" t="s">
        <v>22</v>
      </c>
      <c r="J1051" s="215">
        <v>3</v>
      </c>
      <c r="K1051" s="259"/>
    </row>
    <row r="1052" ht="12" spans="1:11">
      <c r="A1052" s="143"/>
      <c r="B1052" s="83"/>
      <c r="C1052" s="151"/>
      <c r="D1052" s="261"/>
      <c r="E1052" s="261"/>
      <c r="F1052" s="103" t="s">
        <v>1051</v>
      </c>
      <c r="G1052" s="215">
        <v>1.11</v>
      </c>
      <c r="H1052" s="215">
        <v>0.15</v>
      </c>
      <c r="I1052" s="103" t="s">
        <v>24</v>
      </c>
      <c r="J1052" s="215" t="s">
        <v>24</v>
      </c>
      <c r="K1052" s="261"/>
    </row>
    <row r="1053" ht="12" spans="1:11">
      <c r="A1053" s="54" t="s">
        <v>1733</v>
      </c>
      <c r="B1053" s="148" t="s">
        <v>2622</v>
      </c>
      <c r="C1053" s="55">
        <v>3</v>
      </c>
      <c r="D1053" s="148" t="s">
        <v>477</v>
      </c>
      <c r="E1053" s="148" t="s">
        <v>477</v>
      </c>
      <c r="F1053" s="256" t="s">
        <v>1047</v>
      </c>
      <c r="G1053" s="250">
        <v>1.04</v>
      </c>
      <c r="H1053" s="250">
        <v>2.64</v>
      </c>
      <c r="I1053" s="248" t="s">
        <v>17</v>
      </c>
      <c r="J1053" s="250">
        <v>1.8</v>
      </c>
      <c r="K1053" s="148" t="s">
        <v>27</v>
      </c>
    </row>
    <row r="1054" ht="12" spans="1:11">
      <c r="A1054" s="54"/>
      <c r="B1054" s="54"/>
      <c r="C1054" s="55"/>
      <c r="D1054" s="54"/>
      <c r="E1054" s="54"/>
      <c r="F1054" s="256" t="s">
        <v>1048</v>
      </c>
      <c r="G1054" s="250">
        <v>1.04</v>
      </c>
      <c r="H1054" s="250">
        <v>0.18</v>
      </c>
      <c r="I1054" s="50" t="s">
        <v>22</v>
      </c>
      <c r="J1054" s="250">
        <v>1.82</v>
      </c>
      <c r="K1054" s="148"/>
    </row>
    <row r="1055" ht="12" spans="1:11">
      <c r="A1055" s="54"/>
      <c r="B1055" s="54"/>
      <c r="C1055" s="55"/>
      <c r="D1055" s="54"/>
      <c r="E1055" s="54"/>
      <c r="F1055" s="256" t="s">
        <v>509</v>
      </c>
      <c r="G1055" s="250">
        <v>1.14</v>
      </c>
      <c r="H1055" s="250">
        <v>0.03</v>
      </c>
      <c r="I1055" s="50" t="s">
        <v>136</v>
      </c>
      <c r="J1055" s="250">
        <v>3</v>
      </c>
      <c r="K1055" s="148"/>
    </row>
    <row r="1056" ht="12" spans="1:11">
      <c r="A1056" s="54"/>
      <c r="B1056" s="54"/>
      <c r="C1056" s="55"/>
      <c r="D1056" s="54"/>
      <c r="E1056" s="54"/>
      <c r="F1056" s="256" t="s">
        <v>503</v>
      </c>
      <c r="G1056" s="250">
        <v>1.14</v>
      </c>
      <c r="H1056" s="250">
        <v>0.15</v>
      </c>
      <c r="I1056" s="50" t="s">
        <v>24</v>
      </c>
      <c r="J1056" s="250" t="s">
        <v>24</v>
      </c>
      <c r="K1056" s="148"/>
    </row>
    <row r="1057" ht="12" spans="1:11">
      <c r="A1057" s="54" t="s">
        <v>1730</v>
      </c>
      <c r="B1057" s="148" t="s">
        <v>2623</v>
      </c>
      <c r="C1057" s="55">
        <v>5.64</v>
      </c>
      <c r="D1057" s="148" t="s">
        <v>486</v>
      </c>
      <c r="E1057" s="148" t="s">
        <v>492</v>
      </c>
      <c r="F1057" s="256" t="s">
        <v>1047</v>
      </c>
      <c r="G1057" s="250">
        <v>1</v>
      </c>
      <c r="H1057" s="250">
        <v>5.28</v>
      </c>
      <c r="I1057" s="248" t="s">
        <v>17</v>
      </c>
      <c r="J1057" s="250">
        <v>1.77</v>
      </c>
      <c r="K1057" s="245" t="s">
        <v>86</v>
      </c>
    </row>
    <row r="1058" ht="12" spans="1:11">
      <c r="A1058" s="54"/>
      <c r="B1058" s="54"/>
      <c r="C1058" s="55"/>
      <c r="D1058" s="54"/>
      <c r="E1058" s="54"/>
      <c r="F1058" s="256" t="s">
        <v>1048</v>
      </c>
      <c r="G1058" s="250">
        <v>1</v>
      </c>
      <c r="H1058" s="250">
        <v>0.36</v>
      </c>
      <c r="I1058" s="50" t="s">
        <v>22</v>
      </c>
      <c r="J1058" s="250">
        <v>1.88</v>
      </c>
      <c r="K1058" s="245"/>
    </row>
    <row r="1059" ht="12" spans="1:11">
      <c r="A1059" s="54" t="s">
        <v>1730</v>
      </c>
      <c r="B1059" s="148" t="s">
        <v>2624</v>
      </c>
      <c r="C1059" s="55">
        <v>5.64</v>
      </c>
      <c r="D1059" s="148" t="s">
        <v>492</v>
      </c>
      <c r="E1059" s="148" t="s">
        <v>486</v>
      </c>
      <c r="F1059" s="256" t="s">
        <v>1047</v>
      </c>
      <c r="G1059" s="250">
        <v>1</v>
      </c>
      <c r="H1059" s="250">
        <v>5.28</v>
      </c>
      <c r="I1059" s="248" t="s">
        <v>17</v>
      </c>
      <c r="J1059" s="250">
        <v>1.77</v>
      </c>
      <c r="K1059" s="148" t="s">
        <v>86</v>
      </c>
    </row>
    <row r="1060" ht="12" spans="1:11">
      <c r="A1060" s="54"/>
      <c r="B1060" s="54"/>
      <c r="C1060" s="55"/>
      <c r="D1060" s="54"/>
      <c r="E1060" s="54"/>
      <c r="F1060" s="256" t="s">
        <v>1048</v>
      </c>
      <c r="G1060" s="250">
        <v>1</v>
      </c>
      <c r="H1060" s="250">
        <v>0.36</v>
      </c>
      <c r="I1060" s="50" t="s">
        <v>22</v>
      </c>
      <c r="J1060" s="250">
        <v>1.88</v>
      </c>
      <c r="K1060" s="148"/>
    </row>
    <row r="1061" ht="12" spans="1:11">
      <c r="A1061" s="54" t="s">
        <v>1728</v>
      </c>
      <c r="B1061" s="148" t="s">
        <v>2625</v>
      </c>
      <c r="C1061" s="55">
        <v>10</v>
      </c>
      <c r="D1061" s="148" t="s">
        <v>484</v>
      </c>
      <c r="E1061" s="148" t="s">
        <v>484</v>
      </c>
      <c r="F1061" s="122" t="s">
        <v>531</v>
      </c>
      <c r="G1061" s="250">
        <v>1.92</v>
      </c>
      <c r="H1061" s="250">
        <v>8.9</v>
      </c>
      <c r="I1061" s="248" t="s">
        <v>17</v>
      </c>
      <c r="J1061" s="250">
        <v>1.9</v>
      </c>
      <c r="K1061" s="245" t="s">
        <v>129</v>
      </c>
    </row>
    <row r="1062" ht="12" spans="1:11">
      <c r="A1062" s="54"/>
      <c r="B1062" s="54"/>
      <c r="C1062" s="55"/>
      <c r="D1062" s="54"/>
      <c r="E1062" s="54"/>
      <c r="F1062" s="122" t="s">
        <v>539</v>
      </c>
      <c r="G1062" s="250">
        <v>2</v>
      </c>
      <c r="H1062" s="250">
        <v>0.4</v>
      </c>
      <c r="I1062" s="50" t="s">
        <v>22</v>
      </c>
      <c r="J1062" s="250">
        <v>2.05</v>
      </c>
      <c r="K1062" s="247"/>
    </row>
    <row r="1063" ht="12" spans="1:11">
      <c r="A1063" s="54"/>
      <c r="B1063" s="54"/>
      <c r="C1063" s="55"/>
      <c r="D1063" s="54"/>
      <c r="E1063" s="54"/>
      <c r="F1063" s="122" t="s">
        <v>503</v>
      </c>
      <c r="G1063" s="250">
        <v>2.67</v>
      </c>
      <c r="H1063" s="250">
        <v>0.7</v>
      </c>
      <c r="I1063" s="50" t="s">
        <v>24</v>
      </c>
      <c r="J1063" s="250" t="s">
        <v>24</v>
      </c>
      <c r="K1063" s="247"/>
    </row>
    <row r="1064" ht="12" spans="1:11">
      <c r="A1064" s="54" t="s">
        <v>2626</v>
      </c>
      <c r="B1064" s="148" t="s">
        <v>2627</v>
      </c>
      <c r="C1064" s="55">
        <v>10</v>
      </c>
      <c r="D1064" s="148" t="s">
        <v>484</v>
      </c>
      <c r="E1064" s="148" t="s">
        <v>1066</v>
      </c>
      <c r="F1064" s="122" t="s">
        <v>531</v>
      </c>
      <c r="G1064" s="250">
        <v>1.92</v>
      </c>
      <c r="H1064" s="250">
        <v>8.9</v>
      </c>
      <c r="I1064" s="248" t="s">
        <v>17</v>
      </c>
      <c r="J1064" s="250">
        <v>1.9</v>
      </c>
      <c r="K1064" s="148" t="s">
        <v>129</v>
      </c>
    </row>
    <row r="1065" ht="12" spans="1:11">
      <c r="A1065" s="54"/>
      <c r="B1065" s="54"/>
      <c r="C1065" s="55"/>
      <c r="D1065" s="54"/>
      <c r="E1065" s="54"/>
      <c r="F1065" s="122" t="s">
        <v>539</v>
      </c>
      <c r="G1065" s="250">
        <v>2</v>
      </c>
      <c r="H1065" s="250">
        <v>0.4</v>
      </c>
      <c r="I1065" s="50" t="s">
        <v>22</v>
      </c>
      <c r="J1065" s="250">
        <v>2.05</v>
      </c>
      <c r="K1065" s="148"/>
    </row>
    <row r="1066" ht="12" spans="1:11">
      <c r="A1066" s="54"/>
      <c r="B1066" s="54"/>
      <c r="C1066" s="55"/>
      <c r="D1066" s="54"/>
      <c r="E1066" s="54"/>
      <c r="F1066" s="122" t="s">
        <v>503</v>
      </c>
      <c r="G1066" s="250">
        <v>2.67</v>
      </c>
      <c r="H1066" s="250">
        <v>0.7</v>
      </c>
      <c r="I1066" s="50" t="s">
        <v>24</v>
      </c>
      <c r="J1066" s="50" t="s">
        <v>24</v>
      </c>
      <c r="K1066" s="148"/>
    </row>
    <row r="1067" ht="12" spans="1:11">
      <c r="A1067" s="54" t="s">
        <v>1722</v>
      </c>
      <c r="B1067" s="148" t="s">
        <v>2628</v>
      </c>
      <c r="C1067" s="55">
        <v>10</v>
      </c>
      <c r="D1067" s="148" t="s">
        <v>484</v>
      </c>
      <c r="E1067" s="148" t="s">
        <v>484</v>
      </c>
      <c r="F1067" s="122" t="s">
        <v>531</v>
      </c>
      <c r="G1067" s="250">
        <v>1</v>
      </c>
      <c r="H1067" s="250">
        <v>8.9</v>
      </c>
      <c r="I1067" s="248" t="s">
        <v>17</v>
      </c>
      <c r="J1067" s="250">
        <v>1.77</v>
      </c>
      <c r="K1067" s="148" t="s">
        <v>129</v>
      </c>
    </row>
    <row r="1068" ht="12" spans="1:11">
      <c r="A1068" s="54"/>
      <c r="B1068" s="54"/>
      <c r="C1068" s="55"/>
      <c r="D1068" s="54"/>
      <c r="E1068" s="54"/>
      <c r="F1068" s="122" t="s">
        <v>539</v>
      </c>
      <c r="G1068" s="250">
        <v>1.16</v>
      </c>
      <c r="H1068" s="250">
        <v>0.5</v>
      </c>
      <c r="I1068" s="50" t="s">
        <v>22</v>
      </c>
      <c r="J1068" s="250">
        <v>1.9</v>
      </c>
      <c r="K1068" s="148"/>
    </row>
    <row r="1069" ht="12" spans="1:11">
      <c r="A1069" s="54"/>
      <c r="B1069" s="54"/>
      <c r="C1069" s="55"/>
      <c r="D1069" s="54"/>
      <c r="E1069" s="54"/>
      <c r="F1069" s="122" t="s">
        <v>503</v>
      </c>
      <c r="G1069" s="250">
        <v>1.75</v>
      </c>
      <c r="H1069" s="250">
        <v>0.6</v>
      </c>
      <c r="I1069" s="50" t="s">
        <v>24</v>
      </c>
      <c r="J1069" s="50" t="s">
        <v>24</v>
      </c>
      <c r="K1069" s="148"/>
    </row>
    <row r="1070" ht="12" spans="1:11">
      <c r="A1070" s="276" t="s">
        <v>1733</v>
      </c>
      <c r="B1070" s="148" t="s">
        <v>2629</v>
      </c>
      <c r="C1070" s="55">
        <v>10</v>
      </c>
      <c r="D1070" s="148" t="s">
        <v>1066</v>
      </c>
      <c r="E1070" s="148" t="s">
        <v>1066</v>
      </c>
      <c r="F1070" s="122" t="s">
        <v>531</v>
      </c>
      <c r="G1070" s="250">
        <v>1.92</v>
      </c>
      <c r="H1070" s="250">
        <v>8.9</v>
      </c>
      <c r="I1070" s="50" t="s">
        <v>17</v>
      </c>
      <c r="J1070" s="250">
        <v>1.9</v>
      </c>
      <c r="K1070" s="148" t="s">
        <v>129</v>
      </c>
    </row>
    <row r="1071" ht="12" spans="1:11">
      <c r="A1071" s="54"/>
      <c r="B1071" s="54"/>
      <c r="C1071" s="55"/>
      <c r="D1071" s="54"/>
      <c r="E1071" s="54"/>
      <c r="F1071" s="122" t="s">
        <v>539</v>
      </c>
      <c r="G1071" s="250">
        <v>2</v>
      </c>
      <c r="H1071" s="250">
        <v>0.4</v>
      </c>
      <c r="I1071" s="50" t="s">
        <v>22</v>
      </c>
      <c r="J1071" s="250">
        <v>2.05</v>
      </c>
      <c r="K1071" s="148"/>
    </row>
    <row r="1072" ht="12" spans="1:11">
      <c r="A1072" s="54"/>
      <c r="B1072" s="54"/>
      <c r="C1072" s="55"/>
      <c r="D1072" s="54"/>
      <c r="E1072" s="54"/>
      <c r="F1072" s="122" t="s">
        <v>503</v>
      </c>
      <c r="G1072" s="250">
        <v>2.67</v>
      </c>
      <c r="H1072" s="250">
        <v>0.7</v>
      </c>
      <c r="I1072" s="50" t="s">
        <v>24</v>
      </c>
      <c r="J1072" s="50" t="s">
        <v>24</v>
      </c>
      <c r="K1072" s="148"/>
    </row>
    <row r="1073" ht="12" spans="1:12">
      <c r="A1073" s="276" t="s">
        <v>1733</v>
      </c>
      <c r="B1073" s="148" t="s">
        <v>2630</v>
      </c>
      <c r="C1073" s="55">
        <v>5</v>
      </c>
      <c r="D1073" s="148" t="s">
        <v>477</v>
      </c>
      <c r="E1073" s="148" t="s">
        <v>477</v>
      </c>
      <c r="F1073" s="122" t="s">
        <v>1047</v>
      </c>
      <c r="G1073" s="250">
        <v>0.99</v>
      </c>
      <c r="H1073" s="250">
        <v>4.15</v>
      </c>
      <c r="I1073" s="248" t="s">
        <v>17</v>
      </c>
      <c r="J1073" s="250">
        <v>1.9</v>
      </c>
      <c r="K1073" s="148" t="s">
        <v>35</v>
      </c>
    </row>
    <row r="1074" ht="12" spans="1:12">
      <c r="A1074" s="54"/>
      <c r="B1074" s="54"/>
      <c r="C1074" s="55"/>
      <c r="D1074" s="54"/>
      <c r="E1074" s="54"/>
      <c r="F1074" s="122" t="s">
        <v>1048</v>
      </c>
      <c r="G1074" s="250">
        <v>0.99</v>
      </c>
      <c r="H1074" s="250">
        <v>0.25</v>
      </c>
      <c r="I1074" s="50" t="s">
        <v>22</v>
      </c>
      <c r="J1074" s="250">
        <v>2.2</v>
      </c>
      <c r="K1074" s="148"/>
    </row>
    <row r="1075" ht="12" spans="1:12">
      <c r="A1075" s="54"/>
      <c r="B1075" s="54"/>
      <c r="C1075" s="55"/>
      <c r="D1075" s="54"/>
      <c r="E1075" s="54"/>
      <c r="F1075" s="122" t="s">
        <v>509</v>
      </c>
      <c r="G1075" s="250">
        <v>0.99</v>
      </c>
      <c r="H1075" s="250">
        <v>0.35</v>
      </c>
      <c r="I1075" s="50" t="s">
        <v>100</v>
      </c>
      <c r="J1075" s="50" t="s">
        <v>24</v>
      </c>
      <c r="K1075" s="148"/>
    </row>
    <row r="1076" ht="12" spans="1:12">
      <c r="A1076" s="54"/>
      <c r="B1076" s="54"/>
      <c r="C1076" s="55"/>
      <c r="D1076" s="54"/>
      <c r="E1076" s="54"/>
      <c r="F1076" s="122" t="s">
        <v>503</v>
      </c>
      <c r="G1076" s="250">
        <v>1.99</v>
      </c>
      <c r="H1076" s="250">
        <v>0.25</v>
      </c>
      <c r="I1076" s="248" t="s">
        <v>24</v>
      </c>
      <c r="J1076" s="50" t="s">
        <v>24</v>
      </c>
      <c r="K1076" s="148"/>
    </row>
    <row r="1077" ht="12" spans="1:12">
      <c r="A1077" s="276" t="s">
        <v>1733</v>
      </c>
      <c r="B1077" s="148" t="s">
        <v>2631</v>
      </c>
      <c r="C1077" s="55">
        <v>10</v>
      </c>
      <c r="D1077" s="148" t="s">
        <v>484</v>
      </c>
      <c r="E1077" s="148" t="s">
        <v>484</v>
      </c>
      <c r="F1077" s="122" t="s">
        <v>531</v>
      </c>
      <c r="G1077" s="250">
        <v>1</v>
      </c>
      <c r="H1077" s="250">
        <v>8.9</v>
      </c>
      <c r="I1077" s="50" t="s">
        <v>17</v>
      </c>
      <c r="J1077" s="250">
        <v>1.77</v>
      </c>
      <c r="K1077" s="148" t="s">
        <v>129</v>
      </c>
    </row>
    <row r="1078" ht="12" spans="1:12">
      <c r="A1078" s="54"/>
      <c r="B1078" s="54"/>
      <c r="C1078" s="55"/>
      <c r="D1078" s="54"/>
      <c r="E1078" s="54"/>
      <c r="F1078" s="122" t="s">
        <v>539</v>
      </c>
      <c r="G1078" s="250">
        <v>1.17</v>
      </c>
      <c r="H1078" s="250">
        <v>0.5</v>
      </c>
      <c r="I1078" s="50" t="s">
        <v>22</v>
      </c>
      <c r="J1078" s="250">
        <v>1.9</v>
      </c>
      <c r="K1078" s="148"/>
    </row>
    <row r="1079" ht="12" spans="1:12">
      <c r="A1079" s="54"/>
      <c r="B1079" s="54"/>
      <c r="C1079" s="55"/>
      <c r="D1079" s="54"/>
      <c r="E1079" s="54"/>
      <c r="F1079" s="122" t="s">
        <v>503</v>
      </c>
      <c r="G1079" s="250">
        <v>1.75</v>
      </c>
      <c r="H1079" s="250">
        <v>0.6</v>
      </c>
      <c r="I1079" s="50" t="s">
        <v>24</v>
      </c>
      <c r="J1079" s="50" t="s">
        <v>24</v>
      </c>
      <c r="K1079" s="148"/>
    </row>
    <row r="1080" ht="12" spans="1:12">
      <c r="A1080" s="277">
        <v>46022</v>
      </c>
      <c r="B1080" s="148" t="s">
        <v>2632</v>
      </c>
      <c r="C1080" s="55">
        <v>9.3</v>
      </c>
      <c r="D1080" s="148" t="s">
        <v>477</v>
      </c>
      <c r="E1080" s="148" t="s">
        <v>536</v>
      </c>
      <c r="F1080" s="122" t="s">
        <v>1047</v>
      </c>
      <c r="G1080" s="250">
        <v>0.92</v>
      </c>
      <c r="H1080" s="250">
        <v>9</v>
      </c>
      <c r="I1080" s="50" t="s">
        <v>17</v>
      </c>
      <c r="J1080" s="250">
        <v>1.8</v>
      </c>
      <c r="K1080" s="148" t="s">
        <v>35</v>
      </c>
    </row>
    <row r="1081" ht="12" spans="1:12">
      <c r="A1081" s="277"/>
      <c r="B1081" s="54"/>
      <c r="C1081" s="55"/>
      <c r="D1081" s="54"/>
      <c r="E1081" s="54"/>
      <c r="F1081" s="122" t="s">
        <v>1048</v>
      </c>
      <c r="G1081" s="250">
        <v>0.92</v>
      </c>
      <c r="H1081" s="250">
        <v>0.3</v>
      </c>
      <c r="I1081" s="50" t="s">
        <v>22</v>
      </c>
      <c r="J1081" s="250">
        <v>1.9</v>
      </c>
      <c r="K1081" s="148"/>
      <c r="L1081" s="124"/>
    </row>
    <row r="1082" customFormat="1" ht="14"/>
    <row r="1083" customFormat="1" ht="14"/>
    <row r="1084" customFormat="1" ht="14"/>
    <row r="1085" customFormat="1" ht="14"/>
    <row r="1086" customFormat="1" ht="14"/>
    <row r="1087" customFormat="1" ht="14"/>
    <row r="1088" customFormat="1" ht="14"/>
    <row r="1089" customFormat="1" ht="14"/>
    <row r="1090" customFormat="1" ht="14"/>
    <row r="1091" customFormat="1" ht="14"/>
    <row r="1092" customFormat="1" ht="14"/>
    <row r="1093" customFormat="1" ht="14"/>
  </sheetData>
  <autoFilter xmlns:etc="http://www.wps.cn/officeDocument/2017/etCustomData" ref="A1:N1081" etc:filterBottomFollowUsedRange="0">
    <extLst/>
  </autoFilter>
  <sortState ref="A278:K288">
    <sortCondition ref="A278:A288"/>
  </sortState>
  <mergeCells count="1998">
    <mergeCell ref="A2:A4"/>
    <mergeCell ref="A5:A8"/>
    <mergeCell ref="A9:A11"/>
    <mergeCell ref="A12:A15"/>
    <mergeCell ref="A16:A19"/>
    <mergeCell ref="A20:A24"/>
    <mergeCell ref="A25:A27"/>
    <mergeCell ref="A28:A30"/>
    <mergeCell ref="A31:A33"/>
    <mergeCell ref="A34:A37"/>
    <mergeCell ref="A38:A41"/>
    <mergeCell ref="A42:A45"/>
    <mergeCell ref="A46:A49"/>
    <mergeCell ref="A50:A53"/>
    <mergeCell ref="A54:A57"/>
    <mergeCell ref="A58:A60"/>
    <mergeCell ref="A61:A64"/>
    <mergeCell ref="A65:A68"/>
    <mergeCell ref="A69:A72"/>
    <mergeCell ref="A73:A76"/>
    <mergeCell ref="A77:A80"/>
    <mergeCell ref="A81:A84"/>
    <mergeCell ref="A85:A88"/>
    <mergeCell ref="A89:A91"/>
    <mergeCell ref="A92:A95"/>
    <mergeCell ref="A96:A99"/>
    <mergeCell ref="A100:A102"/>
    <mergeCell ref="A103:A106"/>
    <mergeCell ref="A107:A110"/>
    <mergeCell ref="A111:A114"/>
    <mergeCell ref="A115:A118"/>
    <mergeCell ref="A119:A122"/>
    <mergeCell ref="A123:A126"/>
    <mergeCell ref="A127:A130"/>
    <mergeCell ref="A131:A134"/>
    <mergeCell ref="A135:A138"/>
    <mergeCell ref="A139:A140"/>
    <mergeCell ref="A141:A144"/>
    <mergeCell ref="A145:A148"/>
    <mergeCell ref="A149:A151"/>
    <mergeCell ref="A152:A154"/>
    <mergeCell ref="A155:A156"/>
    <mergeCell ref="A157:A159"/>
    <mergeCell ref="A160:A163"/>
    <mergeCell ref="A164:A167"/>
    <mergeCell ref="A168:A170"/>
    <mergeCell ref="A171:A172"/>
    <mergeCell ref="A173:A176"/>
    <mergeCell ref="A177:A180"/>
    <mergeCell ref="A181:A184"/>
    <mergeCell ref="A185:A188"/>
    <mergeCell ref="A189:A191"/>
    <mergeCell ref="A192:A193"/>
    <mergeCell ref="A194:A197"/>
    <mergeCell ref="A198:A199"/>
    <mergeCell ref="A200:A201"/>
    <mergeCell ref="A202:A205"/>
    <mergeCell ref="A206:A207"/>
    <mergeCell ref="A208:A210"/>
    <mergeCell ref="A211:A213"/>
    <mergeCell ref="A214:A216"/>
    <mergeCell ref="A217:A219"/>
    <mergeCell ref="A220:A222"/>
    <mergeCell ref="A223:A226"/>
    <mergeCell ref="A227:A229"/>
    <mergeCell ref="A230:A232"/>
    <mergeCell ref="A233:A236"/>
    <mergeCell ref="A237:A238"/>
    <mergeCell ref="A239:A240"/>
    <mergeCell ref="A241:A243"/>
    <mergeCell ref="A244:A246"/>
    <mergeCell ref="A247:A250"/>
    <mergeCell ref="A251:A254"/>
    <mergeCell ref="A255:A256"/>
    <mergeCell ref="A257:A260"/>
    <mergeCell ref="A261:A264"/>
    <mergeCell ref="A265:A267"/>
    <mergeCell ref="A268:A270"/>
    <mergeCell ref="A271:A273"/>
    <mergeCell ref="A274:A277"/>
    <mergeCell ref="A278:A280"/>
    <mergeCell ref="A281:A284"/>
    <mergeCell ref="A285:A287"/>
    <mergeCell ref="A288:A290"/>
    <mergeCell ref="A291:A294"/>
    <mergeCell ref="A295:A297"/>
    <mergeCell ref="A298:A300"/>
    <mergeCell ref="A301:A304"/>
    <mergeCell ref="A305:A308"/>
    <mergeCell ref="A309:A310"/>
    <mergeCell ref="A311:A314"/>
    <mergeCell ref="A315:A318"/>
    <mergeCell ref="A319:A320"/>
    <mergeCell ref="A321:A323"/>
    <mergeCell ref="A324:A326"/>
    <mergeCell ref="A327:A330"/>
    <mergeCell ref="A331:A334"/>
    <mergeCell ref="A335:A338"/>
    <mergeCell ref="A339:A341"/>
    <mergeCell ref="A342:A344"/>
    <mergeCell ref="A345:A347"/>
    <mergeCell ref="A348:A350"/>
    <mergeCell ref="A351:A355"/>
    <mergeCell ref="A356:A358"/>
    <mergeCell ref="A359:A360"/>
    <mergeCell ref="A361:A364"/>
    <mergeCell ref="A365:A367"/>
    <mergeCell ref="A368:A371"/>
    <mergeCell ref="A372:A374"/>
    <mergeCell ref="A375:A378"/>
    <mergeCell ref="A379:A381"/>
    <mergeCell ref="A382:A384"/>
    <mergeCell ref="A385:A387"/>
    <mergeCell ref="A388:A391"/>
    <mergeCell ref="A392:A394"/>
    <mergeCell ref="A395:A397"/>
    <mergeCell ref="A398:A400"/>
    <mergeCell ref="A401:A402"/>
    <mergeCell ref="A403:A405"/>
    <mergeCell ref="A406:A407"/>
    <mergeCell ref="A408:A411"/>
    <mergeCell ref="A412:A415"/>
    <mergeCell ref="A416:A418"/>
    <mergeCell ref="A419:A421"/>
    <mergeCell ref="A422:A425"/>
    <mergeCell ref="A426:A427"/>
    <mergeCell ref="A428:A430"/>
    <mergeCell ref="A431:A433"/>
    <mergeCell ref="A434:A438"/>
    <mergeCell ref="A439:A442"/>
    <mergeCell ref="A443:A444"/>
    <mergeCell ref="A445:A448"/>
    <mergeCell ref="A449:A451"/>
    <mergeCell ref="A452:A455"/>
    <mergeCell ref="A456:A458"/>
    <mergeCell ref="A459:A462"/>
    <mergeCell ref="A463:A465"/>
    <mergeCell ref="A466:A467"/>
    <mergeCell ref="A468:A469"/>
    <mergeCell ref="A470:A471"/>
    <mergeCell ref="A472:A474"/>
    <mergeCell ref="A475:A476"/>
    <mergeCell ref="A477:A479"/>
    <mergeCell ref="A480:A482"/>
    <mergeCell ref="A483:A484"/>
    <mergeCell ref="A485:A487"/>
    <mergeCell ref="A488:A490"/>
    <mergeCell ref="A491:A493"/>
    <mergeCell ref="A494:A497"/>
    <mergeCell ref="A498:A501"/>
    <mergeCell ref="A502:A505"/>
    <mergeCell ref="A506:A509"/>
    <mergeCell ref="A510:A513"/>
    <mergeCell ref="A514:A517"/>
    <mergeCell ref="A518:A520"/>
    <mergeCell ref="A521:A523"/>
    <mergeCell ref="A524:A526"/>
    <mergeCell ref="A527:A530"/>
    <mergeCell ref="A531:A534"/>
    <mergeCell ref="A535:A536"/>
    <mergeCell ref="A537:A540"/>
    <mergeCell ref="A541:A543"/>
    <mergeCell ref="A544:A546"/>
    <mergeCell ref="A547:A549"/>
    <mergeCell ref="A550:A552"/>
    <mergeCell ref="A553:A555"/>
    <mergeCell ref="A556:A559"/>
    <mergeCell ref="A560:A564"/>
    <mergeCell ref="A565:A567"/>
    <mergeCell ref="A568:A570"/>
    <mergeCell ref="A571:A573"/>
    <mergeCell ref="A574:A575"/>
    <mergeCell ref="A576:A578"/>
    <mergeCell ref="A579:A580"/>
    <mergeCell ref="A581:A582"/>
    <mergeCell ref="A583:A584"/>
    <mergeCell ref="A585:A587"/>
    <mergeCell ref="A588:A590"/>
    <mergeCell ref="A591:A594"/>
    <mergeCell ref="A595:A598"/>
    <mergeCell ref="A599:A601"/>
    <mergeCell ref="A602:A605"/>
    <mergeCell ref="A606:A608"/>
    <mergeCell ref="A609:A611"/>
    <mergeCell ref="A612:A614"/>
    <mergeCell ref="A615:A617"/>
    <mergeCell ref="A618:A620"/>
    <mergeCell ref="A621:A624"/>
    <mergeCell ref="A625:A627"/>
    <mergeCell ref="A628:A630"/>
    <mergeCell ref="A631:A633"/>
    <mergeCell ref="A634:A637"/>
    <mergeCell ref="A638:A640"/>
    <mergeCell ref="A641:A644"/>
    <mergeCell ref="A645:A648"/>
    <mergeCell ref="A649:A652"/>
    <mergeCell ref="A653:A655"/>
    <mergeCell ref="A656:A659"/>
    <mergeCell ref="A660:A662"/>
    <mergeCell ref="A663:A665"/>
    <mergeCell ref="A666:A668"/>
    <mergeCell ref="A669:A671"/>
    <mergeCell ref="A672:A674"/>
    <mergeCell ref="A675:A677"/>
    <mergeCell ref="A678:A681"/>
    <mergeCell ref="A682:A683"/>
    <mergeCell ref="A684:A686"/>
    <mergeCell ref="A687:A689"/>
    <mergeCell ref="A690:A693"/>
    <mergeCell ref="A694:A697"/>
    <mergeCell ref="A698:A700"/>
    <mergeCell ref="A701:A703"/>
    <mergeCell ref="A704:A707"/>
    <mergeCell ref="A708:A711"/>
    <mergeCell ref="A712:A714"/>
    <mergeCell ref="A715:A716"/>
    <mergeCell ref="A717:A719"/>
    <mergeCell ref="A720:A721"/>
    <mergeCell ref="A722:A723"/>
    <mergeCell ref="A724:A726"/>
    <mergeCell ref="A727:A729"/>
    <mergeCell ref="A730:A732"/>
    <mergeCell ref="A733:A735"/>
    <mergeCell ref="A736:A739"/>
    <mergeCell ref="A740:A742"/>
    <mergeCell ref="A743:A744"/>
    <mergeCell ref="A745:A746"/>
    <mergeCell ref="A747:A750"/>
    <mergeCell ref="A751:A753"/>
    <mergeCell ref="A754:A756"/>
    <mergeCell ref="A757:A759"/>
    <mergeCell ref="A760:A762"/>
    <mergeCell ref="A763:A765"/>
    <mergeCell ref="A766:A768"/>
    <mergeCell ref="A769:A772"/>
    <mergeCell ref="A773:A775"/>
    <mergeCell ref="A776:A778"/>
    <mergeCell ref="A779:A781"/>
    <mergeCell ref="A782:A784"/>
    <mergeCell ref="A785:A787"/>
    <mergeCell ref="A788:A790"/>
    <mergeCell ref="A791:A794"/>
    <mergeCell ref="A795:A798"/>
    <mergeCell ref="A799:A801"/>
    <mergeCell ref="A802:A805"/>
    <mergeCell ref="A806:A808"/>
    <mergeCell ref="A809:A811"/>
    <mergeCell ref="A812:A814"/>
    <mergeCell ref="A815:A817"/>
    <mergeCell ref="A818:A820"/>
    <mergeCell ref="A821:A823"/>
    <mergeCell ref="A824:A825"/>
    <mergeCell ref="A826:A828"/>
    <mergeCell ref="A829:A831"/>
    <mergeCell ref="A832:A834"/>
    <mergeCell ref="A835:A836"/>
    <mergeCell ref="A837:A839"/>
    <mergeCell ref="A840:A843"/>
    <mergeCell ref="A844:A846"/>
    <mergeCell ref="A847:A849"/>
    <mergeCell ref="A850:A852"/>
    <mergeCell ref="A853:A856"/>
    <mergeCell ref="A857:A859"/>
    <mergeCell ref="A860:A863"/>
    <mergeCell ref="A864:A867"/>
    <mergeCell ref="A868:A870"/>
    <mergeCell ref="A871:A874"/>
    <mergeCell ref="A875:A877"/>
    <mergeCell ref="A878:A880"/>
    <mergeCell ref="A881:A884"/>
    <mergeCell ref="A885:A888"/>
    <mergeCell ref="A889:A892"/>
    <mergeCell ref="A893:A895"/>
    <mergeCell ref="A896:A898"/>
    <mergeCell ref="A899:A901"/>
    <mergeCell ref="A902:A904"/>
    <mergeCell ref="A905:A908"/>
    <mergeCell ref="A909:A912"/>
    <mergeCell ref="A913:A915"/>
    <mergeCell ref="A916:A917"/>
    <mergeCell ref="A918:A921"/>
    <mergeCell ref="A922:A923"/>
    <mergeCell ref="A924:A926"/>
    <mergeCell ref="A927:A929"/>
    <mergeCell ref="A930:A931"/>
    <mergeCell ref="A932:A934"/>
    <mergeCell ref="A935:A937"/>
    <mergeCell ref="A938:A941"/>
    <mergeCell ref="A942:A944"/>
    <mergeCell ref="A945:A947"/>
    <mergeCell ref="A948:A949"/>
    <mergeCell ref="A950:A951"/>
    <mergeCell ref="A952:A954"/>
    <mergeCell ref="A955:A957"/>
    <mergeCell ref="A958:A961"/>
    <mergeCell ref="A962:A964"/>
    <mergeCell ref="A965:A967"/>
    <mergeCell ref="A968:A970"/>
    <mergeCell ref="A971:A974"/>
    <mergeCell ref="A975:A978"/>
    <mergeCell ref="A979:A981"/>
    <mergeCell ref="A982:A985"/>
    <mergeCell ref="A986:A989"/>
    <mergeCell ref="A990:A992"/>
    <mergeCell ref="A993:A995"/>
    <mergeCell ref="A996:A997"/>
    <mergeCell ref="A998:A999"/>
    <mergeCell ref="A1000:A1002"/>
    <mergeCell ref="A1003:A1004"/>
    <mergeCell ref="A1005:A1007"/>
    <mergeCell ref="A1008:A1011"/>
    <mergeCell ref="A1012:A1014"/>
    <mergeCell ref="A1015:A1018"/>
    <mergeCell ref="A1019:A1021"/>
    <mergeCell ref="A1022:A1024"/>
    <mergeCell ref="A1025:A1027"/>
    <mergeCell ref="A1028:A1030"/>
    <mergeCell ref="A1031:A1034"/>
    <mergeCell ref="A1035:A1037"/>
    <mergeCell ref="A1038:A1041"/>
    <mergeCell ref="A1042:A1045"/>
    <mergeCell ref="A1046:A1048"/>
    <mergeCell ref="A1049:A1052"/>
    <mergeCell ref="A1053:A1056"/>
    <mergeCell ref="A1057:A1058"/>
    <mergeCell ref="A1059:A1060"/>
    <mergeCell ref="A1061:A1063"/>
    <mergeCell ref="A1064:A1066"/>
    <mergeCell ref="A1067:A1069"/>
    <mergeCell ref="A1070:A1072"/>
    <mergeCell ref="A1073:A1076"/>
    <mergeCell ref="A1077:A1079"/>
    <mergeCell ref="A1080:A1081"/>
    <mergeCell ref="B2:B4"/>
    <mergeCell ref="B5:B8"/>
    <mergeCell ref="B9:B11"/>
    <mergeCell ref="B12:B15"/>
    <mergeCell ref="B16:B19"/>
    <mergeCell ref="B20:B24"/>
    <mergeCell ref="B25:B27"/>
    <mergeCell ref="B28:B30"/>
    <mergeCell ref="B31:B33"/>
    <mergeCell ref="B34:B37"/>
    <mergeCell ref="B38:B41"/>
    <mergeCell ref="B42:B45"/>
    <mergeCell ref="B46:B49"/>
    <mergeCell ref="B50:B53"/>
    <mergeCell ref="B54:B57"/>
    <mergeCell ref="B58:B60"/>
    <mergeCell ref="B61:B64"/>
    <mergeCell ref="B65:B68"/>
    <mergeCell ref="B69:B72"/>
    <mergeCell ref="B73:B76"/>
    <mergeCell ref="B77:B80"/>
    <mergeCell ref="B81:B84"/>
    <mergeCell ref="B85:B88"/>
    <mergeCell ref="B89:B91"/>
    <mergeCell ref="B92:B95"/>
    <mergeCell ref="B96:B99"/>
    <mergeCell ref="B100:B102"/>
    <mergeCell ref="B103:B106"/>
    <mergeCell ref="B107:B110"/>
    <mergeCell ref="B111:B114"/>
    <mergeCell ref="B115:B118"/>
    <mergeCell ref="B119:B122"/>
    <mergeCell ref="B123:B126"/>
    <mergeCell ref="B127:B130"/>
    <mergeCell ref="B131:B134"/>
    <mergeCell ref="B135:B138"/>
    <mergeCell ref="B139:B140"/>
    <mergeCell ref="B141:B144"/>
    <mergeCell ref="B145:B148"/>
    <mergeCell ref="B149:B151"/>
    <mergeCell ref="B152:B154"/>
    <mergeCell ref="B155:B156"/>
    <mergeCell ref="B157:B159"/>
    <mergeCell ref="B160:B163"/>
    <mergeCell ref="B164:B167"/>
    <mergeCell ref="B168:B170"/>
    <mergeCell ref="B171:B172"/>
    <mergeCell ref="B173:B176"/>
    <mergeCell ref="B177:B180"/>
    <mergeCell ref="B181:B184"/>
    <mergeCell ref="B185:B188"/>
    <mergeCell ref="B189:B191"/>
    <mergeCell ref="B192:B193"/>
    <mergeCell ref="B194:B197"/>
    <mergeCell ref="B198:B199"/>
    <mergeCell ref="B200:B201"/>
    <mergeCell ref="B202:B205"/>
    <mergeCell ref="B206:B207"/>
    <mergeCell ref="B208:B210"/>
    <mergeCell ref="B211:B213"/>
    <mergeCell ref="B214:B216"/>
    <mergeCell ref="B217:B219"/>
    <mergeCell ref="B220:B222"/>
    <mergeCell ref="B223:B226"/>
    <mergeCell ref="B227:B229"/>
    <mergeCell ref="B230:B232"/>
    <mergeCell ref="B233:B236"/>
    <mergeCell ref="B237:B238"/>
    <mergeCell ref="B239:B240"/>
    <mergeCell ref="B241:B243"/>
    <mergeCell ref="B244:B246"/>
    <mergeCell ref="B247:B250"/>
    <mergeCell ref="B251:B254"/>
    <mergeCell ref="B255:B256"/>
    <mergeCell ref="B257:B260"/>
    <mergeCell ref="B261:B264"/>
    <mergeCell ref="B265:B267"/>
    <mergeCell ref="B268:B270"/>
    <mergeCell ref="B271:B273"/>
    <mergeCell ref="B274:B277"/>
    <mergeCell ref="B278:B280"/>
    <mergeCell ref="B281:B284"/>
    <mergeCell ref="B285:B287"/>
    <mergeCell ref="B288:B290"/>
    <mergeCell ref="B291:B294"/>
    <mergeCell ref="B295:B297"/>
    <mergeCell ref="B298:B300"/>
    <mergeCell ref="B301:B304"/>
    <mergeCell ref="B305:B308"/>
    <mergeCell ref="B309:B310"/>
    <mergeCell ref="B311:B314"/>
    <mergeCell ref="B315:B318"/>
    <mergeCell ref="B319:B320"/>
    <mergeCell ref="B321:B323"/>
    <mergeCell ref="B324:B326"/>
    <mergeCell ref="B327:B330"/>
    <mergeCell ref="B331:B334"/>
    <mergeCell ref="B335:B338"/>
    <mergeCell ref="B339:B341"/>
    <mergeCell ref="B342:B344"/>
    <mergeCell ref="B345:B347"/>
    <mergeCell ref="B348:B350"/>
    <mergeCell ref="B351:B355"/>
    <mergeCell ref="B356:B358"/>
    <mergeCell ref="B359:B360"/>
    <mergeCell ref="B361:B364"/>
    <mergeCell ref="B365:B367"/>
    <mergeCell ref="B368:B371"/>
    <mergeCell ref="B372:B374"/>
    <mergeCell ref="B375:B378"/>
    <mergeCell ref="B379:B381"/>
    <mergeCell ref="B382:B384"/>
    <mergeCell ref="B385:B387"/>
    <mergeCell ref="B388:B391"/>
    <mergeCell ref="B392:B394"/>
    <mergeCell ref="B395:B397"/>
    <mergeCell ref="B398:B400"/>
    <mergeCell ref="B401:B402"/>
    <mergeCell ref="B403:B405"/>
    <mergeCell ref="B406:B407"/>
    <mergeCell ref="B408:B411"/>
    <mergeCell ref="B412:B415"/>
    <mergeCell ref="B416:B418"/>
    <mergeCell ref="B419:B421"/>
    <mergeCell ref="B422:B425"/>
    <mergeCell ref="B426:B427"/>
    <mergeCell ref="B428:B430"/>
    <mergeCell ref="B431:B433"/>
    <mergeCell ref="B434:B438"/>
    <mergeCell ref="B439:B442"/>
    <mergeCell ref="B443:B444"/>
    <mergeCell ref="B445:B448"/>
    <mergeCell ref="B449:B451"/>
    <mergeCell ref="B452:B455"/>
    <mergeCell ref="B456:B458"/>
    <mergeCell ref="B459:B462"/>
    <mergeCell ref="B463:B465"/>
    <mergeCell ref="B466:B467"/>
    <mergeCell ref="B468:B469"/>
    <mergeCell ref="B470:B471"/>
    <mergeCell ref="B472:B474"/>
    <mergeCell ref="B475:B476"/>
    <mergeCell ref="B477:B479"/>
    <mergeCell ref="B480:B482"/>
    <mergeCell ref="B483:B484"/>
    <mergeCell ref="B485:B487"/>
    <mergeCell ref="B488:B490"/>
    <mergeCell ref="B491:B493"/>
    <mergeCell ref="B494:B497"/>
    <mergeCell ref="B498:B501"/>
    <mergeCell ref="B502:B505"/>
    <mergeCell ref="B506:B509"/>
    <mergeCell ref="B510:B513"/>
    <mergeCell ref="B514:B517"/>
    <mergeCell ref="B518:B520"/>
    <mergeCell ref="B521:B523"/>
    <mergeCell ref="B524:B526"/>
    <mergeCell ref="B527:B530"/>
    <mergeCell ref="B531:B534"/>
    <mergeCell ref="B535:B536"/>
    <mergeCell ref="B537:B540"/>
    <mergeCell ref="B541:B543"/>
    <mergeCell ref="B544:B546"/>
    <mergeCell ref="B547:B549"/>
    <mergeCell ref="B550:B552"/>
    <mergeCell ref="B553:B555"/>
    <mergeCell ref="B556:B559"/>
    <mergeCell ref="B560:B564"/>
    <mergeCell ref="B565:B567"/>
    <mergeCell ref="B568:B570"/>
    <mergeCell ref="B571:B573"/>
    <mergeCell ref="B574:B575"/>
    <mergeCell ref="B576:B578"/>
    <mergeCell ref="B579:B580"/>
    <mergeCell ref="B581:B582"/>
    <mergeCell ref="B583:B584"/>
    <mergeCell ref="B585:B587"/>
    <mergeCell ref="B588:B590"/>
    <mergeCell ref="B591:B594"/>
    <mergeCell ref="B595:B598"/>
    <mergeCell ref="B599:B601"/>
    <mergeCell ref="B602:B605"/>
    <mergeCell ref="B606:B608"/>
    <mergeCell ref="B609:B611"/>
    <mergeCell ref="B612:B614"/>
    <mergeCell ref="B615:B617"/>
    <mergeCell ref="B618:B620"/>
    <mergeCell ref="B621:B624"/>
    <mergeCell ref="B625:B627"/>
    <mergeCell ref="B628:B630"/>
    <mergeCell ref="B631:B633"/>
    <mergeCell ref="B634:B637"/>
    <mergeCell ref="B638:B640"/>
    <mergeCell ref="B641:B644"/>
    <mergeCell ref="B645:B648"/>
    <mergeCell ref="B649:B652"/>
    <mergeCell ref="B653:B655"/>
    <mergeCell ref="B656:B659"/>
    <mergeCell ref="B660:B662"/>
    <mergeCell ref="B663:B665"/>
    <mergeCell ref="B666:B668"/>
    <mergeCell ref="B669:B671"/>
    <mergeCell ref="B672:B674"/>
    <mergeCell ref="B675:B677"/>
    <mergeCell ref="B678:B681"/>
    <mergeCell ref="B682:B683"/>
    <mergeCell ref="B684:B686"/>
    <mergeCell ref="B687:B689"/>
    <mergeCell ref="B690:B693"/>
    <mergeCell ref="B694:B697"/>
    <mergeCell ref="B698:B700"/>
    <mergeCell ref="B701:B703"/>
    <mergeCell ref="B704:B707"/>
    <mergeCell ref="B708:B711"/>
    <mergeCell ref="B712:B714"/>
    <mergeCell ref="B715:B716"/>
    <mergeCell ref="B717:B719"/>
    <mergeCell ref="B720:B721"/>
    <mergeCell ref="B722:B723"/>
    <mergeCell ref="B724:B726"/>
    <mergeCell ref="B727:B729"/>
    <mergeCell ref="B730:B732"/>
    <mergeCell ref="B733:B735"/>
    <mergeCell ref="B736:B739"/>
    <mergeCell ref="B740:B742"/>
    <mergeCell ref="B743:B744"/>
    <mergeCell ref="B745:B746"/>
    <mergeCell ref="B747:B750"/>
    <mergeCell ref="B751:B753"/>
    <mergeCell ref="B754:B756"/>
    <mergeCell ref="B757:B759"/>
    <mergeCell ref="B760:B762"/>
    <mergeCell ref="B763:B765"/>
    <mergeCell ref="B766:B768"/>
    <mergeCell ref="B769:B772"/>
    <mergeCell ref="B773:B775"/>
    <mergeCell ref="B776:B778"/>
    <mergeCell ref="B779:B781"/>
    <mergeCell ref="B782:B784"/>
    <mergeCell ref="B785:B787"/>
    <mergeCell ref="B788:B790"/>
    <mergeCell ref="B791:B794"/>
    <mergeCell ref="B795:B798"/>
    <mergeCell ref="B799:B801"/>
    <mergeCell ref="B802:B805"/>
    <mergeCell ref="B806:B808"/>
    <mergeCell ref="B809:B811"/>
    <mergeCell ref="B812:B814"/>
    <mergeCell ref="B815:B817"/>
    <mergeCell ref="B818:B820"/>
    <mergeCell ref="B821:B823"/>
    <mergeCell ref="B824:B825"/>
    <mergeCell ref="B826:B828"/>
    <mergeCell ref="B829:B831"/>
    <mergeCell ref="B832:B834"/>
    <mergeCell ref="B835:B836"/>
    <mergeCell ref="B837:B839"/>
    <mergeCell ref="B840:B843"/>
    <mergeCell ref="B844:B846"/>
    <mergeCell ref="B847:B849"/>
    <mergeCell ref="B850:B852"/>
    <mergeCell ref="B853:B856"/>
    <mergeCell ref="B857:B859"/>
    <mergeCell ref="B860:B863"/>
    <mergeCell ref="B864:B867"/>
    <mergeCell ref="B868:B870"/>
    <mergeCell ref="B871:B874"/>
    <mergeCell ref="B875:B877"/>
    <mergeCell ref="B878:B880"/>
    <mergeCell ref="B881:B884"/>
    <mergeCell ref="B885:B888"/>
    <mergeCell ref="B889:B892"/>
    <mergeCell ref="B893:B895"/>
    <mergeCell ref="B896:B898"/>
    <mergeCell ref="B899:B901"/>
    <mergeCell ref="B902:B904"/>
    <mergeCell ref="B905:B908"/>
    <mergeCell ref="B909:B912"/>
    <mergeCell ref="B913:B915"/>
    <mergeCell ref="B916:B917"/>
    <mergeCell ref="B918:B921"/>
    <mergeCell ref="B922:B923"/>
    <mergeCell ref="B924:B926"/>
    <mergeCell ref="B927:B929"/>
    <mergeCell ref="B930:B931"/>
    <mergeCell ref="B932:B934"/>
    <mergeCell ref="B935:B937"/>
    <mergeCell ref="B938:B941"/>
    <mergeCell ref="B942:B944"/>
    <mergeCell ref="B945:B947"/>
    <mergeCell ref="B948:B949"/>
    <mergeCell ref="B950:B951"/>
    <mergeCell ref="B952:B954"/>
    <mergeCell ref="B955:B957"/>
    <mergeCell ref="B958:B961"/>
    <mergeCell ref="B962:B964"/>
    <mergeCell ref="B965:B967"/>
    <mergeCell ref="B968:B970"/>
    <mergeCell ref="B971:B974"/>
    <mergeCell ref="B975:B978"/>
    <mergeCell ref="B979:B981"/>
    <mergeCell ref="B982:B985"/>
    <mergeCell ref="B986:B989"/>
    <mergeCell ref="B990:B992"/>
    <mergeCell ref="B993:B995"/>
    <mergeCell ref="B996:B997"/>
    <mergeCell ref="B998:B999"/>
    <mergeCell ref="B1000:B1002"/>
    <mergeCell ref="B1003:B1004"/>
    <mergeCell ref="B1005:B1007"/>
    <mergeCell ref="B1008:B1011"/>
    <mergeCell ref="B1012:B1014"/>
    <mergeCell ref="B1015:B1018"/>
    <mergeCell ref="B1019:B1021"/>
    <mergeCell ref="B1022:B1024"/>
    <mergeCell ref="B1025:B1027"/>
    <mergeCell ref="B1028:B1030"/>
    <mergeCell ref="B1031:B1034"/>
    <mergeCell ref="B1035:B1037"/>
    <mergeCell ref="B1038:B1041"/>
    <mergeCell ref="B1042:B1045"/>
    <mergeCell ref="B1046:B1048"/>
    <mergeCell ref="B1049:B1052"/>
    <mergeCell ref="B1053:B1056"/>
    <mergeCell ref="B1057:B1058"/>
    <mergeCell ref="B1059:B1060"/>
    <mergeCell ref="B1061:B1063"/>
    <mergeCell ref="B1064:B1066"/>
    <mergeCell ref="B1067:B1069"/>
    <mergeCell ref="B1070:B1072"/>
    <mergeCell ref="B1073:B1076"/>
    <mergeCell ref="B1077:B1079"/>
    <mergeCell ref="B1080:B1081"/>
    <mergeCell ref="C2:C4"/>
    <mergeCell ref="C5:C8"/>
    <mergeCell ref="C9:C11"/>
    <mergeCell ref="C12:C15"/>
    <mergeCell ref="C16:C19"/>
    <mergeCell ref="C20:C24"/>
    <mergeCell ref="C25:C27"/>
    <mergeCell ref="C28:C30"/>
    <mergeCell ref="C31:C33"/>
    <mergeCell ref="C34:C37"/>
    <mergeCell ref="C38:C41"/>
    <mergeCell ref="C42:C45"/>
    <mergeCell ref="C46:C49"/>
    <mergeCell ref="C50:C53"/>
    <mergeCell ref="C54:C57"/>
    <mergeCell ref="C58:C60"/>
    <mergeCell ref="C61:C64"/>
    <mergeCell ref="C65:C68"/>
    <mergeCell ref="C69:C72"/>
    <mergeCell ref="C73:C76"/>
    <mergeCell ref="C77:C80"/>
    <mergeCell ref="C81:C84"/>
    <mergeCell ref="C85:C88"/>
    <mergeCell ref="C89:C91"/>
    <mergeCell ref="C92:C95"/>
    <mergeCell ref="C96:C99"/>
    <mergeCell ref="C100:C102"/>
    <mergeCell ref="C103:C106"/>
    <mergeCell ref="C107:C110"/>
    <mergeCell ref="C111:C114"/>
    <mergeCell ref="C115:C118"/>
    <mergeCell ref="C119:C122"/>
    <mergeCell ref="C123:C126"/>
    <mergeCell ref="C127:C130"/>
    <mergeCell ref="C131:C134"/>
    <mergeCell ref="C135:C138"/>
    <mergeCell ref="C139:C140"/>
    <mergeCell ref="C141:C144"/>
    <mergeCell ref="C145:C148"/>
    <mergeCell ref="C149:C151"/>
    <mergeCell ref="C152:C154"/>
    <mergeCell ref="C155:C156"/>
    <mergeCell ref="C157:C159"/>
    <mergeCell ref="C160:C163"/>
    <mergeCell ref="C164:C167"/>
    <mergeCell ref="C168:C170"/>
    <mergeCell ref="C171:C172"/>
    <mergeCell ref="C173:C176"/>
    <mergeCell ref="C177:C180"/>
    <mergeCell ref="C181:C184"/>
    <mergeCell ref="C185:C188"/>
    <mergeCell ref="C189:C191"/>
    <mergeCell ref="C192:C193"/>
    <mergeCell ref="C194:C197"/>
    <mergeCell ref="C198:C199"/>
    <mergeCell ref="C200:C201"/>
    <mergeCell ref="C202:C205"/>
    <mergeCell ref="C206:C207"/>
    <mergeCell ref="C208:C210"/>
    <mergeCell ref="C211:C213"/>
    <mergeCell ref="C214:C216"/>
    <mergeCell ref="C217:C219"/>
    <mergeCell ref="C220:C222"/>
    <mergeCell ref="C223:C226"/>
    <mergeCell ref="C227:C229"/>
    <mergeCell ref="C230:C232"/>
    <mergeCell ref="C233:C236"/>
    <mergeCell ref="C237:C238"/>
    <mergeCell ref="C239:C240"/>
    <mergeCell ref="C241:C243"/>
    <mergeCell ref="C244:C246"/>
    <mergeCell ref="C247:C250"/>
    <mergeCell ref="C251:C254"/>
    <mergeCell ref="C255:C256"/>
    <mergeCell ref="C257:C260"/>
    <mergeCell ref="C261:C264"/>
    <mergeCell ref="C265:C267"/>
    <mergeCell ref="C268:C270"/>
    <mergeCell ref="C271:C273"/>
    <mergeCell ref="C274:C277"/>
    <mergeCell ref="C278:C280"/>
    <mergeCell ref="C281:C284"/>
    <mergeCell ref="C285:C287"/>
    <mergeCell ref="C288:C290"/>
    <mergeCell ref="C291:C294"/>
    <mergeCell ref="C295:C297"/>
    <mergeCell ref="C298:C300"/>
    <mergeCell ref="C301:C304"/>
    <mergeCell ref="C305:C308"/>
    <mergeCell ref="C309:C310"/>
    <mergeCell ref="C311:C314"/>
    <mergeCell ref="C315:C318"/>
    <mergeCell ref="C319:C320"/>
    <mergeCell ref="C321:C323"/>
    <mergeCell ref="C324:C326"/>
    <mergeCell ref="C327:C330"/>
    <mergeCell ref="C331:C334"/>
    <mergeCell ref="C335:C338"/>
    <mergeCell ref="C339:C341"/>
    <mergeCell ref="C342:C344"/>
    <mergeCell ref="C345:C347"/>
    <mergeCell ref="C348:C350"/>
    <mergeCell ref="C351:C355"/>
    <mergeCell ref="C356:C358"/>
    <mergeCell ref="C359:C360"/>
    <mergeCell ref="C361:C364"/>
    <mergeCell ref="C365:C367"/>
    <mergeCell ref="C368:C371"/>
    <mergeCell ref="C372:C374"/>
    <mergeCell ref="C375:C378"/>
    <mergeCell ref="C379:C381"/>
    <mergeCell ref="C382:C384"/>
    <mergeCell ref="C385:C387"/>
    <mergeCell ref="C388:C391"/>
    <mergeCell ref="C392:C394"/>
    <mergeCell ref="C395:C397"/>
    <mergeCell ref="C398:C400"/>
    <mergeCell ref="C401:C402"/>
    <mergeCell ref="C403:C405"/>
    <mergeCell ref="C406:C407"/>
    <mergeCell ref="C408:C411"/>
    <mergeCell ref="C412:C415"/>
    <mergeCell ref="C416:C418"/>
    <mergeCell ref="C419:C421"/>
    <mergeCell ref="C422:C425"/>
    <mergeCell ref="C426:C427"/>
    <mergeCell ref="C428:C430"/>
    <mergeCell ref="C431:C433"/>
    <mergeCell ref="C434:C438"/>
    <mergeCell ref="C439:C442"/>
    <mergeCell ref="C443:C444"/>
    <mergeCell ref="C445:C448"/>
    <mergeCell ref="C449:C451"/>
    <mergeCell ref="C452:C455"/>
    <mergeCell ref="C456:C458"/>
    <mergeCell ref="C459:C462"/>
    <mergeCell ref="C463:C465"/>
    <mergeCell ref="C466:C467"/>
    <mergeCell ref="C468:C469"/>
    <mergeCell ref="C470:C471"/>
    <mergeCell ref="C472:C474"/>
    <mergeCell ref="C475:C476"/>
    <mergeCell ref="C477:C479"/>
    <mergeCell ref="C480:C482"/>
    <mergeCell ref="C483:C484"/>
    <mergeCell ref="C485:C487"/>
    <mergeCell ref="C488:C490"/>
    <mergeCell ref="C491:C493"/>
    <mergeCell ref="C494:C497"/>
    <mergeCell ref="C498:C501"/>
    <mergeCell ref="C502:C505"/>
    <mergeCell ref="C506:C509"/>
    <mergeCell ref="C510:C513"/>
    <mergeCell ref="C514:C517"/>
    <mergeCell ref="C518:C520"/>
    <mergeCell ref="C521:C523"/>
    <mergeCell ref="C524:C526"/>
    <mergeCell ref="C527:C530"/>
    <mergeCell ref="C531:C534"/>
    <mergeCell ref="C535:C536"/>
    <mergeCell ref="C537:C540"/>
    <mergeCell ref="C541:C543"/>
    <mergeCell ref="C544:C546"/>
    <mergeCell ref="C547:C549"/>
    <mergeCell ref="C550:C552"/>
    <mergeCell ref="C553:C555"/>
    <mergeCell ref="C556:C559"/>
    <mergeCell ref="C560:C564"/>
    <mergeCell ref="C565:C567"/>
    <mergeCell ref="C568:C570"/>
    <mergeCell ref="C571:C573"/>
    <mergeCell ref="C574:C575"/>
    <mergeCell ref="C576:C578"/>
    <mergeCell ref="C579:C580"/>
    <mergeCell ref="C581:C582"/>
    <mergeCell ref="C583:C584"/>
    <mergeCell ref="C585:C587"/>
    <mergeCell ref="C588:C590"/>
    <mergeCell ref="C591:C594"/>
    <mergeCell ref="C595:C598"/>
    <mergeCell ref="C599:C601"/>
    <mergeCell ref="C602:C605"/>
    <mergeCell ref="C606:C608"/>
    <mergeCell ref="C609:C611"/>
    <mergeCell ref="C612:C614"/>
    <mergeCell ref="C615:C617"/>
    <mergeCell ref="C618:C620"/>
    <mergeCell ref="C621:C624"/>
    <mergeCell ref="C625:C627"/>
    <mergeCell ref="C628:C630"/>
    <mergeCell ref="C631:C633"/>
    <mergeCell ref="C634:C637"/>
    <mergeCell ref="C638:C640"/>
    <mergeCell ref="C641:C644"/>
    <mergeCell ref="C645:C648"/>
    <mergeCell ref="C649:C652"/>
    <mergeCell ref="C653:C655"/>
    <mergeCell ref="C656:C659"/>
    <mergeCell ref="C660:C662"/>
    <mergeCell ref="C663:C665"/>
    <mergeCell ref="C666:C668"/>
    <mergeCell ref="C669:C671"/>
    <mergeCell ref="C672:C674"/>
    <mergeCell ref="C675:C677"/>
    <mergeCell ref="C678:C681"/>
    <mergeCell ref="C682:C683"/>
    <mergeCell ref="C684:C686"/>
    <mergeCell ref="C687:C689"/>
    <mergeCell ref="C690:C693"/>
    <mergeCell ref="C694:C697"/>
    <mergeCell ref="C698:C700"/>
    <mergeCell ref="C701:C703"/>
    <mergeCell ref="C704:C707"/>
    <mergeCell ref="C708:C711"/>
    <mergeCell ref="C712:C714"/>
    <mergeCell ref="C715:C716"/>
    <mergeCell ref="C717:C719"/>
    <mergeCell ref="C720:C721"/>
    <mergeCell ref="C722:C723"/>
    <mergeCell ref="C724:C726"/>
    <mergeCell ref="C727:C729"/>
    <mergeCell ref="C730:C732"/>
    <mergeCell ref="C733:C735"/>
    <mergeCell ref="C736:C739"/>
    <mergeCell ref="C740:C742"/>
    <mergeCell ref="C743:C744"/>
    <mergeCell ref="C745:C746"/>
    <mergeCell ref="C747:C750"/>
    <mergeCell ref="C751:C753"/>
    <mergeCell ref="C754:C756"/>
    <mergeCell ref="C757:C759"/>
    <mergeCell ref="C760:C762"/>
    <mergeCell ref="C763:C765"/>
    <mergeCell ref="C766:C768"/>
    <mergeCell ref="C769:C772"/>
    <mergeCell ref="C773:C775"/>
    <mergeCell ref="C776:C778"/>
    <mergeCell ref="C779:C781"/>
    <mergeCell ref="C782:C784"/>
    <mergeCell ref="C785:C787"/>
    <mergeCell ref="C788:C790"/>
    <mergeCell ref="C791:C794"/>
    <mergeCell ref="C795:C798"/>
    <mergeCell ref="C799:C801"/>
    <mergeCell ref="C802:C805"/>
    <mergeCell ref="C806:C808"/>
    <mergeCell ref="C809:C811"/>
    <mergeCell ref="C812:C814"/>
    <mergeCell ref="C815:C817"/>
    <mergeCell ref="C818:C820"/>
    <mergeCell ref="C821:C823"/>
    <mergeCell ref="C824:C825"/>
    <mergeCell ref="C826:C828"/>
    <mergeCell ref="C829:C831"/>
    <mergeCell ref="C832:C834"/>
    <mergeCell ref="C835:C836"/>
    <mergeCell ref="C837:C839"/>
    <mergeCell ref="C840:C843"/>
    <mergeCell ref="C844:C846"/>
    <mergeCell ref="C847:C849"/>
    <mergeCell ref="C850:C852"/>
    <mergeCell ref="C853:C856"/>
    <mergeCell ref="C857:C859"/>
    <mergeCell ref="C860:C863"/>
    <mergeCell ref="C864:C867"/>
    <mergeCell ref="C868:C870"/>
    <mergeCell ref="C871:C874"/>
    <mergeCell ref="C875:C877"/>
    <mergeCell ref="C878:C880"/>
    <mergeCell ref="C881:C884"/>
    <mergeCell ref="C885:C888"/>
    <mergeCell ref="C889:C892"/>
    <mergeCell ref="C893:C895"/>
    <mergeCell ref="C896:C898"/>
    <mergeCell ref="C899:C901"/>
    <mergeCell ref="C902:C904"/>
    <mergeCell ref="C905:C908"/>
    <mergeCell ref="C909:C912"/>
    <mergeCell ref="C913:C915"/>
    <mergeCell ref="C916:C917"/>
    <mergeCell ref="C918:C921"/>
    <mergeCell ref="C922:C923"/>
    <mergeCell ref="C924:C926"/>
    <mergeCell ref="C927:C929"/>
    <mergeCell ref="C930:C931"/>
    <mergeCell ref="C932:C934"/>
    <mergeCell ref="C935:C937"/>
    <mergeCell ref="C938:C941"/>
    <mergeCell ref="C942:C944"/>
    <mergeCell ref="C945:C947"/>
    <mergeCell ref="C948:C949"/>
    <mergeCell ref="C950:C951"/>
    <mergeCell ref="C952:C954"/>
    <mergeCell ref="C955:C957"/>
    <mergeCell ref="C958:C961"/>
    <mergeCell ref="C962:C964"/>
    <mergeCell ref="C965:C967"/>
    <mergeCell ref="C968:C970"/>
    <mergeCell ref="C971:C974"/>
    <mergeCell ref="C975:C978"/>
    <mergeCell ref="C979:C981"/>
    <mergeCell ref="C982:C985"/>
    <mergeCell ref="C986:C989"/>
    <mergeCell ref="C990:C992"/>
    <mergeCell ref="C993:C995"/>
    <mergeCell ref="C996:C997"/>
    <mergeCell ref="C998:C999"/>
    <mergeCell ref="C1000:C1002"/>
    <mergeCell ref="C1003:C1004"/>
    <mergeCell ref="C1005:C1007"/>
    <mergeCell ref="C1008:C1011"/>
    <mergeCell ref="C1012:C1014"/>
    <mergeCell ref="C1015:C1018"/>
    <mergeCell ref="C1019:C1021"/>
    <mergeCell ref="C1022:C1024"/>
    <mergeCell ref="C1025:C1027"/>
    <mergeCell ref="C1028:C1030"/>
    <mergeCell ref="C1031:C1034"/>
    <mergeCell ref="C1035:C1037"/>
    <mergeCell ref="C1038:C1041"/>
    <mergeCell ref="C1042:C1045"/>
    <mergeCell ref="C1046:C1048"/>
    <mergeCell ref="C1049:C1052"/>
    <mergeCell ref="C1053:C1056"/>
    <mergeCell ref="C1057:C1058"/>
    <mergeCell ref="C1059:C1060"/>
    <mergeCell ref="C1061:C1063"/>
    <mergeCell ref="C1064:C1066"/>
    <mergeCell ref="C1067:C1069"/>
    <mergeCell ref="C1070:C1072"/>
    <mergeCell ref="C1073:C1076"/>
    <mergeCell ref="C1077:C1079"/>
    <mergeCell ref="C1080:C1081"/>
    <mergeCell ref="D2:D4"/>
    <mergeCell ref="D5:D8"/>
    <mergeCell ref="D9:D11"/>
    <mergeCell ref="D12:D15"/>
    <mergeCell ref="D16:D19"/>
    <mergeCell ref="D20:D24"/>
    <mergeCell ref="D25:D27"/>
    <mergeCell ref="D28:D30"/>
    <mergeCell ref="D31:D33"/>
    <mergeCell ref="D34:D37"/>
    <mergeCell ref="D38:D41"/>
    <mergeCell ref="D42:D45"/>
    <mergeCell ref="D46:D49"/>
    <mergeCell ref="D50:D53"/>
    <mergeCell ref="D54:D57"/>
    <mergeCell ref="D58:D60"/>
    <mergeCell ref="D61:D64"/>
    <mergeCell ref="D65:D68"/>
    <mergeCell ref="D69:D72"/>
    <mergeCell ref="D73:D76"/>
    <mergeCell ref="D77:D80"/>
    <mergeCell ref="D81:D84"/>
    <mergeCell ref="D85:D88"/>
    <mergeCell ref="D89:D91"/>
    <mergeCell ref="D92:D95"/>
    <mergeCell ref="D96:D99"/>
    <mergeCell ref="D100:D102"/>
    <mergeCell ref="D103:D106"/>
    <mergeCell ref="D107:D110"/>
    <mergeCell ref="D111:D114"/>
    <mergeCell ref="D115:D118"/>
    <mergeCell ref="D119:D122"/>
    <mergeCell ref="D123:D126"/>
    <mergeCell ref="D127:D130"/>
    <mergeCell ref="D131:D134"/>
    <mergeCell ref="D135:D138"/>
    <mergeCell ref="D139:D140"/>
    <mergeCell ref="D141:D144"/>
    <mergeCell ref="D145:D148"/>
    <mergeCell ref="D149:D151"/>
    <mergeCell ref="D152:D154"/>
    <mergeCell ref="D155:D156"/>
    <mergeCell ref="D157:D159"/>
    <mergeCell ref="D160:D163"/>
    <mergeCell ref="D164:D167"/>
    <mergeCell ref="D168:D170"/>
    <mergeCell ref="D171:D172"/>
    <mergeCell ref="D173:D176"/>
    <mergeCell ref="D177:D180"/>
    <mergeCell ref="D181:D184"/>
    <mergeCell ref="D185:D188"/>
    <mergeCell ref="D189:D191"/>
    <mergeCell ref="D192:D193"/>
    <mergeCell ref="D194:D197"/>
    <mergeCell ref="D198:D199"/>
    <mergeCell ref="D200:D201"/>
    <mergeCell ref="D202:D205"/>
    <mergeCell ref="D206:D207"/>
    <mergeCell ref="D208:D210"/>
    <mergeCell ref="D211:D213"/>
    <mergeCell ref="D214:D216"/>
    <mergeCell ref="D217:D219"/>
    <mergeCell ref="D220:D222"/>
    <mergeCell ref="D223:D226"/>
    <mergeCell ref="D227:D229"/>
    <mergeCell ref="D230:D232"/>
    <mergeCell ref="D233:D236"/>
    <mergeCell ref="D237:D238"/>
    <mergeCell ref="D239:D240"/>
    <mergeCell ref="D241:D243"/>
    <mergeCell ref="D244:D246"/>
    <mergeCell ref="D247:D250"/>
    <mergeCell ref="D251:D254"/>
    <mergeCell ref="D255:D256"/>
    <mergeCell ref="D257:D260"/>
    <mergeCell ref="D261:D264"/>
    <mergeCell ref="D265:D267"/>
    <mergeCell ref="D268:D270"/>
    <mergeCell ref="D271:D273"/>
    <mergeCell ref="D274:D277"/>
    <mergeCell ref="D278:D280"/>
    <mergeCell ref="D281:D284"/>
    <mergeCell ref="D285:D287"/>
    <mergeCell ref="D288:D290"/>
    <mergeCell ref="D291:D294"/>
    <mergeCell ref="D295:D297"/>
    <mergeCell ref="D298:D300"/>
    <mergeCell ref="D301:D304"/>
    <mergeCell ref="D305:D308"/>
    <mergeCell ref="D309:D310"/>
    <mergeCell ref="D311:D314"/>
    <mergeCell ref="D315:D318"/>
    <mergeCell ref="D319:D320"/>
    <mergeCell ref="D321:D323"/>
    <mergeCell ref="D324:D326"/>
    <mergeCell ref="D327:D330"/>
    <mergeCell ref="D331:D334"/>
    <mergeCell ref="D335:D338"/>
    <mergeCell ref="D339:D341"/>
    <mergeCell ref="D342:D344"/>
    <mergeCell ref="D345:D347"/>
    <mergeCell ref="D348:D350"/>
    <mergeCell ref="D351:D355"/>
    <mergeCell ref="D356:D358"/>
    <mergeCell ref="D359:D360"/>
    <mergeCell ref="D361:D364"/>
    <mergeCell ref="D365:D367"/>
    <mergeCell ref="D368:D371"/>
    <mergeCell ref="D372:D374"/>
    <mergeCell ref="D375:D378"/>
    <mergeCell ref="D379:D381"/>
    <mergeCell ref="D382:D384"/>
    <mergeCell ref="D385:D387"/>
    <mergeCell ref="D388:D391"/>
    <mergeCell ref="D392:D394"/>
    <mergeCell ref="D395:D397"/>
    <mergeCell ref="D398:D400"/>
    <mergeCell ref="D401:D402"/>
    <mergeCell ref="D403:D405"/>
    <mergeCell ref="D406:D407"/>
    <mergeCell ref="D408:D411"/>
    <mergeCell ref="D412:D415"/>
    <mergeCell ref="D416:D418"/>
    <mergeCell ref="D419:D421"/>
    <mergeCell ref="D422:D425"/>
    <mergeCell ref="D426:D427"/>
    <mergeCell ref="D428:D430"/>
    <mergeCell ref="D431:D433"/>
    <mergeCell ref="D434:D438"/>
    <mergeCell ref="D439:D442"/>
    <mergeCell ref="D443:D444"/>
    <mergeCell ref="D445:D448"/>
    <mergeCell ref="D449:D451"/>
    <mergeCell ref="D452:D455"/>
    <mergeCell ref="D456:D458"/>
    <mergeCell ref="D459:D462"/>
    <mergeCell ref="D463:D465"/>
    <mergeCell ref="D466:D467"/>
    <mergeCell ref="D468:D469"/>
    <mergeCell ref="D470:D471"/>
    <mergeCell ref="D472:D474"/>
    <mergeCell ref="D475:D476"/>
    <mergeCell ref="D477:D479"/>
    <mergeCell ref="D480:D482"/>
    <mergeCell ref="D483:D484"/>
    <mergeCell ref="D485:D487"/>
    <mergeCell ref="D488:D490"/>
    <mergeCell ref="D491:D493"/>
    <mergeCell ref="D494:D497"/>
    <mergeCell ref="D498:D501"/>
    <mergeCell ref="D502:D505"/>
    <mergeCell ref="D506:D509"/>
    <mergeCell ref="D510:D513"/>
    <mergeCell ref="D514:D517"/>
    <mergeCell ref="D518:D520"/>
    <mergeCell ref="D521:D523"/>
    <mergeCell ref="D524:D526"/>
    <mergeCell ref="D527:D530"/>
    <mergeCell ref="D531:D534"/>
    <mergeCell ref="D535:D536"/>
    <mergeCell ref="D537:D540"/>
    <mergeCell ref="D541:D543"/>
    <mergeCell ref="D544:D546"/>
    <mergeCell ref="D547:D549"/>
    <mergeCell ref="D550:D552"/>
    <mergeCell ref="D553:D555"/>
    <mergeCell ref="D556:D559"/>
    <mergeCell ref="D560:D564"/>
    <mergeCell ref="D565:D567"/>
    <mergeCell ref="D568:D570"/>
    <mergeCell ref="D571:D573"/>
    <mergeCell ref="D574:D575"/>
    <mergeCell ref="D576:D578"/>
    <mergeCell ref="D579:D580"/>
    <mergeCell ref="D581:D582"/>
    <mergeCell ref="D583:D584"/>
    <mergeCell ref="D585:D587"/>
    <mergeCell ref="D588:D590"/>
    <mergeCell ref="D591:D594"/>
    <mergeCell ref="D595:D598"/>
    <mergeCell ref="D599:D601"/>
    <mergeCell ref="D602:D605"/>
    <mergeCell ref="D606:D608"/>
    <mergeCell ref="D609:D611"/>
    <mergeCell ref="D612:D614"/>
    <mergeCell ref="D615:D617"/>
    <mergeCell ref="D618:D620"/>
    <mergeCell ref="D621:D624"/>
    <mergeCell ref="D625:D627"/>
    <mergeCell ref="D628:D630"/>
    <mergeCell ref="D631:D633"/>
    <mergeCell ref="D634:D637"/>
    <mergeCell ref="D638:D640"/>
    <mergeCell ref="D641:D644"/>
    <mergeCell ref="D645:D648"/>
    <mergeCell ref="D649:D652"/>
    <mergeCell ref="D653:D655"/>
    <mergeCell ref="D656:D659"/>
    <mergeCell ref="D660:D662"/>
    <mergeCell ref="D663:D665"/>
    <mergeCell ref="D666:D668"/>
    <mergeCell ref="D669:D671"/>
    <mergeCell ref="D672:D674"/>
    <mergeCell ref="D675:D677"/>
    <mergeCell ref="D678:D681"/>
    <mergeCell ref="D682:D683"/>
    <mergeCell ref="D684:D686"/>
    <mergeCell ref="D687:D689"/>
    <mergeCell ref="D690:D693"/>
    <mergeCell ref="D694:D697"/>
    <mergeCell ref="D698:D700"/>
    <mergeCell ref="D701:D703"/>
    <mergeCell ref="D704:D707"/>
    <mergeCell ref="D708:D711"/>
    <mergeCell ref="D712:D714"/>
    <mergeCell ref="D715:D716"/>
    <mergeCell ref="D717:D719"/>
    <mergeCell ref="D720:D721"/>
    <mergeCell ref="D722:D723"/>
    <mergeCell ref="D724:D726"/>
    <mergeCell ref="D727:D729"/>
    <mergeCell ref="D730:D732"/>
    <mergeCell ref="D733:D735"/>
    <mergeCell ref="D736:D739"/>
    <mergeCell ref="D740:D742"/>
    <mergeCell ref="D743:D744"/>
    <mergeCell ref="D745:D746"/>
    <mergeCell ref="D747:D750"/>
    <mergeCell ref="D751:D753"/>
    <mergeCell ref="D754:D756"/>
    <mergeCell ref="D757:D759"/>
    <mergeCell ref="D760:D762"/>
    <mergeCell ref="D763:D765"/>
    <mergeCell ref="D766:D768"/>
    <mergeCell ref="D769:D772"/>
    <mergeCell ref="D773:D775"/>
    <mergeCell ref="D776:D778"/>
    <mergeCell ref="D779:D781"/>
    <mergeCell ref="D782:D784"/>
    <mergeCell ref="D785:D787"/>
    <mergeCell ref="D788:D790"/>
    <mergeCell ref="D791:D794"/>
    <mergeCell ref="D795:D798"/>
    <mergeCell ref="D799:D801"/>
    <mergeCell ref="D802:D805"/>
    <mergeCell ref="D806:D808"/>
    <mergeCell ref="D809:D811"/>
    <mergeCell ref="D812:D814"/>
    <mergeCell ref="D815:D817"/>
    <mergeCell ref="D818:D820"/>
    <mergeCell ref="D821:D823"/>
    <mergeCell ref="D824:D825"/>
    <mergeCell ref="D826:D828"/>
    <mergeCell ref="D829:D831"/>
    <mergeCell ref="D832:D834"/>
    <mergeCell ref="D835:D836"/>
    <mergeCell ref="D837:D839"/>
    <mergeCell ref="D840:D843"/>
    <mergeCell ref="D844:D846"/>
    <mergeCell ref="D847:D849"/>
    <mergeCell ref="D850:D852"/>
    <mergeCell ref="D853:D856"/>
    <mergeCell ref="D857:D859"/>
    <mergeCell ref="D860:D863"/>
    <mergeCell ref="D864:D867"/>
    <mergeCell ref="D868:D870"/>
    <mergeCell ref="D871:D874"/>
    <mergeCell ref="D875:D877"/>
    <mergeCell ref="D878:D880"/>
    <mergeCell ref="D881:D884"/>
    <mergeCell ref="D885:D888"/>
    <mergeCell ref="D889:D892"/>
    <mergeCell ref="D893:D895"/>
    <mergeCell ref="D896:D898"/>
    <mergeCell ref="D899:D901"/>
    <mergeCell ref="D902:D904"/>
    <mergeCell ref="D905:D908"/>
    <mergeCell ref="D909:D912"/>
    <mergeCell ref="D913:D915"/>
    <mergeCell ref="D916:D917"/>
    <mergeCell ref="D918:D921"/>
    <mergeCell ref="D922:D923"/>
    <mergeCell ref="D924:D926"/>
    <mergeCell ref="D927:D929"/>
    <mergeCell ref="D930:D931"/>
    <mergeCell ref="D932:D934"/>
    <mergeCell ref="D935:D937"/>
    <mergeCell ref="D938:D941"/>
    <mergeCell ref="D942:D944"/>
    <mergeCell ref="D945:D947"/>
    <mergeCell ref="D948:D949"/>
    <mergeCell ref="D950:D951"/>
    <mergeCell ref="D952:D954"/>
    <mergeCell ref="D955:D957"/>
    <mergeCell ref="D958:D961"/>
    <mergeCell ref="D962:D964"/>
    <mergeCell ref="D965:D967"/>
    <mergeCell ref="D968:D970"/>
    <mergeCell ref="D971:D974"/>
    <mergeCell ref="D975:D978"/>
    <mergeCell ref="D979:D981"/>
    <mergeCell ref="D982:D985"/>
    <mergeCell ref="D986:D989"/>
    <mergeCell ref="D990:D992"/>
    <mergeCell ref="D993:D995"/>
    <mergeCell ref="D996:D997"/>
    <mergeCell ref="D998:D999"/>
    <mergeCell ref="D1000:D1002"/>
    <mergeCell ref="D1003:D1004"/>
    <mergeCell ref="D1005:D1007"/>
    <mergeCell ref="D1008:D1011"/>
    <mergeCell ref="D1012:D1014"/>
    <mergeCell ref="D1015:D1018"/>
    <mergeCell ref="D1019:D1021"/>
    <mergeCell ref="D1022:D1024"/>
    <mergeCell ref="D1025:D1027"/>
    <mergeCell ref="D1028:D1030"/>
    <mergeCell ref="D1031:D1034"/>
    <mergeCell ref="D1035:D1037"/>
    <mergeCell ref="D1038:D1041"/>
    <mergeCell ref="D1042:D1045"/>
    <mergeCell ref="D1046:D1048"/>
    <mergeCell ref="D1049:D1052"/>
    <mergeCell ref="D1053:D1056"/>
    <mergeCell ref="D1057:D1058"/>
    <mergeCell ref="D1059:D1060"/>
    <mergeCell ref="D1061:D1063"/>
    <mergeCell ref="D1064:D1066"/>
    <mergeCell ref="D1067:D1069"/>
    <mergeCell ref="D1070:D1072"/>
    <mergeCell ref="D1073:D1076"/>
    <mergeCell ref="D1077:D1079"/>
    <mergeCell ref="D1080:D1081"/>
    <mergeCell ref="E2:E4"/>
    <mergeCell ref="E5:E8"/>
    <mergeCell ref="E9:E11"/>
    <mergeCell ref="E12:E15"/>
    <mergeCell ref="E16:E19"/>
    <mergeCell ref="E20:E24"/>
    <mergeCell ref="E25:E27"/>
    <mergeCell ref="E28:E30"/>
    <mergeCell ref="E31:E33"/>
    <mergeCell ref="E34:E37"/>
    <mergeCell ref="E38:E41"/>
    <mergeCell ref="E42:E45"/>
    <mergeCell ref="E46:E49"/>
    <mergeCell ref="E50:E53"/>
    <mergeCell ref="E54:E57"/>
    <mergeCell ref="E58:E60"/>
    <mergeCell ref="E61:E64"/>
    <mergeCell ref="E65:E68"/>
    <mergeCell ref="E69:E72"/>
    <mergeCell ref="E73:E76"/>
    <mergeCell ref="E77:E80"/>
    <mergeCell ref="E81:E84"/>
    <mergeCell ref="E85:E88"/>
    <mergeCell ref="E89:E91"/>
    <mergeCell ref="E92:E95"/>
    <mergeCell ref="E96:E99"/>
    <mergeCell ref="E100:E102"/>
    <mergeCell ref="E103:E106"/>
    <mergeCell ref="E107:E110"/>
    <mergeCell ref="E111:E114"/>
    <mergeCell ref="E115:E118"/>
    <mergeCell ref="E119:E122"/>
    <mergeCell ref="E123:E126"/>
    <mergeCell ref="E127:E130"/>
    <mergeCell ref="E131:E134"/>
    <mergeCell ref="E135:E138"/>
    <mergeCell ref="E139:E140"/>
    <mergeCell ref="E141:E144"/>
    <mergeCell ref="E145:E148"/>
    <mergeCell ref="E149:E151"/>
    <mergeCell ref="E152:E154"/>
    <mergeCell ref="E155:E156"/>
    <mergeCell ref="E157:E159"/>
    <mergeCell ref="E160:E163"/>
    <mergeCell ref="E164:E167"/>
    <mergeCell ref="E168:E170"/>
    <mergeCell ref="E171:E172"/>
    <mergeCell ref="E173:E176"/>
    <mergeCell ref="E177:E180"/>
    <mergeCell ref="E181:E184"/>
    <mergeCell ref="E185:E188"/>
    <mergeCell ref="E189:E191"/>
    <mergeCell ref="E192:E193"/>
    <mergeCell ref="E194:E197"/>
    <mergeCell ref="E198:E199"/>
    <mergeCell ref="E200:E201"/>
    <mergeCell ref="E202:E205"/>
    <mergeCell ref="E206:E207"/>
    <mergeCell ref="E208:E210"/>
    <mergeCell ref="E211:E213"/>
    <mergeCell ref="E214:E216"/>
    <mergeCell ref="E217:E219"/>
    <mergeCell ref="E220:E222"/>
    <mergeCell ref="E223:E226"/>
    <mergeCell ref="E227:E229"/>
    <mergeCell ref="E230:E232"/>
    <mergeCell ref="E233:E236"/>
    <mergeCell ref="E237:E238"/>
    <mergeCell ref="E239:E240"/>
    <mergeCell ref="E241:E243"/>
    <mergeCell ref="E244:E246"/>
    <mergeCell ref="E247:E250"/>
    <mergeCell ref="E251:E254"/>
    <mergeCell ref="E255:E256"/>
    <mergeCell ref="E257:E260"/>
    <mergeCell ref="E261:E264"/>
    <mergeCell ref="E265:E267"/>
    <mergeCell ref="E268:E270"/>
    <mergeCell ref="E271:E273"/>
    <mergeCell ref="E274:E277"/>
    <mergeCell ref="E278:E280"/>
    <mergeCell ref="E281:E284"/>
    <mergeCell ref="E285:E287"/>
    <mergeCell ref="E288:E290"/>
    <mergeCell ref="E291:E294"/>
    <mergeCell ref="E295:E297"/>
    <mergeCell ref="E298:E300"/>
    <mergeCell ref="E301:E304"/>
    <mergeCell ref="E305:E308"/>
    <mergeCell ref="E309:E310"/>
    <mergeCell ref="E311:E314"/>
    <mergeCell ref="E315:E318"/>
    <mergeCell ref="E319:E320"/>
    <mergeCell ref="E321:E323"/>
    <mergeCell ref="E324:E326"/>
    <mergeCell ref="E327:E330"/>
    <mergeCell ref="E331:E334"/>
    <mergeCell ref="E335:E338"/>
    <mergeCell ref="E339:E341"/>
    <mergeCell ref="E342:E344"/>
    <mergeCell ref="E345:E347"/>
    <mergeCell ref="E348:E350"/>
    <mergeCell ref="E351:E355"/>
    <mergeCell ref="E356:E358"/>
    <mergeCell ref="E359:E360"/>
    <mergeCell ref="E361:E364"/>
    <mergeCell ref="E365:E367"/>
    <mergeCell ref="E368:E371"/>
    <mergeCell ref="E372:E374"/>
    <mergeCell ref="E375:E378"/>
    <mergeCell ref="E379:E381"/>
    <mergeCell ref="E382:E384"/>
    <mergeCell ref="E385:E387"/>
    <mergeCell ref="E388:E391"/>
    <mergeCell ref="E392:E394"/>
    <mergeCell ref="E395:E397"/>
    <mergeCell ref="E398:E400"/>
    <mergeCell ref="E401:E402"/>
    <mergeCell ref="E403:E405"/>
    <mergeCell ref="E406:E407"/>
    <mergeCell ref="E408:E411"/>
    <mergeCell ref="E412:E415"/>
    <mergeCell ref="E416:E418"/>
    <mergeCell ref="E419:E421"/>
    <mergeCell ref="E422:E425"/>
    <mergeCell ref="E426:E427"/>
    <mergeCell ref="E428:E430"/>
    <mergeCell ref="E431:E433"/>
    <mergeCell ref="E434:E438"/>
    <mergeCell ref="E439:E442"/>
    <mergeCell ref="E443:E444"/>
    <mergeCell ref="E445:E448"/>
    <mergeCell ref="E449:E451"/>
    <mergeCell ref="E452:E455"/>
    <mergeCell ref="E456:E458"/>
    <mergeCell ref="E459:E462"/>
    <mergeCell ref="E463:E465"/>
    <mergeCell ref="E466:E467"/>
    <mergeCell ref="E468:E469"/>
    <mergeCell ref="E470:E471"/>
    <mergeCell ref="E472:E474"/>
    <mergeCell ref="E475:E476"/>
    <mergeCell ref="E477:E479"/>
    <mergeCell ref="E480:E482"/>
    <mergeCell ref="E483:E484"/>
    <mergeCell ref="E485:E487"/>
    <mergeCell ref="E488:E490"/>
    <mergeCell ref="E491:E493"/>
    <mergeCell ref="E494:E497"/>
    <mergeCell ref="E498:E501"/>
    <mergeCell ref="E502:E505"/>
    <mergeCell ref="E506:E509"/>
    <mergeCell ref="E510:E513"/>
    <mergeCell ref="E514:E517"/>
    <mergeCell ref="E518:E520"/>
    <mergeCell ref="E521:E523"/>
    <mergeCell ref="E524:E526"/>
    <mergeCell ref="E527:E530"/>
    <mergeCell ref="E531:E534"/>
    <mergeCell ref="E535:E536"/>
    <mergeCell ref="E537:E540"/>
    <mergeCell ref="E541:E543"/>
    <mergeCell ref="E544:E546"/>
    <mergeCell ref="E547:E549"/>
    <mergeCell ref="E550:E552"/>
    <mergeCell ref="E553:E555"/>
    <mergeCell ref="E556:E559"/>
    <mergeCell ref="E560:E564"/>
    <mergeCell ref="E565:E567"/>
    <mergeCell ref="E568:E570"/>
    <mergeCell ref="E571:E573"/>
    <mergeCell ref="E574:E575"/>
    <mergeCell ref="E576:E578"/>
    <mergeCell ref="E579:E580"/>
    <mergeCell ref="E581:E582"/>
    <mergeCell ref="E583:E584"/>
    <mergeCell ref="E585:E587"/>
    <mergeCell ref="E588:E590"/>
    <mergeCell ref="E591:E594"/>
    <mergeCell ref="E595:E598"/>
    <mergeCell ref="E599:E601"/>
    <mergeCell ref="E602:E605"/>
    <mergeCell ref="E606:E608"/>
    <mergeCell ref="E609:E611"/>
    <mergeCell ref="E612:E614"/>
    <mergeCell ref="E615:E617"/>
    <mergeCell ref="E618:E620"/>
    <mergeCell ref="E621:E624"/>
    <mergeCell ref="E625:E627"/>
    <mergeCell ref="E628:E630"/>
    <mergeCell ref="E631:E633"/>
    <mergeCell ref="E634:E637"/>
    <mergeCell ref="E638:E640"/>
    <mergeCell ref="E641:E644"/>
    <mergeCell ref="E645:E648"/>
    <mergeCell ref="E649:E652"/>
    <mergeCell ref="E653:E655"/>
    <mergeCell ref="E656:E659"/>
    <mergeCell ref="E660:E662"/>
    <mergeCell ref="E663:E665"/>
    <mergeCell ref="E666:E668"/>
    <mergeCell ref="E669:E671"/>
    <mergeCell ref="E672:E674"/>
    <mergeCell ref="E675:E677"/>
    <mergeCell ref="E678:E681"/>
    <mergeCell ref="E682:E683"/>
    <mergeCell ref="E684:E686"/>
    <mergeCell ref="E687:E689"/>
    <mergeCell ref="E690:E693"/>
    <mergeCell ref="E694:E697"/>
    <mergeCell ref="E698:E700"/>
    <mergeCell ref="E701:E703"/>
    <mergeCell ref="E704:E707"/>
    <mergeCell ref="E708:E711"/>
    <mergeCell ref="E712:E714"/>
    <mergeCell ref="E715:E716"/>
    <mergeCell ref="E717:E719"/>
    <mergeCell ref="E720:E721"/>
    <mergeCell ref="E722:E723"/>
    <mergeCell ref="E724:E726"/>
    <mergeCell ref="E727:E729"/>
    <mergeCell ref="E730:E732"/>
    <mergeCell ref="E733:E735"/>
    <mergeCell ref="E736:E739"/>
    <mergeCell ref="E740:E742"/>
    <mergeCell ref="E743:E744"/>
    <mergeCell ref="E745:E746"/>
    <mergeCell ref="E747:E750"/>
    <mergeCell ref="E751:E753"/>
    <mergeCell ref="E754:E756"/>
    <mergeCell ref="E757:E759"/>
    <mergeCell ref="E760:E762"/>
    <mergeCell ref="E763:E765"/>
    <mergeCell ref="E766:E768"/>
    <mergeCell ref="E769:E772"/>
    <mergeCell ref="E773:E775"/>
    <mergeCell ref="E776:E778"/>
    <mergeCell ref="E779:E781"/>
    <mergeCell ref="E782:E784"/>
    <mergeCell ref="E785:E787"/>
    <mergeCell ref="E788:E790"/>
    <mergeCell ref="E791:E794"/>
    <mergeCell ref="E795:E798"/>
    <mergeCell ref="E799:E801"/>
    <mergeCell ref="E802:E805"/>
    <mergeCell ref="E806:E808"/>
    <mergeCell ref="E809:E811"/>
    <mergeCell ref="E812:E814"/>
    <mergeCell ref="E815:E817"/>
    <mergeCell ref="E818:E820"/>
    <mergeCell ref="E821:E823"/>
    <mergeCell ref="E824:E825"/>
    <mergeCell ref="E826:E828"/>
    <mergeCell ref="E829:E831"/>
    <mergeCell ref="E832:E834"/>
    <mergeCell ref="E835:E836"/>
    <mergeCell ref="E837:E839"/>
    <mergeCell ref="E840:E843"/>
    <mergeCell ref="E844:E846"/>
    <mergeCell ref="E847:E849"/>
    <mergeCell ref="E850:E852"/>
    <mergeCell ref="E853:E856"/>
    <mergeCell ref="E857:E859"/>
    <mergeCell ref="E860:E863"/>
    <mergeCell ref="E864:E867"/>
    <mergeCell ref="E868:E870"/>
    <mergeCell ref="E871:E874"/>
    <mergeCell ref="E875:E877"/>
    <mergeCell ref="E878:E880"/>
    <mergeCell ref="E881:E884"/>
    <mergeCell ref="E885:E888"/>
    <mergeCell ref="E889:E892"/>
    <mergeCell ref="E893:E895"/>
    <mergeCell ref="E896:E898"/>
    <mergeCell ref="E899:E901"/>
    <mergeCell ref="E902:E904"/>
    <mergeCell ref="E905:E908"/>
    <mergeCell ref="E909:E912"/>
    <mergeCell ref="E913:E915"/>
    <mergeCell ref="E916:E917"/>
    <mergeCell ref="E918:E921"/>
    <mergeCell ref="E922:E923"/>
    <mergeCell ref="E924:E926"/>
    <mergeCell ref="E927:E929"/>
    <mergeCell ref="E930:E931"/>
    <mergeCell ref="E932:E934"/>
    <mergeCell ref="E935:E937"/>
    <mergeCell ref="E938:E941"/>
    <mergeCell ref="E942:E944"/>
    <mergeCell ref="E945:E947"/>
    <mergeCell ref="E948:E949"/>
    <mergeCell ref="E950:E951"/>
    <mergeCell ref="E952:E954"/>
    <mergeCell ref="E955:E957"/>
    <mergeCell ref="E958:E961"/>
    <mergeCell ref="E962:E964"/>
    <mergeCell ref="E965:E967"/>
    <mergeCell ref="E968:E970"/>
    <mergeCell ref="E971:E974"/>
    <mergeCell ref="E975:E978"/>
    <mergeCell ref="E979:E981"/>
    <mergeCell ref="E982:E985"/>
    <mergeCell ref="E986:E989"/>
    <mergeCell ref="E990:E992"/>
    <mergeCell ref="E993:E995"/>
    <mergeCell ref="E996:E997"/>
    <mergeCell ref="E998:E999"/>
    <mergeCell ref="E1000:E1002"/>
    <mergeCell ref="E1003:E1004"/>
    <mergeCell ref="E1005:E1007"/>
    <mergeCell ref="E1008:E1011"/>
    <mergeCell ref="E1012:E1014"/>
    <mergeCell ref="E1015:E1018"/>
    <mergeCell ref="E1019:E1021"/>
    <mergeCell ref="E1022:E1024"/>
    <mergeCell ref="E1025:E1027"/>
    <mergeCell ref="E1028:E1030"/>
    <mergeCell ref="E1031:E1034"/>
    <mergeCell ref="E1035:E1037"/>
    <mergeCell ref="E1038:E1041"/>
    <mergeCell ref="E1042:E1045"/>
    <mergeCell ref="E1046:E1048"/>
    <mergeCell ref="E1049:E1052"/>
    <mergeCell ref="E1053:E1056"/>
    <mergeCell ref="E1057:E1058"/>
    <mergeCell ref="E1059:E1060"/>
    <mergeCell ref="E1061:E1063"/>
    <mergeCell ref="E1064:E1066"/>
    <mergeCell ref="E1067:E1069"/>
    <mergeCell ref="E1070:E1072"/>
    <mergeCell ref="E1073:E1076"/>
    <mergeCell ref="E1077:E1079"/>
    <mergeCell ref="E1080:E1081"/>
    <mergeCell ref="K2:K4"/>
    <mergeCell ref="K5:K8"/>
    <mergeCell ref="K9:K11"/>
    <mergeCell ref="K12:K15"/>
    <mergeCell ref="K16:K19"/>
    <mergeCell ref="K20:K24"/>
    <mergeCell ref="K25:K27"/>
    <mergeCell ref="K28:K30"/>
    <mergeCell ref="K31:K33"/>
    <mergeCell ref="K34:K37"/>
    <mergeCell ref="K38:K41"/>
    <mergeCell ref="K42:K45"/>
    <mergeCell ref="K46:K49"/>
    <mergeCell ref="K50:K53"/>
    <mergeCell ref="K54:K57"/>
    <mergeCell ref="K58:K60"/>
    <mergeCell ref="K61:K64"/>
    <mergeCell ref="K65:K68"/>
    <mergeCell ref="K69:K72"/>
    <mergeCell ref="K73:K76"/>
    <mergeCell ref="K77:K80"/>
    <mergeCell ref="K81:K84"/>
    <mergeCell ref="K85:K88"/>
    <mergeCell ref="K89:K91"/>
    <mergeCell ref="K92:K95"/>
    <mergeCell ref="K96:K99"/>
    <mergeCell ref="K100:K102"/>
    <mergeCell ref="K103:K106"/>
    <mergeCell ref="K107:K110"/>
    <mergeCell ref="K111:K114"/>
    <mergeCell ref="K115:K118"/>
    <mergeCell ref="K119:K122"/>
    <mergeCell ref="K123:K126"/>
    <mergeCell ref="K127:K130"/>
    <mergeCell ref="K131:K134"/>
    <mergeCell ref="K135:K138"/>
    <mergeCell ref="K139:K140"/>
    <mergeCell ref="K141:K144"/>
    <mergeCell ref="K145:K148"/>
    <mergeCell ref="K149:K151"/>
    <mergeCell ref="K152:K154"/>
    <mergeCell ref="K155:K156"/>
    <mergeCell ref="K157:K159"/>
    <mergeCell ref="K160:K163"/>
    <mergeCell ref="K164:K167"/>
    <mergeCell ref="K168:K170"/>
    <mergeCell ref="K171:K172"/>
    <mergeCell ref="K173:K176"/>
    <mergeCell ref="K177:K180"/>
    <mergeCell ref="K181:K184"/>
    <mergeCell ref="K185:K188"/>
    <mergeCell ref="K189:K191"/>
    <mergeCell ref="K192:K193"/>
    <mergeCell ref="K194:K197"/>
    <mergeCell ref="K198:K199"/>
    <mergeCell ref="K200:K201"/>
    <mergeCell ref="K202:K205"/>
    <mergeCell ref="K206:K207"/>
    <mergeCell ref="K208:K210"/>
    <mergeCell ref="K211:K213"/>
    <mergeCell ref="K214:K216"/>
    <mergeCell ref="K217:K219"/>
    <mergeCell ref="K220:K222"/>
    <mergeCell ref="K223:K226"/>
    <mergeCell ref="K227:K229"/>
    <mergeCell ref="K230:K232"/>
    <mergeCell ref="K233:K236"/>
    <mergeCell ref="K237:K238"/>
    <mergeCell ref="K239:K240"/>
    <mergeCell ref="K241:K243"/>
    <mergeCell ref="K244:K246"/>
    <mergeCell ref="K247:K250"/>
    <mergeCell ref="K251:K254"/>
    <mergeCell ref="K255:K256"/>
    <mergeCell ref="K257:K260"/>
    <mergeCell ref="K261:K264"/>
    <mergeCell ref="K265:K267"/>
    <mergeCell ref="K268:K270"/>
    <mergeCell ref="K271:K273"/>
    <mergeCell ref="K274:K277"/>
    <mergeCell ref="K278:K280"/>
    <mergeCell ref="K281:K284"/>
    <mergeCell ref="K285:K287"/>
    <mergeCell ref="K288:K290"/>
    <mergeCell ref="K291:K294"/>
    <mergeCell ref="K295:K297"/>
    <mergeCell ref="K298:K300"/>
    <mergeCell ref="K301:K304"/>
    <mergeCell ref="K305:K308"/>
    <mergeCell ref="K309:K310"/>
    <mergeCell ref="K311:K314"/>
    <mergeCell ref="K315:K318"/>
    <mergeCell ref="K319:K320"/>
    <mergeCell ref="K321:K323"/>
    <mergeCell ref="K324:K326"/>
    <mergeCell ref="K327:K330"/>
    <mergeCell ref="K331:K334"/>
    <mergeCell ref="K335:K338"/>
    <mergeCell ref="K339:K341"/>
    <mergeCell ref="K342:K344"/>
    <mergeCell ref="K345:K347"/>
    <mergeCell ref="K348:K350"/>
    <mergeCell ref="K351:K355"/>
    <mergeCell ref="K356:K358"/>
    <mergeCell ref="K359:K360"/>
    <mergeCell ref="K361:K364"/>
    <mergeCell ref="K365:K367"/>
    <mergeCell ref="K368:K371"/>
    <mergeCell ref="K372:K374"/>
    <mergeCell ref="K375:K378"/>
    <mergeCell ref="K379:K381"/>
    <mergeCell ref="K382:K384"/>
    <mergeCell ref="K385:K387"/>
    <mergeCell ref="K388:K391"/>
    <mergeCell ref="K392:K394"/>
    <mergeCell ref="K395:K397"/>
    <mergeCell ref="K398:K400"/>
    <mergeCell ref="K401:K402"/>
    <mergeCell ref="K403:K405"/>
    <mergeCell ref="K406:K407"/>
    <mergeCell ref="K408:K411"/>
    <mergeCell ref="K412:K415"/>
    <mergeCell ref="K416:K418"/>
    <mergeCell ref="K419:K421"/>
    <mergeCell ref="K422:K425"/>
    <mergeCell ref="K426:K427"/>
    <mergeCell ref="K428:K430"/>
    <mergeCell ref="K431:K433"/>
    <mergeCell ref="K434:K438"/>
    <mergeCell ref="K439:K442"/>
    <mergeCell ref="K443:K444"/>
    <mergeCell ref="K445:K448"/>
    <mergeCell ref="K449:K451"/>
    <mergeCell ref="K452:K455"/>
    <mergeCell ref="K456:K458"/>
    <mergeCell ref="K459:K462"/>
    <mergeCell ref="K463:K465"/>
    <mergeCell ref="K466:K467"/>
    <mergeCell ref="K468:K469"/>
    <mergeCell ref="K470:K471"/>
    <mergeCell ref="K472:K474"/>
    <mergeCell ref="K475:K476"/>
    <mergeCell ref="K477:K479"/>
    <mergeCell ref="K480:K482"/>
    <mergeCell ref="K483:K484"/>
    <mergeCell ref="K485:K487"/>
    <mergeCell ref="K488:K490"/>
    <mergeCell ref="K491:K493"/>
    <mergeCell ref="K494:K497"/>
    <mergeCell ref="K498:K501"/>
    <mergeCell ref="K502:K505"/>
    <mergeCell ref="K506:K509"/>
    <mergeCell ref="K510:K513"/>
    <mergeCell ref="K514:K517"/>
    <mergeCell ref="K518:K520"/>
    <mergeCell ref="K521:K523"/>
    <mergeCell ref="K524:K526"/>
    <mergeCell ref="K527:K530"/>
    <mergeCell ref="K531:K534"/>
    <mergeCell ref="K535:K536"/>
    <mergeCell ref="K537:K540"/>
    <mergeCell ref="K541:K543"/>
    <mergeCell ref="K544:K546"/>
    <mergeCell ref="K547:K549"/>
    <mergeCell ref="K550:K552"/>
    <mergeCell ref="K553:K555"/>
    <mergeCell ref="K556:K559"/>
    <mergeCell ref="K560:K564"/>
    <mergeCell ref="K565:K567"/>
    <mergeCell ref="K568:K570"/>
    <mergeCell ref="K571:K573"/>
    <mergeCell ref="K574:K575"/>
    <mergeCell ref="K576:K578"/>
    <mergeCell ref="K579:K580"/>
    <mergeCell ref="K581:K582"/>
    <mergeCell ref="K583:K584"/>
    <mergeCell ref="K585:K587"/>
    <mergeCell ref="K588:K590"/>
    <mergeCell ref="K591:K594"/>
    <mergeCell ref="K595:K598"/>
    <mergeCell ref="K599:K601"/>
    <mergeCell ref="K602:K605"/>
    <mergeCell ref="K606:K608"/>
    <mergeCell ref="K609:K611"/>
    <mergeCell ref="K612:K614"/>
    <mergeCell ref="K615:K617"/>
    <mergeCell ref="K618:K620"/>
    <mergeCell ref="K621:K624"/>
    <mergeCell ref="K625:K627"/>
    <mergeCell ref="K628:K630"/>
    <mergeCell ref="K631:K633"/>
    <mergeCell ref="K634:K637"/>
    <mergeCell ref="K638:K640"/>
    <mergeCell ref="K641:K644"/>
    <mergeCell ref="K645:K648"/>
    <mergeCell ref="K649:K652"/>
    <mergeCell ref="K653:K655"/>
    <mergeCell ref="K656:K659"/>
    <mergeCell ref="K660:K662"/>
    <mergeCell ref="K663:K665"/>
    <mergeCell ref="K666:K668"/>
    <mergeCell ref="K669:K671"/>
    <mergeCell ref="K672:K674"/>
    <mergeCell ref="K675:K677"/>
    <mergeCell ref="K678:K681"/>
    <mergeCell ref="K682:K683"/>
    <mergeCell ref="K684:K686"/>
    <mergeCell ref="K687:K689"/>
    <mergeCell ref="K690:K693"/>
    <mergeCell ref="K694:K697"/>
    <mergeCell ref="K698:K700"/>
    <mergeCell ref="K701:K703"/>
    <mergeCell ref="K704:K707"/>
    <mergeCell ref="K708:K711"/>
    <mergeCell ref="K712:K714"/>
    <mergeCell ref="K715:K716"/>
    <mergeCell ref="K717:K719"/>
    <mergeCell ref="K720:K721"/>
    <mergeCell ref="K722:K723"/>
    <mergeCell ref="K724:K726"/>
    <mergeCell ref="K727:K729"/>
    <mergeCell ref="K730:K732"/>
    <mergeCell ref="K733:K735"/>
    <mergeCell ref="K736:K739"/>
    <mergeCell ref="K740:K742"/>
    <mergeCell ref="K743:K744"/>
    <mergeCell ref="K745:K746"/>
    <mergeCell ref="K747:K750"/>
    <mergeCell ref="K751:K753"/>
    <mergeCell ref="K754:K756"/>
    <mergeCell ref="K757:K759"/>
    <mergeCell ref="K760:K762"/>
    <mergeCell ref="K763:K765"/>
    <mergeCell ref="K766:K768"/>
    <mergeCell ref="K769:K772"/>
    <mergeCell ref="K773:K775"/>
    <mergeCell ref="K776:K778"/>
    <mergeCell ref="K779:K781"/>
    <mergeCell ref="K782:K784"/>
    <mergeCell ref="K785:K787"/>
    <mergeCell ref="K788:K790"/>
    <mergeCell ref="K791:K794"/>
    <mergeCell ref="K795:K798"/>
    <mergeCell ref="K799:K801"/>
    <mergeCell ref="K802:K805"/>
    <mergeCell ref="K806:K808"/>
    <mergeCell ref="K809:K811"/>
    <mergeCell ref="K812:K814"/>
    <mergeCell ref="K815:K817"/>
    <mergeCell ref="K818:K820"/>
    <mergeCell ref="K821:K823"/>
    <mergeCell ref="K824:K825"/>
    <mergeCell ref="K826:K828"/>
    <mergeCell ref="K829:K831"/>
    <mergeCell ref="K832:K834"/>
    <mergeCell ref="K835:K836"/>
    <mergeCell ref="K837:K839"/>
    <mergeCell ref="K840:K843"/>
    <mergeCell ref="K844:K846"/>
    <mergeCell ref="K847:K849"/>
    <mergeCell ref="K850:K852"/>
    <mergeCell ref="K853:K856"/>
    <mergeCell ref="K857:K859"/>
    <mergeCell ref="K860:K863"/>
    <mergeCell ref="K864:K867"/>
    <mergeCell ref="K868:K870"/>
    <mergeCell ref="K871:K874"/>
    <mergeCell ref="K875:K877"/>
    <mergeCell ref="K878:K880"/>
    <mergeCell ref="K881:K884"/>
    <mergeCell ref="K885:K888"/>
    <mergeCell ref="K889:K892"/>
    <mergeCell ref="K893:K895"/>
    <mergeCell ref="K896:K898"/>
    <mergeCell ref="K899:K901"/>
    <mergeCell ref="K902:K904"/>
    <mergeCell ref="K905:K908"/>
    <mergeCell ref="K909:K912"/>
    <mergeCell ref="K913:K915"/>
    <mergeCell ref="K916:K917"/>
    <mergeCell ref="K918:K921"/>
    <mergeCell ref="K922:K923"/>
    <mergeCell ref="K924:K926"/>
    <mergeCell ref="K927:K929"/>
    <mergeCell ref="K930:K931"/>
    <mergeCell ref="K932:K934"/>
    <mergeCell ref="K935:K937"/>
    <mergeCell ref="K938:K941"/>
    <mergeCell ref="K942:K944"/>
    <mergeCell ref="K945:K947"/>
    <mergeCell ref="K948:K949"/>
    <mergeCell ref="K950:K951"/>
    <mergeCell ref="K952:K954"/>
    <mergeCell ref="K955:K957"/>
    <mergeCell ref="K958:K961"/>
    <mergeCell ref="K962:K964"/>
    <mergeCell ref="K965:K967"/>
    <mergeCell ref="K968:K970"/>
    <mergeCell ref="K971:K974"/>
    <mergeCell ref="K975:K978"/>
    <mergeCell ref="K979:K981"/>
    <mergeCell ref="K982:K985"/>
    <mergeCell ref="K986:K989"/>
    <mergeCell ref="K990:K992"/>
    <mergeCell ref="K993:K995"/>
    <mergeCell ref="K996:K997"/>
    <mergeCell ref="K998:K999"/>
    <mergeCell ref="K1000:K1002"/>
    <mergeCell ref="K1003:K1004"/>
    <mergeCell ref="K1005:K1007"/>
    <mergeCell ref="K1008:K1011"/>
    <mergeCell ref="K1012:K1014"/>
    <mergeCell ref="K1015:K1018"/>
    <mergeCell ref="K1019:K1021"/>
    <mergeCell ref="K1022:K1024"/>
    <mergeCell ref="K1025:K1027"/>
    <mergeCell ref="K1028:K1030"/>
    <mergeCell ref="K1031:K1034"/>
    <mergeCell ref="K1035:K1037"/>
    <mergeCell ref="K1038:K1041"/>
    <mergeCell ref="K1042:K1045"/>
    <mergeCell ref="K1046:K1048"/>
    <mergeCell ref="K1049:K1052"/>
    <mergeCell ref="K1053:K1056"/>
    <mergeCell ref="K1057:K1058"/>
    <mergeCell ref="K1059:K1060"/>
    <mergeCell ref="K1061:K1063"/>
    <mergeCell ref="K1064:K1066"/>
    <mergeCell ref="K1067:K1069"/>
    <mergeCell ref="K1070:K1072"/>
    <mergeCell ref="K1073:K1076"/>
    <mergeCell ref="K1077:K1079"/>
    <mergeCell ref="K1080:K1081"/>
  </mergeCells>
  <conditionalFormatting sqref="B206">
    <cfRule type="duplicateValues" dxfId="0" priority="26"/>
  </conditionalFormatting>
  <conditionalFormatting sqref="B208">
    <cfRule type="duplicateValues" dxfId="0" priority="25"/>
  </conditionalFormatting>
  <conditionalFormatting sqref="B211">
    <cfRule type="duplicateValues" dxfId="0" priority="24"/>
  </conditionalFormatting>
  <conditionalFormatting sqref="B214">
    <cfRule type="duplicateValues" dxfId="0" priority="23"/>
  </conditionalFormatting>
  <conditionalFormatting sqref="B217">
    <cfRule type="duplicateValues" dxfId="0" priority="22"/>
  </conditionalFormatting>
  <conditionalFormatting sqref="B220">
    <cfRule type="duplicateValues" dxfId="0" priority="21"/>
  </conditionalFormatting>
  <conditionalFormatting sqref="B223">
    <cfRule type="duplicateValues" dxfId="0" priority="20"/>
  </conditionalFormatting>
  <conditionalFormatting sqref="B227">
    <cfRule type="duplicateValues" dxfId="0" priority="19"/>
  </conditionalFormatting>
  <conditionalFormatting sqref="B230">
    <cfRule type="duplicateValues" dxfId="0" priority="18"/>
  </conditionalFormatting>
  <conditionalFormatting sqref="B233">
    <cfRule type="duplicateValues" dxfId="0" priority="17"/>
  </conditionalFormatting>
  <conditionalFormatting sqref="B237">
    <cfRule type="duplicateValues" dxfId="0" priority="16"/>
  </conditionalFormatting>
  <conditionalFormatting sqref="B244">
    <cfRule type="duplicateValues" dxfId="0" priority="15"/>
  </conditionalFormatting>
  <conditionalFormatting sqref="B247">
    <cfRule type="duplicateValues" dxfId="0" priority="14"/>
  </conditionalFormatting>
  <conditionalFormatting sqref="B251">
    <cfRule type="duplicateValues" dxfId="0" priority="13"/>
  </conditionalFormatting>
  <conditionalFormatting sqref="B261">
    <cfRule type="duplicateValues" dxfId="0" priority="12"/>
  </conditionalFormatting>
  <conditionalFormatting sqref="B278">
    <cfRule type="duplicateValues" dxfId="0" priority="8"/>
  </conditionalFormatting>
  <conditionalFormatting sqref="B281">
    <cfRule type="duplicateValues" dxfId="0" priority="7"/>
  </conditionalFormatting>
  <conditionalFormatting sqref="B285">
    <cfRule type="duplicateValues" dxfId="0" priority="6"/>
  </conditionalFormatting>
  <conditionalFormatting sqref="B288">
    <cfRule type="duplicateValues" dxfId="0" priority="5"/>
  </conditionalFormatting>
  <conditionalFormatting sqref="B291">
    <cfRule type="duplicateValues" dxfId="0" priority="4"/>
  </conditionalFormatting>
  <conditionalFormatting sqref="B295">
    <cfRule type="duplicateValues" dxfId="0" priority="3"/>
  </conditionalFormatting>
  <conditionalFormatting sqref="B298">
    <cfRule type="duplicateValues" dxfId="0" priority="2"/>
  </conditionalFormatting>
  <conditionalFormatting sqref="B301">
    <cfRule type="duplicateValues" dxfId="0" priority="9"/>
  </conditionalFormatting>
  <conditionalFormatting sqref="B305">
    <cfRule type="duplicateValues" dxfId="0" priority="1"/>
  </conditionalFormatting>
  <conditionalFormatting sqref="B309">
    <cfRule type="duplicateValues" dxfId="0" priority="11"/>
  </conditionalFormatting>
  <conditionalFormatting sqref="B311">
    <cfRule type="duplicateValues" dxfId="0" priority="10"/>
  </conditionalFormatting>
  <conditionalFormatting sqref="B157 B149 B160 B152 B155">
    <cfRule type="duplicateValues" dxfId="0" priority="29"/>
  </conditionalFormatting>
  <conditionalFormatting sqref="B173 B164 B168 B171">
    <cfRule type="duplicateValues" dxfId="0" priority="28"/>
  </conditionalFormatting>
  <conditionalFormatting sqref="B177 B181 B185 B189 B192 B194 B198 B200 B202">
    <cfRule type="duplicateValues" dxfId="0" priority="27"/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K865"/>
  <sheetViews>
    <sheetView zoomScale="80" zoomScaleNormal="80" topLeftCell="B1" workbookViewId="0">
      <pane ySplit="1" topLeftCell="A840" activePane="bottomLeft" state="frozen"/>
      <selection/>
      <selection pane="bottomLeft" activeCell="L4" sqref="L4"/>
    </sheetView>
  </sheetViews>
  <sheetFormatPr defaultColWidth="10.8" defaultRowHeight="12"/>
  <cols>
    <col min="1" max="1" width="11" style="24" customWidth="1"/>
    <col min="2" max="2" width="36.4636363636364" style="25" customWidth="1"/>
    <col min="3" max="3" width="11" style="24" customWidth="1"/>
    <col min="4" max="5" width="18.5909090909091" style="24" customWidth="1"/>
    <col min="6" max="6" width="10.8" style="25"/>
    <col min="7" max="8" width="11" style="25" customWidth="1"/>
    <col min="9" max="9" width="10.8" style="25"/>
    <col min="10" max="10" width="11" style="25" customWidth="1"/>
    <col min="11" max="11" width="11" style="24" customWidth="1"/>
    <col min="12" max="16384" width="10.8" style="24"/>
  </cols>
  <sheetData>
    <row r="1" ht="28.05" customHeight="1" spans="1:11">
      <c r="A1" s="26" t="s">
        <v>1739</v>
      </c>
      <c r="B1" s="27" t="s">
        <v>1036</v>
      </c>
      <c r="C1" s="28" t="s">
        <v>1038</v>
      </c>
      <c r="D1" s="27" t="s">
        <v>2193</v>
      </c>
      <c r="E1" s="27" t="s">
        <v>2633</v>
      </c>
      <c r="F1" s="27" t="s">
        <v>1740</v>
      </c>
      <c r="G1" s="28" t="s">
        <v>1042</v>
      </c>
      <c r="H1" s="28" t="s">
        <v>1038</v>
      </c>
      <c r="I1" s="28" t="s">
        <v>8</v>
      </c>
      <c r="J1" s="28" t="s">
        <v>1741</v>
      </c>
      <c r="K1" s="27" t="s">
        <v>10</v>
      </c>
    </row>
    <row r="2" spans="1:11">
      <c r="A2" s="9">
        <v>45307</v>
      </c>
      <c r="B2" s="29" t="s">
        <v>2634</v>
      </c>
      <c r="C2" s="13">
        <v>10</v>
      </c>
      <c r="D2" s="8" t="s">
        <v>911</v>
      </c>
      <c r="E2" s="8" t="s">
        <v>1754</v>
      </c>
      <c r="F2" s="8" t="s">
        <v>1064</v>
      </c>
      <c r="G2" s="13">
        <v>2</v>
      </c>
      <c r="H2" s="13">
        <v>8.7</v>
      </c>
      <c r="I2" s="13" t="s">
        <v>1744</v>
      </c>
      <c r="J2" s="13">
        <v>2.97</v>
      </c>
      <c r="K2" s="8" t="s">
        <v>35</v>
      </c>
    </row>
    <row r="3" spans="1:11">
      <c r="A3" s="14"/>
      <c r="B3" s="29"/>
      <c r="C3" s="8"/>
      <c r="D3" s="8"/>
      <c r="E3" s="8"/>
      <c r="F3" s="8" t="s">
        <v>1060</v>
      </c>
      <c r="G3" s="13">
        <v>2</v>
      </c>
      <c r="H3" s="13">
        <v>0.3</v>
      </c>
      <c r="I3" s="13" t="s">
        <v>1745</v>
      </c>
      <c r="J3" s="13">
        <v>3.15</v>
      </c>
      <c r="K3" s="8"/>
    </row>
    <row r="4" spans="1:11">
      <c r="A4" s="14"/>
      <c r="B4" s="29"/>
      <c r="C4" s="8"/>
      <c r="D4" s="8"/>
      <c r="E4" s="8"/>
      <c r="F4" s="8" t="s">
        <v>1061</v>
      </c>
      <c r="G4" s="13">
        <v>2</v>
      </c>
      <c r="H4" s="13">
        <v>0.5</v>
      </c>
      <c r="I4" s="13" t="s">
        <v>2635</v>
      </c>
      <c r="J4" s="13">
        <v>4.9</v>
      </c>
      <c r="K4" s="8"/>
    </row>
    <row r="5" spans="1:11">
      <c r="A5" s="14"/>
      <c r="B5" s="29"/>
      <c r="C5" s="8"/>
      <c r="D5" s="8"/>
      <c r="E5" s="8"/>
      <c r="F5" s="8" t="s">
        <v>503</v>
      </c>
      <c r="G5" s="13">
        <v>2</v>
      </c>
      <c r="H5" s="13">
        <v>0.5</v>
      </c>
      <c r="I5" s="8" t="s">
        <v>24</v>
      </c>
      <c r="J5" s="8" t="s">
        <v>24</v>
      </c>
      <c r="K5" s="8"/>
    </row>
    <row r="6" spans="1:11">
      <c r="A6" s="9">
        <v>45309</v>
      </c>
      <c r="B6" s="8" t="s">
        <v>2636</v>
      </c>
      <c r="C6" s="13">
        <v>5</v>
      </c>
      <c r="D6" s="8" t="s">
        <v>492</v>
      </c>
      <c r="E6" s="8" t="s">
        <v>492</v>
      </c>
      <c r="F6" s="8" t="s">
        <v>1064</v>
      </c>
      <c r="G6" s="13">
        <v>1.85</v>
      </c>
      <c r="H6" s="13">
        <v>4.3</v>
      </c>
      <c r="I6" s="13" t="s">
        <v>1744</v>
      </c>
      <c r="J6" s="13">
        <v>2.9</v>
      </c>
      <c r="K6" s="8" t="s">
        <v>86</v>
      </c>
    </row>
    <row r="7" spans="1:11">
      <c r="A7" s="14"/>
      <c r="B7" s="8"/>
      <c r="C7" s="8"/>
      <c r="D7" s="8"/>
      <c r="E7" s="8"/>
      <c r="F7" s="8" t="s">
        <v>1060</v>
      </c>
      <c r="G7" s="13">
        <v>1.94</v>
      </c>
      <c r="H7" s="13">
        <v>0.35</v>
      </c>
      <c r="I7" s="13" t="s">
        <v>1745</v>
      </c>
      <c r="J7" s="13">
        <v>3.1</v>
      </c>
      <c r="K7" s="8"/>
    </row>
    <row r="8" spans="1:11">
      <c r="A8" s="14"/>
      <c r="B8" s="8"/>
      <c r="C8" s="8"/>
      <c r="D8" s="8"/>
      <c r="E8" s="8"/>
      <c r="F8" s="8" t="s">
        <v>503</v>
      </c>
      <c r="G8" s="13">
        <v>2.02</v>
      </c>
      <c r="H8" s="13">
        <v>0.35</v>
      </c>
      <c r="I8" s="8" t="s">
        <v>24</v>
      </c>
      <c r="J8" s="8" t="s">
        <v>24</v>
      </c>
      <c r="K8" s="8"/>
    </row>
    <row r="9" spans="1:11">
      <c r="A9" s="9">
        <v>45317</v>
      </c>
      <c r="B9" s="8" t="s">
        <v>2637</v>
      </c>
      <c r="C9" s="13">
        <v>5</v>
      </c>
      <c r="D9" s="8" t="s">
        <v>477</v>
      </c>
      <c r="E9" s="8" t="s">
        <v>492</v>
      </c>
      <c r="F9" s="8" t="s">
        <v>1064</v>
      </c>
      <c r="G9" s="13">
        <v>1.25</v>
      </c>
      <c r="H9" s="13">
        <v>4.45</v>
      </c>
      <c r="I9" s="13" t="s">
        <v>1744</v>
      </c>
      <c r="J9" s="13">
        <v>2.8</v>
      </c>
      <c r="K9" s="8" t="s">
        <v>129</v>
      </c>
    </row>
    <row r="10" spans="1:11">
      <c r="A10" s="14"/>
      <c r="B10" s="8"/>
      <c r="C10" s="8"/>
      <c r="D10" s="8"/>
      <c r="E10" s="8"/>
      <c r="F10" s="8" t="s">
        <v>1060</v>
      </c>
      <c r="G10" s="13">
        <v>1.42</v>
      </c>
      <c r="H10" s="13">
        <v>0.25</v>
      </c>
      <c r="I10" s="13" t="s">
        <v>1745</v>
      </c>
      <c r="J10" s="13">
        <v>2.94</v>
      </c>
      <c r="K10" s="8"/>
    </row>
    <row r="11" spans="1:11">
      <c r="A11" s="14"/>
      <c r="B11" s="8"/>
      <c r="C11" s="8"/>
      <c r="D11" s="8"/>
      <c r="E11" s="8"/>
      <c r="F11" s="8" t="s">
        <v>503</v>
      </c>
      <c r="G11" s="13">
        <v>2</v>
      </c>
      <c r="H11" s="13">
        <v>0.3</v>
      </c>
      <c r="I11" s="8" t="s">
        <v>24</v>
      </c>
      <c r="J11" s="8" t="s">
        <v>24</v>
      </c>
      <c r="K11" s="8"/>
    </row>
    <row r="12" spans="1:11">
      <c r="A12" s="9">
        <v>45322</v>
      </c>
      <c r="B12" s="8" t="s">
        <v>2638</v>
      </c>
      <c r="C12" s="13">
        <v>10</v>
      </c>
      <c r="D12" s="8" t="s">
        <v>521</v>
      </c>
      <c r="E12" s="8" t="s">
        <v>484</v>
      </c>
      <c r="F12" s="8" t="s">
        <v>1064</v>
      </c>
      <c r="G12" s="13">
        <v>1.9</v>
      </c>
      <c r="H12" s="13">
        <v>8.6</v>
      </c>
      <c r="I12" s="13" t="s">
        <v>1744</v>
      </c>
      <c r="J12" s="13">
        <v>2.85</v>
      </c>
      <c r="K12" s="8" t="s">
        <v>86</v>
      </c>
    </row>
    <row r="13" spans="1:11">
      <c r="A13" s="14"/>
      <c r="B13" s="8"/>
      <c r="C13" s="8"/>
      <c r="D13" s="8"/>
      <c r="E13" s="8"/>
      <c r="F13" s="8" t="s">
        <v>1060</v>
      </c>
      <c r="G13" s="13">
        <v>1.99</v>
      </c>
      <c r="H13" s="13">
        <v>0.7</v>
      </c>
      <c r="I13" s="13" t="s">
        <v>1745</v>
      </c>
      <c r="J13" s="13">
        <v>3.04</v>
      </c>
      <c r="K13" s="8"/>
    </row>
    <row r="14" spans="1:11">
      <c r="A14" s="14"/>
      <c r="B14" s="8"/>
      <c r="C14" s="8"/>
      <c r="D14" s="8"/>
      <c r="E14" s="8"/>
      <c r="F14" s="8" t="s">
        <v>503</v>
      </c>
      <c r="G14" s="13">
        <v>1.99</v>
      </c>
      <c r="H14" s="13">
        <v>0.7</v>
      </c>
      <c r="I14" s="8" t="s">
        <v>24</v>
      </c>
      <c r="J14" s="8" t="s">
        <v>24</v>
      </c>
      <c r="K14" s="8"/>
    </row>
    <row r="15" spans="1:11">
      <c r="A15" s="9">
        <v>45344</v>
      </c>
      <c r="B15" s="8" t="s">
        <v>2639</v>
      </c>
      <c r="C15" s="13">
        <v>20</v>
      </c>
      <c r="D15" s="8" t="s">
        <v>492</v>
      </c>
      <c r="E15" s="8" t="s">
        <v>481</v>
      </c>
      <c r="F15" s="8" t="s">
        <v>1058</v>
      </c>
      <c r="G15" s="13">
        <v>1.22</v>
      </c>
      <c r="H15" s="13">
        <v>14</v>
      </c>
      <c r="I15" s="13" t="s">
        <v>1744</v>
      </c>
      <c r="J15" s="13">
        <v>2.68</v>
      </c>
      <c r="K15" s="8" t="s">
        <v>74</v>
      </c>
    </row>
    <row r="16" spans="1:11">
      <c r="A16" s="14"/>
      <c r="B16" s="8"/>
      <c r="C16" s="8"/>
      <c r="D16" s="8"/>
      <c r="E16" s="8"/>
      <c r="F16" s="8" t="s">
        <v>1059</v>
      </c>
      <c r="G16" s="13">
        <v>1.47</v>
      </c>
      <c r="H16" s="13">
        <v>4</v>
      </c>
      <c r="I16" s="13" t="s">
        <v>1744</v>
      </c>
      <c r="J16" s="13">
        <v>2.7</v>
      </c>
      <c r="K16" s="8"/>
    </row>
    <row r="17" spans="1:11">
      <c r="A17" s="14"/>
      <c r="B17" s="8"/>
      <c r="C17" s="8"/>
      <c r="D17" s="8"/>
      <c r="E17" s="8"/>
      <c r="F17" s="8" t="s">
        <v>1060</v>
      </c>
      <c r="G17" s="13">
        <v>1.47</v>
      </c>
      <c r="H17" s="13">
        <v>0.6</v>
      </c>
      <c r="I17" s="13" t="s">
        <v>1745</v>
      </c>
      <c r="J17" s="13">
        <v>2.8</v>
      </c>
      <c r="K17" s="8"/>
    </row>
    <row r="18" spans="1:11">
      <c r="A18" s="14"/>
      <c r="B18" s="8"/>
      <c r="C18" s="8"/>
      <c r="D18" s="8"/>
      <c r="E18" s="8"/>
      <c r="F18" s="8" t="s">
        <v>503</v>
      </c>
      <c r="G18" s="13">
        <v>1.98</v>
      </c>
      <c r="H18" s="13">
        <v>1.4</v>
      </c>
      <c r="I18" s="8" t="s">
        <v>24</v>
      </c>
      <c r="J18" s="8" t="s">
        <v>24</v>
      </c>
      <c r="K18" s="8"/>
    </row>
    <row r="19" spans="1:11">
      <c r="A19" s="9">
        <v>45345</v>
      </c>
      <c r="B19" s="8" t="s">
        <v>2640</v>
      </c>
      <c r="C19" s="13">
        <v>20</v>
      </c>
      <c r="D19" s="8" t="s">
        <v>481</v>
      </c>
      <c r="E19" s="8" t="s">
        <v>492</v>
      </c>
      <c r="F19" s="8" t="s">
        <v>1058</v>
      </c>
      <c r="G19" s="13">
        <v>1.22</v>
      </c>
      <c r="H19" s="13">
        <v>14</v>
      </c>
      <c r="I19" s="13" t="s">
        <v>1744</v>
      </c>
      <c r="J19" s="13">
        <v>2.66</v>
      </c>
      <c r="K19" s="8" t="s">
        <v>74</v>
      </c>
    </row>
    <row r="20" spans="1:11">
      <c r="A20" s="14"/>
      <c r="B20" s="8"/>
      <c r="C20" s="8"/>
      <c r="D20" s="8"/>
      <c r="E20" s="8"/>
      <c r="F20" s="8" t="s">
        <v>1059</v>
      </c>
      <c r="G20" s="13">
        <v>1.47</v>
      </c>
      <c r="H20" s="13">
        <v>4</v>
      </c>
      <c r="I20" s="13" t="s">
        <v>1744</v>
      </c>
      <c r="J20" s="13">
        <v>2.68</v>
      </c>
      <c r="K20" s="8"/>
    </row>
    <row r="21" spans="1:11">
      <c r="A21" s="14"/>
      <c r="B21" s="8"/>
      <c r="C21" s="8"/>
      <c r="D21" s="8"/>
      <c r="E21" s="8"/>
      <c r="F21" s="8" t="s">
        <v>1060</v>
      </c>
      <c r="G21" s="13">
        <v>1.47</v>
      </c>
      <c r="H21" s="13">
        <v>0.6</v>
      </c>
      <c r="I21" s="13" t="s">
        <v>1745</v>
      </c>
      <c r="J21" s="13">
        <v>2.8</v>
      </c>
      <c r="K21" s="8"/>
    </row>
    <row r="22" spans="1:11">
      <c r="A22" s="14"/>
      <c r="B22" s="8"/>
      <c r="C22" s="8"/>
      <c r="D22" s="8"/>
      <c r="E22" s="8"/>
      <c r="F22" s="8" t="s">
        <v>503</v>
      </c>
      <c r="G22" s="13">
        <v>1.98</v>
      </c>
      <c r="H22" s="13">
        <v>1.4</v>
      </c>
      <c r="I22" s="8" t="s">
        <v>24</v>
      </c>
      <c r="J22" s="8" t="s">
        <v>24</v>
      </c>
      <c r="K22" s="8"/>
    </row>
    <row r="23" spans="1:11">
      <c r="A23" s="9">
        <v>45345</v>
      </c>
      <c r="B23" s="8" t="s">
        <v>2641</v>
      </c>
      <c r="C23" s="13">
        <v>20</v>
      </c>
      <c r="D23" s="8" t="s">
        <v>481</v>
      </c>
      <c r="E23" s="8" t="s">
        <v>492</v>
      </c>
      <c r="F23" s="8" t="s">
        <v>1058</v>
      </c>
      <c r="G23" s="13">
        <v>0.99</v>
      </c>
      <c r="H23" s="13">
        <v>14</v>
      </c>
      <c r="I23" s="13" t="s">
        <v>1744</v>
      </c>
      <c r="J23" s="13">
        <v>2.6</v>
      </c>
      <c r="K23" s="8" t="s">
        <v>74</v>
      </c>
    </row>
    <row r="24" spans="1:11">
      <c r="A24" s="14"/>
      <c r="B24" s="8"/>
      <c r="C24" s="8"/>
      <c r="D24" s="8"/>
      <c r="E24" s="8"/>
      <c r="F24" s="8" t="s">
        <v>1059</v>
      </c>
      <c r="G24" s="13">
        <v>1.22</v>
      </c>
      <c r="H24" s="13">
        <v>4</v>
      </c>
      <c r="I24" s="13" t="s">
        <v>1744</v>
      </c>
      <c r="J24" s="13">
        <v>2.64</v>
      </c>
      <c r="K24" s="8"/>
    </row>
    <row r="25" spans="1:11">
      <c r="A25" s="14"/>
      <c r="B25" s="8"/>
      <c r="C25" s="8"/>
      <c r="D25" s="8"/>
      <c r="E25" s="8"/>
      <c r="F25" s="8" t="s">
        <v>1060</v>
      </c>
      <c r="G25" s="13">
        <v>1.22</v>
      </c>
      <c r="H25" s="13">
        <v>0.6</v>
      </c>
      <c r="I25" s="13" t="s">
        <v>1745</v>
      </c>
      <c r="J25" s="13">
        <v>2.75</v>
      </c>
      <c r="K25" s="8"/>
    </row>
    <row r="26" spans="1:11">
      <c r="A26" s="14"/>
      <c r="B26" s="8"/>
      <c r="C26" s="8"/>
      <c r="D26" s="8"/>
      <c r="E26" s="8"/>
      <c r="F26" s="8" t="s">
        <v>503</v>
      </c>
      <c r="G26" s="13">
        <v>1.22</v>
      </c>
      <c r="H26" s="13">
        <v>1.4</v>
      </c>
      <c r="I26" s="8" t="s">
        <v>24</v>
      </c>
      <c r="J26" s="8" t="s">
        <v>24</v>
      </c>
      <c r="K26" s="8"/>
    </row>
    <row r="27" spans="1:11">
      <c r="A27" s="9">
        <v>45345</v>
      </c>
      <c r="B27" s="8" t="s">
        <v>2642</v>
      </c>
      <c r="C27" s="13">
        <v>20</v>
      </c>
      <c r="D27" s="8" t="s">
        <v>492</v>
      </c>
      <c r="E27" s="8" t="s">
        <v>481</v>
      </c>
      <c r="F27" s="8" t="s">
        <v>1058</v>
      </c>
      <c r="G27" s="13">
        <v>0.99</v>
      </c>
      <c r="H27" s="13">
        <v>14</v>
      </c>
      <c r="I27" s="13" t="s">
        <v>1744</v>
      </c>
      <c r="J27" s="13">
        <v>2.63</v>
      </c>
      <c r="K27" s="8" t="s">
        <v>74</v>
      </c>
    </row>
    <row r="28" spans="1:11">
      <c r="A28" s="14"/>
      <c r="B28" s="8"/>
      <c r="C28" s="8"/>
      <c r="D28" s="8"/>
      <c r="E28" s="8"/>
      <c r="F28" s="8" t="s">
        <v>1059</v>
      </c>
      <c r="G28" s="13">
        <v>1.22</v>
      </c>
      <c r="H28" s="13">
        <v>4</v>
      </c>
      <c r="I28" s="13" t="s">
        <v>1744</v>
      </c>
      <c r="J28" s="13">
        <v>2.65</v>
      </c>
      <c r="K28" s="8"/>
    </row>
    <row r="29" spans="1:11">
      <c r="A29" s="14"/>
      <c r="B29" s="8"/>
      <c r="C29" s="8"/>
      <c r="D29" s="8"/>
      <c r="E29" s="8"/>
      <c r="F29" s="8" t="s">
        <v>1060</v>
      </c>
      <c r="G29" s="13">
        <v>1.22</v>
      </c>
      <c r="H29" s="13">
        <v>0.6</v>
      </c>
      <c r="I29" s="13" t="s">
        <v>1745</v>
      </c>
      <c r="J29" s="13">
        <v>2.75</v>
      </c>
      <c r="K29" s="8"/>
    </row>
    <row r="30" spans="1:11">
      <c r="A30" s="14"/>
      <c r="B30" s="8"/>
      <c r="C30" s="8"/>
      <c r="D30" s="8"/>
      <c r="E30" s="8"/>
      <c r="F30" s="8" t="s">
        <v>503</v>
      </c>
      <c r="G30" s="13">
        <v>1.73</v>
      </c>
      <c r="H30" s="13">
        <v>1.4</v>
      </c>
      <c r="I30" s="8" t="s">
        <v>24</v>
      </c>
      <c r="J30" s="8" t="s">
        <v>24</v>
      </c>
      <c r="K30" s="8"/>
    </row>
    <row r="31" spans="1:11">
      <c r="A31" s="9">
        <v>45365</v>
      </c>
      <c r="B31" s="8" t="s">
        <v>2643</v>
      </c>
      <c r="C31" s="13">
        <v>10</v>
      </c>
      <c r="D31" s="8" t="s">
        <v>911</v>
      </c>
      <c r="E31" s="8" t="s">
        <v>1754</v>
      </c>
      <c r="F31" s="8" t="s">
        <v>1064</v>
      </c>
      <c r="G31" s="13">
        <v>1</v>
      </c>
      <c r="H31" s="13">
        <v>9</v>
      </c>
      <c r="I31" s="13" t="s">
        <v>1744</v>
      </c>
      <c r="J31" s="13">
        <v>2.44</v>
      </c>
      <c r="K31" s="8" t="s">
        <v>35</v>
      </c>
    </row>
    <row r="32" spans="1:11">
      <c r="A32" s="14"/>
      <c r="B32" s="8"/>
      <c r="C32" s="8"/>
      <c r="D32" s="8"/>
      <c r="E32" s="8"/>
      <c r="F32" s="8" t="s">
        <v>1060</v>
      </c>
      <c r="G32" s="13">
        <v>1</v>
      </c>
      <c r="H32" s="13">
        <v>0.45</v>
      </c>
      <c r="I32" s="13" t="s">
        <v>1746</v>
      </c>
      <c r="J32" s="13">
        <v>4</v>
      </c>
      <c r="K32" s="8"/>
    </row>
    <row r="33" spans="1:11">
      <c r="A33" s="14"/>
      <c r="B33" s="8"/>
      <c r="C33" s="8"/>
      <c r="D33" s="8"/>
      <c r="E33" s="8"/>
      <c r="F33" s="8" t="s">
        <v>503</v>
      </c>
      <c r="G33" s="13">
        <v>2.5</v>
      </c>
      <c r="H33" s="13">
        <v>0.55</v>
      </c>
      <c r="I33" s="8" t="s">
        <v>24</v>
      </c>
      <c r="J33" s="8" t="s">
        <v>24</v>
      </c>
      <c r="K33" s="8"/>
    </row>
    <row r="34" spans="1:11">
      <c r="A34" s="9">
        <v>45366</v>
      </c>
      <c r="B34" s="8" t="s">
        <v>2644</v>
      </c>
      <c r="C34" s="13">
        <v>10</v>
      </c>
      <c r="D34" s="8" t="s">
        <v>911</v>
      </c>
      <c r="E34" s="8" t="s">
        <v>1754</v>
      </c>
      <c r="F34" s="8" t="s">
        <v>1064</v>
      </c>
      <c r="G34" s="13">
        <v>1</v>
      </c>
      <c r="H34" s="13">
        <v>9</v>
      </c>
      <c r="I34" s="13" t="s">
        <v>1744</v>
      </c>
      <c r="J34" s="13">
        <v>2.43</v>
      </c>
      <c r="K34" s="8" t="s">
        <v>35</v>
      </c>
    </row>
    <row r="35" spans="1:11">
      <c r="A35" s="14"/>
      <c r="B35" s="8"/>
      <c r="C35" s="8"/>
      <c r="D35" s="8"/>
      <c r="E35" s="8"/>
      <c r="F35" s="8" t="s">
        <v>1060</v>
      </c>
      <c r="G35" s="13">
        <v>1</v>
      </c>
      <c r="H35" s="13">
        <v>0.45</v>
      </c>
      <c r="I35" s="13" t="s">
        <v>1746</v>
      </c>
      <c r="J35" s="13">
        <v>4</v>
      </c>
      <c r="K35" s="8"/>
    </row>
    <row r="36" spans="1:11">
      <c r="A36" s="14"/>
      <c r="B36" s="8"/>
      <c r="C36" s="8"/>
      <c r="D36" s="8"/>
      <c r="E36" s="8"/>
      <c r="F36" s="8" t="s">
        <v>503</v>
      </c>
      <c r="G36" s="13">
        <v>2.5</v>
      </c>
      <c r="H36" s="13">
        <v>0.55</v>
      </c>
      <c r="I36" s="8" t="s">
        <v>24</v>
      </c>
      <c r="J36" s="8" t="s">
        <v>24</v>
      </c>
      <c r="K36" s="8"/>
    </row>
    <row r="37" spans="1:11">
      <c r="A37" s="9">
        <v>45369</v>
      </c>
      <c r="B37" s="8" t="s">
        <v>2645</v>
      </c>
      <c r="C37" s="13">
        <v>10</v>
      </c>
      <c r="D37" s="8" t="s">
        <v>911</v>
      </c>
      <c r="E37" s="8" t="s">
        <v>1754</v>
      </c>
      <c r="F37" s="8" t="s">
        <v>1064</v>
      </c>
      <c r="G37" s="13">
        <v>1</v>
      </c>
      <c r="H37" s="13">
        <v>9</v>
      </c>
      <c r="I37" s="13" t="s">
        <v>1744</v>
      </c>
      <c r="J37" s="13">
        <v>2.42</v>
      </c>
      <c r="K37" s="8" t="s">
        <v>35</v>
      </c>
    </row>
    <row r="38" spans="1:11">
      <c r="A38" s="14"/>
      <c r="B38" s="8"/>
      <c r="C38" s="8"/>
      <c r="D38" s="8"/>
      <c r="E38" s="8"/>
      <c r="F38" s="8" t="s">
        <v>1060</v>
      </c>
      <c r="G38" s="13">
        <v>1</v>
      </c>
      <c r="H38" s="13">
        <v>0.45</v>
      </c>
      <c r="I38" s="13" t="s">
        <v>1746</v>
      </c>
      <c r="J38" s="13">
        <v>4</v>
      </c>
      <c r="K38" s="8"/>
    </row>
    <row r="39" spans="1:11">
      <c r="A39" s="14"/>
      <c r="B39" s="8"/>
      <c r="C39" s="8"/>
      <c r="D39" s="8"/>
      <c r="E39" s="8"/>
      <c r="F39" s="8" t="s">
        <v>503</v>
      </c>
      <c r="G39" s="13">
        <v>2.5</v>
      </c>
      <c r="H39" s="13">
        <v>0.55</v>
      </c>
      <c r="I39" s="8" t="s">
        <v>24</v>
      </c>
      <c r="J39" s="8" t="s">
        <v>24</v>
      </c>
      <c r="K39" s="8"/>
    </row>
    <row r="40" spans="1:11">
      <c r="A40" s="9">
        <v>45371</v>
      </c>
      <c r="B40" s="8" t="s">
        <v>2646</v>
      </c>
      <c r="C40" s="13">
        <v>20</v>
      </c>
      <c r="D40" s="8" t="s">
        <v>492</v>
      </c>
      <c r="E40" s="8" t="s">
        <v>481</v>
      </c>
      <c r="F40" s="8" t="s">
        <v>1064</v>
      </c>
      <c r="G40" s="13">
        <v>1.25</v>
      </c>
      <c r="H40" s="13">
        <v>14</v>
      </c>
      <c r="I40" s="13" t="s">
        <v>1744</v>
      </c>
      <c r="J40" s="13">
        <v>2.55</v>
      </c>
      <c r="K40" s="8" t="s">
        <v>74</v>
      </c>
    </row>
    <row r="41" spans="1:11">
      <c r="A41" s="14"/>
      <c r="B41" s="8"/>
      <c r="C41" s="8"/>
      <c r="D41" s="8"/>
      <c r="E41" s="8"/>
      <c r="F41" s="8" t="s">
        <v>1060</v>
      </c>
      <c r="G41" s="13">
        <v>1.5</v>
      </c>
      <c r="H41" s="13">
        <v>4</v>
      </c>
      <c r="I41" s="13" t="s">
        <v>1744</v>
      </c>
      <c r="J41" s="13">
        <v>2.59</v>
      </c>
      <c r="K41" s="8"/>
    </row>
    <row r="42" spans="1:11">
      <c r="A42" s="14"/>
      <c r="B42" s="8"/>
      <c r="C42" s="8"/>
      <c r="D42" s="8"/>
      <c r="E42" s="8"/>
      <c r="F42" s="8" t="s">
        <v>1061</v>
      </c>
      <c r="G42" s="13">
        <v>1.5</v>
      </c>
      <c r="H42" s="13">
        <v>0.6</v>
      </c>
      <c r="I42" s="13" t="s">
        <v>1745</v>
      </c>
      <c r="J42" s="13">
        <v>2.67</v>
      </c>
      <c r="K42" s="8"/>
    </row>
    <row r="43" spans="1:11">
      <c r="A43" s="14"/>
      <c r="B43" s="8"/>
      <c r="C43" s="8"/>
      <c r="D43" s="8"/>
      <c r="E43" s="8"/>
      <c r="F43" s="8" t="s">
        <v>503</v>
      </c>
      <c r="G43" s="13">
        <v>1.99</v>
      </c>
      <c r="H43" s="13">
        <v>1.4</v>
      </c>
      <c r="I43" s="8" t="s">
        <v>24</v>
      </c>
      <c r="J43" s="8" t="s">
        <v>24</v>
      </c>
      <c r="K43" s="8"/>
    </row>
    <row r="44" spans="1:11">
      <c r="A44" s="9">
        <v>45372</v>
      </c>
      <c r="B44" s="8" t="s">
        <v>2647</v>
      </c>
      <c r="C44" s="13">
        <v>5</v>
      </c>
      <c r="D44" s="8" t="s">
        <v>477</v>
      </c>
      <c r="E44" s="8" t="s">
        <v>492</v>
      </c>
      <c r="F44" s="8" t="s">
        <v>531</v>
      </c>
      <c r="G44" s="13">
        <v>1.25</v>
      </c>
      <c r="H44" s="13">
        <v>4.45</v>
      </c>
      <c r="I44" s="13" t="s">
        <v>1744</v>
      </c>
      <c r="J44" s="13">
        <v>2.55</v>
      </c>
      <c r="K44" s="8" t="s">
        <v>129</v>
      </c>
    </row>
    <row r="45" spans="1:11">
      <c r="A45" s="14"/>
      <c r="B45" s="8"/>
      <c r="C45" s="8"/>
      <c r="D45" s="8"/>
      <c r="E45" s="8"/>
      <c r="F45" s="8" t="s">
        <v>531</v>
      </c>
      <c r="G45" s="13">
        <v>1.42</v>
      </c>
      <c r="H45" s="13">
        <v>0.25</v>
      </c>
      <c r="I45" s="13" t="s">
        <v>1745</v>
      </c>
      <c r="J45" s="13">
        <v>2.69</v>
      </c>
      <c r="K45" s="8"/>
    </row>
    <row r="46" spans="1:11">
      <c r="A46" s="14"/>
      <c r="B46" s="8"/>
      <c r="C46" s="8"/>
      <c r="D46" s="8"/>
      <c r="E46" s="8"/>
      <c r="F46" s="8" t="s">
        <v>503</v>
      </c>
      <c r="G46" s="13">
        <v>2</v>
      </c>
      <c r="H46" s="13">
        <v>0.3</v>
      </c>
      <c r="I46" s="8" t="s">
        <v>24</v>
      </c>
      <c r="J46" s="8" t="s">
        <v>24</v>
      </c>
      <c r="K46" s="8"/>
    </row>
    <row r="47" spans="1:11">
      <c r="A47" s="9">
        <v>45373</v>
      </c>
      <c r="B47" s="8" t="s">
        <v>2648</v>
      </c>
      <c r="C47" s="13">
        <v>20</v>
      </c>
      <c r="D47" s="8" t="s">
        <v>492</v>
      </c>
      <c r="E47" s="8" t="s">
        <v>481</v>
      </c>
      <c r="F47" s="8" t="s">
        <v>1058</v>
      </c>
      <c r="G47" s="13">
        <v>1.24</v>
      </c>
      <c r="H47" s="13">
        <v>14</v>
      </c>
      <c r="I47" s="13" t="s">
        <v>1744</v>
      </c>
      <c r="J47" s="13">
        <v>2.55</v>
      </c>
      <c r="K47" s="8" t="s">
        <v>74</v>
      </c>
    </row>
    <row r="48" spans="1:11">
      <c r="A48" s="14"/>
      <c r="B48" s="8"/>
      <c r="C48" s="8"/>
      <c r="D48" s="8"/>
      <c r="E48" s="8"/>
      <c r="F48" s="8" t="s">
        <v>1059</v>
      </c>
      <c r="G48" s="13">
        <v>1.48</v>
      </c>
      <c r="H48" s="13">
        <v>4</v>
      </c>
      <c r="I48" s="13" t="s">
        <v>1744</v>
      </c>
      <c r="J48" s="13">
        <v>2.59</v>
      </c>
      <c r="K48" s="8"/>
    </row>
    <row r="49" spans="1:11">
      <c r="A49" s="14"/>
      <c r="B49" s="8"/>
      <c r="C49" s="8"/>
      <c r="D49" s="8"/>
      <c r="E49" s="8"/>
      <c r="F49" s="8" t="s">
        <v>1060</v>
      </c>
      <c r="G49" s="13">
        <v>1.48</v>
      </c>
      <c r="H49" s="13">
        <v>0.6</v>
      </c>
      <c r="I49" s="13" t="s">
        <v>1745</v>
      </c>
      <c r="J49" s="13">
        <v>2.65</v>
      </c>
      <c r="K49" s="8"/>
    </row>
    <row r="50" spans="1:11">
      <c r="A50" s="14"/>
      <c r="B50" s="8"/>
      <c r="C50" s="8"/>
      <c r="D50" s="8"/>
      <c r="E50" s="8"/>
      <c r="F50" s="8" t="s">
        <v>503</v>
      </c>
      <c r="G50" s="13">
        <v>1.98</v>
      </c>
      <c r="H50" s="13">
        <v>1.4</v>
      </c>
      <c r="I50" s="8" t="s">
        <v>24</v>
      </c>
      <c r="J50" s="8" t="s">
        <v>24</v>
      </c>
      <c r="K50" s="8"/>
    </row>
    <row r="51" spans="1:11">
      <c r="A51" s="9">
        <v>45377</v>
      </c>
      <c r="B51" s="8" t="s">
        <v>2649</v>
      </c>
      <c r="C51" s="13">
        <v>10</v>
      </c>
      <c r="D51" s="8" t="s">
        <v>1109</v>
      </c>
      <c r="E51" s="8" t="s">
        <v>486</v>
      </c>
      <c r="F51" s="8" t="s">
        <v>1064</v>
      </c>
      <c r="G51" s="13">
        <v>1.93</v>
      </c>
      <c r="H51" s="13">
        <v>8.62</v>
      </c>
      <c r="I51" s="13" t="s">
        <v>1744</v>
      </c>
      <c r="J51" s="13">
        <v>2.59</v>
      </c>
      <c r="K51" s="8" t="s">
        <v>27</v>
      </c>
    </row>
    <row r="52" spans="1:11">
      <c r="A52" s="14"/>
      <c r="B52" s="8"/>
      <c r="C52" s="8"/>
      <c r="D52" s="8"/>
      <c r="E52" s="8"/>
      <c r="F52" s="8" t="s">
        <v>1060</v>
      </c>
      <c r="G52" s="13">
        <v>1.93</v>
      </c>
      <c r="H52" s="13">
        <v>0.42</v>
      </c>
      <c r="I52" s="13" t="s">
        <v>1745</v>
      </c>
      <c r="J52" s="13">
        <v>2.7</v>
      </c>
      <c r="K52" s="8"/>
    </row>
    <row r="53" spans="1:11">
      <c r="A53" s="14"/>
      <c r="B53" s="8"/>
      <c r="C53" s="8"/>
      <c r="D53" s="8"/>
      <c r="E53" s="8"/>
      <c r="F53" s="8" t="s">
        <v>503</v>
      </c>
      <c r="G53" s="13">
        <v>2.18</v>
      </c>
      <c r="H53" s="13">
        <v>0.96</v>
      </c>
      <c r="I53" s="8" t="s">
        <v>24</v>
      </c>
      <c r="J53" s="8" t="s">
        <v>24</v>
      </c>
      <c r="K53" s="8"/>
    </row>
    <row r="54" spans="1:11">
      <c r="A54" s="9">
        <v>45372</v>
      </c>
      <c r="B54" s="8" t="s">
        <v>2650</v>
      </c>
      <c r="C54" s="13">
        <v>6</v>
      </c>
      <c r="D54" s="8" t="s">
        <v>492</v>
      </c>
      <c r="E54" s="8" t="s">
        <v>492</v>
      </c>
      <c r="F54" s="8" t="s">
        <v>1064</v>
      </c>
      <c r="G54" s="13">
        <v>1.01</v>
      </c>
      <c r="H54" s="13">
        <v>5.16</v>
      </c>
      <c r="I54" s="13" t="s">
        <v>1744</v>
      </c>
      <c r="J54" s="13">
        <v>2.4</v>
      </c>
      <c r="K54" s="8" t="s">
        <v>86</v>
      </c>
    </row>
    <row r="55" spans="1:11">
      <c r="A55" s="14"/>
      <c r="B55" s="8"/>
      <c r="C55" s="8"/>
      <c r="D55" s="8"/>
      <c r="E55" s="8"/>
      <c r="F55" s="8" t="s">
        <v>1060</v>
      </c>
      <c r="G55" s="13">
        <v>1.01</v>
      </c>
      <c r="H55" s="13">
        <v>0.42</v>
      </c>
      <c r="I55" s="13" t="s">
        <v>1745</v>
      </c>
      <c r="J55" s="13">
        <v>2.6</v>
      </c>
      <c r="K55" s="8"/>
    </row>
    <row r="56" spans="1:11">
      <c r="A56" s="14"/>
      <c r="B56" s="8"/>
      <c r="C56" s="8"/>
      <c r="D56" s="8"/>
      <c r="E56" s="8"/>
      <c r="F56" s="8" t="s">
        <v>503</v>
      </c>
      <c r="G56" s="13">
        <v>3.01</v>
      </c>
      <c r="H56" s="13">
        <v>0.42</v>
      </c>
      <c r="I56" s="8" t="s">
        <v>24</v>
      </c>
      <c r="J56" s="8" t="s">
        <v>24</v>
      </c>
      <c r="K56" s="8"/>
    </row>
    <row r="57" spans="1:11">
      <c r="A57" s="9">
        <v>45378</v>
      </c>
      <c r="B57" s="8" t="s">
        <v>2651</v>
      </c>
      <c r="C57" s="13">
        <v>10</v>
      </c>
      <c r="D57" s="8" t="s">
        <v>911</v>
      </c>
      <c r="E57" s="8" t="s">
        <v>1754</v>
      </c>
      <c r="F57" s="8" t="s">
        <v>1064</v>
      </c>
      <c r="G57" s="13">
        <v>1</v>
      </c>
      <c r="H57" s="13">
        <v>9</v>
      </c>
      <c r="I57" s="13" t="s">
        <v>1744</v>
      </c>
      <c r="J57" s="13">
        <v>2.41</v>
      </c>
      <c r="K57" s="8" t="s">
        <v>35</v>
      </c>
    </row>
    <row r="58" spans="1:11">
      <c r="A58" s="14"/>
      <c r="B58" s="8"/>
      <c r="C58" s="8"/>
      <c r="D58" s="8"/>
      <c r="E58" s="8"/>
      <c r="F58" s="8" t="s">
        <v>1060</v>
      </c>
      <c r="G58" s="13">
        <v>1</v>
      </c>
      <c r="H58" s="13">
        <v>0.45</v>
      </c>
      <c r="I58" s="13" t="s">
        <v>1746</v>
      </c>
      <c r="J58" s="13">
        <v>4</v>
      </c>
      <c r="K58" s="8"/>
    </row>
    <row r="59" spans="1:11">
      <c r="A59" s="14"/>
      <c r="B59" s="8"/>
      <c r="C59" s="8"/>
      <c r="D59" s="8"/>
      <c r="E59" s="8"/>
      <c r="F59" s="8" t="s">
        <v>503</v>
      </c>
      <c r="G59" s="13">
        <v>2.5</v>
      </c>
      <c r="H59" s="13">
        <v>0.55</v>
      </c>
      <c r="I59" s="8" t="s">
        <v>24</v>
      </c>
      <c r="J59" s="8" t="s">
        <v>24</v>
      </c>
      <c r="K59" s="8"/>
    </row>
    <row r="60" spans="1:11">
      <c r="A60" s="9">
        <v>45372</v>
      </c>
      <c r="B60" s="8" t="s">
        <v>2652</v>
      </c>
      <c r="C60" s="13">
        <v>5</v>
      </c>
      <c r="D60" s="8" t="s">
        <v>477</v>
      </c>
      <c r="E60" s="8" t="s">
        <v>492</v>
      </c>
      <c r="F60" s="8" t="s">
        <v>531</v>
      </c>
      <c r="G60" s="13">
        <v>1.26</v>
      </c>
      <c r="H60" s="13">
        <v>4.45</v>
      </c>
      <c r="I60" s="13" t="s">
        <v>1744</v>
      </c>
      <c r="J60" s="13">
        <v>2.52</v>
      </c>
      <c r="K60" s="8" t="s">
        <v>129</v>
      </c>
    </row>
    <row r="61" spans="1:11">
      <c r="A61" s="14"/>
      <c r="B61" s="8"/>
      <c r="C61" s="8"/>
      <c r="D61" s="8"/>
      <c r="E61" s="8"/>
      <c r="F61" s="8" t="s">
        <v>531</v>
      </c>
      <c r="G61" s="13">
        <v>1.43</v>
      </c>
      <c r="H61" s="13">
        <v>0.25</v>
      </c>
      <c r="I61" s="13" t="s">
        <v>1745</v>
      </c>
      <c r="J61" s="13">
        <v>2.66</v>
      </c>
      <c r="K61" s="8"/>
    </row>
    <row r="62" spans="1:11">
      <c r="A62" s="14"/>
      <c r="B62" s="8"/>
      <c r="C62" s="8"/>
      <c r="D62" s="8"/>
      <c r="E62" s="8"/>
      <c r="F62" s="8" t="s">
        <v>503</v>
      </c>
      <c r="G62" s="13">
        <v>2.01</v>
      </c>
      <c r="H62" s="13">
        <v>0.3</v>
      </c>
      <c r="I62" s="8" t="s">
        <v>24</v>
      </c>
      <c r="J62" s="8" t="s">
        <v>24</v>
      </c>
      <c r="K62" s="8"/>
    </row>
    <row r="63" spans="1:11">
      <c r="A63" s="9">
        <v>45378</v>
      </c>
      <c r="B63" s="8" t="s">
        <v>2653</v>
      </c>
      <c r="C63" s="13">
        <v>5</v>
      </c>
      <c r="D63" s="8" t="s">
        <v>2654</v>
      </c>
      <c r="E63" s="8" t="s">
        <v>484</v>
      </c>
      <c r="F63" s="8" t="s">
        <v>531</v>
      </c>
      <c r="G63" s="13">
        <v>1.25</v>
      </c>
      <c r="H63" s="13">
        <v>4.45</v>
      </c>
      <c r="I63" s="13" t="s">
        <v>1744</v>
      </c>
      <c r="J63" s="13">
        <v>2.5</v>
      </c>
      <c r="K63" s="8" t="s">
        <v>129</v>
      </c>
    </row>
    <row r="64" spans="1:11">
      <c r="A64" s="14"/>
      <c r="B64" s="8"/>
      <c r="C64" s="8"/>
      <c r="D64" s="8"/>
      <c r="E64" s="8"/>
      <c r="F64" s="8" t="s">
        <v>531</v>
      </c>
      <c r="G64" s="13">
        <v>1.41</v>
      </c>
      <c r="H64" s="13">
        <v>0.25</v>
      </c>
      <c r="I64" s="13" t="s">
        <v>1745</v>
      </c>
      <c r="J64" s="13">
        <v>2.65</v>
      </c>
      <c r="K64" s="8"/>
    </row>
    <row r="65" spans="1:11">
      <c r="A65" s="14"/>
      <c r="B65" s="8"/>
      <c r="C65" s="8"/>
      <c r="D65" s="8"/>
      <c r="E65" s="8"/>
      <c r="F65" s="8" t="s">
        <v>503</v>
      </c>
      <c r="G65" s="13">
        <v>1.99</v>
      </c>
      <c r="H65" s="13">
        <v>0.3</v>
      </c>
      <c r="I65" s="8" t="s">
        <v>24</v>
      </c>
      <c r="J65" s="8" t="s">
        <v>24</v>
      </c>
      <c r="K65" s="8"/>
    </row>
    <row r="66" spans="1:11">
      <c r="A66" s="9">
        <v>45385</v>
      </c>
      <c r="B66" s="8" t="s">
        <v>2655</v>
      </c>
      <c r="C66" s="13">
        <v>5</v>
      </c>
      <c r="D66" s="8" t="s">
        <v>2654</v>
      </c>
      <c r="E66" s="8" t="s">
        <v>484</v>
      </c>
      <c r="F66" s="8" t="s">
        <v>1064</v>
      </c>
      <c r="G66" s="13">
        <v>1.22</v>
      </c>
      <c r="H66" s="13">
        <v>4.45</v>
      </c>
      <c r="I66" s="13" t="s">
        <v>1744</v>
      </c>
      <c r="J66" s="13">
        <v>2.5</v>
      </c>
      <c r="K66" s="8" t="s">
        <v>129</v>
      </c>
    </row>
    <row r="67" spans="1:11">
      <c r="A67" s="14"/>
      <c r="B67" s="8"/>
      <c r="C67" s="8"/>
      <c r="D67" s="8"/>
      <c r="E67" s="8"/>
      <c r="F67" s="8" t="s">
        <v>1060</v>
      </c>
      <c r="G67" s="13">
        <v>1.39</v>
      </c>
      <c r="H67" s="13">
        <v>0.25</v>
      </c>
      <c r="I67" s="13" t="s">
        <v>1745</v>
      </c>
      <c r="J67" s="13">
        <v>2.65</v>
      </c>
      <c r="K67" s="8"/>
    </row>
    <row r="68" spans="1:11">
      <c r="A68" s="14"/>
      <c r="B68" s="8"/>
      <c r="C68" s="8"/>
      <c r="D68" s="8"/>
      <c r="E68" s="8"/>
      <c r="F68" s="8" t="s">
        <v>503</v>
      </c>
      <c r="G68" s="13">
        <v>1.98</v>
      </c>
      <c r="H68" s="13">
        <v>0.3</v>
      </c>
      <c r="I68" s="8" t="s">
        <v>24</v>
      </c>
      <c r="J68" s="8" t="s">
        <v>24</v>
      </c>
      <c r="K68" s="8"/>
    </row>
    <row r="69" spans="1:11">
      <c r="A69" s="9">
        <v>45393</v>
      </c>
      <c r="B69" s="8" t="s">
        <v>2656</v>
      </c>
      <c r="C69" s="13">
        <v>10</v>
      </c>
      <c r="D69" s="8" t="s">
        <v>477</v>
      </c>
      <c r="E69" s="8" t="s">
        <v>492</v>
      </c>
      <c r="F69" s="8" t="s">
        <v>1058</v>
      </c>
      <c r="G69" s="13">
        <v>1.01</v>
      </c>
      <c r="H69" s="13">
        <v>7</v>
      </c>
      <c r="I69" s="13" t="s">
        <v>1744</v>
      </c>
      <c r="J69" s="13">
        <v>2.38</v>
      </c>
      <c r="K69" s="8" t="s">
        <v>74</v>
      </c>
    </row>
    <row r="70" spans="1:11">
      <c r="A70" s="14"/>
      <c r="B70" s="8"/>
      <c r="C70" s="8"/>
      <c r="D70" s="8"/>
      <c r="E70" s="8"/>
      <c r="F70" s="8" t="s">
        <v>1059</v>
      </c>
      <c r="G70" s="13">
        <v>1.25</v>
      </c>
      <c r="H70" s="13">
        <v>2</v>
      </c>
      <c r="I70" s="13" t="s">
        <v>1744</v>
      </c>
      <c r="J70" s="13">
        <v>2.45</v>
      </c>
      <c r="K70" s="8"/>
    </row>
    <row r="71" spans="1:11">
      <c r="A71" s="14"/>
      <c r="B71" s="8"/>
      <c r="C71" s="8"/>
      <c r="D71" s="8"/>
      <c r="E71" s="8"/>
      <c r="F71" s="8" t="s">
        <v>1060</v>
      </c>
      <c r="G71" s="13">
        <v>1.25</v>
      </c>
      <c r="H71" s="13">
        <v>0.3</v>
      </c>
      <c r="I71" s="13" t="s">
        <v>1745</v>
      </c>
      <c r="J71" s="13">
        <v>2.59</v>
      </c>
      <c r="K71" s="8"/>
    </row>
    <row r="72" spans="1:11">
      <c r="A72" s="14"/>
      <c r="B72" s="8"/>
      <c r="C72" s="8"/>
      <c r="D72" s="8"/>
      <c r="E72" s="8"/>
      <c r="F72" s="8" t="s">
        <v>503</v>
      </c>
      <c r="G72" s="13">
        <v>1.76</v>
      </c>
      <c r="H72" s="13">
        <v>0.7</v>
      </c>
      <c r="I72" s="8" t="s">
        <v>24</v>
      </c>
      <c r="J72" s="8" t="s">
        <v>24</v>
      </c>
      <c r="K72" s="8"/>
    </row>
    <row r="73" spans="1:11">
      <c r="A73" s="9">
        <v>45406</v>
      </c>
      <c r="B73" s="8" t="s">
        <v>2657</v>
      </c>
      <c r="C73" s="13">
        <v>15</v>
      </c>
      <c r="D73" s="8" t="s">
        <v>1109</v>
      </c>
      <c r="E73" s="8" t="s">
        <v>486</v>
      </c>
      <c r="F73" s="8" t="s">
        <v>1064</v>
      </c>
      <c r="G73" s="13">
        <v>1.93</v>
      </c>
      <c r="H73" s="13">
        <v>12.93</v>
      </c>
      <c r="I73" s="13" t="s">
        <v>1744</v>
      </c>
      <c r="J73" s="13">
        <v>2.45</v>
      </c>
      <c r="K73" s="8" t="s">
        <v>27</v>
      </c>
    </row>
    <row r="74" spans="1:11">
      <c r="A74" s="14"/>
      <c r="B74" s="8"/>
      <c r="C74" s="8"/>
      <c r="D74" s="8"/>
      <c r="E74" s="8"/>
      <c r="F74" s="8" t="s">
        <v>1060</v>
      </c>
      <c r="G74" s="13">
        <v>1.93</v>
      </c>
      <c r="H74" s="13">
        <v>0.633</v>
      </c>
      <c r="I74" s="13" t="s">
        <v>1745</v>
      </c>
      <c r="J74" s="13">
        <v>2.54</v>
      </c>
      <c r="K74" s="8"/>
    </row>
    <row r="75" spans="1:11">
      <c r="A75" s="14"/>
      <c r="B75" s="8"/>
      <c r="C75" s="8"/>
      <c r="D75" s="8"/>
      <c r="E75" s="8"/>
      <c r="F75" s="8" t="s">
        <v>503</v>
      </c>
      <c r="G75" s="13">
        <v>2.19</v>
      </c>
      <c r="H75" s="13">
        <v>1.437</v>
      </c>
      <c r="I75" s="8" t="s">
        <v>24</v>
      </c>
      <c r="J75" s="8" t="s">
        <v>24</v>
      </c>
      <c r="K75" s="8"/>
    </row>
    <row r="76" spans="1:11">
      <c r="A76" s="9">
        <v>45405</v>
      </c>
      <c r="B76" s="8" t="s">
        <v>2658</v>
      </c>
      <c r="C76" s="13">
        <v>5</v>
      </c>
      <c r="D76" s="8" t="s">
        <v>536</v>
      </c>
      <c r="E76" s="8" t="s">
        <v>2654</v>
      </c>
      <c r="F76" s="8" t="s">
        <v>531</v>
      </c>
      <c r="G76" s="13">
        <v>1.26</v>
      </c>
      <c r="H76" s="13">
        <v>4.45</v>
      </c>
      <c r="I76" s="13" t="s">
        <v>1744</v>
      </c>
      <c r="J76" s="13">
        <v>2.37</v>
      </c>
      <c r="K76" s="8" t="s">
        <v>129</v>
      </c>
    </row>
    <row r="77" spans="1:11">
      <c r="A77" s="14"/>
      <c r="B77" s="8"/>
      <c r="C77" s="8"/>
      <c r="D77" s="8"/>
      <c r="E77" s="8"/>
      <c r="F77" s="8" t="s">
        <v>531</v>
      </c>
      <c r="G77" s="13">
        <v>1.43</v>
      </c>
      <c r="H77" s="13">
        <v>0.25</v>
      </c>
      <c r="I77" s="13" t="s">
        <v>1745</v>
      </c>
      <c r="J77" s="13">
        <v>2.55</v>
      </c>
      <c r="K77" s="8"/>
    </row>
    <row r="78" spans="1:11">
      <c r="A78" s="14"/>
      <c r="B78" s="8"/>
      <c r="C78" s="8"/>
      <c r="D78" s="8"/>
      <c r="E78" s="8"/>
      <c r="F78" s="8" t="s">
        <v>503</v>
      </c>
      <c r="G78" s="13">
        <v>2.01</v>
      </c>
      <c r="H78" s="13">
        <v>0.3</v>
      </c>
      <c r="I78" s="8" t="s">
        <v>24</v>
      </c>
      <c r="J78" s="8" t="s">
        <v>24</v>
      </c>
      <c r="K78" s="8"/>
    </row>
    <row r="79" spans="1:11">
      <c r="A79" s="9">
        <v>45404</v>
      </c>
      <c r="B79" s="8" t="s">
        <v>2659</v>
      </c>
      <c r="C79" s="13">
        <v>5</v>
      </c>
      <c r="D79" s="8" t="s">
        <v>477</v>
      </c>
      <c r="E79" s="8" t="s">
        <v>492</v>
      </c>
      <c r="F79" s="8" t="s">
        <v>531</v>
      </c>
      <c r="G79" s="13">
        <v>1.26</v>
      </c>
      <c r="H79" s="13">
        <v>4.45</v>
      </c>
      <c r="I79" s="13" t="s">
        <v>1744</v>
      </c>
      <c r="J79" s="13">
        <v>2.37</v>
      </c>
      <c r="K79" s="8" t="s">
        <v>129</v>
      </c>
    </row>
    <row r="80" spans="1:11">
      <c r="A80" s="14"/>
      <c r="B80" s="8"/>
      <c r="C80" s="8"/>
      <c r="D80" s="8"/>
      <c r="E80" s="8"/>
      <c r="F80" s="8" t="s">
        <v>531</v>
      </c>
      <c r="G80" s="13">
        <v>1.43</v>
      </c>
      <c r="H80" s="13">
        <v>0.25</v>
      </c>
      <c r="I80" s="13" t="s">
        <v>1745</v>
      </c>
      <c r="J80" s="13">
        <v>2.56</v>
      </c>
      <c r="K80" s="8"/>
    </row>
    <row r="81" spans="1:11">
      <c r="A81" s="14"/>
      <c r="B81" s="8"/>
      <c r="C81" s="8"/>
      <c r="D81" s="8"/>
      <c r="E81" s="8"/>
      <c r="F81" s="8" t="s">
        <v>503</v>
      </c>
      <c r="G81" s="13">
        <v>2.01</v>
      </c>
      <c r="H81" s="13">
        <v>0.3</v>
      </c>
      <c r="I81" s="8" t="s">
        <v>24</v>
      </c>
      <c r="J81" s="8" t="s">
        <v>24</v>
      </c>
      <c r="K81" s="8"/>
    </row>
    <row r="82" spans="1:11">
      <c r="A82" s="9">
        <v>45401</v>
      </c>
      <c r="B82" s="8" t="s">
        <v>2660</v>
      </c>
      <c r="C82" s="13">
        <v>5</v>
      </c>
      <c r="D82" s="8" t="s">
        <v>536</v>
      </c>
      <c r="E82" s="8" t="s">
        <v>2654</v>
      </c>
      <c r="F82" s="8" t="s">
        <v>531</v>
      </c>
      <c r="G82" s="13">
        <v>1.25</v>
      </c>
      <c r="H82" s="13">
        <v>4.45</v>
      </c>
      <c r="I82" s="13" t="s">
        <v>1744</v>
      </c>
      <c r="J82" s="13">
        <v>2.38</v>
      </c>
      <c r="K82" s="8" t="s">
        <v>129</v>
      </c>
    </row>
    <row r="83" spans="1:11">
      <c r="A83" s="14"/>
      <c r="B83" s="8"/>
      <c r="C83" s="8"/>
      <c r="D83" s="8"/>
      <c r="E83" s="8"/>
      <c r="F83" s="8" t="s">
        <v>531</v>
      </c>
      <c r="G83" s="13">
        <v>1.42</v>
      </c>
      <c r="H83" s="13">
        <v>0.25</v>
      </c>
      <c r="I83" s="13" t="s">
        <v>1745</v>
      </c>
      <c r="J83" s="13">
        <v>2.58</v>
      </c>
      <c r="K83" s="8"/>
    </row>
    <row r="84" spans="1:11">
      <c r="A84" s="14"/>
      <c r="B84" s="8"/>
      <c r="C84" s="8"/>
      <c r="D84" s="8"/>
      <c r="E84" s="8"/>
      <c r="F84" s="8" t="s">
        <v>503</v>
      </c>
      <c r="G84" s="13">
        <v>2</v>
      </c>
      <c r="H84" s="13">
        <v>0.3</v>
      </c>
      <c r="I84" s="8" t="s">
        <v>24</v>
      </c>
      <c r="J84" s="8" t="s">
        <v>24</v>
      </c>
      <c r="K84" s="8"/>
    </row>
    <row r="85" spans="1:11">
      <c r="A85" s="9">
        <v>45401</v>
      </c>
      <c r="B85" s="8" t="s">
        <v>2661</v>
      </c>
      <c r="C85" s="13">
        <v>10</v>
      </c>
      <c r="D85" s="8" t="s">
        <v>492</v>
      </c>
      <c r="E85" s="8" t="s">
        <v>481</v>
      </c>
      <c r="F85" s="8" t="s">
        <v>1058</v>
      </c>
      <c r="G85" s="13">
        <v>0.99</v>
      </c>
      <c r="H85" s="13">
        <v>7</v>
      </c>
      <c r="I85" s="13" t="s">
        <v>1744</v>
      </c>
      <c r="J85" s="13">
        <v>2.3</v>
      </c>
      <c r="K85" s="8" t="s">
        <v>74</v>
      </c>
    </row>
    <row r="86" spans="1:11">
      <c r="A86" s="14"/>
      <c r="B86" s="8"/>
      <c r="C86" s="8"/>
      <c r="D86" s="8"/>
      <c r="E86" s="8"/>
      <c r="F86" s="8" t="s">
        <v>1059</v>
      </c>
      <c r="G86" s="13">
        <v>1.24</v>
      </c>
      <c r="H86" s="13">
        <v>2</v>
      </c>
      <c r="I86" s="13" t="s">
        <v>1744</v>
      </c>
      <c r="J86" s="13">
        <v>2.4</v>
      </c>
      <c r="K86" s="8"/>
    </row>
    <row r="87" spans="1:11">
      <c r="A87" s="14"/>
      <c r="B87" s="8"/>
      <c r="C87" s="8"/>
      <c r="D87" s="8"/>
      <c r="E87" s="8"/>
      <c r="F87" s="8" t="s">
        <v>1060</v>
      </c>
      <c r="G87" s="13">
        <v>1.24</v>
      </c>
      <c r="H87" s="13">
        <v>0.3</v>
      </c>
      <c r="I87" s="13" t="s">
        <v>1745</v>
      </c>
      <c r="J87" s="13">
        <v>2.54</v>
      </c>
      <c r="K87" s="8"/>
    </row>
    <row r="88" spans="1:11">
      <c r="A88" s="14"/>
      <c r="B88" s="8"/>
      <c r="C88" s="8"/>
      <c r="D88" s="8"/>
      <c r="E88" s="8"/>
      <c r="F88" s="8" t="s">
        <v>503</v>
      </c>
      <c r="G88" s="13">
        <v>1.74</v>
      </c>
      <c r="H88" s="13">
        <v>0.7</v>
      </c>
      <c r="I88" s="8" t="s">
        <v>24</v>
      </c>
      <c r="J88" s="8" t="s">
        <v>24</v>
      </c>
      <c r="K88" s="8"/>
    </row>
    <row r="89" spans="1:11">
      <c r="A89" s="9">
        <v>45399</v>
      </c>
      <c r="B89" s="8" t="s">
        <v>2662</v>
      </c>
      <c r="C89" s="13">
        <v>10</v>
      </c>
      <c r="D89" s="8" t="s">
        <v>481</v>
      </c>
      <c r="E89" s="8" t="s">
        <v>1754</v>
      </c>
      <c r="F89" s="8" t="s">
        <v>1058</v>
      </c>
      <c r="G89" s="13">
        <v>0.99</v>
      </c>
      <c r="H89" s="13">
        <v>7</v>
      </c>
      <c r="I89" s="13" t="s">
        <v>1744</v>
      </c>
      <c r="J89" s="13">
        <v>2.3</v>
      </c>
      <c r="K89" s="8" t="s">
        <v>74</v>
      </c>
    </row>
    <row r="90" spans="1:11">
      <c r="A90" s="14"/>
      <c r="B90" s="8"/>
      <c r="C90" s="8"/>
      <c r="D90" s="8"/>
      <c r="E90" s="8"/>
      <c r="F90" s="8" t="s">
        <v>1059</v>
      </c>
      <c r="G90" s="13">
        <v>1.24</v>
      </c>
      <c r="H90" s="13">
        <v>2</v>
      </c>
      <c r="I90" s="13" t="s">
        <v>1744</v>
      </c>
      <c r="J90" s="13">
        <v>2.41</v>
      </c>
      <c r="K90" s="8"/>
    </row>
    <row r="91" spans="1:11">
      <c r="A91" s="14"/>
      <c r="B91" s="8"/>
      <c r="C91" s="8"/>
      <c r="D91" s="8"/>
      <c r="E91" s="8"/>
      <c r="F91" s="8" t="s">
        <v>1060</v>
      </c>
      <c r="G91" s="13">
        <v>1.24</v>
      </c>
      <c r="H91" s="13">
        <v>0.3</v>
      </c>
      <c r="I91" s="13" t="s">
        <v>1745</v>
      </c>
      <c r="J91" s="13">
        <v>2.57</v>
      </c>
      <c r="K91" s="8"/>
    </row>
    <row r="92" spans="1:11">
      <c r="A92" s="14"/>
      <c r="B92" s="8"/>
      <c r="C92" s="8"/>
      <c r="D92" s="8"/>
      <c r="E92" s="8"/>
      <c r="F92" s="8" t="s">
        <v>503</v>
      </c>
      <c r="G92" s="13">
        <v>1.74</v>
      </c>
      <c r="H92" s="13">
        <v>0.7</v>
      </c>
      <c r="I92" s="8" t="s">
        <v>24</v>
      </c>
      <c r="J92" s="8" t="s">
        <v>24</v>
      </c>
      <c r="K92" s="8"/>
    </row>
    <row r="93" spans="1:11">
      <c r="A93" s="9">
        <v>45400</v>
      </c>
      <c r="B93" s="8" t="s">
        <v>2663</v>
      </c>
      <c r="C93" s="13">
        <v>5</v>
      </c>
      <c r="D93" s="8" t="s">
        <v>477</v>
      </c>
      <c r="E93" s="8" t="s">
        <v>484</v>
      </c>
      <c r="F93" s="8" t="s">
        <v>531</v>
      </c>
      <c r="G93" s="13">
        <v>1.25</v>
      </c>
      <c r="H93" s="13">
        <v>4.45</v>
      </c>
      <c r="I93" s="13" t="s">
        <v>1744</v>
      </c>
      <c r="J93" s="13">
        <v>2.38</v>
      </c>
      <c r="K93" s="8" t="s">
        <v>129</v>
      </c>
    </row>
    <row r="94" spans="1:11">
      <c r="A94" s="14"/>
      <c r="B94" s="8"/>
      <c r="C94" s="8"/>
      <c r="D94" s="8"/>
      <c r="E94" s="8"/>
      <c r="F94" s="8" t="s">
        <v>531</v>
      </c>
      <c r="G94" s="13">
        <v>1.42</v>
      </c>
      <c r="H94" s="13">
        <v>0.25</v>
      </c>
      <c r="I94" s="13" t="s">
        <v>1745</v>
      </c>
      <c r="J94" s="13">
        <v>2.58</v>
      </c>
      <c r="K94" s="8"/>
    </row>
    <row r="95" spans="1:11">
      <c r="A95" s="14"/>
      <c r="B95" s="8"/>
      <c r="C95" s="8"/>
      <c r="D95" s="8"/>
      <c r="E95" s="8"/>
      <c r="F95" s="8" t="s">
        <v>503</v>
      </c>
      <c r="G95" s="13">
        <v>2</v>
      </c>
      <c r="H95" s="13">
        <v>0.3</v>
      </c>
      <c r="I95" s="8" t="s">
        <v>24</v>
      </c>
      <c r="J95" s="8" t="s">
        <v>24</v>
      </c>
      <c r="K95" s="8"/>
    </row>
    <row r="96" spans="1:11">
      <c r="A96" s="9">
        <v>45412</v>
      </c>
      <c r="B96" s="8" t="s">
        <v>2664</v>
      </c>
      <c r="C96" s="13">
        <v>5</v>
      </c>
      <c r="D96" s="8" t="s">
        <v>477</v>
      </c>
      <c r="E96" s="8" t="s">
        <v>484</v>
      </c>
      <c r="F96" s="8" t="s">
        <v>531</v>
      </c>
      <c r="G96" s="13">
        <v>1.26</v>
      </c>
      <c r="H96" s="13">
        <v>4.45</v>
      </c>
      <c r="I96" s="13" t="s">
        <v>1744</v>
      </c>
      <c r="J96" s="13">
        <v>2.3</v>
      </c>
      <c r="K96" s="8" t="s">
        <v>129</v>
      </c>
    </row>
    <row r="97" spans="1:11">
      <c r="A97" s="14"/>
      <c r="B97" s="8"/>
      <c r="C97" s="8"/>
      <c r="D97" s="8"/>
      <c r="E97" s="8"/>
      <c r="F97" s="8" t="s">
        <v>539</v>
      </c>
      <c r="G97" s="13">
        <v>1.43</v>
      </c>
      <c r="H97" s="13">
        <v>0.25</v>
      </c>
      <c r="I97" s="13" t="s">
        <v>1745</v>
      </c>
      <c r="J97" s="13">
        <v>2.5</v>
      </c>
      <c r="K97" s="8"/>
    </row>
    <row r="98" spans="1:11">
      <c r="A98" s="14"/>
      <c r="B98" s="8"/>
      <c r="C98" s="8"/>
      <c r="D98" s="8"/>
      <c r="E98" s="8"/>
      <c r="F98" s="8" t="s">
        <v>503</v>
      </c>
      <c r="G98" s="13">
        <v>2.01</v>
      </c>
      <c r="H98" s="13">
        <v>0.3</v>
      </c>
      <c r="I98" s="8" t="s">
        <v>24</v>
      </c>
      <c r="J98" s="8" t="s">
        <v>24</v>
      </c>
      <c r="K98" s="8"/>
    </row>
    <row r="99" spans="1:11">
      <c r="A99" s="9">
        <v>45407</v>
      </c>
      <c r="B99" s="8" t="s">
        <v>2665</v>
      </c>
      <c r="C99" s="13">
        <v>6</v>
      </c>
      <c r="D99" s="8" t="s">
        <v>492</v>
      </c>
      <c r="E99" s="8" t="s">
        <v>492</v>
      </c>
      <c r="F99" s="8" t="s">
        <v>1064</v>
      </c>
      <c r="G99" s="13">
        <v>1</v>
      </c>
      <c r="H99" s="13">
        <v>5.28</v>
      </c>
      <c r="I99" s="13" t="s">
        <v>1744</v>
      </c>
      <c r="J99" s="13">
        <v>2.28</v>
      </c>
      <c r="K99" s="8" t="s">
        <v>86</v>
      </c>
    </row>
    <row r="100" spans="1:11">
      <c r="A100" s="14"/>
      <c r="B100" s="8"/>
      <c r="C100" s="8"/>
      <c r="D100" s="8"/>
      <c r="E100" s="8"/>
      <c r="F100" s="8" t="s">
        <v>1060</v>
      </c>
      <c r="G100" s="13">
        <v>1</v>
      </c>
      <c r="H100" s="13">
        <v>0.36</v>
      </c>
      <c r="I100" s="13" t="s">
        <v>1745</v>
      </c>
      <c r="J100" s="13">
        <v>2.58</v>
      </c>
      <c r="K100" s="8"/>
    </row>
    <row r="101" spans="1:11">
      <c r="A101" s="14"/>
      <c r="B101" s="8"/>
      <c r="C101" s="8"/>
      <c r="D101" s="8"/>
      <c r="E101" s="8"/>
      <c r="F101" s="8" t="s">
        <v>503</v>
      </c>
      <c r="G101" s="13">
        <v>3</v>
      </c>
      <c r="H101" s="13">
        <v>0.36</v>
      </c>
      <c r="I101" s="8" t="s">
        <v>24</v>
      </c>
      <c r="J101" s="8" t="s">
        <v>24</v>
      </c>
      <c r="K101" s="8"/>
    </row>
    <row r="102" spans="1:11">
      <c r="A102" s="9">
        <v>45407</v>
      </c>
      <c r="B102" s="8" t="s">
        <v>2666</v>
      </c>
      <c r="C102" s="13">
        <v>5</v>
      </c>
      <c r="D102" s="8" t="s">
        <v>2654</v>
      </c>
      <c r="E102" s="8" t="s">
        <v>484</v>
      </c>
      <c r="F102" s="8" t="s">
        <v>531</v>
      </c>
      <c r="G102" s="13">
        <v>1.25</v>
      </c>
      <c r="H102" s="13">
        <v>4.45</v>
      </c>
      <c r="I102" s="13" t="s">
        <v>1744</v>
      </c>
      <c r="J102" s="13">
        <v>2.32</v>
      </c>
      <c r="K102" s="8" t="s">
        <v>129</v>
      </c>
    </row>
    <row r="103" spans="1:11">
      <c r="A103" s="14"/>
      <c r="B103" s="8"/>
      <c r="C103" s="8"/>
      <c r="D103" s="8"/>
      <c r="E103" s="8"/>
      <c r="F103" s="8" t="s">
        <v>539</v>
      </c>
      <c r="G103" s="13">
        <v>1.42</v>
      </c>
      <c r="H103" s="13">
        <v>0.25</v>
      </c>
      <c r="I103" s="13" t="s">
        <v>1745</v>
      </c>
      <c r="J103" s="13">
        <v>2.51</v>
      </c>
      <c r="K103" s="8"/>
    </row>
    <row r="104" spans="1:11">
      <c r="A104" s="14"/>
      <c r="B104" s="8"/>
      <c r="C104" s="8"/>
      <c r="D104" s="8"/>
      <c r="E104" s="8"/>
      <c r="F104" s="8" t="s">
        <v>503</v>
      </c>
      <c r="G104" s="13">
        <v>2</v>
      </c>
      <c r="H104" s="13">
        <v>0.3</v>
      </c>
      <c r="I104" s="8" t="s">
        <v>24</v>
      </c>
      <c r="J104" s="8" t="s">
        <v>24</v>
      </c>
      <c r="K104" s="8"/>
    </row>
    <row r="105" spans="1:11">
      <c r="A105" s="9">
        <v>45407</v>
      </c>
      <c r="B105" s="8" t="s">
        <v>2667</v>
      </c>
      <c r="C105" s="13">
        <v>5</v>
      </c>
      <c r="D105" s="8" t="s">
        <v>477</v>
      </c>
      <c r="E105" s="8" t="s">
        <v>492</v>
      </c>
      <c r="F105" s="8" t="s">
        <v>531</v>
      </c>
      <c r="G105" s="13">
        <v>1.25</v>
      </c>
      <c r="H105" s="13">
        <v>4.45</v>
      </c>
      <c r="I105" s="13" t="s">
        <v>1744</v>
      </c>
      <c r="J105" s="13">
        <v>2.35</v>
      </c>
      <c r="K105" s="8" t="s">
        <v>129</v>
      </c>
    </row>
    <row r="106" spans="1:11">
      <c r="A106" s="14"/>
      <c r="B106" s="8"/>
      <c r="C106" s="8"/>
      <c r="D106" s="8"/>
      <c r="E106" s="8"/>
      <c r="F106" s="8" t="s">
        <v>539</v>
      </c>
      <c r="G106" s="13">
        <v>1.42</v>
      </c>
      <c r="H106" s="13">
        <v>0.25</v>
      </c>
      <c r="I106" s="13" t="s">
        <v>1745</v>
      </c>
      <c r="J106" s="13">
        <v>2.54</v>
      </c>
      <c r="K106" s="8"/>
    </row>
    <row r="107" spans="1:11">
      <c r="A107" s="14"/>
      <c r="B107" s="8"/>
      <c r="C107" s="8"/>
      <c r="D107" s="8"/>
      <c r="E107" s="8"/>
      <c r="F107" s="8" t="s">
        <v>503</v>
      </c>
      <c r="G107" s="13">
        <v>2</v>
      </c>
      <c r="H107" s="13">
        <v>0.3</v>
      </c>
      <c r="I107" s="8" t="s">
        <v>24</v>
      </c>
      <c r="J107" s="8" t="s">
        <v>24</v>
      </c>
      <c r="K107" s="8"/>
    </row>
    <row r="108" spans="1:11">
      <c r="A108" s="9">
        <v>45411</v>
      </c>
      <c r="B108" s="8" t="s">
        <v>2668</v>
      </c>
      <c r="C108" s="13">
        <v>5</v>
      </c>
      <c r="D108" s="8" t="s">
        <v>477</v>
      </c>
      <c r="E108" s="8" t="s">
        <v>481</v>
      </c>
      <c r="F108" s="8" t="s">
        <v>531</v>
      </c>
      <c r="G108" s="13">
        <v>1.25</v>
      </c>
      <c r="H108" s="13">
        <v>4.45</v>
      </c>
      <c r="I108" s="13" t="s">
        <v>1744</v>
      </c>
      <c r="J108" s="13">
        <v>2.3</v>
      </c>
      <c r="K108" s="8" t="s">
        <v>129</v>
      </c>
    </row>
    <row r="109" spans="1:11">
      <c r="A109" s="14"/>
      <c r="B109" s="8"/>
      <c r="C109" s="8"/>
      <c r="D109" s="8"/>
      <c r="E109" s="8"/>
      <c r="F109" s="8" t="s">
        <v>539</v>
      </c>
      <c r="G109" s="13">
        <v>1.42</v>
      </c>
      <c r="H109" s="13">
        <v>0.25</v>
      </c>
      <c r="I109" s="13" t="s">
        <v>1745</v>
      </c>
      <c r="J109" s="13">
        <v>2.5</v>
      </c>
      <c r="K109" s="8"/>
    </row>
    <row r="110" spans="1:11">
      <c r="A110" s="14"/>
      <c r="B110" s="8"/>
      <c r="C110" s="8"/>
      <c r="D110" s="8"/>
      <c r="E110" s="8"/>
      <c r="F110" s="8" t="s">
        <v>503</v>
      </c>
      <c r="G110" s="13">
        <v>2</v>
      </c>
      <c r="H110" s="13">
        <v>0.3</v>
      </c>
      <c r="I110" s="8" t="s">
        <v>24</v>
      </c>
      <c r="J110" s="8" t="s">
        <v>24</v>
      </c>
      <c r="K110" s="8"/>
    </row>
    <row r="111" spans="1:11">
      <c r="A111" s="9">
        <v>45407</v>
      </c>
      <c r="B111" s="8" t="s">
        <v>2669</v>
      </c>
      <c r="C111" s="13">
        <v>5</v>
      </c>
      <c r="D111" s="8" t="s">
        <v>486</v>
      </c>
      <c r="E111" s="8" t="s">
        <v>486</v>
      </c>
      <c r="F111" s="8" t="s">
        <v>1064</v>
      </c>
      <c r="G111" s="13">
        <v>1.5</v>
      </c>
      <c r="H111" s="13">
        <v>4.18</v>
      </c>
      <c r="I111" s="13" t="s">
        <v>1744</v>
      </c>
      <c r="J111" s="13">
        <v>2.45</v>
      </c>
      <c r="K111" s="8" t="s">
        <v>27</v>
      </c>
    </row>
    <row r="112" spans="1:11">
      <c r="A112" s="14"/>
      <c r="B112" s="8"/>
      <c r="C112" s="8"/>
      <c r="D112" s="8"/>
      <c r="E112" s="8"/>
      <c r="F112" s="8" t="s">
        <v>1060</v>
      </c>
      <c r="G112" s="13">
        <v>2</v>
      </c>
      <c r="H112" s="13">
        <v>0.27</v>
      </c>
      <c r="I112" s="13" t="s">
        <v>1745</v>
      </c>
      <c r="J112" s="13">
        <v>2.69</v>
      </c>
      <c r="K112" s="8"/>
    </row>
    <row r="113" spans="1:11">
      <c r="A113" s="14"/>
      <c r="B113" s="8"/>
      <c r="C113" s="8"/>
      <c r="D113" s="8"/>
      <c r="E113" s="8"/>
      <c r="F113" s="8" t="s">
        <v>1086</v>
      </c>
      <c r="G113" s="13">
        <v>3</v>
      </c>
      <c r="H113" s="13">
        <v>0.3</v>
      </c>
      <c r="I113" s="8" t="s">
        <v>24</v>
      </c>
      <c r="J113" s="8" t="s">
        <v>24</v>
      </c>
      <c r="K113" s="8"/>
    </row>
    <row r="114" spans="1:11">
      <c r="A114" s="14"/>
      <c r="B114" s="8"/>
      <c r="C114" s="8"/>
      <c r="D114" s="8"/>
      <c r="E114" s="8"/>
      <c r="F114" s="8" t="s">
        <v>1087</v>
      </c>
      <c r="G114" s="13">
        <v>3</v>
      </c>
      <c r="H114" s="13">
        <v>0.25</v>
      </c>
      <c r="I114" s="8" t="s">
        <v>24</v>
      </c>
      <c r="J114" s="8" t="s">
        <v>24</v>
      </c>
      <c r="K114" s="8"/>
    </row>
    <row r="115" spans="1:11">
      <c r="A115" s="9">
        <v>45408</v>
      </c>
      <c r="B115" s="8" t="s">
        <v>2670</v>
      </c>
      <c r="C115" s="13">
        <v>5</v>
      </c>
      <c r="D115" s="8" t="s">
        <v>536</v>
      </c>
      <c r="E115" s="8" t="s">
        <v>2654</v>
      </c>
      <c r="F115" s="8" t="s">
        <v>531</v>
      </c>
      <c r="G115" s="13">
        <v>1.25</v>
      </c>
      <c r="H115" s="13">
        <v>4.45</v>
      </c>
      <c r="I115" s="13" t="s">
        <v>1744</v>
      </c>
      <c r="J115" s="13">
        <v>2.32</v>
      </c>
      <c r="K115" s="8" t="s">
        <v>129</v>
      </c>
    </row>
    <row r="116" spans="1:11">
      <c r="A116" s="14"/>
      <c r="B116" s="8"/>
      <c r="C116" s="8"/>
      <c r="D116" s="8"/>
      <c r="E116" s="8"/>
      <c r="F116" s="8" t="s">
        <v>539</v>
      </c>
      <c r="G116" s="13">
        <v>1.42</v>
      </c>
      <c r="H116" s="13">
        <v>0.25</v>
      </c>
      <c r="I116" s="13" t="s">
        <v>1745</v>
      </c>
      <c r="J116" s="13">
        <v>2.51</v>
      </c>
      <c r="K116" s="8"/>
    </row>
    <row r="117" spans="1:11">
      <c r="A117" s="14"/>
      <c r="B117" s="8"/>
      <c r="C117" s="8"/>
      <c r="D117" s="8"/>
      <c r="E117" s="8"/>
      <c r="F117" s="8" t="s">
        <v>503</v>
      </c>
      <c r="G117" s="13">
        <v>2</v>
      </c>
      <c r="H117" s="13">
        <v>0.3</v>
      </c>
      <c r="I117" s="8" t="s">
        <v>24</v>
      </c>
      <c r="J117" s="8" t="s">
        <v>24</v>
      </c>
      <c r="K117" s="8"/>
    </row>
    <row r="118" spans="1:11">
      <c r="A118" s="9">
        <v>45408</v>
      </c>
      <c r="B118" s="8" t="s">
        <v>2671</v>
      </c>
      <c r="C118" s="13">
        <v>10</v>
      </c>
      <c r="D118" s="8" t="s">
        <v>521</v>
      </c>
      <c r="E118" s="8" t="s">
        <v>484</v>
      </c>
      <c r="F118" s="8" t="s">
        <v>1064</v>
      </c>
      <c r="G118" s="13">
        <v>1.91</v>
      </c>
      <c r="H118" s="13">
        <v>8.6</v>
      </c>
      <c r="I118" s="13" t="s">
        <v>1744</v>
      </c>
      <c r="J118" s="13">
        <v>2.35</v>
      </c>
      <c r="K118" s="8" t="s">
        <v>86</v>
      </c>
    </row>
    <row r="119" spans="1:11">
      <c r="A119" s="14"/>
      <c r="B119" s="8"/>
      <c r="C119" s="8"/>
      <c r="D119" s="8"/>
      <c r="E119" s="8"/>
      <c r="F119" s="8" t="s">
        <v>1060</v>
      </c>
      <c r="G119" s="13">
        <v>2</v>
      </c>
      <c r="H119" s="13">
        <v>0.7</v>
      </c>
      <c r="I119" s="13" t="s">
        <v>1745</v>
      </c>
      <c r="J119" s="13">
        <v>2.6</v>
      </c>
      <c r="K119" s="8"/>
    </row>
    <row r="120" spans="1:11">
      <c r="A120" s="14"/>
      <c r="B120" s="8"/>
      <c r="C120" s="8"/>
      <c r="D120" s="8"/>
      <c r="E120" s="8"/>
      <c r="F120" s="8" t="s">
        <v>503</v>
      </c>
      <c r="G120" s="13">
        <v>2</v>
      </c>
      <c r="H120" s="13">
        <v>0.7</v>
      </c>
      <c r="I120" s="8" t="s">
        <v>24</v>
      </c>
      <c r="J120" s="8" t="s">
        <v>24</v>
      </c>
      <c r="K120" s="8"/>
    </row>
    <row r="121" spans="1:11">
      <c r="A121" s="9">
        <v>45412</v>
      </c>
      <c r="B121" s="8" t="s">
        <v>2672</v>
      </c>
      <c r="C121" s="13">
        <v>4</v>
      </c>
      <c r="D121" s="8" t="s">
        <v>1277</v>
      </c>
      <c r="E121" s="8" t="s">
        <v>477</v>
      </c>
      <c r="F121" s="8" t="s">
        <v>1064</v>
      </c>
      <c r="G121" s="13">
        <v>1.43</v>
      </c>
      <c r="H121" s="13">
        <v>3.36</v>
      </c>
      <c r="I121" s="13" t="s">
        <v>1744</v>
      </c>
      <c r="J121" s="13">
        <v>2.38</v>
      </c>
      <c r="K121" s="8" t="s">
        <v>355</v>
      </c>
    </row>
    <row r="122" spans="1:11">
      <c r="A122" s="14"/>
      <c r="B122" s="8"/>
      <c r="C122" s="8"/>
      <c r="D122" s="8"/>
      <c r="E122" s="8"/>
      <c r="F122" s="8" t="s">
        <v>1060</v>
      </c>
      <c r="G122" s="13">
        <v>2.01</v>
      </c>
      <c r="H122" s="13">
        <v>0.2</v>
      </c>
      <c r="I122" s="13" t="s">
        <v>1745</v>
      </c>
      <c r="J122" s="13">
        <v>2.52</v>
      </c>
      <c r="K122" s="8"/>
    </row>
    <row r="123" spans="1:11">
      <c r="A123" s="14"/>
      <c r="B123" s="8"/>
      <c r="C123" s="8"/>
      <c r="D123" s="8"/>
      <c r="E123" s="8"/>
      <c r="F123" s="8" t="s">
        <v>1061</v>
      </c>
      <c r="G123" s="13">
        <v>2.01</v>
      </c>
      <c r="H123" s="13">
        <v>0.16</v>
      </c>
      <c r="I123" s="13" t="s">
        <v>2673</v>
      </c>
      <c r="J123" s="13">
        <v>4.5</v>
      </c>
      <c r="K123" s="8"/>
    </row>
    <row r="124" spans="1:11">
      <c r="A124" s="14"/>
      <c r="B124" s="8"/>
      <c r="C124" s="8"/>
      <c r="D124" s="8"/>
      <c r="E124" s="8"/>
      <c r="F124" s="8" t="s">
        <v>503</v>
      </c>
      <c r="G124" s="13">
        <v>2.01</v>
      </c>
      <c r="H124" s="13">
        <v>0.28</v>
      </c>
      <c r="I124" s="8" t="s">
        <v>24</v>
      </c>
      <c r="J124" s="8" t="s">
        <v>24</v>
      </c>
      <c r="K124" s="8"/>
    </row>
    <row r="125" spans="1:11">
      <c r="A125" s="9">
        <v>45428</v>
      </c>
      <c r="B125" s="8" t="s">
        <v>2674</v>
      </c>
      <c r="C125" s="13">
        <v>5</v>
      </c>
      <c r="D125" s="8" t="s">
        <v>536</v>
      </c>
      <c r="E125" s="8" t="s">
        <v>2654</v>
      </c>
      <c r="F125" s="8" t="s">
        <v>531</v>
      </c>
      <c r="G125" s="13">
        <v>1.27</v>
      </c>
      <c r="H125" s="13">
        <v>4.45</v>
      </c>
      <c r="I125" s="13" t="s">
        <v>1744</v>
      </c>
      <c r="J125" s="13">
        <v>2.3</v>
      </c>
      <c r="K125" s="8" t="s">
        <v>129</v>
      </c>
    </row>
    <row r="126" spans="1:11">
      <c r="A126" s="14"/>
      <c r="B126" s="8"/>
      <c r="C126" s="8"/>
      <c r="D126" s="8"/>
      <c r="E126" s="8"/>
      <c r="F126" s="8" t="s">
        <v>539</v>
      </c>
      <c r="G126" s="13">
        <v>1.43</v>
      </c>
      <c r="H126" s="13">
        <v>0.25</v>
      </c>
      <c r="I126" s="13" t="s">
        <v>1745</v>
      </c>
      <c r="J126" s="13">
        <v>2.47</v>
      </c>
      <c r="K126" s="8"/>
    </row>
    <row r="127" spans="1:11">
      <c r="A127" s="14"/>
      <c r="B127" s="8"/>
      <c r="C127" s="8"/>
      <c r="D127" s="8"/>
      <c r="E127" s="8"/>
      <c r="F127" s="8" t="s">
        <v>503</v>
      </c>
      <c r="G127" s="13">
        <v>2.01</v>
      </c>
      <c r="H127" s="13">
        <v>0.3</v>
      </c>
      <c r="I127" s="8" t="s">
        <v>24</v>
      </c>
      <c r="J127" s="8" t="s">
        <v>24</v>
      </c>
      <c r="K127" s="8"/>
    </row>
    <row r="128" spans="1:11">
      <c r="A128" s="9">
        <v>45433</v>
      </c>
      <c r="B128" s="8" t="s">
        <v>2675</v>
      </c>
      <c r="C128" s="13">
        <v>10</v>
      </c>
      <c r="D128" s="8" t="s">
        <v>911</v>
      </c>
      <c r="E128" s="8" t="s">
        <v>1754</v>
      </c>
      <c r="F128" s="8" t="s">
        <v>531</v>
      </c>
      <c r="G128" s="13">
        <v>1</v>
      </c>
      <c r="H128" s="13">
        <v>9</v>
      </c>
      <c r="I128" s="13" t="s">
        <v>1744</v>
      </c>
      <c r="J128" s="13">
        <v>2.2</v>
      </c>
      <c r="K128" s="8" t="s">
        <v>35</v>
      </c>
    </row>
    <row r="129" spans="1:11">
      <c r="A129" s="14"/>
      <c r="B129" s="8"/>
      <c r="C129" s="8"/>
      <c r="D129" s="8"/>
      <c r="E129" s="8"/>
      <c r="F129" s="8" t="s">
        <v>509</v>
      </c>
      <c r="G129" s="13">
        <v>1</v>
      </c>
      <c r="H129" s="13">
        <v>0.45</v>
      </c>
      <c r="I129" s="13" t="s">
        <v>1746</v>
      </c>
      <c r="J129" s="13">
        <v>4</v>
      </c>
      <c r="K129" s="8"/>
    </row>
    <row r="130" spans="1:11">
      <c r="A130" s="14"/>
      <c r="B130" s="8"/>
      <c r="C130" s="8"/>
      <c r="D130" s="8"/>
      <c r="E130" s="8"/>
      <c r="F130" s="8" t="s">
        <v>503</v>
      </c>
      <c r="G130" s="13">
        <v>3</v>
      </c>
      <c r="H130" s="13">
        <v>0.55</v>
      </c>
      <c r="I130" s="8" t="s">
        <v>24</v>
      </c>
      <c r="J130" s="8" t="s">
        <v>24</v>
      </c>
      <c r="K130" s="8"/>
    </row>
    <row r="131" spans="1:11">
      <c r="A131" s="9">
        <v>45432</v>
      </c>
      <c r="B131" s="8" t="s">
        <v>2674</v>
      </c>
      <c r="C131" s="13">
        <v>5</v>
      </c>
      <c r="D131" s="8" t="s">
        <v>536</v>
      </c>
      <c r="E131" s="8" t="s">
        <v>2654</v>
      </c>
      <c r="F131" s="8" t="s">
        <v>531</v>
      </c>
      <c r="G131" s="13">
        <v>1.25</v>
      </c>
      <c r="H131" s="13">
        <v>4.45</v>
      </c>
      <c r="I131" s="13" t="s">
        <v>1744</v>
      </c>
      <c r="J131" s="13">
        <v>2.3</v>
      </c>
      <c r="K131" s="8" t="s">
        <v>129</v>
      </c>
    </row>
    <row r="132" spans="1:11">
      <c r="A132" s="14"/>
      <c r="B132" s="8"/>
      <c r="C132" s="8"/>
      <c r="D132" s="8"/>
      <c r="E132" s="8"/>
      <c r="F132" s="8" t="s">
        <v>539</v>
      </c>
      <c r="G132" s="13">
        <v>1.42</v>
      </c>
      <c r="H132" s="13">
        <v>0.25</v>
      </c>
      <c r="I132" s="13" t="s">
        <v>1745</v>
      </c>
      <c r="J132" s="13">
        <v>2.47</v>
      </c>
      <c r="K132" s="8"/>
    </row>
    <row r="133" spans="1:11">
      <c r="A133" s="14"/>
      <c r="B133" s="8"/>
      <c r="C133" s="8"/>
      <c r="D133" s="8"/>
      <c r="E133" s="8"/>
      <c r="F133" s="8" t="s">
        <v>503</v>
      </c>
      <c r="G133" s="13">
        <v>2</v>
      </c>
      <c r="H133" s="13">
        <v>0.3</v>
      </c>
      <c r="I133" s="8" t="s">
        <v>24</v>
      </c>
      <c r="J133" s="8" t="s">
        <v>24</v>
      </c>
      <c r="K133" s="8"/>
    </row>
    <row r="134" spans="1:11">
      <c r="A134" s="9">
        <v>45433</v>
      </c>
      <c r="B134" s="8" t="s">
        <v>2676</v>
      </c>
      <c r="C134" s="13">
        <v>4</v>
      </c>
      <c r="D134" s="8" t="s">
        <v>486</v>
      </c>
      <c r="E134" s="8" t="s">
        <v>486</v>
      </c>
      <c r="F134" s="8" t="s">
        <v>1064</v>
      </c>
      <c r="G134" s="13">
        <v>1.52</v>
      </c>
      <c r="H134" s="13">
        <v>3.35</v>
      </c>
      <c r="I134" s="13" t="s">
        <v>1744</v>
      </c>
      <c r="J134" s="13">
        <v>2.33</v>
      </c>
      <c r="K134" s="8" t="s">
        <v>27</v>
      </c>
    </row>
    <row r="135" spans="1:11">
      <c r="A135" s="14"/>
      <c r="B135" s="8"/>
      <c r="C135" s="8"/>
      <c r="D135" s="8"/>
      <c r="E135" s="8"/>
      <c r="F135" s="8" t="s">
        <v>1060</v>
      </c>
      <c r="G135" s="13">
        <v>2.01</v>
      </c>
      <c r="H135" s="13">
        <v>0.21</v>
      </c>
      <c r="I135" s="13" t="s">
        <v>1745</v>
      </c>
      <c r="J135" s="13">
        <v>2.5</v>
      </c>
      <c r="K135" s="8"/>
    </row>
    <row r="136" spans="1:11">
      <c r="A136" s="14"/>
      <c r="B136" s="8"/>
      <c r="C136" s="8"/>
      <c r="D136" s="8"/>
      <c r="E136" s="8"/>
      <c r="F136" s="8" t="s">
        <v>1086</v>
      </c>
      <c r="G136" s="13">
        <v>3.01</v>
      </c>
      <c r="H136" s="13">
        <v>0.24</v>
      </c>
      <c r="I136" s="8" t="s">
        <v>24</v>
      </c>
      <c r="J136" s="8" t="s">
        <v>24</v>
      </c>
      <c r="K136" s="8"/>
    </row>
    <row r="137" spans="1:11">
      <c r="A137" s="14"/>
      <c r="B137" s="8"/>
      <c r="C137" s="8"/>
      <c r="D137" s="8"/>
      <c r="E137" s="8"/>
      <c r="F137" s="8" t="s">
        <v>1087</v>
      </c>
      <c r="G137" s="13">
        <v>3.01</v>
      </c>
      <c r="H137" s="13">
        <v>0.2</v>
      </c>
      <c r="I137" s="8" t="s">
        <v>24</v>
      </c>
      <c r="J137" s="8" t="s">
        <v>24</v>
      </c>
      <c r="K137" s="8"/>
    </row>
    <row r="138" spans="1:11">
      <c r="A138" s="9">
        <v>45428</v>
      </c>
      <c r="B138" s="8" t="s">
        <v>2677</v>
      </c>
      <c r="C138" s="13">
        <v>8</v>
      </c>
      <c r="D138" s="8" t="s">
        <v>536</v>
      </c>
      <c r="E138" s="8" t="s">
        <v>2654</v>
      </c>
      <c r="F138" s="8" t="s">
        <v>531</v>
      </c>
      <c r="G138" s="13">
        <v>1.25</v>
      </c>
      <c r="H138" s="13">
        <v>7.12</v>
      </c>
      <c r="I138" s="13" t="s">
        <v>1744</v>
      </c>
      <c r="J138" s="13">
        <v>2.3</v>
      </c>
      <c r="K138" s="8" t="s">
        <v>129</v>
      </c>
    </row>
    <row r="139" spans="1:11">
      <c r="A139" s="14"/>
      <c r="B139" s="8"/>
      <c r="C139" s="8"/>
      <c r="D139" s="8"/>
      <c r="E139" s="8"/>
      <c r="F139" s="8" t="s">
        <v>539</v>
      </c>
      <c r="G139" s="13">
        <v>1.42</v>
      </c>
      <c r="H139" s="13">
        <v>0.4</v>
      </c>
      <c r="I139" s="13" t="s">
        <v>1745</v>
      </c>
      <c r="J139" s="13">
        <v>2.49</v>
      </c>
      <c r="K139" s="8"/>
    </row>
    <row r="140" spans="1:11">
      <c r="A140" s="14"/>
      <c r="B140" s="8"/>
      <c r="C140" s="8"/>
      <c r="D140" s="8"/>
      <c r="E140" s="8"/>
      <c r="F140" s="8" t="s">
        <v>503</v>
      </c>
      <c r="G140" s="13">
        <v>2</v>
      </c>
      <c r="H140" s="13">
        <v>0.48</v>
      </c>
      <c r="I140" s="8" t="s">
        <v>24</v>
      </c>
      <c r="J140" s="8" t="s">
        <v>24</v>
      </c>
      <c r="K140" s="8"/>
    </row>
    <row r="141" spans="1:11">
      <c r="A141" s="9">
        <v>45436</v>
      </c>
      <c r="B141" s="8" t="s">
        <v>2678</v>
      </c>
      <c r="C141" s="13">
        <v>5</v>
      </c>
      <c r="D141" s="8" t="s">
        <v>492</v>
      </c>
      <c r="E141" s="8" t="s">
        <v>477</v>
      </c>
      <c r="F141" s="8" t="s">
        <v>531</v>
      </c>
      <c r="G141" s="13">
        <v>1.25</v>
      </c>
      <c r="H141" s="13">
        <v>4.45</v>
      </c>
      <c r="I141" s="13" t="s">
        <v>1744</v>
      </c>
      <c r="J141" s="13">
        <v>2.29</v>
      </c>
      <c r="K141" s="8" t="s">
        <v>129</v>
      </c>
    </row>
    <row r="142" spans="1:11">
      <c r="A142" s="14"/>
      <c r="B142" s="8"/>
      <c r="C142" s="8"/>
      <c r="D142" s="8"/>
      <c r="E142" s="8"/>
      <c r="F142" s="8" t="s">
        <v>539</v>
      </c>
      <c r="G142" s="13">
        <v>1.41</v>
      </c>
      <c r="H142" s="13">
        <v>0.25</v>
      </c>
      <c r="I142" s="13" t="s">
        <v>505</v>
      </c>
      <c r="J142" s="13">
        <v>2.45</v>
      </c>
      <c r="K142" s="8"/>
    </row>
    <row r="143" spans="1:11">
      <c r="A143" s="14"/>
      <c r="B143" s="8"/>
      <c r="C143" s="8"/>
      <c r="D143" s="8"/>
      <c r="E143" s="8"/>
      <c r="F143" s="8" t="s">
        <v>503</v>
      </c>
      <c r="G143" s="13">
        <v>1.99</v>
      </c>
      <c r="H143" s="13">
        <v>0.3</v>
      </c>
      <c r="I143" s="8" t="s">
        <v>24</v>
      </c>
      <c r="J143" s="8" t="s">
        <v>24</v>
      </c>
      <c r="K143" s="8"/>
    </row>
    <row r="144" spans="1:11">
      <c r="A144" s="9">
        <v>45439</v>
      </c>
      <c r="B144" s="8" t="s">
        <v>2679</v>
      </c>
      <c r="C144" s="13">
        <v>8</v>
      </c>
      <c r="D144" s="8" t="s">
        <v>536</v>
      </c>
      <c r="E144" s="8" t="s">
        <v>2654</v>
      </c>
      <c r="F144" s="8" t="s">
        <v>531</v>
      </c>
      <c r="G144" s="13">
        <v>1.25</v>
      </c>
      <c r="H144" s="13">
        <v>7.12</v>
      </c>
      <c r="I144" s="13" t="s">
        <v>1744</v>
      </c>
      <c r="J144" s="13">
        <v>2.29</v>
      </c>
      <c r="K144" s="8" t="s">
        <v>129</v>
      </c>
    </row>
    <row r="145" spans="1:11">
      <c r="A145" s="14"/>
      <c r="B145" s="8"/>
      <c r="C145" s="8"/>
      <c r="D145" s="8"/>
      <c r="E145" s="8"/>
      <c r="F145" s="8" t="s">
        <v>539</v>
      </c>
      <c r="G145" s="13">
        <v>1.42</v>
      </c>
      <c r="H145" s="13">
        <v>0.4</v>
      </c>
      <c r="I145" s="13" t="s">
        <v>505</v>
      </c>
      <c r="J145" s="13">
        <v>2.44</v>
      </c>
      <c r="K145" s="8"/>
    </row>
    <row r="146" spans="1:11">
      <c r="A146" s="14"/>
      <c r="B146" s="8"/>
      <c r="C146" s="8"/>
      <c r="D146" s="8"/>
      <c r="E146" s="8"/>
      <c r="F146" s="8" t="s">
        <v>503</v>
      </c>
      <c r="G146" s="13">
        <v>2</v>
      </c>
      <c r="H146" s="13">
        <v>0.48</v>
      </c>
      <c r="I146" s="8" t="s">
        <v>24</v>
      </c>
      <c r="J146" s="8" t="s">
        <v>24</v>
      </c>
      <c r="K146" s="8"/>
    </row>
    <row r="147" spans="1:11">
      <c r="A147" s="9">
        <v>45440</v>
      </c>
      <c r="B147" s="8" t="s">
        <v>2680</v>
      </c>
      <c r="C147" s="13">
        <v>5</v>
      </c>
      <c r="D147" s="8" t="s">
        <v>2654</v>
      </c>
      <c r="E147" s="8" t="s">
        <v>484</v>
      </c>
      <c r="F147" s="8" t="s">
        <v>531</v>
      </c>
      <c r="G147" s="13">
        <v>1.25</v>
      </c>
      <c r="H147" s="13">
        <v>4.45</v>
      </c>
      <c r="I147" s="13" t="s">
        <v>1744</v>
      </c>
      <c r="J147" s="13">
        <v>2.29</v>
      </c>
      <c r="K147" s="8" t="s">
        <v>129</v>
      </c>
    </row>
    <row r="148" spans="1:11">
      <c r="A148" s="14"/>
      <c r="B148" s="8"/>
      <c r="C148" s="8"/>
      <c r="D148" s="8"/>
      <c r="E148" s="8"/>
      <c r="F148" s="8" t="s">
        <v>539</v>
      </c>
      <c r="G148" s="13">
        <v>1.42</v>
      </c>
      <c r="H148" s="13">
        <v>0.25</v>
      </c>
      <c r="I148" s="13" t="s">
        <v>505</v>
      </c>
      <c r="J148" s="13">
        <v>2.44</v>
      </c>
      <c r="K148" s="8"/>
    </row>
    <row r="149" spans="1:11">
      <c r="A149" s="14"/>
      <c r="B149" s="8"/>
      <c r="C149" s="8"/>
      <c r="D149" s="8"/>
      <c r="E149" s="8"/>
      <c r="F149" s="8" t="s">
        <v>503</v>
      </c>
      <c r="G149" s="13">
        <v>2</v>
      </c>
      <c r="H149" s="13">
        <v>0.3</v>
      </c>
      <c r="I149" s="8" t="s">
        <v>24</v>
      </c>
      <c r="J149" s="8" t="s">
        <v>24</v>
      </c>
      <c r="K149" s="8"/>
    </row>
    <row r="150" spans="1:11">
      <c r="A150" s="9">
        <v>45442</v>
      </c>
      <c r="B150" s="8" t="s">
        <v>2681</v>
      </c>
      <c r="C150" s="13">
        <v>10</v>
      </c>
      <c r="D150" s="8" t="s">
        <v>911</v>
      </c>
      <c r="E150" s="8" t="s">
        <v>2608</v>
      </c>
      <c r="F150" s="8" t="s">
        <v>531</v>
      </c>
      <c r="G150" s="13">
        <v>1.01</v>
      </c>
      <c r="H150" s="13">
        <v>9</v>
      </c>
      <c r="I150" s="13" t="s">
        <v>1744</v>
      </c>
      <c r="J150" s="13">
        <v>2.18</v>
      </c>
      <c r="K150" s="8" t="s">
        <v>35</v>
      </c>
    </row>
    <row r="151" spans="1:11">
      <c r="A151" s="14"/>
      <c r="B151" s="8"/>
      <c r="C151" s="8"/>
      <c r="D151" s="8"/>
      <c r="E151" s="8"/>
      <c r="F151" s="8" t="s">
        <v>509</v>
      </c>
      <c r="G151" s="13">
        <v>1.01</v>
      </c>
      <c r="H151" s="13">
        <v>0.45</v>
      </c>
      <c r="I151" s="13" t="s">
        <v>1746</v>
      </c>
      <c r="J151" s="13">
        <v>4</v>
      </c>
      <c r="K151" s="8"/>
    </row>
    <row r="152" spans="1:11">
      <c r="A152" s="14"/>
      <c r="B152" s="8"/>
      <c r="C152" s="8"/>
      <c r="D152" s="8"/>
      <c r="E152" s="8"/>
      <c r="F152" s="8" t="s">
        <v>503</v>
      </c>
      <c r="G152" s="13">
        <v>3.01</v>
      </c>
      <c r="H152" s="13">
        <v>0.55</v>
      </c>
      <c r="I152" s="8" t="s">
        <v>24</v>
      </c>
      <c r="J152" s="8" t="s">
        <v>24</v>
      </c>
      <c r="K152" s="8"/>
    </row>
    <row r="153" spans="1:11">
      <c r="A153" s="9">
        <v>45456</v>
      </c>
      <c r="B153" s="8" t="s">
        <v>2682</v>
      </c>
      <c r="C153" s="13">
        <v>10</v>
      </c>
      <c r="D153" s="8" t="s">
        <v>911</v>
      </c>
      <c r="E153" s="8" t="s">
        <v>536</v>
      </c>
      <c r="F153" s="8" t="s">
        <v>531</v>
      </c>
      <c r="G153" s="13">
        <v>0.83</v>
      </c>
      <c r="H153" s="13">
        <v>9</v>
      </c>
      <c r="I153" s="13" t="s">
        <v>1744</v>
      </c>
      <c r="J153" s="13">
        <v>2.13</v>
      </c>
      <c r="K153" s="8" t="s">
        <v>35</v>
      </c>
    </row>
    <row r="154" spans="1:11">
      <c r="A154" s="14"/>
      <c r="B154" s="8"/>
      <c r="C154" s="8"/>
      <c r="D154" s="8"/>
      <c r="E154" s="8"/>
      <c r="F154" s="8" t="s">
        <v>509</v>
      </c>
      <c r="G154" s="13">
        <v>0.83</v>
      </c>
      <c r="H154" s="13">
        <v>0.45</v>
      </c>
      <c r="I154" s="13" t="s">
        <v>1746</v>
      </c>
      <c r="J154" s="13">
        <v>3.9</v>
      </c>
      <c r="K154" s="8"/>
    </row>
    <row r="155" spans="1:11">
      <c r="A155" s="14"/>
      <c r="B155" s="8"/>
      <c r="C155" s="8"/>
      <c r="D155" s="8"/>
      <c r="E155" s="8"/>
      <c r="F155" s="8" t="s">
        <v>503</v>
      </c>
      <c r="G155" s="13">
        <v>2.83</v>
      </c>
      <c r="H155" s="13">
        <v>0.55</v>
      </c>
      <c r="I155" s="8" t="s">
        <v>24</v>
      </c>
      <c r="J155" s="8" t="s">
        <v>24</v>
      </c>
      <c r="K155" s="8"/>
    </row>
    <row r="156" spans="1:11">
      <c r="A156" s="9">
        <v>45456</v>
      </c>
      <c r="B156" s="8" t="s">
        <v>2683</v>
      </c>
      <c r="C156" s="13">
        <v>10</v>
      </c>
      <c r="D156" s="8" t="s">
        <v>481</v>
      </c>
      <c r="E156" s="8" t="s">
        <v>1754</v>
      </c>
      <c r="F156" s="8" t="s">
        <v>1058</v>
      </c>
      <c r="G156" s="13">
        <v>0.75</v>
      </c>
      <c r="H156" s="13">
        <v>7</v>
      </c>
      <c r="I156" s="13" t="s">
        <v>1744</v>
      </c>
      <c r="J156" s="13">
        <v>2.15</v>
      </c>
      <c r="K156" s="8" t="s">
        <v>74</v>
      </c>
    </row>
    <row r="157" spans="1:11">
      <c r="A157" s="14"/>
      <c r="B157" s="8"/>
      <c r="C157" s="8"/>
      <c r="D157" s="8"/>
      <c r="E157" s="8"/>
      <c r="F157" s="8" t="s">
        <v>1059</v>
      </c>
      <c r="G157" s="13">
        <v>1.01</v>
      </c>
      <c r="H157" s="13">
        <v>2</v>
      </c>
      <c r="I157" s="13" t="s">
        <v>1744</v>
      </c>
      <c r="J157" s="13">
        <v>2.18</v>
      </c>
      <c r="K157" s="8"/>
    </row>
    <row r="158" spans="1:11">
      <c r="A158" s="14"/>
      <c r="B158" s="8"/>
      <c r="C158" s="8"/>
      <c r="D158" s="8"/>
      <c r="E158" s="8"/>
      <c r="F158" s="8" t="s">
        <v>1060</v>
      </c>
      <c r="G158" s="13">
        <v>1.01</v>
      </c>
      <c r="H158" s="13">
        <v>0.3</v>
      </c>
      <c r="I158" s="13" t="s">
        <v>1745</v>
      </c>
      <c r="J158" s="13">
        <v>2.39</v>
      </c>
      <c r="K158" s="8"/>
    </row>
    <row r="159" spans="1:11">
      <c r="A159" s="14"/>
      <c r="B159" s="8"/>
      <c r="C159" s="8"/>
      <c r="D159" s="8"/>
      <c r="E159" s="8"/>
      <c r="F159" s="8" t="s">
        <v>503</v>
      </c>
      <c r="G159" s="13">
        <v>1.5</v>
      </c>
      <c r="H159" s="13">
        <v>0.7</v>
      </c>
      <c r="I159" s="8" t="s">
        <v>24</v>
      </c>
      <c r="J159" s="8" t="s">
        <v>24</v>
      </c>
      <c r="K159" s="8"/>
    </row>
    <row r="160" spans="1:11">
      <c r="A160" s="9">
        <v>45455</v>
      </c>
      <c r="B160" s="8" t="s">
        <v>2684</v>
      </c>
      <c r="C160" s="13">
        <v>10</v>
      </c>
      <c r="D160" s="8" t="s">
        <v>911</v>
      </c>
      <c r="E160" s="8" t="s">
        <v>536</v>
      </c>
      <c r="F160" s="8" t="s">
        <v>531</v>
      </c>
      <c r="G160" s="13">
        <v>0.83</v>
      </c>
      <c r="H160" s="13">
        <v>9</v>
      </c>
      <c r="I160" s="13" t="s">
        <v>1744</v>
      </c>
      <c r="J160" s="13">
        <v>2.15</v>
      </c>
      <c r="K160" s="8" t="s">
        <v>35</v>
      </c>
    </row>
    <row r="161" spans="1:11">
      <c r="A161" s="14"/>
      <c r="B161" s="8"/>
      <c r="C161" s="8"/>
      <c r="D161" s="8"/>
      <c r="E161" s="8"/>
      <c r="F161" s="8" t="s">
        <v>509</v>
      </c>
      <c r="G161" s="13">
        <v>0.83</v>
      </c>
      <c r="H161" s="13">
        <v>0.45</v>
      </c>
      <c r="I161" s="13" t="s">
        <v>1746</v>
      </c>
      <c r="J161" s="13">
        <v>3.9</v>
      </c>
      <c r="K161" s="8"/>
    </row>
    <row r="162" spans="1:11">
      <c r="A162" s="14"/>
      <c r="B162" s="8"/>
      <c r="C162" s="8"/>
      <c r="D162" s="8"/>
      <c r="E162" s="8"/>
      <c r="F162" s="8" t="s">
        <v>503</v>
      </c>
      <c r="G162" s="13">
        <v>2.83</v>
      </c>
      <c r="H162" s="13">
        <v>0.55</v>
      </c>
      <c r="I162" s="8" t="s">
        <v>24</v>
      </c>
      <c r="J162" s="8" t="s">
        <v>24</v>
      </c>
      <c r="K162" s="8"/>
    </row>
    <row r="163" spans="1:11">
      <c r="A163" s="9">
        <v>45450</v>
      </c>
      <c r="B163" s="8" t="s">
        <v>2685</v>
      </c>
      <c r="C163" s="13">
        <v>10</v>
      </c>
      <c r="D163" s="8" t="s">
        <v>911</v>
      </c>
      <c r="E163" s="8" t="s">
        <v>536</v>
      </c>
      <c r="F163" s="8" t="s">
        <v>531</v>
      </c>
      <c r="G163" s="13">
        <v>0.83</v>
      </c>
      <c r="H163" s="13">
        <v>9</v>
      </c>
      <c r="I163" s="13" t="s">
        <v>1744</v>
      </c>
      <c r="J163" s="13">
        <v>2.19</v>
      </c>
      <c r="K163" s="8" t="s">
        <v>35</v>
      </c>
    </row>
    <row r="164" spans="1:11">
      <c r="A164" s="14"/>
      <c r="B164" s="8"/>
      <c r="C164" s="8"/>
      <c r="D164" s="8"/>
      <c r="E164" s="8"/>
      <c r="F164" s="8" t="s">
        <v>509</v>
      </c>
      <c r="G164" s="13">
        <v>0.83</v>
      </c>
      <c r="H164" s="13">
        <v>0.45</v>
      </c>
      <c r="I164" s="13" t="s">
        <v>1746</v>
      </c>
      <c r="J164" s="13">
        <v>3.9</v>
      </c>
      <c r="K164" s="8"/>
    </row>
    <row r="165" spans="1:11">
      <c r="A165" s="14"/>
      <c r="B165" s="8"/>
      <c r="C165" s="8"/>
      <c r="D165" s="8"/>
      <c r="E165" s="8"/>
      <c r="F165" s="8" t="s">
        <v>503</v>
      </c>
      <c r="G165" s="13">
        <v>2.83</v>
      </c>
      <c r="H165" s="13">
        <v>0.55</v>
      </c>
      <c r="I165" s="8" t="s">
        <v>24</v>
      </c>
      <c r="J165" s="8" t="s">
        <v>24</v>
      </c>
      <c r="K165" s="8"/>
    </row>
    <row r="166" spans="1:11">
      <c r="A166" s="9">
        <v>45449</v>
      </c>
      <c r="B166" s="8" t="s">
        <v>2686</v>
      </c>
      <c r="C166" s="13">
        <v>10</v>
      </c>
      <c r="D166" s="8" t="s">
        <v>911</v>
      </c>
      <c r="E166" s="8" t="s">
        <v>536</v>
      </c>
      <c r="F166" s="8" t="s">
        <v>531</v>
      </c>
      <c r="G166" s="13">
        <v>0.82</v>
      </c>
      <c r="H166" s="13">
        <v>9</v>
      </c>
      <c r="I166" s="13" t="s">
        <v>1744</v>
      </c>
      <c r="J166" s="13">
        <v>2.18</v>
      </c>
      <c r="K166" s="8" t="s">
        <v>35</v>
      </c>
    </row>
    <row r="167" spans="1:11">
      <c r="A167" s="14"/>
      <c r="B167" s="8"/>
      <c r="C167" s="8"/>
      <c r="D167" s="8"/>
      <c r="E167" s="8"/>
      <c r="F167" s="8" t="s">
        <v>509</v>
      </c>
      <c r="G167" s="13">
        <v>0.82</v>
      </c>
      <c r="H167" s="13">
        <v>0.45</v>
      </c>
      <c r="I167" s="13" t="s">
        <v>1746</v>
      </c>
      <c r="J167" s="13">
        <v>3.9</v>
      </c>
      <c r="K167" s="8"/>
    </row>
    <row r="168" spans="1:11">
      <c r="A168" s="14"/>
      <c r="B168" s="8"/>
      <c r="C168" s="8"/>
      <c r="D168" s="8"/>
      <c r="E168" s="8"/>
      <c r="F168" s="8" t="s">
        <v>503</v>
      </c>
      <c r="G168" s="13">
        <v>2.83</v>
      </c>
      <c r="H168" s="13">
        <v>0.55</v>
      </c>
      <c r="I168" s="8" t="s">
        <v>24</v>
      </c>
      <c r="J168" s="8" t="s">
        <v>24</v>
      </c>
      <c r="K168" s="8"/>
    </row>
    <row r="169" spans="1:11">
      <c r="A169" s="9">
        <v>45448</v>
      </c>
      <c r="B169" s="8" t="s">
        <v>2687</v>
      </c>
      <c r="C169" s="13">
        <v>10</v>
      </c>
      <c r="D169" s="8" t="s">
        <v>911</v>
      </c>
      <c r="E169" s="8" t="s">
        <v>1754</v>
      </c>
      <c r="F169" s="8" t="s">
        <v>531</v>
      </c>
      <c r="G169" s="13">
        <v>0.92</v>
      </c>
      <c r="H169" s="13">
        <v>9</v>
      </c>
      <c r="I169" s="13" t="s">
        <v>1744</v>
      </c>
      <c r="J169" s="13">
        <v>2.16</v>
      </c>
      <c r="K169" s="8" t="s">
        <v>35</v>
      </c>
    </row>
    <row r="170" spans="1:11">
      <c r="A170" s="14"/>
      <c r="B170" s="8"/>
      <c r="C170" s="8"/>
      <c r="D170" s="8"/>
      <c r="E170" s="8"/>
      <c r="F170" s="8" t="s">
        <v>509</v>
      </c>
      <c r="G170" s="13">
        <v>0.92</v>
      </c>
      <c r="H170" s="13">
        <v>0.45</v>
      </c>
      <c r="I170" s="13" t="s">
        <v>1746</v>
      </c>
      <c r="J170" s="13">
        <v>4</v>
      </c>
      <c r="K170" s="8"/>
    </row>
    <row r="171" spans="1:11">
      <c r="A171" s="14"/>
      <c r="B171" s="8"/>
      <c r="C171" s="8"/>
      <c r="D171" s="8"/>
      <c r="E171" s="8"/>
      <c r="F171" s="8" t="s">
        <v>503</v>
      </c>
      <c r="G171" s="13">
        <v>2.92</v>
      </c>
      <c r="H171" s="13">
        <v>0.55</v>
      </c>
      <c r="I171" s="8" t="s">
        <v>24</v>
      </c>
      <c r="J171" s="8" t="s">
        <v>24</v>
      </c>
      <c r="K171" s="8"/>
    </row>
    <row r="172" spans="1:11">
      <c r="A172" s="9">
        <v>45462</v>
      </c>
      <c r="B172" s="8" t="s">
        <v>2688</v>
      </c>
      <c r="C172" s="13">
        <v>10</v>
      </c>
      <c r="D172" s="8" t="s">
        <v>481</v>
      </c>
      <c r="E172" s="8" t="s">
        <v>1754</v>
      </c>
      <c r="F172" s="8" t="s">
        <v>1058</v>
      </c>
      <c r="G172" s="13">
        <v>0.9</v>
      </c>
      <c r="H172" s="13">
        <v>7</v>
      </c>
      <c r="I172" s="13" t="s">
        <v>1744</v>
      </c>
      <c r="J172" s="13">
        <v>2.12</v>
      </c>
      <c r="K172" s="8" t="s">
        <v>74</v>
      </c>
    </row>
    <row r="173" spans="1:11">
      <c r="A173" s="14"/>
      <c r="B173" s="8"/>
      <c r="C173" s="8"/>
      <c r="D173" s="8"/>
      <c r="E173" s="8"/>
      <c r="F173" s="8" t="s">
        <v>1059</v>
      </c>
      <c r="G173" s="13">
        <v>1.15</v>
      </c>
      <c r="H173" s="13">
        <v>2</v>
      </c>
      <c r="I173" s="13" t="s">
        <v>1744</v>
      </c>
      <c r="J173" s="13">
        <v>2.15</v>
      </c>
      <c r="K173" s="8"/>
    </row>
    <row r="174" spans="1:11">
      <c r="A174" s="14"/>
      <c r="B174" s="8"/>
      <c r="C174" s="8"/>
      <c r="D174" s="8"/>
      <c r="E174" s="8"/>
      <c r="F174" s="8" t="s">
        <v>1060</v>
      </c>
      <c r="G174" s="13">
        <v>1.15</v>
      </c>
      <c r="H174" s="13">
        <v>0.3</v>
      </c>
      <c r="I174" s="13" t="s">
        <v>1745</v>
      </c>
      <c r="J174" s="13">
        <v>2.33</v>
      </c>
      <c r="K174" s="8"/>
    </row>
    <row r="175" spans="1:11">
      <c r="A175" s="14"/>
      <c r="B175" s="8"/>
      <c r="C175" s="8"/>
      <c r="D175" s="8"/>
      <c r="E175" s="8"/>
      <c r="F175" s="8" t="s">
        <v>503</v>
      </c>
      <c r="G175" s="13">
        <v>1.65</v>
      </c>
      <c r="H175" s="13">
        <v>0.7</v>
      </c>
      <c r="I175" s="8" t="s">
        <v>24</v>
      </c>
      <c r="J175" s="8" t="s">
        <v>24</v>
      </c>
      <c r="K175" s="8"/>
    </row>
    <row r="176" spans="1:11">
      <c r="A176" s="9">
        <v>45456</v>
      </c>
      <c r="B176" s="8" t="s">
        <v>2689</v>
      </c>
      <c r="C176" s="13">
        <v>12</v>
      </c>
      <c r="D176" s="8" t="s">
        <v>1109</v>
      </c>
      <c r="E176" s="8" t="s">
        <v>486</v>
      </c>
      <c r="F176" s="8" t="s">
        <v>1064</v>
      </c>
      <c r="G176" s="13">
        <v>1.95</v>
      </c>
      <c r="H176" s="13">
        <v>10.3488</v>
      </c>
      <c r="I176" s="13" t="s">
        <v>1744</v>
      </c>
      <c r="J176" s="13">
        <v>2.23</v>
      </c>
      <c r="K176" s="8" t="s">
        <v>27</v>
      </c>
    </row>
    <row r="177" spans="1:11">
      <c r="A177" s="14"/>
      <c r="B177" s="8"/>
      <c r="C177" s="8"/>
      <c r="D177" s="8"/>
      <c r="E177" s="8"/>
      <c r="F177" s="8" t="s">
        <v>1060</v>
      </c>
      <c r="G177" s="13">
        <v>1.95</v>
      </c>
      <c r="H177" s="13">
        <v>0.5064</v>
      </c>
      <c r="I177" s="13" t="s">
        <v>1745</v>
      </c>
      <c r="J177" s="13">
        <v>2.35</v>
      </c>
      <c r="K177" s="8"/>
    </row>
    <row r="178" spans="1:11">
      <c r="A178" s="14"/>
      <c r="B178" s="8"/>
      <c r="C178" s="8"/>
      <c r="D178" s="8"/>
      <c r="E178" s="8"/>
      <c r="F178" s="8" t="s">
        <v>503</v>
      </c>
      <c r="G178" s="13">
        <v>2.2</v>
      </c>
      <c r="H178" s="13">
        <v>1.1448</v>
      </c>
      <c r="I178" s="8" t="s">
        <v>24</v>
      </c>
      <c r="J178" s="8" t="s">
        <v>24</v>
      </c>
      <c r="K178" s="8"/>
    </row>
    <row r="179" spans="1:11">
      <c r="A179" s="9">
        <v>45469</v>
      </c>
      <c r="B179" s="8" t="s">
        <v>2690</v>
      </c>
      <c r="C179" s="13">
        <v>10</v>
      </c>
      <c r="D179" s="8" t="s">
        <v>481</v>
      </c>
      <c r="E179" s="8" t="s">
        <v>492</v>
      </c>
      <c r="F179" s="8" t="s">
        <v>1058</v>
      </c>
      <c r="G179" s="13">
        <v>0.74</v>
      </c>
      <c r="H179" s="13">
        <v>7</v>
      </c>
      <c r="I179" s="13" t="s">
        <v>1744</v>
      </c>
      <c r="J179" s="13">
        <v>2.12</v>
      </c>
      <c r="K179" s="8" t="s">
        <v>74</v>
      </c>
    </row>
    <row r="180" spans="1:11">
      <c r="A180" s="14"/>
      <c r="B180" s="8"/>
      <c r="C180" s="8"/>
      <c r="D180" s="8"/>
      <c r="E180" s="8"/>
      <c r="F180" s="8" t="s">
        <v>1059</v>
      </c>
      <c r="G180" s="13">
        <v>0.99</v>
      </c>
      <c r="H180" s="13">
        <v>2</v>
      </c>
      <c r="I180" s="13" t="s">
        <v>1744</v>
      </c>
      <c r="J180" s="13">
        <v>2.14</v>
      </c>
      <c r="K180" s="8"/>
    </row>
    <row r="181" spans="1:11">
      <c r="A181" s="14"/>
      <c r="B181" s="8"/>
      <c r="C181" s="8"/>
      <c r="D181" s="8"/>
      <c r="E181" s="8"/>
      <c r="F181" s="8" t="s">
        <v>1060</v>
      </c>
      <c r="G181" s="13">
        <v>0.99</v>
      </c>
      <c r="H181" s="13">
        <v>0.3</v>
      </c>
      <c r="I181" s="13" t="s">
        <v>1745</v>
      </c>
      <c r="J181" s="13">
        <v>2.3</v>
      </c>
      <c r="K181" s="8"/>
    </row>
    <row r="182" spans="1:11">
      <c r="A182" s="14"/>
      <c r="B182" s="8"/>
      <c r="C182" s="8"/>
      <c r="D182" s="8"/>
      <c r="E182" s="8"/>
      <c r="F182" s="8" t="s">
        <v>503</v>
      </c>
      <c r="G182" s="13">
        <v>1.48</v>
      </c>
      <c r="H182" s="13">
        <v>0.7</v>
      </c>
      <c r="I182" s="8" t="s">
        <v>24</v>
      </c>
      <c r="J182" s="8" t="s">
        <v>24</v>
      </c>
      <c r="K182" s="8"/>
    </row>
    <row r="183" spans="1:11">
      <c r="A183" s="9">
        <v>45455</v>
      </c>
      <c r="B183" s="8" t="s">
        <v>2691</v>
      </c>
      <c r="C183" s="13">
        <v>5</v>
      </c>
      <c r="D183" s="8" t="s">
        <v>486</v>
      </c>
      <c r="E183" s="8" t="s">
        <v>486</v>
      </c>
      <c r="F183" s="8" t="s">
        <v>1064</v>
      </c>
      <c r="G183" s="13">
        <v>1.53</v>
      </c>
      <c r="H183" s="13">
        <v>4.18</v>
      </c>
      <c r="I183" s="13" t="s">
        <v>1744</v>
      </c>
      <c r="J183" s="13">
        <v>2.28</v>
      </c>
      <c r="K183" s="8" t="s">
        <v>27</v>
      </c>
    </row>
    <row r="184" spans="1:11">
      <c r="A184" s="14"/>
      <c r="B184" s="8"/>
      <c r="C184" s="8"/>
      <c r="D184" s="8"/>
      <c r="E184" s="8"/>
      <c r="F184" s="8" t="s">
        <v>1060</v>
      </c>
      <c r="G184" s="13">
        <v>2.03</v>
      </c>
      <c r="H184" s="13">
        <v>0.27</v>
      </c>
      <c r="I184" s="13" t="s">
        <v>1745</v>
      </c>
      <c r="J184" s="13">
        <v>2.35</v>
      </c>
      <c r="K184" s="8"/>
    </row>
    <row r="185" spans="1:11">
      <c r="A185" s="14"/>
      <c r="B185" s="8"/>
      <c r="C185" s="8"/>
      <c r="D185" s="8"/>
      <c r="E185" s="8"/>
      <c r="F185" s="8" t="s">
        <v>1086</v>
      </c>
      <c r="G185" s="13">
        <v>3.03</v>
      </c>
      <c r="H185" s="13">
        <v>0.3</v>
      </c>
      <c r="I185" s="8" t="s">
        <v>24</v>
      </c>
      <c r="J185" s="8" t="s">
        <v>24</v>
      </c>
      <c r="K185" s="8"/>
    </row>
    <row r="186" spans="1:11">
      <c r="A186" s="14"/>
      <c r="B186" s="8"/>
      <c r="C186" s="8"/>
      <c r="D186" s="8"/>
      <c r="E186" s="8"/>
      <c r="F186" s="8" t="s">
        <v>1087</v>
      </c>
      <c r="G186" s="13">
        <v>3.03</v>
      </c>
      <c r="H186" s="13">
        <v>0.25</v>
      </c>
      <c r="I186" s="8" t="s">
        <v>24</v>
      </c>
      <c r="J186" s="8" t="s">
        <v>24</v>
      </c>
      <c r="K186" s="8"/>
    </row>
    <row r="187" spans="1:11">
      <c r="A187" s="9">
        <v>45463</v>
      </c>
      <c r="B187" s="8" t="s">
        <v>2692</v>
      </c>
      <c r="C187" s="13">
        <v>10</v>
      </c>
      <c r="D187" s="8" t="s">
        <v>911</v>
      </c>
      <c r="E187" s="8" t="s">
        <v>536</v>
      </c>
      <c r="F187" s="8" t="s">
        <v>531</v>
      </c>
      <c r="G187" s="13">
        <v>1</v>
      </c>
      <c r="H187" s="13">
        <v>9</v>
      </c>
      <c r="I187" s="13" t="s">
        <v>1744</v>
      </c>
      <c r="J187" s="13">
        <v>2.13</v>
      </c>
      <c r="K187" s="8" t="s">
        <v>35</v>
      </c>
    </row>
    <row r="188" spans="1:11">
      <c r="A188" s="14"/>
      <c r="B188" s="8"/>
      <c r="C188" s="8"/>
      <c r="D188" s="8"/>
      <c r="E188" s="8"/>
      <c r="F188" s="8" t="s">
        <v>509</v>
      </c>
      <c r="G188" s="13">
        <v>1</v>
      </c>
      <c r="H188" s="13">
        <v>0.45</v>
      </c>
      <c r="I188" s="13" t="s">
        <v>1746</v>
      </c>
      <c r="J188" s="13">
        <v>3.9</v>
      </c>
      <c r="K188" s="8"/>
    </row>
    <row r="189" spans="1:11">
      <c r="A189" s="14"/>
      <c r="B189" s="8"/>
      <c r="C189" s="8"/>
      <c r="D189" s="8"/>
      <c r="E189" s="8"/>
      <c r="F189" s="8" t="s">
        <v>503</v>
      </c>
      <c r="G189" s="13">
        <v>2.99</v>
      </c>
      <c r="H189" s="13">
        <v>0.55</v>
      </c>
      <c r="I189" s="8" t="s">
        <v>24</v>
      </c>
      <c r="J189" s="8" t="s">
        <v>24</v>
      </c>
      <c r="K189" s="8"/>
    </row>
    <row r="190" spans="1:11">
      <c r="A190" s="9">
        <v>45461</v>
      </c>
      <c r="B190" s="8" t="s">
        <v>2693</v>
      </c>
      <c r="C190" s="13">
        <v>4.5</v>
      </c>
      <c r="D190" s="8" t="s">
        <v>2559</v>
      </c>
      <c r="E190" s="8" t="s">
        <v>477</v>
      </c>
      <c r="F190" s="8" t="s">
        <v>1064</v>
      </c>
      <c r="G190" s="13">
        <v>1.42</v>
      </c>
      <c r="H190" s="13">
        <v>3.6</v>
      </c>
      <c r="I190" s="13" t="s">
        <v>1744</v>
      </c>
      <c r="J190" s="13">
        <v>2.6</v>
      </c>
      <c r="K190" s="8" t="s">
        <v>233</v>
      </c>
    </row>
    <row r="191" spans="1:11">
      <c r="A191" s="14"/>
      <c r="B191" s="8"/>
      <c r="C191" s="8"/>
      <c r="D191" s="8"/>
      <c r="E191" s="8"/>
      <c r="F191" s="8" t="s">
        <v>1060</v>
      </c>
      <c r="G191" s="13">
        <v>1.5</v>
      </c>
      <c r="H191" s="13">
        <v>0.225</v>
      </c>
      <c r="I191" s="13" t="s">
        <v>1745</v>
      </c>
      <c r="J191" s="13">
        <v>3.3</v>
      </c>
      <c r="K191" s="8"/>
    </row>
    <row r="192" spans="1:11">
      <c r="A192" s="14"/>
      <c r="B192" s="8"/>
      <c r="C192" s="8"/>
      <c r="D192" s="8"/>
      <c r="E192" s="8"/>
      <c r="F192" s="8" t="s">
        <v>503</v>
      </c>
      <c r="G192" s="13">
        <v>2.59</v>
      </c>
      <c r="H192" s="13">
        <v>0.675</v>
      </c>
      <c r="I192" s="8" t="s">
        <v>24</v>
      </c>
      <c r="J192" s="8" t="s">
        <v>24</v>
      </c>
      <c r="K192" s="8"/>
    </row>
    <row r="193" spans="1:11">
      <c r="A193" s="9">
        <v>45464</v>
      </c>
      <c r="B193" s="8" t="s">
        <v>2694</v>
      </c>
      <c r="C193" s="13">
        <v>10</v>
      </c>
      <c r="D193" s="8" t="s">
        <v>521</v>
      </c>
      <c r="E193" s="8" t="s">
        <v>484</v>
      </c>
      <c r="F193" s="8" t="s">
        <v>1064</v>
      </c>
      <c r="G193" s="13">
        <v>1.9</v>
      </c>
      <c r="H193" s="13">
        <v>8.6</v>
      </c>
      <c r="I193" s="13" t="s">
        <v>1744</v>
      </c>
      <c r="J193" s="13">
        <v>2.19</v>
      </c>
      <c r="K193" s="8" t="s">
        <v>86</v>
      </c>
    </row>
    <row r="194" spans="1:11">
      <c r="A194" s="14"/>
      <c r="B194" s="8"/>
      <c r="C194" s="8"/>
      <c r="D194" s="8"/>
      <c r="E194" s="8"/>
      <c r="F194" s="8" t="s">
        <v>1060</v>
      </c>
      <c r="G194" s="13">
        <v>1.98</v>
      </c>
      <c r="H194" s="13">
        <v>0.7</v>
      </c>
      <c r="I194" s="13" t="s">
        <v>1745</v>
      </c>
      <c r="J194" s="13">
        <v>2.3</v>
      </c>
      <c r="K194" s="8"/>
    </row>
    <row r="195" spans="1:11">
      <c r="A195" s="14"/>
      <c r="B195" s="8"/>
      <c r="C195" s="8"/>
      <c r="D195" s="8"/>
      <c r="E195" s="8"/>
      <c r="F195" s="8" t="s">
        <v>503</v>
      </c>
      <c r="G195" s="13">
        <v>1.98</v>
      </c>
      <c r="H195" s="13">
        <v>0.7</v>
      </c>
      <c r="I195" s="8" t="s">
        <v>24</v>
      </c>
      <c r="J195" s="8" t="s">
        <v>24</v>
      </c>
      <c r="K195" s="8"/>
    </row>
    <row r="196" spans="1:11">
      <c r="A196" s="9">
        <v>45463</v>
      </c>
      <c r="B196" s="8" t="s">
        <v>2695</v>
      </c>
      <c r="C196" s="13">
        <v>7</v>
      </c>
      <c r="D196" s="8" t="s">
        <v>536</v>
      </c>
      <c r="E196" s="8" t="s">
        <v>2654</v>
      </c>
      <c r="F196" s="8" t="s">
        <v>1064</v>
      </c>
      <c r="G196" s="13">
        <v>1.91</v>
      </c>
      <c r="H196" s="13">
        <v>6.23</v>
      </c>
      <c r="I196" s="13" t="s">
        <v>1744</v>
      </c>
      <c r="J196" s="13">
        <v>2.27</v>
      </c>
      <c r="K196" s="8" t="s">
        <v>129</v>
      </c>
    </row>
    <row r="197" spans="1:11">
      <c r="A197" s="14"/>
      <c r="B197" s="8"/>
      <c r="C197" s="8"/>
      <c r="D197" s="8"/>
      <c r="E197" s="8"/>
      <c r="F197" s="8" t="s">
        <v>1060</v>
      </c>
      <c r="G197" s="13">
        <v>1.99</v>
      </c>
      <c r="H197" s="13">
        <v>0.28</v>
      </c>
      <c r="I197" s="13" t="s">
        <v>1745</v>
      </c>
      <c r="J197" s="13">
        <v>2.42</v>
      </c>
      <c r="K197" s="8"/>
    </row>
    <row r="198" spans="1:11">
      <c r="A198" s="14"/>
      <c r="B198" s="8"/>
      <c r="C198" s="8"/>
      <c r="D198" s="8"/>
      <c r="E198" s="8"/>
      <c r="F198" s="8" t="s">
        <v>503</v>
      </c>
      <c r="G198" s="13">
        <v>2.67</v>
      </c>
      <c r="H198" s="13">
        <v>0.49</v>
      </c>
      <c r="I198" s="8" t="s">
        <v>24</v>
      </c>
      <c r="J198" s="8" t="s">
        <v>24</v>
      </c>
      <c r="K198" s="8"/>
    </row>
    <row r="199" spans="1:11">
      <c r="A199" s="9">
        <v>45464</v>
      </c>
      <c r="B199" s="8" t="s">
        <v>2696</v>
      </c>
      <c r="C199" s="13">
        <v>10</v>
      </c>
      <c r="D199" s="8" t="s">
        <v>492</v>
      </c>
      <c r="E199" s="8" t="s">
        <v>481</v>
      </c>
      <c r="F199" s="8" t="s">
        <v>1058</v>
      </c>
      <c r="G199" s="13">
        <v>0.73</v>
      </c>
      <c r="H199" s="13">
        <v>7</v>
      </c>
      <c r="I199" s="13" t="s">
        <v>1744</v>
      </c>
      <c r="J199" s="13">
        <v>2.12</v>
      </c>
      <c r="K199" s="8" t="s">
        <v>74</v>
      </c>
    </row>
    <row r="200" spans="1:11">
      <c r="A200" s="14"/>
      <c r="B200" s="8"/>
      <c r="C200" s="8"/>
      <c r="D200" s="8"/>
      <c r="E200" s="8"/>
      <c r="F200" s="8" t="s">
        <v>1059</v>
      </c>
      <c r="G200" s="13">
        <v>0.98</v>
      </c>
      <c r="H200" s="13">
        <v>2</v>
      </c>
      <c r="I200" s="13" t="s">
        <v>1744</v>
      </c>
      <c r="J200" s="13">
        <v>2.13</v>
      </c>
      <c r="K200" s="8"/>
    </row>
    <row r="201" spans="1:11">
      <c r="A201" s="14"/>
      <c r="B201" s="8"/>
      <c r="C201" s="8"/>
      <c r="D201" s="8"/>
      <c r="E201" s="8"/>
      <c r="F201" s="8" t="s">
        <v>1060</v>
      </c>
      <c r="G201" s="13">
        <v>0.98</v>
      </c>
      <c r="H201" s="13">
        <v>0.3</v>
      </c>
      <c r="I201" s="13" t="s">
        <v>1745</v>
      </c>
      <c r="J201" s="13">
        <v>2.29</v>
      </c>
      <c r="K201" s="8"/>
    </row>
    <row r="202" spans="1:11">
      <c r="A202" s="14"/>
      <c r="B202" s="8"/>
      <c r="C202" s="8"/>
      <c r="D202" s="8"/>
      <c r="E202" s="8"/>
      <c r="F202" s="8" t="s">
        <v>503</v>
      </c>
      <c r="G202" s="13">
        <v>1.47</v>
      </c>
      <c r="H202" s="13">
        <v>0.7</v>
      </c>
      <c r="I202" s="8" t="s">
        <v>24</v>
      </c>
      <c r="J202" s="8" t="s">
        <v>24</v>
      </c>
      <c r="K202" s="8"/>
    </row>
    <row r="203" spans="1:11">
      <c r="A203" s="9">
        <v>45464</v>
      </c>
      <c r="B203" s="8" t="s">
        <v>2697</v>
      </c>
      <c r="C203" s="13">
        <v>10</v>
      </c>
      <c r="D203" s="8" t="s">
        <v>481</v>
      </c>
      <c r="E203" s="8" t="s">
        <v>492</v>
      </c>
      <c r="F203" s="8" t="s">
        <v>1058</v>
      </c>
      <c r="G203" s="13">
        <v>0.73</v>
      </c>
      <c r="H203" s="13">
        <v>7</v>
      </c>
      <c r="I203" s="13" t="s">
        <v>1744</v>
      </c>
      <c r="J203" s="13">
        <v>2.11</v>
      </c>
      <c r="K203" s="8" t="s">
        <v>74</v>
      </c>
    </row>
    <row r="204" spans="1:11">
      <c r="A204" s="14"/>
      <c r="B204" s="8"/>
      <c r="C204" s="8"/>
      <c r="D204" s="8"/>
      <c r="E204" s="8"/>
      <c r="F204" s="8" t="s">
        <v>1059</v>
      </c>
      <c r="G204" s="13">
        <v>0.98</v>
      </c>
      <c r="H204" s="13">
        <v>2</v>
      </c>
      <c r="I204" s="13" t="s">
        <v>1744</v>
      </c>
      <c r="J204" s="13">
        <v>2.12</v>
      </c>
      <c r="K204" s="8"/>
    </row>
    <row r="205" spans="1:11">
      <c r="A205" s="14"/>
      <c r="B205" s="8"/>
      <c r="C205" s="8"/>
      <c r="D205" s="8"/>
      <c r="E205" s="8"/>
      <c r="F205" s="8" t="s">
        <v>1060</v>
      </c>
      <c r="G205" s="13">
        <v>0.98</v>
      </c>
      <c r="H205" s="13">
        <v>0.3</v>
      </c>
      <c r="I205" s="13" t="s">
        <v>1745</v>
      </c>
      <c r="J205" s="13">
        <v>2.29</v>
      </c>
      <c r="K205" s="8"/>
    </row>
    <row r="206" spans="1:11">
      <c r="A206" s="14"/>
      <c r="B206" s="8"/>
      <c r="C206" s="8"/>
      <c r="D206" s="8"/>
      <c r="E206" s="8"/>
      <c r="F206" s="8" t="s">
        <v>503</v>
      </c>
      <c r="G206" s="13">
        <v>1.47</v>
      </c>
      <c r="H206" s="13">
        <v>0.7</v>
      </c>
      <c r="I206" s="8" t="s">
        <v>24</v>
      </c>
      <c r="J206" s="8" t="s">
        <v>24</v>
      </c>
      <c r="K206" s="8"/>
    </row>
    <row r="207" spans="1:11">
      <c r="A207" s="9">
        <v>45468</v>
      </c>
      <c r="B207" s="8" t="s">
        <v>2698</v>
      </c>
      <c r="C207" s="13">
        <v>10</v>
      </c>
      <c r="D207" s="8" t="s">
        <v>481</v>
      </c>
      <c r="E207" s="8" t="s">
        <v>1754</v>
      </c>
      <c r="F207" s="8" t="s">
        <v>1058</v>
      </c>
      <c r="G207" s="13">
        <v>0.9</v>
      </c>
      <c r="H207" s="13">
        <v>7</v>
      </c>
      <c r="I207" s="13" t="s">
        <v>1744</v>
      </c>
      <c r="J207" s="13">
        <v>2.1</v>
      </c>
      <c r="K207" s="8" t="s">
        <v>74</v>
      </c>
    </row>
    <row r="208" spans="1:11">
      <c r="A208" s="14"/>
      <c r="B208" s="8"/>
      <c r="C208" s="8"/>
      <c r="D208" s="8"/>
      <c r="E208" s="8"/>
      <c r="F208" s="8" t="s">
        <v>1059</v>
      </c>
      <c r="G208" s="13">
        <v>1.15</v>
      </c>
      <c r="H208" s="13">
        <v>2</v>
      </c>
      <c r="I208" s="13" t="s">
        <v>1744</v>
      </c>
      <c r="J208" s="13">
        <v>2.1</v>
      </c>
      <c r="K208" s="8"/>
    </row>
    <row r="209" spans="1:11">
      <c r="A209" s="14"/>
      <c r="B209" s="8"/>
      <c r="C209" s="8"/>
      <c r="D209" s="8"/>
      <c r="E209" s="8"/>
      <c r="F209" s="8" t="s">
        <v>1060</v>
      </c>
      <c r="G209" s="13">
        <v>1.15</v>
      </c>
      <c r="H209" s="13">
        <v>0.3</v>
      </c>
      <c r="I209" s="13" t="s">
        <v>1745</v>
      </c>
      <c r="J209" s="13">
        <v>2.3</v>
      </c>
      <c r="K209" s="8"/>
    </row>
    <row r="210" spans="1:11">
      <c r="A210" s="14"/>
      <c r="B210" s="8"/>
      <c r="C210" s="8"/>
      <c r="D210" s="8"/>
      <c r="E210" s="8"/>
      <c r="F210" s="8" t="s">
        <v>503</v>
      </c>
      <c r="G210" s="13">
        <v>1.65</v>
      </c>
      <c r="H210" s="13">
        <v>0.7</v>
      </c>
      <c r="I210" s="8" t="s">
        <v>24</v>
      </c>
      <c r="J210" s="8" t="s">
        <v>24</v>
      </c>
      <c r="K210" s="8"/>
    </row>
    <row r="211" spans="1:11">
      <c r="A211" s="9">
        <v>45468</v>
      </c>
      <c r="B211" s="8" t="s">
        <v>2699</v>
      </c>
      <c r="C211" s="13">
        <v>5</v>
      </c>
      <c r="D211" s="8" t="s">
        <v>486</v>
      </c>
      <c r="E211" s="8" t="s">
        <v>486</v>
      </c>
      <c r="F211" s="8" t="s">
        <v>1064</v>
      </c>
      <c r="G211" s="13">
        <v>1.01</v>
      </c>
      <c r="H211" s="13">
        <v>4.4</v>
      </c>
      <c r="I211" s="13" t="s">
        <v>1744</v>
      </c>
      <c r="J211" s="13">
        <v>2.09</v>
      </c>
      <c r="K211" s="8" t="s">
        <v>86</v>
      </c>
    </row>
    <row r="212" spans="1:11">
      <c r="A212" s="14"/>
      <c r="B212" s="8"/>
      <c r="C212" s="8"/>
      <c r="D212" s="8"/>
      <c r="E212" s="8"/>
      <c r="F212" s="8" t="s">
        <v>1060</v>
      </c>
      <c r="G212" s="13">
        <v>1.01</v>
      </c>
      <c r="H212" s="13">
        <v>0.3</v>
      </c>
      <c r="I212" s="13" t="s">
        <v>1745</v>
      </c>
      <c r="J212" s="13">
        <v>2.18</v>
      </c>
      <c r="K212" s="8"/>
    </row>
    <row r="213" spans="1:11">
      <c r="A213" s="14"/>
      <c r="B213" s="8"/>
      <c r="C213" s="8"/>
      <c r="D213" s="8"/>
      <c r="E213" s="8"/>
      <c r="F213" s="8" t="s">
        <v>503</v>
      </c>
      <c r="G213" s="13">
        <v>4.01</v>
      </c>
      <c r="H213" s="13">
        <v>0.3</v>
      </c>
      <c r="I213" s="8" t="s">
        <v>24</v>
      </c>
      <c r="J213" s="8" t="s">
        <v>24</v>
      </c>
      <c r="K213" s="8"/>
    </row>
    <row r="214" spans="1:11">
      <c r="A214" s="9">
        <v>45468</v>
      </c>
      <c r="B214" s="8" t="s">
        <v>2700</v>
      </c>
      <c r="C214" s="13">
        <v>10</v>
      </c>
      <c r="D214" s="8" t="s">
        <v>911</v>
      </c>
      <c r="E214" s="8" t="s">
        <v>536</v>
      </c>
      <c r="F214" s="8" t="s">
        <v>1064</v>
      </c>
      <c r="G214" s="13">
        <v>1</v>
      </c>
      <c r="H214" s="13">
        <v>9</v>
      </c>
      <c r="I214" s="13" t="s">
        <v>1744</v>
      </c>
      <c r="J214" s="13">
        <v>2.12</v>
      </c>
      <c r="K214" s="8" t="s">
        <v>35</v>
      </c>
    </row>
    <row r="215" spans="1:11">
      <c r="A215" s="14"/>
      <c r="B215" s="8"/>
      <c r="C215" s="8"/>
      <c r="D215" s="8"/>
      <c r="E215" s="8"/>
      <c r="F215" s="8" t="s">
        <v>509</v>
      </c>
      <c r="G215" s="13">
        <v>1</v>
      </c>
      <c r="H215" s="13">
        <v>0.45</v>
      </c>
      <c r="I215" s="13" t="s">
        <v>1746</v>
      </c>
      <c r="J215" s="13">
        <v>3.9</v>
      </c>
      <c r="K215" s="8"/>
    </row>
    <row r="216" spans="1:11">
      <c r="A216" s="14"/>
      <c r="B216" s="8"/>
      <c r="C216" s="8"/>
      <c r="D216" s="8"/>
      <c r="E216" s="8"/>
      <c r="F216" s="8" t="s">
        <v>503</v>
      </c>
      <c r="G216" s="13">
        <v>3</v>
      </c>
      <c r="H216" s="13">
        <v>0.55</v>
      </c>
      <c r="I216" s="8" t="s">
        <v>24</v>
      </c>
      <c r="J216" s="8" t="s">
        <v>24</v>
      </c>
      <c r="K216" s="8"/>
    </row>
    <row r="217" spans="1:11">
      <c r="A217" s="9">
        <v>45467</v>
      </c>
      <c r="B217" s="8" t="s">
        <v>2701</v>
      </c>
      <c r="C217" s="13">
        <v>7</v>
      </c>
      <c r="D217" s="8" t="s">
        <v>477</v>
      </c>
      <c r="E217" s="8" t="s">
        <v>536</v>
      </c>
      <c r="F217" s="8" t="s">
        <v>1064</v>
      </c>
      <c r="G217" s="13">
        <v>1.25</v>
      </c>
      <c r="H217" s="13">
        <v>6.23</v>
      </c>
      <c r="I217" s="13" t="s">
        <v>1744</v>
      </c>
      <c r="J217" s="13">
        <v>2.18</v>
      </c>
      <c r="K217" s="8" t="s">
        <v>129</v>
      </c>
    </row>
    <row r="218" spans="1:11">
      <c r="A218" s="14"/>
      <c r="B218" s="8"/>
      <c r="C218" s="8"/>
      <c r="D218" s="8"/>
      <c r="E218" s="8"/>
      <c r="F218" s="8" t="s">
        <v>1060</v>
      </c>
      <c r="G218" s="13">
        <v>1.42</v>
      </c>
      <c r="H218" s="13">
        <v>0.35</v>
      </c>
      <c r="I218" s="13" t="s">
        <v>1745</v>
      </c>
      <c r="J218" s="13">
        <v>2.3</v>
      </c>
      <c r="K218" s="8"/>
    </row>
    <row r="219" spans="1:11">
      <c r="A219" s="14"/>
      <c r="B219" s="8"/>
      <c r="C219" s="8"/>
      <c r="D219" s="8"/>
      <c r="E219" s="8"/>
      <c r="F219" s="8" t="s">
        <v>503</v>
      </c>
      <c r="G219" s="13">
        <v>2</v>
      </c>
      <c r="H219" s="13">
        <v>0.42</v>
      </c>
      <c r="I219" s="8" t="s">
        <v>24</v>
      </c>
      <c r="J219" s="8" t="s">
        <v>24</v>
      </c>
      <c r="K219" s="8"/>
    </row>
    <row r="220" spans="1:11">
      <c r="A220" s="9">
        <v>45468</v>
      </c>
      <c r="B220" s="8" t="s">
        <v>2702</v>
      </c>
      <c r="C220" s="13">
        <v>5</v>
      </c>
      <c r="D220" s="8" t="s">
        <v>481</v>
      </c>
      <c r="E220" s="8" t="s">
        <v>492</v>
      </c>
      <c r="F220" s="8" t="s">
        <v>1058</v>
      </c>
      <c r="G220" s="13">
        <v>0.89</v>
      </c>
      <c r="H220" s="13">
        <v>3.5</v>
      </c>
      <c r="I220" s="13" t="s">
        <v>1744</v>
      </c>
      <c r="J220" s="13">
        <v>2.1</v>
      </c>
      <c r="K220" s="8" t="s">
        <v>74</v>
      </c>
    </row>
    <row r="221" spans="1:11">
      <c r="A221" s="14"/>
      <c r="B221" s="8"/>
      <c r="C221" s="8"/>
      <c r="D221" s="8"/>
      <c r="E221" s="8"/>
      <c r="F221" s="8" t="s">
        <v>1059</v>
      </c>
      <c r="G221" s="13">
        <v>1.14</v>
      </c>
      <c r="H221" s="13">
        <v>1</v>
      </c>
      <c r="I221" s="13" t="s">
        <v>1744</v>
      </c>
      <c r="J221" s="13">
        <v>2.1</v>
      </c>
      <c r="K221" s="8"/>
    </row>
    <row r="222" spans="1:11">
      <c r="A222" s="14"/>
      <c r="B222" s="8"/>
      <c r="C222" s="8"/>
      <c r="D222" s="8"/>
      <c r="E222" s="8"/>
      <c r="F222" s="8" t="s">
        <v>1060</v>
      </c>
      <c r="G222" s="13">
        <v>1.14</v>
      </c>
      <c r="H222" s="13">
        <v>0.15</v>
      </c>
      <c r="I222" s="13" t="s">
        <v>1745</v>
      </c>
      <c r="J222" s="13">
        <v>2.3</v>
      </c>
      <c r="K222" s="8"/>
    </row>
    <row r="223" spans="1:11">
      <c r="A223" s="14"/>
      <c r="B223" s="8"/>
      <c r="C223" s="8"/>
      <c r="D223" s="8"/>
      <c r="E223" s="8"/>
      <c r="F223" s="8" t="s">
        <v>503</v>
      </c>
      <c r="G223" s="13">
        <v>1.64</v>
      </c>
      <c r="H223" s="13">
        <v>0.35</v>
      </c>
      <c r="I223" s="8" t="s">
        <v>24</v>
      </c>
      <c r="J223" s="8" t="s">
        <v>24</v>
      </c>
      <c r="K223" s="8"/>
    </row>
    <row r="224" spans="1:11">
      <c r="A224" s="9">
        <v>45469</v>
      </c>
      <c r="B224" s="8" t="s">
        <v>2703</v>
      </c>
      <c r="C224" s="13">
        <v>7</v>
      </c>
      <c r="D224" s="8" t="s">
        <v>2654</v>
      </c>
      <c r="E224" s="8" t="s">
        <v>536</v>
      </c>
      <c r="F224" s="8" t="s">
        <v>1064</v>
      </c>
      <c r="G224" s="13">
        <v>1.25</v>
      </c>
      <c r="H224" s="13">
        <v>6.23</v>
      </c>
      <c r="I224" s="13" t="s">
        <v>1744</v>
      </c>
      <c r="J224" s="13">
        <v>2.15</v>
      </c>
      <c r="K224" s="8" t="s">
        <v>129</v>
      </c>
    </row>
    <row r="225" spans="1:11">
      <c r="A225" s="14"/>
      <c r="B225" s="8"/>
      <c r="C225" s="8"/>
      <c r="D225" s="8"/>
      <c r="E225" s="8"/>
      <c r="F225" s="8" t="s">
        <v>1060</v>
      </c>
      <c r="G225" s="13">
        <v>1.42</v>
      </c>
      <c r="H225" s="13">
        <v>0.35</v>
      </c>
      <c r="I225" s="13" t="s">
        <v>1745</v>
      </c>
      <c r="J225" s="13">
        <v>2.29</v>
      </c>
      <c r="K225" s="8"/>
    </row>
    <row r="226" spans="1:11">
      <c r="A226" s="14"/>
      <c r="B226" s="8"/>
      <c r="C226" s="8"/>
      <c r="D226" s="8"/>
      <c r="E226" s="8"/>
      <c r="F226" s="8" t="s">
        <v>503</v>
      </c>
      <c r="G226" s="13">
        <v>2</v>
      </c>
      <c r="H226" s="13">
        <v>0.42</v>
      </c>
      <c r="I226" s="8" t="s">
        <v>24</v>
      </c>
      <c r="J226" s="8" t="s">
        <v>24</v>
      </c>
      <c r="K226" s="8"/>
    </row>
    <row r="227" spans="1:11">
      <c r="A227" s="9">
        <v>45468</v>
      </c>
      <c r="B227" s="8" t="s">
        <v>2704</v>
      </c>
      <c r="C227" s="13">
        <v>7</v>
      </c>
      <c r="D227" s="8" t="s">
        <v>481</v>
      </c>
      <c r="E227" s="8" t="s">
        <v>477</v>
      </c>
      <c r="F227" s="8" t="s">
        <v>1064</v>
      </c>
      <c r="G227" s="13">
        <v>1.25</v>
      </c>
      <c r="H227" s="13">
        <v>6.23</v>
      </c>
      <c r="I227" s="13" t="s">
        <v>1744</v>
      </c>
      <c r="J227" s="13">
        <v>2.18</v>
      </c>
      <c r="K227" s="8" t="s">
        <v>129</v>
      </c>
    </row>
    <row r="228" spans="1:11">
      <c r="A228" s="14"/>
      <c r="B228" s="8"/>
      <c r="C228" s="8"/>
      <c r="D228" s="8"/>
      <c r="E228" s="8"/>
      <c r="F228" s="8" t="s">
        <v>1060</v>
      </c>
      <c r="G228" s="13">
        <v>1.42</v>
      </c>
      <c r="H228" s="13">
        <v>0.35</v>
      </c>
      <c r="I228" s="13" t="s">
        <v>1745</v>
      </c>
      <c r="J228" s="13">
        <v>2.3</v>
      </c>
      <c r="K228" s="8"/>
    </row>
    <row r="229" spans="1:11">
      <c r="A229" s="14"/>
      <c r="B229" s="8"/>
      <c r="C229" s="8"/>
      <c r="D229" s="8"/>
      <c r="E229" s="8"/>
      <c r="F229" s="8" t="s">
        <v>503</v>
      </c>
      <c r="G229" s="13">
        <v>2</v>
      </c>
      <c r="H229" s="13">
        <v>0.42</v>
      </c>
      <c r="I229" s="8" t="s">
        <v>24</v>
      </c>
      <c r="J229" s="8" t="s">
        <v>24</v>
      </c>
      <c r="K229" s="8"/>
    </row>
    <row r="230" spans="1:11">
      <c r="A230" s="9">
        <v>45471</v>
      </c>
      <c r="B230" s="8" t="s">
        <v>2705</v>
      </c>
      <c r="C230" s="13">
        <v>7</v>
      </c>
      <c r="D230" s="8" t="s">
        <v>536</v>
      </c>
      <c r="E230" s="8" t="s">
        <v>481</v>
      </c>
      <c r="F230" s="8" t="s">
        <v>531</v>
      </c>
      <c r="G230" s="13">
        <v>1.25</v>
      </c>
      <c r="H230" s="13">
        <v>6.23</v>
      </c>
      <c r="I230" s="13" t="s">
        <v>1744</v>
      </c>
      <c r="J230" s="13">
        <v>2.12</v>
      </c>
      <c r="K230" s="8" t="s">
        <v>129</v>
      </c>
    </row>
    <row r="231" spans="1:11">
      <c r="A231" s="14"/>
      <c r="B231" s="8"/>
      <c r="C231" s="8"/>
      <c r="D231" s="8"/>
      <c r="E231" s="8"/>
      <c r="F231" s="8" t="s">
        <v>2706</v>
      </c>
      <c r="G231" s="13">
        <v>1.42</v>
      </c>
      <c r="H231" s="13">
        <v>0.35</v>
      </c>
      <c r="I231" s="13" t="s">
        <v>1745</v>
      </c>
      <c r="J231" s="13">
        <v>2.28</v>
      </c>
      <c r="K231" s="8"/>
    </row>
    <row r="232" spans="1:11">
      <c r="A232" s="14"/>
      <c r="B232" s="8"/>
      <c r="C232" s="8"/>
      <c r="D232" s="8"/>
      <c r="E232" s="8"/>
      <c r="F232" s="8" t="s">
        <v>503</v>
      </c>
      <c r="G232" s="13">
        <v>2</v>
      </c>
      <c r="H232" s="13">
        <v>0.42</v>
      </c>
      <c r="I232" s="8" t="s">
        <v>24</v>
      </c>
      <c r="J232" s="8" t="s">
        <v>24</v>
      </c>
      <c r="K232" s="8"/>
    </row>
    <row r="233" spans="1:11">
      <c r="A233" s="9">
        <v>45471</v>
      </c>
      <c r="B233" s="8" t="s">
        <v>2707</v>
      </c>
      <c r="C233" s="13">
        <v>10</v>
      </c>
      <c r="D233" s="8" t="s">
        <v>911</v>
      </c>
      <c r="E233" s="8" t="s">
        <v>536</v>
      </c>
      <c r="F233" s="8" t="s">
        <v>531</v>
      </c>
      <c r="G233" s="13">
        <v>0.99</v>
      </c>
      <c r="H233" s="13">
        <v>9</v>
      </c>
      <c r="I233" s="13" t="s">
        <v>1744</v>
      </c>
      <c r="J233" s="13">
        <v>2.1</v>
      </c>
      <c r="K233" s="8" t="s">
        <v>35</v>
      </c>
    </row>
    <row r="234" spans="1:11">
      <c r="A234" s="14"/>
      <c r="B234" s="8"/>
      <c r="C234" s="8"/>
      <c r="D234" s="8"/>
      <c r="E234" s="8"/>
      <c r="F234" s="8" t="s">
        <v>509</v>
      </c>
      <c r="G234" s="13">
        <v>0.99</v>
      </c>
      <c r="H234" s="13">
        <v>0.45</v>
      </c>
      <c r="I234" s="13" t="s">
        <v>1746</v>
      </c>
      <c r="J234" s="13">
        <v>3.9</v>
      </c>
      <c r="K234" s="8"/>
    </row>
    <row r="235" spans="1:11">
      <c r="A235" s="14"/>
      <c r="B235" s="8"/>
      <c r="C235" s="8"/>
      <c r="D235" s="8"/>
      <c r="E235" s="8"/>
      <c r="F235" s="8" t="s">
        <v>503</v>
      </c>
      <c r="G235" s="13">
        <v>2.99</v>
      </c>
      <c r="H235" s="13">
        <v>0.55</v>
      </c>
      <c r="I235" s="8" t="s">
        <v>24</v>
      </c>
      <c r="J235" s="16"/>
      <c r="K235" s="8"/>
    </row>
    <row r="236" spans="1:11">
      <c r="A236" s="9">
        <v>45471</v>
      </c>
      <c r="B236" s="8" t="s">
        <v>2708</v>
      </c>
      <c r="C236" s="13">
        <v>5</v>
      </c>
      <c r="D236" s="8" t="s">
        <v>477</v>
      </c>
      <c r="E236" s="8" t="s">
        <v>492</v>
      </c>
      <c r="F236" s="8" t="s">
        <v>531</v>
      </c>
      <c r="G236" s="13">
        <v>1.01</v>
      </c>
      <c r="H236" s="13">
        <v>4.45</v>
      </c>
      <c r="I236" s="13" t="s">
        <v>1744</v>
      </c>
      <c r="J236" s="13">
        <v>2.12</v>
      </c>
      <c r="K236" s="8" t="s">
        <v>129</v>
      </c>
    </row>
    <row r="237" spans="1:11">
      <c r="A237" s="14"/>
      <c r="B237" s="8"/>
      <c r="C237" s="8"/>
      <c r="D237" s="8"/>
      <c r="E237" s="8"/>
      <c r="F237" s="8" t="s">
        <v>2706</v>
      </c>
      <c r="G237" s="13">
        <v>1.17</v>
      </c>
      <c r="H237" s="13">
        <v>0.25</v>
      </c>
      <c r="I237" s="13" t="s">
        <v>1745</v>
      </c>
      <c r="J237" s="13">
        <v>2.26</v>
      </c>
      <c r="K237" s="8"/>
    </row>
    <row r="238" spans="1:11">
      <c r="A238" s="14"/>
      <c r="B238" s="8"/>
      <c r="C238" s="8"/>
      <c r="D238" s="8"/>
      <c r="E238" s="8"/>
      <c r="F238" s="8" t="s">
        <v>503</v>
      </c>
      <c r="G238" s="13">
        <v>1.75</v>
      </c>
      <c r="H238" s="13">
        <v>0.3</v>
      </c>
      <c r="I238" s="8" t="s">
        <v>24</v>
      </c>
      <c r="J238" s="8" t="s">
        <v>24</v>
      </c>
      <c r="K238" s="8"/>
    </row>
    <row r="239" spans="1:11">
      <c r="A239" s="9">
        <v>45482</v>
      </c>
      <c r="B239" s="8" t="s">
        <v>2709</v>
      </c>
      <c r="C239" s="13">
        <v>5</v>
      </c>
      <c r="D239" s="8" t="s">
        <v>486</v>
      </c>
      <c r="E239" s="8" t="s">
        <v>486</v>
      </c>
      <c r="F239" s="8" t="s">
        <v>1064</v>
      </c>
      <c r="G239" s="13">
        <v>1.04</v>
      </c>
      <c r="H239" s="13">
        <v>4.4</v>
      </c>
      <c r="I239" s="13" t="s">
        <v>1744</v>
      </c>
      <c r="J239" s="13">
        <v>2</v>
      </c>
      <c r="K239" s="8" t="s">
        <v>86</v>
      </c>
    </row>
    <row r="240" spans="1:11">
      <c r="A240" s="14"/>
      <c r="B240" s="8"/>
      <c r="C240" s="8"/>
      <c r="D240" s="8"/>
      <c r="E240" s="8"/>
      <c r="F240" s="8" t="s">
        <v>1060</v>
      </c>
      <c r="G240" s="13">
        <v>1.04</v>
      </c>
      <c r="H240" s="13">
        <v>0.3</v>
      </c>
      <c r="I240" s="13" t="s">
        <v>1745</v>
      </c>
      <c r="J240" s="13">
        <v>2.13</v>
      </c>
      <c r="K240" s="8"/>
    </row>
    <row r="241" spans="1:11">
      <c r="A241" s="14"/>
      <c r="B241" s="8"/>
      <c r="C241" s="8"/>
      <c r="D241" s="8"/>
      <c r="E241" s="8"/>
      <c r="F241" s="8" t="s">
        <v>503</v>
      </c>
      <c r="G241" s="13">
        <v>4.04</v>
      </c>
      <c r="H241" s="13">
        <v>0.3</v>
      </c>
      <c r="I241" s="8" t="s">
        <v>24</v>
      </c>
      <c r="J241" s="8" t="s">
        <v>24</v>
      </c>
      <c r="K241" s="8"/>
    </row>
    <row r="242" spans="1:11">
      <c r="A242" s="9">
        <v>45490</v>
      </c>
      <c r="B242" s="8" t="s">
        <v>2710</v>
      </c>
      <c r="C242" s="13">
        <v>5</v>
      </c>
      <c r="D242" s="8" t="s">
        <v>486</v>
      </c>
      <c r="E242" s="8" t="s">
        <v>486</v>
      </c>
      <c r="F242" s="8" t="s">
        <v>1064</v>
      </c>
      <c r="G242" s="13">
        <v>1.54</v>
      </c>
      <c r="H242" s="13">
        <v>4.18</v>
      </c>
      <c r="I242" s="13" t="s">
        <v>1744</v>
      </c>
      <c r="J242" s="13">
        <v>2.15</v>
      </c>
      <c r="K242" s="8" t="s">
        <v>27</v>
      </c>
    </row>
    <row r="243" spans="1:11">
      <c r="A243" s="14"/>
      <c r="B243" s="8"/>
      <c r="C243" s="8"/>
      <c r="D243" s="8"/>
      <c r="E243" s="8"/>
      <c r="F243" s="8" t="s">
        <v>1060</v>
      </c>
      <c r="G243" s="13">
        <v>2.04</v>
      </c>
      <c r="H243" s="13">
        <v>0.27</v>
      </c>
      <c r="I243" s="13" t="s">
        <v>1745</v>
      </c>
      <c r="J243" s="13">
        <v>2.27</v>
      </c>
      <c r="K243" s="8"/>
    </row>
    <row r="244" spans="1:11">
      <c r="A244" s="14"/>
      <c r="B244" s="8"/>
      <c r="C244" s="8"/>
      <c r="D244" s="8"/>
      <c r="E244" s="8"/>
      <c r="F244" s="8" t="s">
        <v>1086</v>
      </c>
      <c r="G244" s="13">
        <v>3.04</v>
      </c>
      <c r="H244" s="13">
        <v>0.3</v>
      </c>
      <c r="I244" s="8" t="s">
        <v>24</v>
      </c>
      <c r="J244" s="8" t="s">
        <v>24</v>
      </c>
      <c r="K244" s="8"/>
    </row>
    <row r="245" spans="1:11">
      <c r="A245" s="14"/>
      <c r="B245" s="8"/>
      <c r="C245" s="8"/>
      <c r="D245" s="8"/>
      <c r="E245" s="8"/>
      <c r="F245" s="8" t="s">
        <v>1087</v>
      </c>
      <c r="G245" s="13">
        <v>3.04</v>
      </c>
      <c r="H245" s="13">
        <v>0.25</v>
      </c>
      <c r="I245" s="8" t="s">
        <v>24</v>
      </c>
      <c r="J245" s="8" t="s">
        <v>24</v>
      </c>
      <c r="K245" s="8"/>
    </row>
    <row r="246" spans="1:11">
      <c r="A246" s="9">
        <v>45490</v>
      </c>
      <c r="B246" s="8" t="s">
        <v>2711</v>
      </c>
      <c r="C246" s="13">
        <v>8</v>
      </c>
      <c r="D246" s="8" t="s">
        <v>1109</v>
      </c>
      <c r="E246" s="8" t="s">
        <v>486</v>
      </c>
      <c r="F246" s="8" t="s">
        <v>1064</v>
      </c>
      <c r="G246" s="13">
        <v>1.96</v>
      </c>
      <c r="H246" s="13">
        <v>6.9</v>
      </c>
      <c r="I246" s="13" t="s">
        <v>1744</v>
      </c>
      <c r="J246" s="13">
        <v>2.1</v>
      </c>
      <c r="K246" s="8" t="s">
        <v>27</v>
      </c>
    </row>
    <row r="247" spans="1:11">
      <c r="A247" s="14"/>
      <c r="B247" s="8"/>
      <c r="C247" s="8"/>
      <c r="D247" s="8"/>
      <c r="E247" s="8"/>
      <c r="F247" s="8" t="s">
        <v>1060</v>
      </c>
      <c r="G247" s="13">
        <v>1.96</v>
      </c>
      <c r="H247" s="13">
        <v>0.34</v>
      </c>
      <c r="I247" s="13" t="s">
        <v>1745</v>
      </c>
      <c r="J247" s="13">
        <v>2.25</v>
      </c>
      <c r="K247" s="8"/>
    </row>
    <row r="248" spans="1:11">
      <c r="A248" s="14"/>
      <c r="B248" s="8"/>
      <c r="C248" s="8"/>
      <c r="D248" s="8"/>
      <c r="E248" s="8"/>
      <c r="F248" s="8" t="s">
        <v>503</v>
      </c>
      <c r="G248" s="13">
        <v>2.21</v>
      </c>
      <c r="H248" s="13">
        <v>0.76</v>
      </c>
      <c r="I248" s="8" t="s">
        <v>24</v>
      </c>
      <c r="J248" s="8" t="s">
        <v>24</v>
      </c>
      <c r="K248" s="8"/>
    </row>
    <row r="249" spans="1:11">
      <c r="A249" s="9">
        <v>45490</v>
      </c>
      <c r="B249" s="8" t="s">
        <v>2712</v>
      </c>
      <c r="C249" s="13">
        <v>5</v>
      </c>
      <c r="D249" s="8" t="s">
        <v>2654</v>
      </c>
      <c r="E249" s="8" t="s">
        <v>536</v>
      </c>
      <c r="F249" s="8" t="s">
        <v>1064</v>
      </c>
      <c r="G249" s="13">
        <v>1</v>
      </c>
      <c r="H249" s="13">
        <v>4.45</v>
      </c>
      <c r="I249" s="13" t="s">
        <v>1744</v>
      </c>
      <c r="J249" s="13">
        <v>2.1</v>
      </c>
      <c r="K249" s="8" t="s">
        <v>129</v>
      </c>
    </row>
    <row r="250" spans="1:11">
      <c r="A250" s="14"/>
      <c r="B250" s="8"/>
      <c r="C250" s="8"/>
      <c r="D250" s="8"/>
      <c r="E250" s="8"/>
      <c r="F250" s="8" t="s">
        <v>1060</v>
      </c>
      <c r="G250" s="13">
        <v>1.17</v>
      </c>
      <c r="H250" s="13">
        <v>0.25</v>
      </c>
      <c r="I250" s="13" t="s">
        <v>1745</v>
      </c>
      <c r="J250" s="13">
        <v>2.22</v>
      </c>
      <c r="K250" s="8"/>
    </row>
    <row r="251" spans="1:11">
      <c r="A251" s="14"/>
      <c r="B251" s="8"/>
      <c r="C251" s="8"/>
      <c r="D251" s="8"/>
      <c r="E251" s="8"/>
      <c r="F251" s="8" t="s">
        <v>503</v>
      </c>
      <c r="G251" s="13">
        <v>1.75</v>
      </c>
      <c r="H251" s="13">
        <v>0.3</v>
      </c>
      <c r="I251" s="8" t="s">
        <v>24</v>
      </c>
      <c r="J251" s="8" t="s">
        <v>24</v>
      </c>
      <c r="K251" s="8"/>
    </row>
    <row r="252" spans="1:11">
      <c r="A252" s="9">
        <v>45489</v>
      </c>
      <c r="B252" s="8" t="s">
        <v>2713</v>
      </c>
      <c r="C252" s="13">
        <v>20</v>
      </c>
      <c r="D252" s="8" t="s">
        <v>492</v>
      </c>
      <c r="E252" s="8" t="s">
        <v>477</v>
      </c>
      <c r="F252" s="8" t="s">
        <v>1058</v>
      </c>
      <c r="G252" s="13">
        <v>1.26</v>
      </c>
      <c r="H252" s="13">
        <v>14</v>
      </c>
      <c r="I252" s="13" t="s">
        <v>1744</v>
      </c>
      <c r="J252" s="13">
        <v>2.01</v>
      </c>
      <c r="K252" s="8" t="s">
        <v>74</v>
      </c>
    </row>
    <row r="253" spans="1:11">
      <c r="A253" s="14"/>
      <c r="B253" s="8"/>
      <c r="C253" s="8"/>
      <c r="D253" s="8"/>
      <c r="E253" s="8"/>
      <c r="F253" s="8" t="s">
        <v>1059</v>
      </c>
      <c r="G253" s="13">
        <v>1.5</v>
      </c>
      <c r="H253" s="13">
        <v>4</v>
      </c>
      <c r="I253" s="13" t="s">
        <v>1744</v>
      </c>
      <c r="J253" s="13">
        <v>2.03</v>
      </c>
      <c r="K253" s="8"/>
    </row>
    <row r="254" spans="1:11">
      <c r="A254" s="14"/>
      <c r="B254" s="8"/>
      <c r="C254" s="8"/>
      <c r="D254" s="8"/>
      <c r="E254" s="8"/>
      <c r="F254" s="8" t="s">
        <v>1060</v>
      </c>
      <c r="G254" s="13">
        <v>1.5</v>
      </c>
      <c r="H254" s="13">
        <v>0.6</v>
      </c>
      <c r="I254" s="13" t="s">
        <v>1745</v>
      </c>
      <c r="J254" s="13">
        <v>2.11</v>
      </c>
      <c r="K254" s="8"/>
    </row>
    <row r="255" spans="1:11">
      <c r="A255" s="14"/>
      <c r="B255" s="8"/>
      <c r="C255" s="8"/>
      <c r="D255" s="8"/>
      <c r="E255" s="8"/>
      <c r="F255" s="8" t="s">
        <v>503</v>
      </c>
      <c r="G255" s="13">
        <v>1.99</v>
      </c>
      <c r="H255" s="13">
        <v>1.4</v>
      </c>
      <c r="I255" s="8" t="s">
        <v>24</v>
      </c>
      <c r="J255" s="8" t="s">
        <v>24</v>
      </c>
      <c r="K255" s="8"/>
    </row>
    <row r="256" spans="1:11">
      <c r="A256" s="9">
        <v>45491</v>
      </c>
      <c r="B256" s="8" t="s">
        <v>2714</v>
      </c>
      <c r="C256" s="13">
        <v>10</v>
      </c>
      <c r="D256" s="8" t="s">
        <v>521</v>
      </c>
      <c r="E256" s="8" t="s">
        <v>484</v>
      </c>
      <c r="F256" s="8" t="s">
        <v>1064</v>
      </c>
      <c r="G256" s="13">
        <v>1.93</v>
      </c>
      <c r="H256" s="13">
        <v>8.6</v>
      </c>
      <c r="I256" s="13" t="s">
        <v>1744</v>
      </c>
      <c r="J256" s="13">
        <v>2.1</v>
      </c>
      <c r="K256" s="8" t="s">
        <v>86</v>
      </c>
    </row>
    <row r="257" spans="1:11">
      <c r="A257" s="14"/>
      <c r="B257" s="8"/>
      <c r="C257" s="8"/>
      <c r="D257" s="8"/>
      <c r="E257" s="8"/>
      <c r="F257" s="8" t="s">
        <v>1060</v>
      </c>
      <c r="G257" s="13">
        <v>2.02</v>
      </c>
      <c r="H257" s="13">
        <v>0.7</v>
      </c>
      <c r="I257" s="13" t="s">
        <v>1745</v>
      </c>
      <c r="J257" s="13">
        <v>2.24</v>
      </c>
      <c r="K257" s="8"/>
    </row>
    <row r="258" spans="1:11">
      <c r="A258" s="14"/>
      <c r="B258" s="8"/>
      <c r="C258" s="8"/>
      <c r="D258" s="8"/>
      <c r="E258" s="8"/>
      <c r="F258" s="8" t="s">
        <v>503</v>
      </c>
      <c r="G258" s="13">
        <v>2.02</v>
      </c>
      <c r="H258" s="13">
        <v>0.7</v>
      </c>
      <c r="I258" s="8" t="s">
        <v>24</v>
      </c>
      <c r="J258" s="8" t="s">
        <v>24</v>
      </c>
      <c r="K258" s="8"/>
    </row>
    <row r="259" spans="1:11">
      <c r="A259" s="9">
        <v>45491</v>
      </c>
      <c r="B259" s="8" t="s">
        <v>2715</v>
      </c>
      <c r="C259" s="13">
        <v>5</v>
      </c>
      <c r="D259" s="8" t="s">
        <v>477</v>
      </c>
      <c r="E259" s="8" t="s">
        <v>536</v>
      </c>
      <c r="F259" s="8" t="s">
        <v>531</v>
      </c>
      <c r="G259" s="13">
        <v>1.92</v>
      </c>
      <c r="H259" s="13">
        <v>4.45</v>
      </c>
      <c r="I259" s="13" t="s">
        <v>1744</v>
      </c>
      <c r="J259" s="13">
        <v>2.2</v>
      </c>
      <c r="K259" s="8" t="s">
        <v>129</v>
      </c>
    </row>
    <row r="260" spans="1:11">
      <c r="A260" s="14"/>
      <c r="B260" s="8"/>
      <c r="C260" s="8"/>
      <c r="D260" s="8"/>
      <c r="E260" s="8"/>
      <c r="F260" s="8" t="s">
        <v>539</v>
      </c>
      <c r="G260" s="13">
        <v>2</v>
      </c>
      <c r="H260" s="13">
        <v>0.2</v>
      </c>
      <c r="I260" s="13" t="s">
        <v>1745</v>
      </c>
      <c r="J260" s="13">
        <v>2.28</v>
      </c>
      <c r="K260" s="8"/>
    </row>
    <row r="261" spans="1:11">
      <c r="A261" s="14"/>
      <c r="B261" s="8"/>
      <c r="C261" s="8"/>
      <c r="D261" s="8"/>
      <c r="E261" s="8"/>
      <c r="F261" s="8" t="s">
        <v>503</v>
      </c>
      <c r="G261" s="13">
        <v>2.67</v>
      </c>
      <c r="H261" s="13">
        <v>0.35</v>
      </c>
      <c r="I261" s="8" t="s">
        <v>24</v>
      </c>
      <c r="J261" s="8" t="s">
        <v>24</v>
      </c>
      <c r="K261" s="8"/>
    </row>
    <row r="262" spans="1:11">
      <c r="A262" s="9">
        <v>45489</v>
      </c>
      <c r="B262" s="8" t="s">
        <v>2716</v>
      </c>
      <c r="C262" s="13">
        <v>10</v>
      </c>
      <c r="D262" s="8" t="s">
        <v>486</v>
      </c>
      <c r="E262" s="8" t="s">
        <v>486</v>
      </c>
      <c r="F262" s="8" t="s">
        <v>1064</v>
      </c>
      <c r="G262" s="13">
        <v>1.92</v>
      </c>
      <c r="H262" s="13">
        <v>8.4</v>
      </c>
      <c r="I262" s="13" t="s">
        <v>1744</v>
      </c>
      <c r="J262" s="13">
        <v>2.1</v>
      </c>
      <c r="K262" s="8" t="s">
        <v>18</v>
      </c>
    </row>
    <row r="263" spans="1:11">
      <c r="A263" s="14"/>
      <c r="B263" s="8"/>
      <c r="C263" s="8"/>
      <c r="D263" s="8"/>
      <c r="E263" s="8"/>
      <c r="F263" s="8" t="s">
        <v>1060</v>
      </c>
      <c r="G263" s="13">
        <v>2.01</v>
      </c>
      <c r="H263" s="13">
        <v>0.5</v>
      </c>
      <c r="I263" s="13" t="s">
        <v>1745</v>
      </c>
      <c r="J263" s="13">
        <v>2.23</v>
      </c>
      <c r="K263" s="8"/>
    </row>
    <row r="264" spans="1:11">
      <c r="A264" s="14"/>
      <c r="B264" s="8"/>
      <c r="C264" s="8"/>
      <c r="D264" s="8"/>
      <c r="E264" s="8"/>
      <c r="F264" s="8" t="s">
        <v>1061</v>
      </c>
      <c r="G264" s="13">
        <v>2.09</v>
      </c>
      <c r="H264" s="13">
        <v>0.3</v>
      </c>
      <c r="I264" s="13" t="s">
        <v>1746</v>
      </c>
      <c r="J264" s="13">
        <v>3</v>
      </c>
      <c r="K264" s="8"/>
    </row>
    <row r="265" spans="1:11">
      <c r="A265" s="14"/>
      <c r="B265" s="8"/>
      <c r="C265" s="8"/>
      <c r="D265" s="8"/>
      <c r="E265" s="8"/>
      <c r="F265" s="8" t="s">
        <v>503</v>
      </c>
      <c r="G265" s="13">
        <v>2.67</v>
      </c>
      <c r="H265" s="13">
        <v>0.8</v>
      </c>
      <c r="I265" s="8" t="s">
        <v>24</v>
      </c>
      <c r="J265" s="8" t="s">
        <v>24</v>
      </c>
      <c r="K265" s="8"/>
    </row>
    <row r="266" spans="1:11">
      <c r="A266" s="9">
        <v>45499</v>
      </c>
      <c r="B266" s="8" t="s">
        <v>2717</v>
      </c>
      <c r="C266" s="13">
        <v>10</v>
      </c>
      <c r="D266" s="8" t="s">
        <v>521</v>
      </c>
      <c r="E266" s="8" t="s">
        <v>492</v>
      </c>
      <c r="F266" s="8" t="s">
        <v>1058</v>
      </c>
      <c r="G266" s="13">
        <v>1</v>
      </c>
      <c r="H266" s="13">
        <v>3</v>
      </c>
      <c r="I266" s="13" t="s">
        <v>1744</v>
      </c>
      <c r="J266" s="13">
        <v>2.02</v>
      </c>
      <c r="K266" s="8" t="s">
        <v>86</v>
      </c>
    </row>
    <row r="267" spans="1:11">
      <c r="A267" s="14"/>
      <c r="B267" s="8"/>
      <c r="C267" s="8"/>
      <c r="D267" s="8"/>
      <c r="E267" s="8"/>
      <c r="F267" s="8" t="s">
        <v>1059</v>
      </c>
      <c r="G267" s="13">
        <v>1</v>
      </c>
      <c r="H267" s="13">
        <v>5.8</v>
      </c>
      <c r="I267" s="13" t="s">
        <v>1744</v>
      </c>
      <c r="J267" s="13">
        <v>2.04</v>
      </c>
      <c r="K267" s="8"/>
    </row>
    <row r="268" spans="1:11">
      <c r="A268" s="14"/>
      <c r="B268" s="8"/>
      <c r="C268" s="8"/>
      <c r="D268" s="8"/>
      <c r="E268" s="8"/>
      <c r="F268" s="8" t="s">
        <v>1060</v>
      </c>
      <c r="G268" s="13">
        <v>1</v>
      </c>
      <c r="H268" s="13">
        <v>0.6</v>
      </c>
      <c r="I268" s="13" t="s">
        <v>1745</v>
      </c>
      <c r="J268" s="13">
        <v>2.11</v>
      </c>
      <c r="K268" s="8"/>
    </row>
    <row r="269" spans="1:11">
      <c r="A269" s="14"/>
      <c r="B269" s="8"/>
      <c r="C269" s="8"/>
      <c r="D269" s="8"/>
      <c r="E269" s="8"/>
      <c r="F269" s="8" t="s">
        <v>503</v>
      </c>
      <c r="G269" s="13">
        <v>3.17</v>
      </c>
      <c r="H269" s="13">
        <v>0.6</v>
      </c>
      <c r="I269" s="8" t="s">
        <v>24</v>
      </c>
      <c r="J269" s="8" t="s">
        <v>24</v>
      </c>
      <c r="K269" s="8"/>
    </row>
    <row r="270" spans="1:11">
      <c r="A270" s="9">
        <v>45497</v>
      </c>
      <c r="B270" s="8" t="s">
        <v>2718</v>
      </c>
      <c r="C270" s="13">
        <v>7</v>
      </c>
      <c r="D270" s="8" t="s">
        <v>2654</v>
      </c>
      <c r="E270" s="8" t="s">
        <v>536</v>
      </c>
      <c r="F270" s="8" t="s">
        <v>531</v>
      </c>
      <c r="G270" s="13">
        <v>0.99</v>
      </c>
      <c r="H270" s="13">
        <v>6.23</v>
      </c>
      <c r="I270" s="13" t="s">
        <v>1744</v>
      </c>
      <c r="J270" s="13">
        <v>2.1</v>
      </c>
      <c r="K270" s="8" t="s">
        <v>129</v>
      </c>
    </row>
    <row r="271" spans="1:11">
      <c r="A271" s="14"/>
      <c r="B271" s="8"/>
      <c r="C271" s="8"/>
      <c r="D271" s="8"/>
      <c r="E271" s="8"/>
      <c r="F271" s="8" t="s">
        <v>539</v>
      </c>
      <c r="G271" s="13">
        <v>1.16</v>
      </c>
      <c r="H271" s="13">
        <v>0.35</v>
      </c>
      <c r="I271" s="13" t="s">
        <v>1745</v>
      </c>
      <c r="J271" s="13">
        <v>2.22</v>
      </c>
      <c r="K271" s="8"/>
    </row>
    <row r="272" spans="1:11">
      <c r="A272" s="14"/>
      <c r="B272" s="8"/>
      <c r="C272" s="8"/>
      <c r="D272" s="8"/>
      <c r="E272" s="8"/>
      <c r="F272" s="8" t="s">
        <v>503</v>
      </c>
      <c r="G272" s="13">
        <v>1.75</v>
      </c>
      <c r="H272" s="13">
        <v>0.42</v>
      </c>
      <c r="I272" s="8" t="s">
        <v>24</v>
      </c>
      <c r="J272" s="8" t="s">
        <v>24</v>
      </c>
      <c r="K272" s="8"/>
    </row>
    <row r="273" spans="1:11">
      <c r="A273" s="9">
        <v>45497</v>
      </c>
      <c r="B273" s="8" t="s">
        <v>2719</v>
      </c>
      <c r="C273" s="13">
        <v>7</v>
      </c>
      <c r="D273" s="8" t="s">
        <v>536</v>
      </c>
      <c r="E273" s="8" t="s">
        <v>492</v>
      </c>
      <c r="F273" s="8" t="s">
        <v>531</v>
      </c>
      <c r="G273" s="13">
        <v>0.99</v>
      </c>
      <c r="H273" s="13">
        <v>6.23</v>
      </c>
      <c r="I273" s="13" t="s">
        <v>1744</v>
      </c>
      <c r="J273" s="13">
        <v>2.1</v>
      </c>
      <c r="K273" s="8" t="s">
        <v>129</v>
      </c>
    </row>
    <row r="274" spans="1:11">
      <c r="A274" s="14"/>
      <c r="B274" s="8"/>
      <c r="C274" s="8"/>
      <c r="D274" s="8"/>
      <c r="E274" s="8"/>
      <c r="F274" s="8" t="s">
        <v>539</v>
      </c>
      <c r="G274" s="13">
        <v>1.66</v>
      </c>
      <c r="H274" s="13">
        <v>0.35</v>
      </c>
      <c r="I274" s="13" t="s">
        <v>1745</v>
      </c>
      <c r="J274" s="13">
        <v>2.22</v>
      </c>
      <c r="K274" s="8"/>
    </row>
    <row r="275" spans="1:11">
      <c r="A275" s="14"/>
      <c r="B275" s="8"/>
      <c r="C275" s="8"/>
      <c r="D275" s="8"/>
      <c r="E275" s="8"/>
      <c r="F275" s="8" t="s">
        <v>503</v>
      </c>
      <c r="G275" s="13">
        <v>1.75</v>
      </c>
      <c r="H275" s="13">
        <v>0.42</v>
      </c>
      <c r="I275" s="8" t="s">
        <v>24</v>
      </c>
      <c r="J275" s="8" t="s">
        <v>24</v>
      </c>
      <c r="K275" s="8"/>
    </row>
    <row r="276" spans="1:11">
      <c r="A276" s="9">
        <v>45491</v>
      </c>
      <c r="B276" s="8" t="s">
        <v>2720</v>
      </c>
      <c r="C276" s="13">
        <v>5</v>
      </c>
      <c r="D276" s="8" t="s">
        <v>492</v>
      </c>
      <c r="E276" s="8" t="s">
        <v>481</v>
      </c>
      <c r="F276" s="8" t="s">
        <v>531</v>
      </c>
      <c r="G276" s="13">
        <v>1.92</v>
      </c>
      <c r="H276" s="13">
        <v>4.45</v>
      </c>
      <c r="I276" s="13" t="s">
        <v>1744</v>
      </c>
      <c r="J276" s="13">
        <v>2.18</v>
      </c>
      <c r="K276" s="8" t="s">
        <v>129</v>
      </c>
    </row>
    <row r="277" spans="1:11">
      <c r="A277" s="14"/>
      <c r="B277" s="8"/>
      <c r="C277" s="8"/>
      <c r="D277" s="8"/>
      <c r="E277" s="8"/>
      <c r="F277" s="8" t="s">
        <v>539</v>
      </c>
      <c r="G277" s="13">
        <v>2</v>
      </c>
      <c r="H277" s="13">
        <v>0.2</v>
      </c>
      <c r="I277" s="13" t="s">
        <v>1745</v>
      </c>
      <c r="J277" s="13">
        <v>2.27</v>
      </c>
      <c r="K277" s="8"/>
    </row>
    <row r="278" spans="1:11">
      <c r="A278" s="14"/>
      <c r="B278" s="8"/>
      <c r="C278" s="8"/>
      <c r="D278" s="8"/>
      <c r="E278" s="8"/>
      <c r="F278" s="8" t="s">
        <v>503</v>
      </c>
      <c r="G278" s="13">
        <v>2.67</v>
      </c>
      <c r="H278" s="13">
        <v>0.35</v>
      </c>
      <c r="I278" s="8" t="s">
        <v>24</v>
      </c>
      <c r="J278" s="8" t="s">
        <v>24</v>
      </c>
      <c r="K278" s="8"/>
    </row>
    <row r="279" spans="1:11">
      <c r="A279" s="9">
        <v>45492</v>
      </c>
      <c r="B279" s="8" t="s">
        <v>2721</v>
      </c>
      <c r="C279" s="13">
        <v>6</v>
      </c>
      <c r="D279" s="8" t="s">
        <v>492</v>
      </c>
      <c r="E279" s="8" t="s">
        <v>492</v>
      </c>
      <c r="F279" s="8" t="s">
        <v>1064</v>
      </c>
      <c r="G279" s="13">
        <v>1.02</v>
      </c>
      <c r="H279" s="13">
        <v>5.28</v>
      </c>
      <c r="I279" s="13" t="s">
        <v>1744</v>
      </c>
      <c r="J279" s="13">
        <v>2.05</v>
      </c>
      <c r="K279" s="8" t="s">
        <v>86</v>
      </c>
    </row>
    <row r="280" spans="1:11">
      <c r="A280" s="14"/>
      <c r="B280" s="8"/>
      <c r="C280" s="8"/>
      <c r="D280" s="8"/>
      <c r="E280" s="8"/>
      <c r="F280" s="8" t="s">
        <v>1060</v>
      </c>
      <c r="G280" s="13">
        <v>1.02</v>
      </c>
      <c r="H280" s="13">
        <v>0.36</v>
      </c>
      <c r="I280" s="13" t="s">
        <v>1745</v>
      </c>
      <c r="J280" s="13">
        <v>2.11</v>
      </c>
      <c r="K280" s="8"/>
    </row>
    <row r="281" spans="1:11">
      <c r="A281" s="14"/>
      <c r="B281" s="8"/>
      <c r="C281" s="8"/>
      <c r="D281" s="8"/>
      <c r="E281" s="8"/>
      <c r="F281" s="8" t="s">
        <v>503</v>
      </c>
      <c r="G281" s="13">
        <v>4.02</v>
      </c>
      <c r="H281" s="13">
        <v>0.36</v>
      </c>
      <c r="I281" s="8" t="s">
        <v>24</v>
      </c>
      <c r="J281" s="8" t="s">
        <v>24</v>
      </c>
      <c r="K281" s="8"/>
    </row>
    <row r="282" spans="1:11">
      <c r="A282" s="9">
        <v>45491</v>
      </c>
      <c r="B282" s="8" t="s">
        <v>2722</v>
      </c>
      <c r="C282" s="13">
        <v>10</v>
      </c>
      <c r="D282" s="8" t="s">
        <v>492</v>
      </c>
      <c r="E282" s="8" t="s">
        <v>477</v>
      </c>
      <c r="F282" s="8" t="s">
        <v>1058</v>
      </c>
      <c r="G282" s="13">
        <v>1.25</v>
      </c>
      <c r="H282" s="13">
        <v>7</v>
      </c>
      <c r="I282" s="13" t="s">
        <v>1744</v>
      </c>
      <c r="J282" s="13">
        <v>2.1</v>
      </c>
      <c r="K282" s="8" t="s">
        <v>74</v>
      </c>
    </row>
    <row r="283" spans="1:11">
      <c r="A283" s="14"/>
      <c r="B283" s="8"/>
      <c r="C283" s="8"/>
      <c r="D283" s="8"/>
      <c r="E283" s="8"/>
      <c r="F283" s="8" t="s">
        <v>1059</v>
      </c>
      <c r="G283" s="13">
        <v>1.49</v>
      </c>
      <c r="H283" s="13">
        <v>2</v>
      </c>
      <c r="I283" s="13" t="s">
        <v>1744</v>
      </c>
      <c r="J283" s="13">
        <v>2.1</v>
      </c>
      <c r="K283" s="8"/>
    </row>
    <row r="284" spans="1:11">
      <c r="A284" s="14"/>
      <c r="B284" s="8"/>
      <c r="C284" s="8"/>
      <c r="D284" s="8"/>
      <c r="E284" s="8"/>
      <c r="F284" s="8" t="s">
        <v>1060</v>
      </c>
      <c r="G284" s="13">
        <v>1.49</v>
      </c>
      <c r="H284" s="13">
        <v>0.3</v>
      </c>
      <c r="I284" s="13" t="s">
        <v>1745</v>
      </c>
      <c r="J284" s="13">
        <v>2.29</v>
      </c>
      <c r="K284" s="8"/>
    </row>
    <row r="285" spans="1:11">
      <c r="A285" s="14"/>
      <c r="B285" s="8"/>
      <c r="C285" s="8"/>
      <c r="D285" s="8"/>
      <c r="E285" s="8"/>
      <c r="F285" s="8" t="s">
        <v>503</v>
      </c>
      <c r="G285" s="13">
        <v>1.99</v>
      </c>
      <c r="H285" s="13">
        <v>0.7</v>
      </c>
      <c r="I285" s="8" t="s">
        <v>24</v>
      </c>
      <c r="J285" s="8" t="s">
        <v>24</v>
      </c>
      <c r="K285" s="8"/>
    </row>
    <row r="286" spans="1:11">
      <c r="A286" s="9">
        <v>45491</v>
      </c>
      <c r="B286" s="8" t="s">
        <v>2723</v>
      </c>
      <c r="C286" s="13">
        <v>5</v>
      </c>
      <c r="D286" s="8" t="s">
        <v>536</v>
      </c>
      <c r="E286" s="8" t="s">
        <v>492</v>
      </c>
      <c r="F286" s="8" t="s">
        <v>531</v>
      </c>
      <c r="G286" s="13">
        <v>1.92</v>
      </c>
      <c r="H286" s="13">
        <v>4.45</v>
      </c>
      <c r="I286" s="13" t="s">
        <v>1744</v>
      </c>
      <c r="J286" s="13">
        <v>2.2</v>
      </c>
      <c r="K286" s="8" t="s">
        <v>129</v>
      </c>
    </row>
    <row r="287" spans="1:11">
      <c r="A287" s="14"/>
      <c r="B287" s="8"/>
      <c r="C287" s="8"/>
      <c r="D287" s="8"/>
      <c r="E287" s="8"/>
      <c r="F287" s="8" t="s">
        <v>539</v>
      </c>
      <c r="G287" s="13">
        <v>2</v>
      </c>
      <c r="H287" s="13">
        <v>0.2</v>
      </c>
      <c r="I287" s="13" t="s">
        <v>1745</v>
      </c>
      <c r="J287" s="13">
        <v>2.28</v>
      </c>
      <c r="K287" s="8"/>
    </row>
    <row r="288" spans="1:11">
      <c r="A288" s="14"/>
      <c r="B288" s="8"/>
      <c r="C288" s="8"/>
      <c r="D288" s="8"/>
      <c r="E288" s="8"/>
      <c r="F288" s="8" t="s">
        <v>503</v>
      </c>
      <c r="G288" s="13">
        <v>2.66</v>
      </c>
      <c r="H288" s="13">
        <v>0.35</v>
      </c>
      <c r="I288" s="8" t="s">
        <v>24</v>
      </c>
      <c r="J288" s="8" t="s">
        <v>24</v>
      </c>
      <c r="K288" s="8"/>
    </row>
    <row r="289" spans="1:11">
      <c r="A289" s="9">
        <v>45499</v>
      </c>
      <c r="B289" s="8" t="s">
        <v>2724</v>
      </c>
      <c r="C289" s="13">
        <v>10</v>
      </c>
      <c r="D289" s="8" t="s">
        <v>477</v>
      </c>
      <c r="E289" s="8" t="s">
        <v>492</v>
      </c>
      <c r="F289" s="8" t="s">
        <v>1058</v>
      </c>
      <c r="G289" s="13">
        <v>1.24</v>
      </c>
      <c r="H289" s="13">
        <v>7</v>
      </c>
      <c r="I289" s="13" t="s">
        <v>1744</v>
      </c>
      <c r="J289" s="13">
        <v>2.08</v>
      </c>
      <c r="K289" s="8" t="s">
        <v>74</v>
      </c>
    </row>
    <row r="290" spans="1:11">
      <c r="A290" s="14"/>
      <c r="B290" s="8"/>
      <c r="C290" s="8"/>
      <c r="D290" s="8"/>
      <c r="E290" s="8"/>
      <c r="F290" s="8" t="s">
        <v>1059</v>
      </c>
      <c r="G290" s="13">
        <v>1.47</v>
      </c>
      <c r="H290" s="13">
        <v>2</v>
      </c>
      <c r="I290" s="13" t="s">
        <v>1744</v>
      </c>
      <c r="J290" s="13">
        <v>2.08</v>
      </c>
      <c r="K290" s="8"/>
    </row>
    <row r="291" spans="1:11">
      <c r="A291" s="14"/>
      <c r="B291" s="8"/>
      <c r="C291" s="8"/>
      <c r="D291" s="8"/>
      <c r="E291" s="8"/>
      <c r="F291" s="8" t="s">
        <v>1060</v>
      </c>
      <c r="G291" s="13">
        <v>1.47</v>
      </c>
      <c r="H291" s="13">
        <v>0.3</v>
      </c>
      <c r="I291" s="13" t="s">
        <v>1745</v>
      </c>
      <c r="J291" s="13">
        <v>2.24</v>
      </c>
      <c r="K291" s="8"/>
    </row>
    <row r="292" spans="1:11">
      <c r="A292" s="14"/>
      <c r="B292" s="8"/>
      <c r="C292" s="8"/>
      <c r="D292" s="8"/>
      <c r="E292" s="8"/>
      <c r="F292" s="8" t="s">
        <v>503</v>
      </c>
      <c r="G292" s="13">
        <v>1.97</v>
      </c>
      <c r="H292" s="13">
        <v>0.7</v>
      </c>
      <c r="I292" s="8" t="s">
        <v>24</v>
      </c>
      <c r="J292" s="8" t="s">
        <v>24</v>
      </c>
      <c r="K292" s="8"/>
    </row>
    <row r="293" spans="1:11">
      <c r="A293" s="9">
        <v>45502</v>
      </c>
      <c r="B293" s="8" t="s">
        <v>2725</v>
      </c>
      <c r="C293" s="13">
        <v>7</v>
      </c>
      <c r="D293" s="8" t="s">
        <v>477</v>
      </c>
      <c r="E293" s="8" t="s">
        <v>536</v>
      </c>
      <c r="F293" s="8" t="s">
        <v>1064</v>
      </c>
      <c r="G293" s="13">
        <v>1.92</v>
      </c>
      <c r="H293" s="13">
        <v>6.23</v>
      </c>
      <c r="I293" s="13" t="s">
        <v>1744</v>
      </c>
      <c r="J293" s="13">
        <v>2.18</v>
      </c>
      <c r="K293" s="8" t="s">
        <v>129</v>
      </c>
    </row>
    <row r="294" spans="1:11">
      <c r="A294" s="14"/>
      <c r="B294" s="8"/>
      <c r="C294" s="8"/>
      <c r="D294" s="8"/>
      <c r="E294" s="8"/>
      <c r="F294" s="8" t="s">
        <v>1060</v>
      </c>
      <c r="G294" s="13">
        <v>2</v>
      </c>
      <c r="H294" s="13">
        <v>0.28</v>
      </c>
      <c r="I294" s="13" t="s">
        <v>1745</v>
      </c>
      <c r="J294" s="13">
        <v>2.24</v>
      </c>
      <c r="K294" s="8"/>
    </row>
    <row r="295" spans="1:11">
      <c r="A295" s="14"/>
      <c r="B295" s="8"/>
      <c r="C295" s="8"/>
      <c r="D295" s="8"/>
      <c r="E295" s="8"/>
      <c r="F295" s="8" t="s">
        <v>503</v>
      </c>
      <c r="G295" s="13">
        <v>2.67</v>
      </c>
      <c r="H295" s="13">
        <v>0.49</v>
      </c>
      <c r="I295" s="8" t="s">
        <v>24</v>
      </c>
      <c r="J295" s="8" t="s">
        <v>24</v>
      </c>
      <c r="K295" s="8"/>
    </row>
    <row r="296" spans="1:11">
      <c r="A296" s="9">
        <v>45502</v>
      </c>
      <c r="B296" s="8" t="s">
        <v>2726</v>
      </c>
      <c r="C296" s="13">
        <v>6</v>
      </c>
      <c r="D296" s="8" t="s">
        <v>536</v>
      </c>
      <c r="E296" s="8" t="s">
        <v>481</v>
      </c>
      <c r="F296" s="8" t="s">
        <v>1064</v>
      </c>
      <c r="G296" s="13">
        <v>1</v>
      </c>
      <c r="H296" s="13">
        <v>5.34</v>
      </c>
      <c r="I296" s="13" t="s">
        <v>1744</v>
      </c>
      <c r="J296" s="13">
        <v>2.09</v>
      </c>
      <c r="K296" s="8" t="s">
        <v>129</v>
      </c>
    </row>
    <row r="297" spans="1:11">
      <c r="A297" s="14"/>
      <c r="B297" s="8"/>
      <c r="C297" s="8"/>
      <c r="D297" s="8"/>
      <c r="E297" s="8"/>
      <c r="F297" s="8" t="s">
        <v>1060</v>
      </c>
      <c r="G297" s="13">
        <v>1.17</v>
      </c>
      <c r="H297" s="13">
        <v>0.3</v>
      </c>
      <c r="I297" s="13" t="s">
        <v>1745</v>
      </c>
      <c r="J297" s="13">
        <v>2.17</v>
      </c>
      <c r="K297" s="8"/>
    </row>
    <row r="298" spans="1:11">
      <c r="A298" s="14"/>
      <c r="B298" s="8"/>
      <c r="C298" s="8"/>
      <c r="D298" s="8"/>
      <c r="E298" s="8"/>
      <c r="F298" s="8" t="s">
        <v>503</v>
      </c>
      <c r="G298" s="13">
        <v>1.75</v>
      </c>
      <c r="H298" s="13">
        <v>0.36</v>
      </c>
      <c r="I298" s="8" t="s">
        <v>24</v>
      </c>
      <c r="J298" s="8" t="s">
        <v>24</v>
      </c>
      <c r="K298" s="8"/>
    </row>
    <row r="299" spans="1:11">
      <c r="A299" s="9">
        <v>45510</v>
      </c>
      <c r="B299" s="8" t="s">
        <v>2727</v>
      </c>
      <c r="C299" s="13">
        <v>5.01</v>
      </c>
      <c r="D299" s="8" t="s">
        <v>486</v>
      </c>
      <c r="E299" s="8" t="s">
        <v>486</v>
      </c>
      <c r="F299" s="8" t="s">
        <v>1058</v>
      </c>
      <c r="G299" s="13">
        <v>0.68</v>
      </c>
      <c r="H299" s="13">
        <v>1.5</v>
      </c>
      <c r="I299" s="13" t="s">
        <v>1744</v>
      </c>
      <c r="J299" s="13">
        <v>2.5</v>
      </c>
      <c r="K299" s="8" t="s">
        <v>1082</v>
      </c>
    </row>
    <row r="300" spans="1:11">
      <c r="A300" s="14"/>
      <c r="B300" s="8"/>
      <c r="C300" s="8"/>
      <c r="D300" s="8"/>
      <c r="E300" s="8"/>
      <c r="F300" s="8" t="s">
        <v>1059</v>
      </c>
      <c r="G300" s="13">
        <v>1.85</v>
      </c>
      <c r="H300" s="13">
        <v>2</v>
      </c>
      <c r="I300" s="13" t="s">
        <v>1744</v>
      </c>
      <c r="J300" s="13">
        <v>3</v>
      </c>
      <c r="K300" s="8"/>
    </row>
    <row r="301" spans="1:11">
      <c r="A301" s="14"/>
      <c r="B301" s="8"/>
      <c r="C301" s="8"/>
      <c r="D301" s="8"/>
      <c r="E301" s="8"/>
      <c r="F301" s="8" t="s">
        <v>1099</v>
      </c>
      <c r="G301" s="13">
        <v>2.99</v>
      </c>
      <c r="H301" s="13">
        <v>1.43</v>
      </c>
      <c r="I301" s="13" t="s">
        <v>1744</v>
      </c>
      <c r="J301" s="13">
        <v>4.5</v>
      </c>
      <c r="K301" s="8"/>
    </row>
    <row r="302" spans="1:11">
      <c r="A302" s="14"/>
      <c r="B302" s="8"/>
      <c r="C302" s="8"/>
      <c r="D302" s="8"/>
      <c r="E302" s="8"/>
      <c r="F302" s="8" t="s">
        <v>503</v>
      </c>
      <c r="G302" s="13">
        <v>3.27</v>
      </c>
      <c r="H302" s="13">
        <v>0.08</v>
      </c>
      <c r="I302" s="8" t="s">
        <v>24</v>
      </c>
      <c r="J302" s="8" t="s">
        <v>24</v>
      </c>
      <c r="K302" s="8"/>
    </row>
    <row r="303" spans="1:11">
      <c r="A303" s="9">
        <v>45503</v>
      </c>
      <c r="B303" s="8" t="s">
        <v>2728</v>
      </c>
      <c r="C303" s="13">
        <v>5</v>
      </c>
      <c r="D303" s="8" t="s">
        <v>492</v>
      </c>
      <c r="E303" s="8" t="s">
        <v>481</v>
      </c>
      <c r="F303" s="8" t="s">
        <v>1064</v>
      </c>
      <c r="G303" s="13">
        <v>0.99</v>
      </c>
      <c r="H303" s="13">
        <v>4.45</v>
      </c>
      <c r="I303" s="13" t="s">
        <v>1744</v>
      </c>
      <c r="J303" s="13">
        <v>2.07</v>
      </c>
      <c r="K303" s="8" t="s">
        <v>129</v>
      </c>
    </row>
    <row r="304" spans="1:11">
      <c r="A304" s="14"/>
      <c r="B304" s="8"/>
      <c r="C304" s="8"/>
      <c r="D304" s="8"/>
      <c r="E304" s="8"/>
      <c r="F304" s="8" t="s">
        <v>1060</v>
      </c>
      <c r="G304" s="13">
        <v>1.16</v>
      </c>
      <c r="H304" s="13">
        <v>0.25</v>
      </c>
      <c r="I304" s="13" t="s">
        <v>1745</v>
      </c>
      <c r="J304" s="13">
        <v>2.17</v>
      </c>
      <c r="K304" s="8"/>
    </row>
    <row r="305" spans="1:11">
      <c r="A305" s="14"/>
      <c r="B305" s="8"/>
      <c r="C305" s="8"/>
      <c r="D305" s="8"/>
      <c r="E305" s="8"/>
      <c r="F305" s="8" t="s">
        <v>503</v>
      </c>
      <c r="G305" s="13">
        <v>1.74</v>
      </c>
      <c r="H305" s="13">
        <v>0.3</v>
      </c>
      <c r="I305" s="8" t="s">
        <v>24</v>
      </c>
      <c r="J305" s="8" t="s">
        <v>24</v>
      </c>
      <c r="K305" s="8"/>
    </row>
    <row r="306" spans="1:11">
      <c r="A306" s="9">
        <v>45503</v>
      </c>
      <c r="B306" s="8" t="s">
        <v>2729</v>
      </c>
      <c r="C306" s="13">
        <v>10</v>
      </c>
      <c r="D306" s="8" t="s">
        <v>477</v>
      </c>
      <c r="E306" s="8" t="s">
        <v>492</v>
      </c>
      <c r="F306" s="8" t="s">
        <v>1058</v>
      </c>
      <c r="G306" s="13">
        <v>0.95</v>
      </c>
      <c r="H306" s="13">
        <v>7</v>
      </c>
      <c r="I306" s="13" t="s">
        <v>1744</v>
      </c>
      <c r="J306" s="13">
        <v>2.07</v>
      </c>
      <c r="K306" s="8" t="s">
        <v>74</v>
      </c>
    </row>
    <row r="307" spans="1:11">
      <c r="A307" s="14"/>
      <c r="B307" s="8"/>
      <c r="C307" s="8"/>
      <c r="D307" s="8"/>
      <c r="E307" s="8"/>
      <c r="F307" s="8" t="s">
        <v>1059</v>
      </c>
      <c r="G307" s="13">
        <v>1.22</v>
      </c>
      <c r="H307" s="13">
        <v>2</v>
      </c>
      <c r="I307" s="13" t="s">
        <v>1744</v>
      </c>
      <c r="J307" s="13">
        <v>2.08</v>
      </c>
      <c r="K307" s="8"/>
    </row>
    <row r="308" spans="1:11">
      <c r="A308" s="14"/>
      <c r="B308" s="8"/>
      <c r="C308" s="8"/>
      <c r="D308" s="8"/>
      <c r="E308" s="8"/>
      <c r="F308" s="8" t="s">
        <v>1060</v>
      </c>
      <c r="G308" s="13">
        <v>1.22</v>
      </c>
      <c r="H308" s="13">
        <v>0.3</v>
      </c>
      <c r="I308" s="13" t="s">
        <v>1745</v>
      </c>
      <c r="J308" s="13">
        <v>2.2</v>
      </c>
      <c r="K308" s="8"/>
    </row>
    <row r="309" spans="1:11">
      <c r="A309" s="14"/>
      <c r="B309" s="8"/>
      <c r="C309" s="8"/>
      <c r="D309" s="8"/>
      <c r="E309" s="8"/>
      <c r="F309" s="8" t="s">
        <v>503</v>
      </c>
      <c r="G309" s="13">
        <v>1.7</v>
      </c>
      <c r="H309" s="13">
        <v>0.7</v>
      </c>
      <c r="I309" s="8" t="s">
        <v>24</v>
      </c>
      <c r="J309" s="8" t="s">
        <v>24</v>
      </c>
      <c r="K309" s="8"/>
    </row>
    <row r="310" spans="1:11">
      <c r="A310" s="9">
        <v>45503</v>
      </c>
      <c r="B310" s="8" t="s">
        <v>2730</v>
      </c>
      <c r="C310" s="13">
        <v>5</v>
      </c>
      <c r="D310" s="8" t="s">
        <v>486</v>
      </c>
      <c r="E310" s="8" t="s">
        <v>486</v>
      </c>
      <c r="F310" s="8" t="s">
        <v>1064</v>
      </c>
      <c r="G310" s="13">
        <v>0.98</v>
      </c>
      <c r="H310" s="13">
        <v>4.4</v>
      </c>
      <c r="I310" s="13" t="s">
        <v>1744</v>
      </c>
      <c r="J310" s="13">
        <v>1.98</v>
      </c>
      <c r="K310" s="8" t="s">
        <v>86</v>
      </c>
    </row>
    <row r="311" spans="1:11">
      <c r="A311" s="14"/>
      <c r="B311" s="8"/>
      <c r="C311" s="8"/>
      <c r="D311" s="8"/>
      <c r="E311" s="8"/>
      <c r="F311" s="8" t="s">
        <v>1060</v>
      </c>
      <c r="G311" s="13">
        <v>0.98</v>
      </c>
      <c r="H311" s="13">
        <v>0.3</v>
      </c>
      <c r="I311" s="13" t="s">
        <v>1745</v>
      </c>
      <c r="J311" s="13">
        <v>2.05</v>
      </c>
      <c r="K311" s="8"/>
    </row>
    <row r="312" spans="1:11">
      <c r="A312" s="14"/>
      <c r="B312" s="8"/>
      <c r="C312" s="8"/>
      <c r="D312" s="8"/>
      <c r="E312" s="8"/>
      <c r="F312" s="8" t="s">
        <v>503</v>
      </c>
      <c r="G312" s="13">
        <v>3.98</v>
      </c>
      <c r="H312" s="13">
        <v>0.3</v>
      </c>
      <c r="I312" s="8" t="s">
        <v>24</v>
      </c>
      <c r="J312" s="8" t="s">
        <v>24</v>
      </c>
      <c r="K312" s="8"/>
    </row>
    <row r="313" spans="1:11">
      <c r="A313" s="9">
        <v>45509</v>
      </c>
      <c r="B313" s="8" t="s">
        <v>2731</v>
      </c>
      <c r="C313" s="13">
        <v>7</v>
      </c>
      <c r="D313" s="8" t="s">
        <v>2654</v>
      </c>
      <c r="E313" s="8" t="s">
        <v>536</v>
      </c>
      <c r="F313" s="8" t="s">
        <v>1064</v>
      </c>
      <c r="G313" s="13">
        <v>0.99</v>
      </c>
      <c r="H313" s="13">
        <v>6.23</v>
      </c>
      <c r="I313" s="13" t="s">
        <v>1744</v>
      </c>
      <c r="J313" s="13">
        <v>2.07</v>
      </c>
      <c r="K313" s="8" t="s">
        <v>129</v>
      </c>
    </row>
    <row r="314" spans="1:11">
      <c r="A314" s="14"/>
      <c r="B314" s="8"/>
      <c r="C314" s="8"/>
      <c r="D314" s="8"/>
      <c r="E314" s="8"/>
      <c r="F314" s="8" t="s">
        <v>1060</v>
      </c>
      <c r="G314" s="13">
        <v>1.16</v>
      </c>
      <c r="H314" s="13">
        <v>0.35</v>
      </c>
      <c r="I314" s="13" t="s">
        <v>1745</v>
      </c>
      <c r="J314" s="13">
        <v>2.17</v>
      </c>
      <c r="K314" s="8"/>
    </row>
    <row r="315" spans="1:11">
      <c r="A315" s="14"/>
      <c r="B315" s="8"/>
      <c r="C315" s="8"/>
      <c r="D315" s="8"/>
      <c r="E315" s="8"/>
      <c r="F315" s="8" t="s">
        <v>503</v>
      </c>
      <c r="G315" s="13">
        <v>1.74</v>
      </c>
      <c r="H315" s="13">
        <v>0.42</v>
      </c>
      <c r="I315" s="8" t="s">
        <v>24</v>
      </c>
      <c r="J315" s="8" t="s">
        <v>24</v>
      </c>
      <c r="K315" s="8"/>
    </row>
    <row r="316" spans="1:11">
      <c r="A316" s="9">
        <v>45509</v>
      </c>
      <c r="B316" s="8" t="s">
        <v>2732</v>
      </c>
      <c r="C316" s="13">
        <v>6</v>
      </c>
      <c r="D316" s="8" t="s">
        <v>536</v>
      </c>
      <c r="E316" s="8" t="s">
        <v>481</v>
      </c>
      <c r="F316" s="8" t="s">
        <v>1064</v>
      </c>
      <c r="G316" s="13">
        <v>1.91</v>
      </c>
      <c r="H316" s="13">
        <v>5.34</v>
      </c>
      <c r="I316" s="13" t="s">
        <v>1744</v>
      </c>
      <c r="J316" s="13">
        <v>2.15</v>
      </c>
      <c r="K316" s="8" t="s">
        <v>129</v>
      </c>
    </row>
    <row r="317" spans="1:11">
      <c r="A317" s="14"/>
      <c r="B317" s="8"/>
      <c r="C317" s="8"/>
      <c r="D317" s="8"/>
      <c r="E317" s="8"/>
      <c r="F317" s="8" t="s">
        <v>1060</v>
      </c>
      <c r="G317" s="13">
        <v>1.99</v>
      </c>
      <c r="H317" s="13">
        <v>0.24</v>
      </c>
      <c r="I317" s="13" t="s">
        <v>1745</v>
      </c>
      <c r="J317" s="13">
        <v>2.24</v>
      </c>
      <c r="K317" s="8"/>
    </row>
    <row r="318" spans="1:11">
      <c r="A318" s="14"/>
      <c r="B318" s="8"/>
      <c r="C318" s="8"/>
      <c r="D318" s="8"/>
      <c r="E318" s="8"/>
      <c r="F318" s="8" t="s">
        <v>503</v>
      </c>
      <c r="G318" s="13">
        <v>2.66</v>
      </c>
      <c r="H318" s="13">
        <v>0.42</v>
      </c>
      <c r="I318" s="8" t="s">
        <v>24</v>
      </c>
      <c r="J318" s="8" t="s">
        <v>24</v>
      </c>
      <c r="K318" s="8"/>
    </row>
    <row r="319" spans="1:11">
      <c r="A319" s="9">
        <v>45511</v>
      </c>
      <c r="B319" s="8" t="s">
        <v>2733</v>
      </c>
      <c r="C319" s="13">
        <v>10</v>
      </c>
      <c r="D319" s="8" t="s">
        <v>521</v>
      </c>
      <c r="E319" s="8" t="s">
        <v>492</v>
      </c>
      <c r="F319" s="8" t="s">
        <v>1058</v>
      </c>
      <c r="G319" s="13">
        <v>1.04</v>
      </c>
      <c r="H319" s="13">
        <v>3</v>
      </c>
      <c r="I319" s="13" t="s">
        <v>1744</v>
      </c>
      <c r="J319" s="13">
        <v>1.96</v>
      </c>
      <c r="K319" s="8" t="s">
        <v>86</v>
      </c>
    </row>
    <row r="320" spans="1:11">
      <c r="A320" s="14"/>
      <c r="B320" s="8"/>
      <c r="C320" s="8"/>
      <c r="D320" s="8"/>
      <c r="E320" s="8"/>
      <c r="F320" s="8" t="s">
        <v>1059</v>
      </c>
      <c r="G320" s="13">
        <v>1.04</v>
      </c>
      <c r="H320" s="13">
        <v>5.8</v>
      </c>
      <c r="I320" s="13" t="s">
        <v>1744</v>
      </c>
      <c r="J320" s="13">
        <v>1.97</v>
      </c>
      <c r="K320" s="8"/>
    </row>
    <row r="321" spans="1:11">
      <c r="A321" s="14"/>
      <c r="B321" s="8"/>
      <c r="C321" s="8"/>
      <c r="D321" s="8"/>
      <c r="E321" s="8"/>
      <c r="F321" s="8" t="s">
        <v>1060</v>
      </c>
      <c r="G321" s="13">
        <v>1.04</v>
      </c>
      <c r="H321" s="13">
        <v>0.6</v>
      </c>
      <c r="I321" s="13" t="s">
        <v>1745</v>
      </c>
      <c r="J321" s="13">
        <v>2.05</v>
      </c>
      <c r="K321" s="8"/>
    </row>
    <row r="322" spans="1:11">
      <c r="A322" s="14"/>
      <c r="B322" s="8"/>
      <c r="C322" s="8"/>
      <c r="D322" s="8"/>
      <c r="E322" s="8"/>
      <c r="F322" s="8" t="s">
        <v>503</v>
      </c>
      <c r="G322" s="13">
        <v>3.21</v>
      </c>
      <c r="H322" s="13">
        <v>0.6</v>
      </c>
      <c r="I322" s="8" t="s">
        <v>24</v>
      </c>
      <c r="J322" s="8" t="s">
        <v>24</v>
      </c>
      <c r="K322" s="8"/>
    </row>
    <row r="323" spans="1:11">
      <c r="A323" s="9">
        <v>45502</v>
      </c>
      <c r="B323" s="8" t="s">
        <v>2734</v>
      </c>
      <c r="C323" s="13">
        <v>7</v>
      </c>
      <c r="D323" s="8" t="s">
        <v>2654</v>
      </c>
      <c r="E323" s="8" t="s">
        <v>492</v>
      </c>
      <c r="F323" s="8" t="s">
        <v>1064</v>
      </c>
      <c r="G323" s="13">
        <v>0.99</v>
      </c>
      <c r="H323" s="13">
        <v>6.23</v>
      </c>
      <c r="I323" s="13" t="s">
        <v>1744</v>
      </c>
      <c r="J323" s="13">
        <v>2.09</v>
      </c>
      <c r="K323" s="8" t="s">
        <v>129</v>
      </c>
    </row>
    <row r="324" spans="1:11">
      <c r="A324" s="14"/>
      <c r="B324" s="8"/>
      <c r="C324" s="8"/>
      <c r="D324" s="8"/>
      <c r="E324" s="8"/>
      <c r="F324" s="8" t="s">
        <v>1060</v>
      </c>
      <c r="G324" s="13">
        <v>1.16</v>
      </c>
      <c r="H324" s="13">
        <v>0.35</v>
      </c>
      <c r="I324" s="13" t="s">
        <v>1745</v>
      </c>
      <c r="J324" s="13">
        <v>2.17</v>
      </c>
      <c r="K324" s="8"/>
    </row>
    <row r="325" spans="1:11">
      <c r="A325" s="14"/>
      <c r="B325" s="8"/>
      <c r="C325" s="8"/>
      <c r="D325" s="8"/>
      <c r="E325" s="8"/>
      <c r="F325" s="8" t="s">
        <v>503</v>
      </c>
      <c r="G325" s="13">
        <v>1.72</v>
      </c>
      <c r="H325" s="13">
        <v>0.42</v>
      </c>
      <c r="I325" s="8" t="s">
        <v>24</v>
      </c>
      <c r="J325" s="8" t="s">
        <v>24</v>
      </c>
      <c r="K325" s="8"/>
    </row>
    <row r="326" spans="1:11">
      <c r="A326" s="9">
        <v>45518</v>
      </c>
      <c r="B326" s="8" t="s">
        <v>2735</v>
      </c>
      <c r="C326" s="13">
        <v>10</v>
      </c>
      <c r="D326" s="8" t="s">
        <v>911</v>
      </c>
      <c r="E326" s="8" t="s">
        <v>536</v>
      </c>
      <c r="F326" s="8" t="s">
        <v>1064</v>
      </c>
      <c r="G326" s="13">
        <v>2</v>
      </c>
      <c r="H326" s="13">
        <v>8.7</v>
      </c>
      <c r="I326" s="13" t="s">
        <v>1744</v>
      </c>
      <c r="J326" s="13">
        <v>2.03</v>
      </c>
      <c r="K326" s="8" t="s">
        <v>35</v>
      </c>
    </row>
    <row r="327" spans="1:11">
      <c r="A327" s="14"/>
      <c r="B327" s="8"/>
      <c r="C327" s="8"/>
      <c r="D327" s="8"/>
      <c r="E327" s="8"/>
      <c r="F327" s="8" t="s">
        <v>1060</v>
      </c>
      <c r="G327" s="13">
        <v>2</v>
      </c>
      <c r="H327" s="13">
        <v>0.3</v>
      </c>
      <c r="I327" s="13" t="s">
        <v>1745</v>
      </c>
      <c r="J327" s="13">
        <v>2.1</v>
      </c>
      <c r="K327" s="8"/>
    </row>
    <row r="328" spans="1:11">
      <c r="A328" s="14"/>
      <c r="B328" s="8"/>
      <c r="C328" s="8"/>
      <c r="D328" s="8"/>
      <c r="E328" s="8"/>
      <c r="F328" s="8" t="s">
        <v>509</v>
      </c>
      <c r="G328" s="13">
        <v>2</v>
      </c>
      <c r="H328" s="13">
        <v>0.5</v>
      </c>
      <c r="I328" s="13" t="s">
        <v>2635</v>
      </c>
      <c r="J328" s="13">
        <v>3.9</v>
      </c>
      <c r="K328" s="8"/>
    </row>
    <row r="329" spans="1:11">
      <c r="A329" s="14"/>
      <c r="B329" s="8"/>
      <c r="C329" s="8"/>
      <c r="D329" s="8"/>
      <c r="E329" s="8"/>
      <c r="F329" s="8" t="s">
        <v>503</v>
      </c>
      <c r="G329" s="13">
        <v>2</v>
      </c>
      <c r="H329" s="13">
        <v>0.5</v>
      </c>
      <c r="I329" s="8" t="s">
        <v>24</v>
      </c>
      <c r="J329" s="8" t="s">
        <v>24</v>
      </c>
      <c r="K329" s="8"/>
    </row>
    <row r="330" spans="1:11">
      <c r="A330" s="9">
        <v>45517</v>
      </c>
      <c r="B330" s="8" t="s">
        <v>2736</v>
      </c>
      <c r="C330" s="13">
        <v>10</v>
      </c>
      <c r="D330" s="8" t="s">
        <v>536</v>
      </c>
      <c r="E330" s="8" t="s">
        <v>481</v>
      </c>
      <c r="F330" s="8" t="s">
        <v>531</v>
      </c>
      <c r="G330" s="13">
        <v>1</v>
      </c>
      <c r="H330" s="13">
        <v>8.9</v>
      </c>
      <c r="I330" s="13" t="s">
        <v>1744</v>
      </c>
      <c r="J330" s="13">
        <v>1.98</v>
      </c>
      <c r="K330" s="8" t="s">
        <v>129</v>
      </c>
    </row>
    <row r="331" spans="1:11">
      <c r="A331" s="14"/>
      <c r="B331" s="8"/>
      <c r="C331" s="8"/>
      <c r="D331" s="8"/>
      <c r="E331" s="8"/>
      <c r="F331" s="8" t="s">
        <v>539</v>
      </c>
      <c r="G331" s="13">
        <v>1.17</v>
      </c>
      <c r="H331" s="13">
        <v>0.5</v>
      </c>
      <c r="I331" s="13" t="s">
        <v>1745</v>
      </c>
      <c r="J331" s="13">
        <v>2.14</v>
      </c>
      <c r="K331" s="8"/>
    </row>
    <row r="332" spans="1:11">
      <c r="A332" s="14"/>
      <c r="B332" s="8"/>
      <c r="C332" s="8"/>
      <c r="D332" s="8"/>
      <c r="E332" s="8"/>
      <c r="F332" s="8" t="s">
        <v>503</v>
      </c>
      <c r="G332" s="13">
        <v>1.75</v>
      </c>
      <c r="H332" s="13">
        <v>0.6</v>
      </c>
      <c r="I332" s="8" t="s">
        <v>24</v>
      </c>
      <c r="J332" s="8" t="s">
        <v>24</v>
      </c>
      <c r="K332" s="8"/>
    </row>
    <row r="333" spans="1:11">
      <c r="A333" s="9">
        <v>45519</v>
      </c>
      <c r="B333" s="8" t="s">
        <v>2737</v>
      </c>
      <c r="C333" s="13">
        <v>20</v>
      </c>
      <c r="D333" s="8" t="s">
        <v>521</v>
      </c>
      <c r="E333" s="8" t="s">
        <v>492</v>
      </c>
      <c r="F333" s="8" t="s">
        <v>1058</v>
      </c>
      <c r="G333" s="13">
        <v>1.03</v>
      </c>
      <c r="H333" s="13">
        <v>6</v>
      </c>
      <c r="I333" s="13" t="s">
        <v>1744</v>
      </c>
      <c r="J333" s="13">
        <v>1.95</v>
      </c>
      <c r="K333" s="8" t="s">
        <v>86</v>
      </c>
    </row>
    <row r="334" spans="1:11">
      <c r="A334" s="14"/>
      <c r="B334" s="8"/>
      <c r="C334" s="8"/>
      <c r="D334" s="8"/>
      <c r="E334" s="8"/>
      <c r="F334" s="8" t="s">
        <v>1059</v>
      </c>
      <c r="G334" s="13">
        <v>1.03</v>
      </c>
      <c r="H334" s="13">
        <v>11.6</v>
      </c>
      <c r="I334" s="13" t="s">
        <v>1744</v>
      </c>
      <c r="J334" s="13">
        <v>1.95</v>
      </c>
      <c r="K334" s="8"/>
    </row>
    <row r="335" spans="1:11">
      <c r="A335" s="14"/>
      <c r="B335" s="8"/>
      <c r="C335" s="8"/>
      <c r="D335" s="8"/>
      <c r="E335" s="8"/>
      <c r="F335" s="8" t="s">
        <v>1060</v>
      </c>
      <c r="G335" s="13">
        <v>1.03</v>
      </c>
      <c r="H335" s="13">
        <v>1.2</v>
      </c>
      <c r="I335" s="13" t="s">
        <v>1745</v>
      </c>
      <c r="J335" s="13">
        <v>2.03</v>
      </c>
      <c r="K335" s="8"/>
    </row>
    <row r="336" spans="1:11">
      <c r="A336" s="14"/>
      <c r="B336" s="8"/>
      <c r="C336" s="8"/>
      <c r="D336" s="8"/>
      <c r="E336" s="8"/>
      <c r="F336" s="8" t="s">
        <v>503</v>
      </c>
      <c r="G336" s="13">
        <v>3.19</v>
      </c>
      <c r="H336" s="13">
        <v>1.2</v>
      </c>
      <c r="I336" s="8" t="s">
        <v>24</v>
      </c>
      <c r="J336" s="8" t="s">
        <v>24</v>
      </c>
      <c r="K336" s="8"/>
    </row>
    <row r="337" spans="1:11">
      <c r="A337" s="9">
        <v>45516</v>
      </c>
      <c r="B337" s="8" t="s">
        <v>2738</v>
      </c>
      <c r="C337" s="13">
        <v>8</v>
      </c>
      <c r="D337" s="8" t="s">
        <v>2654</v>
      </c>
      <c r="E337" s="8" t="s">
        <v>536</v>
      </c>
      <c r="F337" s="8" t="s">
        <v>531</v>
      </c>
      <c r="G337" s="13">
        <v>1</v>
      </c>
      <c r="H337" s="13">
        <v>7.12</v>
      </c>
      <c r="I337" s="13" t="s">
        <v>1744</v>
      </c>
      <c r="J337" s="13">
        <v>2</v>
      </c>
      <c r="K337" s="8" t="s">
        <v>129</v>
      </c>
    </row>
    <row r="338" spans="1:11">
      <c r="A338" s="14"/>
      <c r="B338" s="8"/>
      <c r="C338" s="8"/>
      <c r="D338" s="8"/>
      <c r="E338" s="8"/>
      <c r="F338" s="8" t="s">
        <v>539</v>
      </c>
      <c r="G338" s="13">
        <v>1.17</v>
      </c>
      <c r="H338" s="13">
        <v>0.4</v>
      </c>
      <c r="I338" s="13" t="s">
        <v>1745</v>
      </c>
      <c r="J338" s="13">
        <v>2.14</v>
      </c>
      <c r="K338" s="8"/>
    </row>
    <row r="339" spans="1:11">
      <c r="A339" s="14"/>
      <c r="B339" s="8"/>
      <c r="C339" s="8"/>
      <c r="D339" s="8"/>
      <c r="E339" s="8"/>
      <c r="F339" s="8" t="s">
        <v>503</v>
      </c>
      <c r="G339" s="13">
        <v>1.75</v>
      </c>
      <c r="H339" s="13">
        <v>0.48</v>
      </c>
      <c r="I339" s="8" t="s">
        <v>24</v>
      </c>
      <c r="J339" s="8" t="s">
        <v>24</v>
      </c>
      <c r="K339" s="8"/>
    </row>
    <row r="340" spans="1:11">
      <c r="A340" s="9">
        <v>45517</v>
      </c>
      <c r="B340" s="8" t="s">
        <v>2739</v>
      </c>
      <c r="C340" s="13">
        <v>10</v>
      </c>
      <c r="D340" s="8" t="s">
        <v>911</v>
      </c>
      <c r="E340" s="8" t="s">
        <v>536</v>
      </c>
      <c r="F340" s="8" t="s">
        <v>1064</v>
      </c>
      <c r="G340" s="13">
        <v>2</v>
      </c>
      <c r="H340" s="13">
        <v>8.7</v>
      </c>
      <c r="I340" s="13" t="s">
        <v>1744</v>
      </c>
      <c r="J340" s="13">
        <v>2.05</v>
      </c>
      <c r="K340" s="8" t="s">
        <v>35</v>
      </c>
    </row>
    <row r="341" spans="1:11">
      <c r="A341" s="14"/>
      <c r="B341" s="8"/>
      <c r="C341" s="8"/>
      <c r="D341" s="8"/>
      <c r="E341" s="8"/>
      <c r="F341" s="8" t="s">
        <v>1060</v>
      </c>
      <c r="G341" s="13">
        <v>2</v>
      </c>
      <c r="H341" s="13">
        <v>0.3</v>
      </c>
      <c r="I341" s="13" t="s">
        <v>1745</v>
      </c>
      <c r="J341" s="13">
        <v>2.14</v>
      </c>
      <c r="K341" s="8"/>
    </row>
    <row r="342" spans="1:11">
      <c r="A342" s="14"/>
      <c r="B342" s="8"/>
      <c r="C342" s="8"/>
      <c r="D342" s="8"/>
      <c r="E342" s="8"/>
      <c r="F342" s="8" t="s">
        <v>509</v>
      </c>
      <c r="G342" s="13">
        <v>2</v>
      </c>
      <c r="H342" s="13">
        <v>0.5</v>
      </c>
      <c r="I342" s="13" t="s">
        <v>2635</v>
      </c>
      <c r="J342" s="13">
        <v>3.9</v>
      </c>
      <c r="K342" s="8"/>
    </row>
    <row r="343" spans="1:11">
      <c r="A343" s="14"/>
      <c r="B343" s="8"/>
      <c r="C343" s="8"/>
      <c r="D343" s="8"/>
      <c r="E343" s="8"/>
      <c r="F343" s="8" t="s">
        <v>503</v>
      </c>
      <c r="G343" s="13">
        <v>2</v>
      </c>
      <c r="H343" s="13">
        <v>0.5</v>
      </c>
      <c r="I343" s="8" t="s">
        <v>24</v>
      </c>
      <c r="J343" s="8" t="s">
        <v>24</v>
      </c>
      <c r="K343" s="8"/>
    </row>
    <row r="344" spans="1:11">
      <c r="A344" s="9">
        <v>45513</v>
      </c>
      <c r="B344" s="8" t="s">
        <v>2740</v>
      </c>
      <c r="C344" s="13">
        <v>8</v>
      </c>
      <c r="D344" s="8" t="s">
        <v>2654</v>
      </c>
      <c r="E344" s="8" t="s">
        <v>492</v>
      </c>
      <c r="F344" s="8" t="s">
        <v>531</v>
      </c>
      <c r="G344" s="13">
        <v>1.01</v>
      </c>
      <c r="H344" s="13">
        <v>7.12</v>
      </c>
      <c r="I344" s="13" t="s">
        <v>1744</v>
      </c>
      <c r="J344" s="13">
        <v>2.02</v>
      </c>
      <c r="K344" s="8" t="s">
        <v>129</v>
      </c>
    </row>
    <row r="345" spans="1:11">
      <c r="A345" s="14"/>
      <c r="B345" s="8"/>
      <c r="C345" s="8"/>
      <c r="D345" s="8"/>
      <c r="E345" s="8"/>
      <c r="F345" s="8" t="s">
        <v>539</v>
      </c>
      <c r="G345" s="13">
        <v>1.17</v>
      </c>
      <c r="H345" s="13">
        <v>0.4</v>
      </c>
      <c r="I345" s="13" t="s">
        <v>1745</v>
      </c>
      <c r="J345" s="13">
        <v>2.15</v>
      </c>
      <c r="K345" s="8"/>
    </row>
    <row r="346" spans="1:11">
      <c r="A346" s="14"/>
      <c r="B346" s="8"/>
      <c r="C346" s="8"/>
      <c r="D346" s="8"/>
      <c r="E346" s="8"/>
      <c r="F346" s="8" t="s">
        <v>539</v>
      </c>
      <c r="G346" s="13">
        <v>1.75</v>
      </c>
      <c r="H346" s="13">
        <v>0.48</v>
      </c>
      <c r="I346" s="8" t="s">
        <v>24</v>
      </c>
      <c r="J346" s="8" t="s">
        <v>24</v>
      </c>
      <c r="K346" s="8"/>
    </row>
    <row r="347" spans="1:11">
      <c r="A347" s="9">
        <v>45512</v>
      </c>
      <c r="B347" s="8" t="s">
        <v>2741</v>
      </c>
      <c r="C347" s="13">
        <v>5</v>
      </c>
      <c r="D347" s="8" t="s">
        <v>486</v>
      </c>
      <c r="E347" s="8" t="s">
        <v>486</v>
      </c>
      <c r="F347" s="8" t="s">
        <v>1064</v>
      </c>
      <c r="G347" s="13">
        <v>1.04</v>
      </c>
      <c r="H347" s="13">
        <v>4.4</v>
      </c>
      <c r="I347" s="13" t="s">
        <v>1744</v>
      </c>
      <c r="J347" s="13">
        <v>1.95</v>
      </c>
      <c r="K347" s="8" t="s">
        <v>86</v>
      </c>
    </row>
    <row r="348" spans="1:11">
      <c r="A348" s="14"/>
      <c r="B348" s="8"/>
      <c r="C348" s="8"/>
      <c r="D348" s="8"/>
      <c r="E348" s="8"/>
      <c r="F348" s="8" t="s">
        <v>1060</v>
      </c>
      <c r="G348" s="13">
        <v>1.04</v>
      </c>
      <c r="H348" s="13">
        <v>0.3</v>
      </c>
      <c r="I348" s="13" t="s">
        <v>1745</v>
      </c>
      <c r="J348" s="13">
        <v>2</v>
      </c>
      <c r="K348" s="8"/>
    </row>
    <row r="349" spans="1:11">
      <c r="A349" s="14"/>
      <c r="B349" s="8"/>
      <c r="C349" s="8"/>
      <c r="D349" s="8"/>
      <c r="E349" s="8"/>
      <c r="F349" s="8" t="s">
        <v>503</v>
      </c>
      <c r="G349" s="13">
        <v>4.05</v>
      </c>
      <c r="H349" s="13">
        <v>0.3</v>
      </c>
      <c r="I349" s="8" t="s">
        <v>24</v>
      </c>
      <c r="J349" s="8" t="s">
        <v>24</v>
      </c>
      <c r="K349" s="8"/>
    </row>
    <row r="350" spans="1:11">
      <c r="A350" s="9">
        <v>45527</v>
      </c>
      <c r="B350" s="8" t="s">
        <v>2742</v>
      </c>
      <c r="C350" s="13">
        <v>20</v>
      </c>
      <c r="D350" s="8" t="s">
        <v>521</v>
      </c>
      <c r="E350" s="8" t="s">
        <v>492</v>
      </c>
      <c r="F350" s="8" t="s">
        <v>1058</v>
      </c>
      <c r="G350" s="13">
        <v>0.98</v>
      </c>
      <c r="H350" s="13">
        <v>6</v>
      </c>
      <c r="I350" s="13" t="s">
        <v>1744</v>
      </c>
      <c r="J350" s="13">
        <v>1.98</v>
      </c>
      <c r="K350" s="8" t="s">
        <v>86</v>
      </c>
    </row>
    <row r="351" spans="1:11">
      <c r="A351" s="14"/>
      <c r="B351" s="8"/>
      <c r="C351" s="8"/>
      <c r="D351" s="8"/>
      <c r="E351" s="8"/>
      <c r="F351" s="8" t="s">
        <v>1059</v>
      </c>
      <c r="G351" s="13">
        <v>0.98</v>
      </c>
      <c r="H351" s="13">
        <v>11.6</v>
      </c>
      <c r="I351" s="13" t="s">
        <v>1744</v>
      </c>
      <c r="J351" s="13">
        <v>2</v>
      </c>
      <c r="K351" s="8"/>
    </row>
    <row r="352" spans="1:11">
      <c r="A352" s="14"/>
      <c r="B352" s="8"/>
      <c r="C352" s="8"/>
      <c r="D352" s="8"/>
      <c r="E352" s="8"/>
      <c r="F352" s="8" t="s">
        <v>1060</v>
      </c>
      <c r="G352" s="13">
        <v>0.98</v>
      </c>
      <c r="H352" s="13">
        <v>1.2</v>
      </c>
      <c r="I352" s="13" t="s">
        <v>1745</v>
      </c>
      <c r="J352" s="13">
        <v>2.05</v>
      </c>
      <c r="K352" s="8"/>
    </row>
    <row r="353" spans="1:11">
      <c r="A353" s="14"/>
      <c r="B353" s="8"/>
      <c r="C353" s="8"/>
      <c r="D353" s="8"/>
      <c r="E353" s="8"/>
      <c r="F353" s="8" t="s">
        <v>503</v>
      </c>
      <c r="G353" s="13">
        <v>3.15</v>
      </c>
      <c r="H353" s="13">
        <v>1.2</v>
      </c>
      <c r="I353" s="8" t="s">
        <v>24</v>
      </c>
      <c r="J353" s="8" t="s">
        <v>24</v>
      </c>
      <c r="K353" s="8"/>
    </row>
    <row r="354" spans="1:11">
      <c r="A354" s="9">
        <v>45526</v>
      </c>
      <c r="B354" s="8" t="s">
        <v>2743</v>
      </c>
      <c r="C354" s="13">
        <v>5</v>
      </c>
      <c r="D354" s="8" t="s">
        <v>1109</v>
      </c>
      <c r="E354" s="8" t="s">
        <v>486</v>
      </c>
      <c r="F354" s="8" t="s">
        <v>1064</v>
      </c>
      <c r="G354" s="13">
        <v>1.94</v>
      </c>
      <c r="H354" s="13">
        <v>4.313</v>
      </c>
      <c r="I354" s="13" t="s">
        <v>1744</v>
      </c>
      <c r="J354" s="13">
        <v>2.1</v>
      </c>
      <c r="K354" s="8" t="s">
        <v>27</v>
      </c>
    </row>
    <row r="355" spans="1:11">
      <c r="A355" s="14"/>
      <c r="B355" s="8"/>
      <c r="C355" s="8"/>
      <c r="D355" s="8"/>
      <c r="E355" s="8"/>
      <c r="F355" s="8" t="s">
        <v>1060</v>
      </c>
      <c r="G355" s="13">
        <v>1.94</v>
      </c>
      <c r="H355" s="13">
        <v>0.212</v>
      </c>
      <c r="I355" s="13" t="s">
        <v>1745</v>
      </c>
      <c r="J355" s="13">
        <v>2.25</v>
      </c>
      <c r="K355" s="8"/>
    </row>
    <row r="356" spans="1:11">
      <c r="A356" s="14"/>
      <c r="B356" s="8"/>
      <c r="C356" s="8"/>
      <c r="D356" s="8"/>
      <c r="E356" s="8"/>
      <c r="F356" s="8" t="s">
        <v>503</v>
      </c>
      <c r="G356" s="13">
        <v>2.19</v>
      </c>
      <c r="H356" s="13">
        <v>0.475</v>
      </c>
      <c r="I356" s="8" t="s">
        <v>24</v>
      </c>
      <c r="J356" s="8" t="s">
        <v>24</v>
      </c>
      <c r="K356" s="8"/>
    </row>
    <row r="357" spans="1:11">
      <c r="A357" s="9">
        <v>45524</v>
      </c>
      <c r="B357" s="8" t="s">
        <v>2744</v>
      </c>
      <c r="C357" s="13">
        <v>14.99</v>
      </c>
      <c r="D357" s="8" t="s">
        <v>477</v>
      </c>
      <c r="E357" s="8" t="s">
        <v>477</v>
      </c>
      <c r="F357" s="8" t="s">
        <v>1064</v>
      </c>
      <c r="G357" s="13">
        <v>1.48</v>
      </c>
      <c r="H357" s="13">
        <v>12.3</v>
      </c>
      <c r="I357" s="13" t="s">
        <v>1744</v>
      </c>
      <c r="J357" s="13">
        <v>2.14</v>
      </c>
      <c r="K357" s="8" t="s">
        <v>35</v>
      </c>
    </row>
    <row r="358" spans="1:11">
      <c r="A358" s="14"/>
      <c r="B358" s="8"/>
      <c r="C358" s="8"/>
      <c r="D358" s="8"/>
      <c r="E358" s="8"/>
      <c r="F358" s="8" t="s">
        <v>1060</v>
      </c>
      <c r="G358" s="13">
        <v>1.48</v>
      </c>
      <c r="H358" s="13">
        <v>0.6</v>
      </c>
      <c r="I358" s="13" t="s">
        <v>1745</v>
      </c>
      <c r="J358" s="13">
        <v>2.23</v>
      </c>
      <c r="K358" s="8"/>
    </row>
    <row r="359" spans="1:11">
      <c r="A359" s="14"/>
      <c r="B359" s="8"/>
      <c r="C359" s="8"/>
      <c r="D359" s="8"/>
      <c r="E359" s="8"/>
      <c r="F359" s="8" t="s">
        <v>509</v>
      </c>
      <c r="G359" s="13">
        <v>1.99</v>
      </c>
      <c r="H359" s="13">
        <v>0.82</v>
      </c>
      <c r="I359" s="13" t="s">
        <v>2673</v>
      </c>
      <c r="J359" s="13">
        <v>4.1</v>
      </c>
      <c r="K359" s="8"/>
    </row>
    <row r="360" spans="1:11">
      <c r="A360" s="14"/>
      <c r="B360" s="8"/>
      <c r="C360" s="8"/>
      <c r="D360" s="8"/>
      <c r="E360" s="8"/>
      <c r="F360" s="8" t="s">
        <v>503</v>
      </c>
      <c r="G360" s="13">
        <v>1.99</v>
      </c>
      <c r="H360" s="13">
        <v>1.27</v>
      </c>
      <c r="I360" s="8" t="s">
        <v>24</v>
      </c>
      <c r="J360" s="8" t="s">
        <v>24</v>
      </c>
      <c r="K360" s="8"/>
    </row>
    <row r="361" spans="1:11">
      <c r="A361" s="9">
        <v>45525</v>
      </c>
      <c r="B361" s="8" t="s">
        <v>2745</v>
      </c>
      <c r="C361" s="13">
        <v>8</v>
      </c>
      <c r="D361" s="8" t="s">
        <v>2654</v>
      </c>
      <c r="E361" s="8" t="s">
        <v>536</v>
      </c>
      <c r="F361" s="8" t="s">
        <v>531</v>
      </c>
      <c r="G361" s="13">
        <v>0.99</v>
      </c>
      <c r="H361" s="13">
        <v>7.12</v>
      </c>
      <c r="I361" s="13" t="s">
        <v>1744</v>
      </c>
      <c r="J361" s="13">
        <v>2.04</v>
      </c>
      <c r="K361" s="8" t="s">
        <v>129</v>
      </c>
    </row>
    <row r="362" spans="1:11">
      <c r="A362" s="14"/>
      <c r="B362" s="8"/>
      <c r="C362" s="8"/>
      <c r="D362" s="8"/>
      <c r="E362" s="8"/>
      <c r="F362" s="8" t="s">
        <v>539</v>
      </c>
      <c r="G362" s="13">
        <v>1.16</v>
      </c>
      <c r="H362" s="13">
        <v>0.4</v>
      </c>
      <c r="I362" s="13" t="s">
        <v>1745</v>
      </c>
      <c r="J362" s="13">
        <v>2.17</v>
      </c>
      <c r="K362" s="8"/>
    </row>
    <row r="363" spans="1:11">
      <c r="A363" s="14"/>
      <c r="B363" s="8"/>
      <c r="C363" s="8"/>
      <c r="D363" s="8"/>
      <c r="E363" s="8"/>
      <c r="F363" s="8" t="s">
        <v>503</v>
      </c>
      <c r="G363" s="13">
        <v>1.74</v>
      </c>
      <c r="H363" s="13">
        <v>0.48</v>
      </c>
      <c r="I363" s="8" t="s">
        <v>24</v>
      </c>
      <c r="J363" s="8" t="s">
        <v>24</v>
      </c>
      <c r="K363" s="8"/>
    </row>
    <row r="364" spans="1:11">
      <c r="A364" s="9">
        <v>45526</v>
      </c>
      <c r="B364" s="8" t="s">
        <v>2746</v>
      </c>
      <c r="C364" s="13">
        <v>10</v>
      </c>
      <c r="D364" s="8" t="s">
        <v>536</v>
      </c>
      <c r="E364" s="8" t="s">
        <v>492</v>
      </c>
      <c r="F364" s="8" t="s">
        <v>531</v>
      </c>
      <c r="G364" s="13">
        <v>1.91</v>
      </c>
      <c r="H364" s="13">
        <v>8.9</v>
      </c>
      <c r="I364" s="13" t="s">
        <v>1744</v>
      </c>
      <c r="J364" s="13">
        <v>2.14</v>
      </c>
      <c r="K364" s="8" t="s">
        <v>129</v>
      </c>
    </row>
    <row r="365" spans="1:11">
      <c r="A365" s="14"/>
      <c r="B365" s="8"/>
      <c r="C365" s="8"/>
      <c r="D365" s="8"/>
      <c r="E365" s="8"/>
      <c r="F365" s="8" t="s">
        <v>539</v>
      </c>
      <c r="G365" s="13">
        <v>1.99</v>
      </c>
      <c r="H365" s="13">
        <v>0.4</v>
      </c>
      <c r="I365" s="13" t="s">
        <v>1745</v>
      </c>
      <c r="J365" s="13">
        <v>2.33</v>
      </c>
      <c r="K365" s="8"/>
    </row>
    <row r="366" spans="1:11">
      <c r="A366" s="14"/>
      <c r="B366" s="8"/>
      <c r="C366" s="8"/>
      <c r="D366" s="8"/>
      <c r="E366" s="8"/>
      <c r="F366" s="8" t="s">
        <v>503</v>
      </c>
      <c r="G366" s="13">
        <v>2.66</v>
      </c>
      <c r="H366" s="13">
        <v>0.7</v>
      </c>
      <c r="I366" s="8" t="s">
        <v>24</v>
      </c>
      <c r="J366" s="8" t="s">
        <v>24</v>
      </c>
      <c r="K366" s="8"/>
    </row>
    <row r="367" spans="1:11">
      <c r="A367" s="9">
        <v>45520</v>
      </c>
      <c r="B367" s="8" t="s">
        <v>2747</v>
      </c>
      <c r="C367" s="13">
        <v>10</v>
      </c>
      <c r="D367" s="8" t="s">
        <v>536</v>
      </c>
      <c r="E367" s="8" t="s">
        <v>492</v>
      </c>
      <c r="F367" s="8" t="s">
        <v>531</v>
      </c>
      <c r="G367" s="13">
        <v>1.01</v>
      </c>
      <c r="H367" s="13">
        <v>8.9</v>
      </c>
      <c r="I367" s="13" t="s">
        <v>1744</v>
      </c>
      <c r="J367" s="13">
        <v>2.05</v>
      </c>
      <c r="K367" s="8" t="s">
        <v>129</v>
      </c>
    </row>
    <row r="368" spans="1:11">
      <c r="A368" s="14"/>
      <c r="B368" s="8"/>
      <c r="C368" s="8"/>
      <c r="D368" s="8"/>
      <c r="E368" s="8"/>
      <c r="F368" s="8" t="s">
        <v>539</v>
      </c>
      <c r="G368" s="13">
        <v>1.17</v>
      </c>
      <c r="H368" s="13">
        <v>0.5</v>
      </c>
      <c r="I368" s="13" t="s">
        <v>1745</v>
      </c>
      <c r="J368" s="13">
        <v>2.19</v>
      </c>
      <c r="K368" s="8"/>
    </row>
    <row r="369" spans="1:11">
      <c r="A369" s="14"/>
      <c r="B369" s="8"/>
      <c r="C369" s="8"/>
      <c r="D369" s="8"/>
      <c r="E369" s="8"/>
      <c r="F369" s="8" t="s">
        <v>503</v>
      </c>
      <c r="G369" s="13">
        <v>1.75</v>
      </c>
      <c r="H369" s="13">
        <v>0.6</v>
      </c>
      <c r="I369" s="8" t="s">
        <v>24</v>
      </c>
      <c r="J369" s="8" t="s">
        <v>24</v>
      </c>
      <c r="K369" s="8"/>
    </row>
    <row r="370" spans="1:11">
      <c r="A370" s="9">
        <v>45520</v>
      </c>
      <c r="B370" s="8" t="s">
        <v>2748</v>
      </c>
      <c r="C370" s="13">
        <v>10</v>
      </c>
      <c r="D370" s="8" t="s">
        <v>477</v>
      </c>
      <c r="E370" s="8" t="s">
        <v>536</v>
      </c>
      <c r="F370" s="8" t="s">
        <v>1064</v>
      </c>
      <c r="G370" s="13">
        <v>1.99</v>
      </c>
      <c r="H370" s="13">
        <v>8.7</v>
      </c>
      <c r="I370" s="13" t="s">
        <v>1744</v>
      </c>
      <c r="J370" s="13">
        <v>2.15</v>
      </c>
      <c r="K370" s="8" t="s">
        <v>35</v>
      </c>
    </row>
    <row r="371" spans="1:11">
      <c r="A371" s="14"/>
      <c r="B371" s="8"/>
      <c r="C371" s="8"/>
      <c r="D371" s="8"/>
      <c r="E371" s="8"/>
      <c r="F371" s="8" t="s">
        <v>1060</v>
      </c>
      <c r="G371" s="13">
        <v>2.08</v>
      </c>
      <c r="H371" s="13">
        <v>0.4</v>
      </c>
      <c r="I371" s="13" t="s">
        <v>1745</v>
      </c>
      <c r="J371" s="13">
        <v>2.25</v>
      </c>
      <c r="K371" s="8"/>
    </row>
    <row r="372" spans="1:11">
      <c r="A372" s="14"/>
      <c r="B372" s="8"/>
      <c r="C372" s="8"/>
      <c r="D372" s="8"/>
      <c r="E372" s="8"/>
      <c r="F372" s="8" t="s">
        <v>503</v>
      </c>
      <c r="G372" s="13">
        <v>2.66</v>
      </c>
      <c r="H372" s="13">
        <v>0.9</v>
      </c>
      <c r="I372" s="8" t="s">
        <v>24</v>
      </c>
      <c r="J372" s="8" t="s">
        <v>24</v>
      </c>
      <c r="K372" s="8"/>
    </row>
    <row r="373" spans="1:11">
      <c r="A373" s="9">
        <v>45519</v>
      </c>
      <c r="B373" s="8" t="s">
        <v>2749</v>
      </c>
      <c r="C373" s="13">
        <v>10</v>
      </c>
      <c r="D373" s="8" t="s">
        <v>486</v>
      </c>
      <c r="E373" s="8" t="s">
        <v>486</v>
      </c>
      <c r="F373" s="8" t="s">
        <v>1064</v>
      </c>
      <c r="G373" s="13">
        <v>1.92</v>
      </c>
      <c r="H373" s="13">
        <v>8.4</v>
      </c>
      <c r="I373" s="13" t="s">
        <v>1744</v>
      </c>
      <c r="J373" s="13">
        <v>2.05</v>
      </c>
      <c r="K373" s="8" t="s">
        <v>18</v>
      </c>
    </row>
    <row r="374" spans="1:11">
      <c r="A374" s="14"/>
      <c r="B374" s="8"/>
      <c r="C374" s="8"/>
      <c r="D374" s="8"/>
      <c r="E374" s="8"/>
      <c r="F374" s="8" t="s">
        <v>1060</v>
      </c>
      <c r="G374" s="13">
        <v>2.01</v>
      </c>
      <c r="H374" s="13">
        <v>0.5</v>
      </c>
      <c r="I374" s="13" t="s">
        <v>1745</v>
      </c>
      <c r="J374" s="13">
        <v>2.15</v>
      </c>
      <c r="K374" s="8"/>
    </row>
    <row r="375" spans="1:11">
      <c r="A375" s="14"/>
      <c r="B375" s="8"/>
      <c r="C375" s="8"/>
      <c r="D375" s="8"/>
      <c r="E375" s="8"/>
      <c r="F375" s="8" t="s">
        <v>1061</v>
      </c>
      <c r="G375" s="13">
        <v>2.09</v>
      </c>
      <c r="H375" s="13">
        <v>0.3</v>
      </c>
      <c r="I375" s="13" t="s">
        <v>1746</v>
      </c>
      <c r="J375" s="13">
        <v>2.5</v>
      </c>
      <c r="K375" s="8"/>
    </row>
    <row r="376" spans="1:11">
      <c r="A376" s="14"/>
      <c r="B376" s="8"/>
      <c r="C376" s="8"/>
      <c r="D376" s="8"/>
      <c r="E376" s="8"/>
      <c r="F376" s="8" t="s">
        <v>503</v>
      </c>
      <c r="G376" s="13">
        <v>2.67</v>
      </c>
      <c r="H376" s="13">
        <v>0.8</v>
      </c>
      <c r="I376" s="8" t="s">
        <v>24</v>
      </c>
      <c r="J376" s="8" t="s">
        <v>24</v>
      </c>
      <c r="K376" s="8"/>
    </row>
    <row r="377" spans="1:11">
      <c r="A377" s="9">
        <v>45520</v>
      </c>
      <c r="B377" s="8" t="s">
        <v>2750</v>
      </c>
      <c r="C377" s="13">
        <v>8</v>
      </c>
      <c r="D377" s="8" t="s">
        <v>2654</v>
      </c>
      <c r="E377" s="8" t="s">
        <v>492</v>
      </c>
      <c r="F377" s="8" t="s">
        <v>531</v>
      </c>
      <c r="G377" s="13">
        <v>1.01</v>
      </c>
      <c r="H377" s="13">
        <v>7.12</v>
      </c>
      <c r="I377" s="13" t="s">
        <v>1744</v>
      </c>
      <c r="J377" s="13">
        <v>2.05</v>
      </c>
      <c r="K377" s="8" t="s">
        <v>129</v>
      </c>
    </row>
    <row r="378" spans="1:11">
      <c r="A378" s="14"/>
      <c r="B378" s="8"/>
      <c r="C378" s="8"/>
      <c r="D378" s="8"/>
      <c r="E378" s="8"/>
      <c r="F378" s="8" t="s">
        <v>539</v>
      </c>
      <c r="G378" s="13">
        <v>1.17</v>
      </c>
      <c r="H378" s="13">
        <v>0.4</v>
      </c>
      <c r="I378" s="13" t="s">
        <v>1745</v>
      </c>
      <c r="J378" s="13">
        <v>2.19</v>
      </c>
      <c r="K378" s="8"/>
    </row>
    <row r="379" spans="1:11">
      <c r="A379" s="14"/>
      <c r="B379" s="8"/>
      <c r="C379" s="8"/>
      <c r="D379" s="8"/>
      <c r="E379" s="8"/>
      <c r="F379" s="8" t="s">
        <v>503</v>
      </c>
      <c r="G379" s="13">
        <v>1.75</v>
      </c>
      <c r="H379" s="13">
        <v>0.48</v>
      </c>
      <c r="I379" s="8" t="s">
        <v>24</v>
      </c>
      <c r="J379" s="8" t="s">
        <v>24</v>
      </c>
      <c r="K379" s="8"/>
    </row>
    <row r="380" spans="1:11">
      <c r="A380" s="9">
        <v>45520</v>
      </c>
      <c r="B380" s="8" t="s">
        <v>2751</v>
      </c>
      <c r="C380" s="13">
        <v>7</v>
      </c>
      <c r="D380" s="8" t="s">
        <v>492</v>
      </c>
      <c r="E380" s="8" t="s">
        <v>492</v>
      </c>
      <c r="F380" s="8" t="s">
        <v>1064</v>
      </c>
      <c r="G380" s="13">
        <v>1.02</v>
      </c>
      <c r="H380" s="13">
        <v>6.16</v>
      </c>
      <c r="I380" s="13" t="s">
        <v>1744</v>
      </c>
      <c r="J380" s="13">
        <v>2</v>
      </c>
      <c r="K380" s="8" t="s">
        <v>86</v>
      </c>
    </row>
    <row r="381" spans="1:11">
      <c r="A381" s="14"/>
      <c r="B381" s="8"/>
      <c r="C381" s="8"/>
      <c r="D381" s="8"/>
      <c r="E381" s="8"/>
      <c r="F381" s="8" t="s">
        <v>1060</v>
      </c>
      <c r="G381" s="13">
        <v>1.02</v>
      </c>
      <c r="H381" s="13">
        <v>0.42</v>
      </c>
      <c r="I381" s="13" t="s">
        <v>1745</v>
      </c>
      <c r="J381" s="13">
        <v>2.08</v>
      </c>
      <c r="K381" s="8"/>
    </row>
    <row r="382" spans="1:11">
      <c r="A382" s="14"/>
      <c r="B382" s="8"/>
      <c r="C382" s="8"/>
      <c r="D382" s="8"/>
      <c r="E382" s="8"/>
      <c r="F382" s="8" t="s">
        <v>503</v>
      </c>
      <c r="G382" s="13">
        <v>4.03</v>
      </c>
      <c r="H382" s="13">
        <v>0.42</v>
      </c>
      <c r="I382" s="8" t="s">
        <v>24</v>
      </c>
      <c r="J382" s="8" t="s">
        <v>24</v>
      </c>
      <c r="K382" s="8"/>
    </row>
    <row r="383" spans="1:11">
      <c r="A383" s="9">
        <v>45519</v>
      </c>
      <c r="B383" s="8" t="s">
        <v>2752</v>
      </c>
      <c r="C383" s="13">
        <v>6</v>
      </c>
      <c r="D383" s="8" t="s">
        <v>492</v>
      </c>
      <c r="E383" s="8" t="s">
        <v>492</v>
      </c>
      <c r="F383" s="8" t="s">
        <v>1064</v>
      </c>
      <c r="G383" s="13">
        <v>1.91</v>
      </c>
      <c r="H383" s="13">
        <v>5</v>
      </c>
      <c r="I383" s="13" t="s">
        <v>1744</v>
      </c>
      <c r="J383" s="13">
        <v>2.4</v>
      </c>
      <c r="K383" s="13">
        <v>360</v>
      </c>
    </row>
    <row r="384" spans="1:11">
      <c r="A384" s="14"/>
      <c r="B384" s="8"/>
      <c r="C384" s="8"/>
      <c r="D384" s="8"/>
      <c r="E384" s="8"/>
      <c r="F384" s="8" t="s">
        <v>1060</v>
      </c>
      <c r="G384" s="13">
        <v>1.91</v>
      </c>
      <c r="H384" s="13">
        <v>0.34</v>
      </c>
      <c r="I384" s="13" t="s">
        <v>1745</v>
      </c>
      <c r="J384" s="13">
        <v>2.8</v>
      </c>
      <c r="K384" s="8"/>
    </row>
    <row r="385" spans="1:11">
      <c r="A385" s="14"/>
      <c r="B385" s="8"/>
      <c r="C385" s="8"/>
      <c r="D385" s="8"/>
      <c r="E385" s="8"/>
      <c r="F385" s="8" t="s">
        <v>1061</v>
      </c>
      <c r="G385" s="13">
        <v>1.91</v>
      </c>
      <c r="H385" s="13">
        <v>0.21</v>
      </c>
      <c r="I385" s="13" t="s">
        <v>1746</v>
      </c>
      <c r="J385" s="13">
        <v>5</v>
      </c>
      <c r="K385" s="8"/>
    </row>
    <row r="386" spans="1:11">
      <c r="A386" s="14"/>
      <c r="B386" s="8"/>
      <c r="C386" s="8"/>
      <c r="D386" s="8"/>
      <c r="E386" s="8"/>
      <c r="F386" s="8" t="s">
        <v>503</v>
      </c>
      <c r="G386" s="13">
        <v>1.91</v>
      </c>
      <c r="H386" s="13">
        <v>0.45</v>
      </c>
      <c r="I386" s="8" t="s">
        <v>24</v>
      </c>
      <c r="J386" s="8" t="s">
        <v>24</v>
      </c>
      <c r="K386" s="8"/>
    </row>
    <row r="387" spans="1:11">
      <c r="A387" s="9">
        <v>45519</v>
      </c>
      <c r="B387" s="8" t="s">
        <v>2753</v>
      </c>
      <c r="C387" s="13">
        <v>4</v>
      </c>
      <c r="D387" s="8" t="s">
        <v>486</v>
      </c>
      <c r="E387" s="8" t="s">
        <v>486</v>
      </c>
      <c r="F387" s="8" t="s">
        <v>1064</v>
      </c>
      <c r="G387" s="13">
        <v>1.53</v>
      </c>
      <c r="H387" s="13">
        <v>3.35</v>
      </c>
      <c r="I387" s="13" t="s">
        <v>1744</v>
      </c>
      <c r="J387" s="13">
        <v>2.07</v>
      </c>
      <c r="K387" s="8" t="s">
        <v>27</v>
      </c>
    </row>
    <row r="388" spans="1:11">
      <c r="A388" s="14"/>
      <c r="B388" s="8"/>
      <c r="C388" s="8"/>
      <c r="D388" s="8"/>
      <c r="E388" s="8"/>
      <c r="F388" s="8" t="s">
        <v>1060</v>
      </c>
      <c r="G388" s="13">
        <v>2.03</v>
      </c>
      <c r="H388" s="13">
        <v>0.21</v>
      </c>
      <c r="I388" s="13" t="s">
        <v>1745</v>
      </c>
      <c r="J388" s="13">
        <v>2.25</v>
      </c>
      <c r="K388" s="8"/>
    </row>
    <row r="389" spans="1:11">
      <c r="A389" s="14"/>
      <c r="B389" s="8"/>
      <c r="C389" s="8"/>
      <c r="D389" s="8"/>
      <c r="E389" s="8"/>
      <c r="F389" s="8" t="s">
        <v>1086</v>
      </c>
      <c r="G389" s="13">
        <v>3.03</v>
      </c>
      <c r="H389" s="13">
        <v>0.24</v>
      </c>
      <c r="I389" s="8" t="s">
        <v>24</v>
      </c>
      <c r="J389" s="8" t="s">
        <v>24</v>
      </c>
      <c r="K389" s="8"/>
    </row>
    <row r="390" spans="1:11">
      <c r="A390" s="14"/>
      <c r="B390" s="8"/>
      <c r="C390" s="8"/>
      <c r="D390" s="8"/>
      <c r="E390" s="8"/>
      <c r="F390" s="8" t="s">
        <v>1087</v>
      </c>
      <c r="G390" s="13">
        <v>3.03</v>
      </c>
      <c r="H390" s="13">
        <v>0.2</v>
      </c>
      <c r="I390" s="8" t="s">
        <v>24</v>
      </c>
      <c r="J390" s="8" t="s">
        <v>24</v>
      </c>
      <c r="K390" s="8"/>
    </row>
    <row r="391" spans="1:11">
      <c r="A391" s="9">
        <v>45526</v>
      </c>
      <c r="B391" s="8" t="s">
        <v>2754</v>
      </c>
      <c r="C391" s="13">
        <v>10</v>
      </c>
      <c r="D391" s="8" t="s">
        <v>477</v>
      </c>
      <c r="E391" s="8" t="s">
        <v>536</v>
      </c>
      <c r="F391" s="8" t="s">
        <v>1064</v>
      </c>
      <c r="G391" s="13">
        <v>1.99</v>
      </c>
      <c r="H391" s="13">
        <v>8.7</v>
      </c>
      <c r="I391" s="13" t="s">
        <v>1744</v>
      </c>
      <c r="J391" s="13">
        <v>2.18</v>
      </c>
      <c r="K391" s="8" t="s">
        <v>35</v>
      </c>
    </row>
    <row r="392" spans="1:11">
      <c r="A392" s="14"/>
      <c r="B392" s="8"/>
      <c r="C392" s="8"/>
      <c r="D392" s="8"/>
      <c r="E392" s="8"/>
      <c r="F392" s="8" t="s">
        <v>1060</v>
      </c>
      <c r="G392" s="13">
        <v>1.04</v>
      </c>
      <c r="H392" s="13">
        <v>0.4</v>
      </c>
      <c r="I392" s="13" t="s">
        <v>1745</v>
      </c>
      <c r="J392" s="13">
        <v>2.27</v>
      </c>
      <c r="K392" s="8"/>
    </row>
    <row r="393" spans="1:11">
      <c r="A393" s="14"/>
      <c r="B393" s="8"/>
      <c r="C393" s="8"/>
      <c r="D393" s="8"/>
      <c r="E393" s="8"/>
      <c r="F393" s="8" t="s">
        <v>503</v>
      </c>
      <c r="G393" s="13">
        <v>4.05</v>
      </c>
      <c r="H393" s="13">
        <v>0.9</v>
      </c>
      <c r="I393" s="8" t="s">
        <v>24</v>
      </c>
      <c r="J393" s="8" t="s">
        <v>24</v>
      </c>
      <c r="K393" s="8"/>
    </row>
    <row r="394" spans="1:11">
      <c r="A394" s="9">
        <v>45533</v>
      </c>
      <c r="B394" s="8" t="s">
        <v>2755</v>
      </c>
      <c r="C394" s="13">
        <v>10</v>
      </c>
      <c r="D394" s="8" t="s">
        <v>492</v>
      </c>
      <c r="E394" s="8" t="s">
        <v>477</v>
      </c>
      <c r="F394" s="8" t="s">
        <v>1058</v>
      </c>
      <c r="G394" s="8" t="s">
        <v>2020</v>
      </c>
      <c r="H394" s="13">
        <v>7</v>
      </c>
      <c r="I394" s="13" t="s">
        <v>1744</v>
      </c>
      <c r="J394" s="13">
        <v>2.08</v>
      </c>
      <c r="K394" s="8" t="s">
        <v>74</v>
      </c>
    </row>
    <row r="395" spans="1:11">
      <c r="A395" s="14"/>
      <c r="B395" s="8"/>
      <c r="C395" s="8"/>
      <c r="D395" s="8"/>
      <c r="E395" s="8"/>
      <c r="F395" s="8" t="s">
        <v>1059</v>
      </c>
      <c r="G395" s="8" t="s">
        <v>2020</v>
      </c>
      <c r="H395" s="13">
        <v>2</v>
      </c>
      <c r="I395" s="13" t="s">
        <v>1744</v>
      </c>
      <c r="J395" s="13">
        <v>2.12</v>
      </c>
      <c r="K395" s="8"/>
    </row>
    <row r="396" spans="1:11">
      <c r="A396" s="14"/>
      <c r="B396" s="8"/>
      <c r="C396" s="8"/>
      <c r="D396" s="8"/>
      <c r="E396" s="8"/>
      <c r="F396" s="8" t="s">
        <v>1060</v>
      </c>
      <c r="G396" s="8" t="s">
        <v>2020</v>
      </c>
      <c r="H396" s="13">
        <v>0.3</v>
      </c>
      <c r="I396" s="13" t="s">
        <v>1745</v>
      </c>
      <c r="J396" s="13">
        <v>2.15</v>
      </c>
      <c r="K396" s="8"/>
    </row>
    <row r="397" spans="1:11">
      <c r="A397" s="14"/>
      <c r="B397" s="8"/>
      <c r="C397" s="8"/>
      <c r="D397" s="8"/>
      <c r="E397" s="8"/>
      <c r="F397" s="8" t="s">
        <v>503</v>
      </c>
      <c r="G397" s="8" t="s">
        <v>2020</v>
      </c>
      <c r="H397" s="13">
        <v>0.7</v>
      </c>
      <c r="I397" s="8" t="s">
        <v>24</v>
      </c>
      <c r="J397" s="8" t="s">
        <v>24</v>
      </c>
      <c r="K397" s="8"/>
    </row>
    <row r="398" spans="1:11">
      <c r="A398" s="9">
        <v>45532</v>
      </c>
      <c r="B398" s="8" t="s">
        <v>2756</v>
      </c>
      <c r="C398" s="13">
        <v>10</v>
      </c>
      <c r="D398" s="8" t="s">
        <v>911</v>
      </c>
      <c r="E398" s="8" t="s">
        <v>2568</v>
      </c>
      <c r="F398" s="8" t="s">
        <v>531</v>
      </c>
      <c r="G398" s="8" t="s">
        <v>2020</v>
      </c>
      <c r="H398" s="13">
        <v>9</v>
      </c>
      <c r="I398" s="13" t="s">
        <v>1744</v>
      </c>
      <c r="J398" s="13">
        <v>2.1</v>
      </c>
      <c r="K398" s="8" t="s">
        <v>35</v>
      </c>
    </row>
    <row r="399" spans="1:11">
      <c r="A399" s="14"/>
      <c r="B399" s="8"/>
      <c r="C399" s="8"/>
      <c r="D399" s="8"/>
      <c r="E399" s="8"/>
      <c r="F399" s="8" t="s">
        <v>539</v>
      </c>
      <c r="G399" s="8" t="s">
        <v>2020</v>
      </c>
      <c r="H399" s="13">
        <v>0.45</v>
      </c>
      <c r="I399" s="13" t="s">
        <v>1746</v>
      </c>
      <c r="J399" s="13">
        <v>3.8</v>
      </c>
      <c r="K399" s="8"/>
    </row>
    <row r="400" spans="1:11">
      <c r="A400" s="14"/>
      <c r="B400" s="8"/>
      <c r="C400" s="8"/>
      <c r="D400" s="8"/>
      <c r="E400" s="8"/>
      <c r="F400" s="8" t="s">
        <v>503</v>
      </c>
      <c r="G400" s="8" t="s">
        <v>2020</v>
      </c>
      <c r="H400" s="13">
        <v>0.55</v>
      </c>
      <c r="I400" s="8" t="s">
        <v>24</v>
      </c>
      <c r="J400" s="8" t="s">
        <v>24</v>
      </c>
      <c r="K400" s="8"/>
    </row>
    <row r="401" spans="1:11">
      <c r="A401" s="9">
        <v>45526</v>
      </c>
      <c r="B401" s="8" t="s">
        <v>2757</v>
      </c>
      <c r="C401" s="13">
        <v>5</v>
      </c>
      <c r="D401" s="8" t="s">
        <v>477</v>
      </c>
      <c r="E401" s="8" t="s">
        <v>536</v>
      </c>
      <c r="F401" s="8" t="s">
        <v>1064</v>
      </c>
      <c r="G401" s="13">
        <v>1.91</v>
      </c>
      <c r="H401" s="13">
        <v>4.45</v>
      </c>
      <c r="I401" s="13" t="s">
        <v>1744</v>
      </c>
      <c r="J401" s="13">
        <v>2.13</v>
      </c>
      <c r="K401" s="8" t="s">
        <v>129</v>
      </c>
    </row>
    <row r="402" spans="1:11">
      <c r="A402" s="14"/>
      <c r="B402" s="8"/>
      <c r="C402" s="8"/>
      <c r="D402" s="8"/>
      <c r="E402" s="8"/>
      <c r="F402" s="8" t="s">
        <v>1060</v>
      </c>
      <c r="G402" s="13">
        <v>2</v>
      </c>
      <c r="H402" s="13">
        <v>0.2</v>
      </c>
      <c r="I402" s="13" t="s">
        <v>1745</v>
      </c>
      <c r="J402" s="13">
        <v>2.2</v>
      </c>
      <c r="K402" s="8"/>
    </row>
    <row r="403" spans="1:11">
      <c r="A403" s="14"/>
      <c r="B403" s="8"/>
      <c r="C403" s="8"/>
      <c r="D403" s="8"/>
      <c r="E403" s="8"/>
      <c r="F403" s="8" t="s">
        <v>503</v>
      </c>
      <c r="G403" s="13">
        <v>2.66</v>
      </c>
      <c r="H403" s="13">
        <v>0.35</v>
      </c>
      <c r="I403" s="8" t="s">
        <v>24</v>
      </c>
      <c r="J403" s="8" t="s">
        <v>24</v>
      </c>
      <c r="K403" s="8"/>
    </row>
    <row r="404" spans="1:11">
      <c r="A404" s="9">
        <v>45527</v>
      </c>
      <c r="B404" s="8" t="s">
        <v>2758</v>
      </c>
      <c r="C404" s="13">
        <v>7</v>
      </c>
      <c r="D404" s="8" t="s">
        <v>486</v>
      </c>
      <c r="E404" s="8" t="s">
        <v>486</v>
      </c>
      <c r="F404" s="8" t="s">
        <v>1064</v>
      </c>
      <c r="G404" s="13">
        <v>1.01</v>
      </c>
      <c r="H404" s="13">
        <v>6.16</v>
      </c>
      <c r="I404" s="13" t="s">
        <v>1744</v>
      </c>
      <c r="J404" s="13">
        <v>2</v>
      </c>
      <c r="K404" s="8" t="s">
        <v>86</v>
      </c>
    </row>
    <row r="405" spans="1:11">
      <c r="A405" s="14"/>
      <c r="B405" s="8"/>
      <c r="C405" s="8"/>
      <c r="D405" s="8"/>
      <c r="E405" s="8"/>
      <c r="F405" s="8" t="s">
        <v>1060</v>
      </c>
      <c r="G405" s="13">
        <v>1.01</v>
      </c>
      <c r="H405" s="13">
        <v>0.42</v>
      </c>
      <c r="I405" s="13" t="s">
        <v>1745</v>
      </c>
      <c r="J405" s="13">
        <v>2.05</v>
      </c>
      <c r="K405" s="8"/>
    </row>
    <row r="406" spans="1:11">
      <c r="A406" s="14"/>
      <c r="B406" s="8"/>
      <c r="C406" s="8"/>
      <c r="D406" s="8"/>
      <c r="E406" s="8"/>
      <c r="F406" s="8" t="s">
        <v>503</v>
      </c>
      <c r="G406" s="13">
        <v>4.01</v>
      </c>
      <c r="H406" s="13">
        <v>0.42</v>
      </c>
      <c r="I406" s="8" t="s">
        <v>24</v>
      </c>
      <c r="J406" s="8" t="s">
        <v>24</v>
      </c>
      <c r="K406" s="8"/>
    </row>
    <row r="407" spans="1:11">
      <c r="A407" s="9">
        <v>45527</v>
      </c>
      <c r="B407" s="8" t="s">
        <v>2759</v>
      </c>
      <c r="C407" s="13">
        <v>10</v>
      </c>
      <c r="D407" s="8" t="s">
        <v>911</v>
      </c>
      <c r="E407" s="8" t="s">
        <v>2568</v>
      </c>
      <c r="F407" s="8" t="s">
        <v>1064</v>
      </c>
      <c r="G407" s="13">
        <v>2</v>
      </c>
      <c r="H407" s="13">
        <v>8.7</v>
      </c>
      <c r="I407" s="13" t="s">
        <v>1744</v>
      </c>
      <c r="J407" s="13">
        <v>2.14</v>
      </c>
      <c r="K407" s="8" t="s">
        <v>35</v>
      </c>
    </row>
    <row r="408" spans="1:11">
      <c r="A408" s="14"/>
      <c r="B408" s="8"/>
      <c r="C408" s="8"/>
      <c r="D408" s="8"/>
      <c r="E408" s="8"/>
      <c r="F408" s="8" t="s">
        <v>1060</v>
      </c>
      <c r="G408" s="13">
        <v>2</v>
      </c>
      <c r="H408" s="13">
        <v>0.3</v>
      </c>
      <c r="I408" s="13" t="s">
        <v>1745</v>
      </c>
      <c r="J408" s="13">
        <v>2.2</v>
      </c>
      <c r="K408" s="8"/>
    </row>
    <row r="409" spans="1:11">
      <c r="A409" s="14"/>
      <c r="B409" s="8"/>
      <c r="C409" s="8"/>
      <c r="D409" s="8"/>
      <c r="E409" s="8"/>
      <c r="F409" s="8" t="s">
        <v>509</v>
      </c>
      <c r="G409" s="13">
        <v>2</v>
      </c>
      <c r="H409" s="13">
        <v>0.5</v>
      </c>
      <c r="I409" s="13" t="s">
        <v>2635</v>
      </c>
      <c r="J409" s="13">
        <v>3.9</v>
      </c>
      <c r="K409" s="8"/>
    </row>
    <row r="410" spans="1:11">
      <c r="A410" s="14"/>
      <c r="B410" s="8"/>
      <c r="C410" s="8"/>
      <c r="D410" s="8"/>
      <c r="E410" s="8"/>
      <c r="F410" s="8" t="s">
        <v>503</v>
      </c>
      <c r="G410" s="13">
        <v>2</v>
      </c>
      <c r="H410" s="13">
        <v>0.5</v>
      </c>
      <c r="I410" s="8" t="s">
        <v>24</v>
      </c>
      <c r="J410" s="8" t="s">
        <v>24</v>
      </c>
      <c r="K410" s="8"/>
    </row>
    <row r="411" spans="1:11">
      <c r="A411" s="9">
        <v>45531</v>
      </c>
      <c r="B411" s="8" t="s">
        <v>2760</v>
      </c>
      <c r="C411" s="13">
        <v>10</v>
      </c>
      <c r="D411" s="8" t="s">
        <v>492</v>
      </c>
      <c r="E411" s="8" t="s">
        <v>1754</v>
      </c>
      <c r="F411" s="8" t="s">
        <v>1058</v>
      </c>
      <c r="G411" s="8" t="s">
        <v>2020</v>
      </c>
      <c r="H411" s="13">
        <v>7</v>
      </c>
      <c r="I411" s="13" t="s">
        <v>1744</v>
      </c>
      <c r="J411" s="13">
        <v>2.07</v>
      </c>
      <c r="K411" s="8" t="s">
        <v>74</v>
      </c>
    </row>
    <row r="412" spans="1:11">
      <c r="A412" s="14"/>
      <c r="B412" s="8"/>
      <c r="C412" s="8"/>
      <c r="D412" s="8"/>
      <c r="E412" s="8"/>
      <c r="F412" s="8" t="s">
        <v>1059</v>
      </c>
      <c r="G412" s="8" t="s">
        <v>2020</v>
      </c>
      <c r="H412" s="13">
        <v>2</v>
      </c>
      <c r="I412" s="13" t="s">
        <v>1744</v>
      </c>
      <c r="J412" s="13">
        <v>2.07</v>
      </c>
      <c r="K412" s="8"/>
    </row>
    <row r="413" spans="1:11">
      <c r="A413" s="14"/>
      <c r="B413" s="8"/>
      <c r="C413" s="8"/>
      <c r="D413" s="8"/>
      <c r="E413" s="8"/>
      <c r="F413" s="8" t="s">
        <v>1060</v>
      </c>
      <c r="G413" s="8" t="s">
        <v>2020</v>
      </c>
      <c r="H413" s="13">
        <v>0.3</v>
      </c>
      <c r="I413" s="13" t="s">
        <v>1745</v>
      </c>
      <c r="J413" s="13">
        <v>2.14</v>
      </c>
      <c r="K413" s="8"/>
    </row>
    <row r="414" spans="1:11">
      <c r="A414" s="14"/>
      <c r="B414" s="8"/>
      <c r="C414" s="8"/>
      <c r="D414" s="8"/>
      <c r="E414" s="8"/>
      <c r="F414" s="8" t="s">
        <v>503</v>
      </c>
      <c r="G414" s="8" t="s">
        <v>2020</v>
      </c>
      <c r="H414" s="13">
        <v>0.7</v>
      </c>
      <c r="I414" s="8" t="s">
        <v>24</v>
      </c>
      <c r="J414" s="8" t="s">
        <v>24</v>
      </c>
      <c r="K414" s="8"/>
    </row>
    <row r="415" spans="1:11">
      <c r="A415" s="9">
        <v>45527</v>
      </c>
      <c r="B415" s="8" t="s">
        <v>2761</v>
      </c>
      <c r="C415" s="13">
        <v>11</v>
      </c>
      <c r="D415" s="8" t="s">
        <v>492</v>
      </c>
      <c r="E415" s="8" t="s">
        <v>481</v>
      </c>
      <c r="F415" s="8" t="s">
        <v>531</v>
      </c>
      <c r="G415" s="13">
        <v>1.01</v>
      </c>
      <c r="H415" s="13">
        <v>9.79</v>
      </c>
      <c r="I415" s="13" t="s">
        <v>1744</v>
      </c>
      <c r="J415" s="13">
        <v>2.04</v>
      </c>
      <c r="K415" s="8" t="s">
        <v>129</v>
      </c>
    </row>
    <row r="416" spans="1:11">
      <c r="A416" s="14"/>
      <c r="B416" s="8"/>
      <c r="C416" s="8"/>
      <c r="D416" s="8"/>
      <c r="E416" s="8"/>
      <c r="F416" s="8" t="s">
        <v>539</v>
      </c>
      <c r="G416" s="13">
        <v>1.17</v>
      </c>
      <c r="H416" s="13">
        <v>0.55</v>
      </c>
      <c r="I416" s="13" t="s">
        <v>1745</v>
      </c>
      <c r="J416" s="13">
        <v>2.15</v>
      </c>
      <c r="K416" s="8"/>
    </row>
    <row r="417" spans="1:11">
      <c r="A417" s="14"/>
      <c r="B417" s="8"/>
      <c r="C417" s="8"/>
      <c r="D417" s="8"/>
      <c r="E417" s="8"/>
      <c r="F417" s="8" t="s">
        <v>503</v>
      </c>
      <c r="G417" s="13">
        <v>1.75</v>
      </c>
      <c r="H417" s="13">
        <v>0.66</v>
      </c>
      <c r="I417" s="8" t="s">
        <v>24</v>
      </c>
      <c r="J417" s="8" t="s">
        <v>24</v>
      </c>
      <c r="K417" s="8"/>
    </row>
    <row r="418" spans="1:11">
      <c r="A418" s="9">
        <v>45527</v>
      </c>
      <c r="B418" s="8" t="s">
        <v>2762</v>
      </c>
      <c r="C418" s="13">
        <v>8</v>
      </c>
      <c r="D418" s="8" t="s">
        <v>2654</v>
      </c>
      <c r="E418" s="8" t="s">
        <v>536</v>
      </c>
      <c r="F418" s="8" t="s">
        <v>531</v>
      </c>
      <c r="G418" s="13">
        <v>1</v>
      </c>
      <c r="H418" s="13">
        <v>7.12</v>
      </c>
      <c r="I418" s="13" t="s">
        <v>1744</v>
      </c>
      <c r="J418" s="13">
        <v>2.04</v>
      </c>
      <c r="K418" s="8" t="s">
        <v>129</v>
      </c>
    </row>
    <row r="419" spans="1:11">
      <c r="A419" s="14"/>
      <c r="B419" s="8"/>
      <c r="C419" s="8"/>
      <c r="D419" s="8"/>
      <c r="E419" s="8"/>
      <c r="F419" s="8" t="s">
        <v>539</v>
      </c>
      <c r="G419" s="13">
        <v>1.17</v>
      </c>
      <c r="H419" s="13">
        <v>0.4</v>
      </c>
      <c r="I419" s="13" t="s">
        <v>1745</v>
      </c>
      <c r="J419" s="13">
        <v>2.15</v>
      </c>
      <c r="K419" s="8"/>
    </row>
    <row r="420" spans="1:11">
      <c r="A420" s="14"/>
      <c r="B420" s="8"/>
      <c r="C420" s="8"/>
      <c r="D420" s="8"/>
      <c r="E420" s="8"/>
      <c r="F420" s="8" t="s">
        <v>503</v>
      </c>
      <c r="G420" s="13">
        <v>1.75</v>
      </c>
      <c r="H420" s="13">
        <v>0.48</v>
      </c>
      <c r="I420" s="8" t="s">
        <v>24</v>
      </c>
      <c r="J420" s="8" t="s">
        <v>24</v>
      </c>
      <c r="K420" s="8"/>
    </row>
    <row r="421" spans="1:11">
      <c r="A421" s="9">
        <v>45531</v>
      </c>
      <c r="B421" s="8" t="s">
        <v>2763</v>
      </c>
      <c r="C421" s="13">
        <v>8</v>
      </c>
      <c r="D421" s="8" t="s">
        <v>477</v>
      </c>
      <c r="E421" s="8" t="s">
        <v>2654</v>
      </c>
      <c r="F421" s="8" t="s">
        <v>531</v>
      </c>
      <c r="G421" s="8" t="s">
        <v>2020</v>
      </c>
      <c r="H421" s="13">
        <v>7.12</v>
      </c>
      <c r="I421" s="13" t="s">
        <v>1744</v>
      </c>
      <c r="J421" s="13">
        <v>2.06</v>
      </c>
      <c r="K421" s="8" t="s">
        <v>129</v>
      </c>
    </row>
    <row r="422" spans="1:11">
      <c r="A422" s="14"/>
      <c r="B422" s="8"/>
      <c r="C422" s="8"/>
      <c r="D422" s="8"/>
      <c r="E422" s="8"/>
      <c r="F422" s="8" t="s">
        <v>539</v>
      </c>
      <c r="G422" s="8" t="s">
        <v>2020</v>
      </c>
      <c r="H422" s="13">
        <v>0.4</v>
      </c>
      <c r="I422" s="13" t="s">
        <v>1745</v>
      </c>
      <c r="J422" s="13">
        <v>2.15</v>
      </c>
      <c r="K422" s="8"/>
    </row>
    <row r="423" spans="1:11">
      <c r="A423" s="14"/>
      <c r="B423" s="8"/>
      <c r="C423" s="8"/>
      <c r="D423" s="8"/>
      <c r="E423" s="8"/>
      <c r="F423" s="8" t="s">
        <v>503</v>
      </c>
      <c r="G423" s="8" t="s">
        <v>2020</v>
      </c>
      <c r="H423" s="13">
        <v>0.48</v>
      </c>
      <c r="I423" s="8" t="s">
        <v>24</v>
      </c>
      <c r="J423" s="8" t="s">
        <v>24</v>
      </c>
      <c r="K423" s="8"/>
    </row>
    <row r="424" spans="1:11">
      <c r="A424" s="9">
        <v>45531</v>
      </c>
      <c r="B424" s="8" t="s">
        <v>2764</v>
      </c>
      <c r="C424" s="13">
        <v>10</v>
      </c>
      <c r="D424" s="8" t="s">
        <v>536</v>
      </c>
      <c r="E424" s="8" t="s">
        <v>481</v>
      </c>
      <c r="F424" s="8" t="s">
        <v>531</v>
      </c>
      <c r="G424" s="8" t="s">
        <v>2020</v>
      </c>
      <c r="H424" s="13">
        <v>8.9</v>
      </c>
      <c r="I424" s="13" t="s">
        <v>1744</v>
      </c>
      <c r="J424" s="13">
        <v>2.06</v>
      </c>
      <c r="K424" s="8" t="s">
        <v>129</v>
      </c>
    </row>
    <row r="425" spans="1:11">
      <c r="A425" s="14"/>
      <c r="B425" s="8"/>
      <c r="C425" s="8"/>
      <c r="D425" s="8"/>
      <c r="E425" s="8"/>
      <c r="F425" s="8" t="s">
        <v>539</v>
      </c>
      <c r="G425" s="8" t="s">
        <v>2020</v>
      </c>
      <c r="H425" s="13">
        <v>0.5</v>
      </c>
      <c r="I425" s="13" t="s">
        <v>1745</v>
      </c>
      <c r="J425" s="13">
        <v>2.15</v>
      </c>
      <c r="K425" s="8"/>
    </row>
    <row r="426" spans="1:11">
      <c r="A426" s="14"/>
      <c r="B426" s="8"/>
      <c r="C426" s="8"/>
      <c r="D426" s="8"/>
      <c r="E426" s="8"/>
      <c r="F426" s="8" t="s">
        <v>503</v>
      </c>
      <c r="G426" s="8" t="s">
        <v>2020</v>
      </c>
      <c r="H426" s="13">
        <v>0.6</v>
      </c>
      <c r="I426" s="8" t="s">
        <v>24</v>
      </c>
      <c r="J426" s="8" t="s">
        <v>24</v>
      </c>
      <c r="K426" s="8"/>
    </row>
    <row r="427" spans="1:11">
      <c r="A427" s="9">
        <v>45531</v>
      </c>
      <c r="B427" s="8" t="s">
        <v>2765</v>
      </c>
      <c r="C427" s="13">
        <v>8</v>
      </c>
      <c r="D427" s="8" t="s">
        <v>2654</v>
      </c>
      <c r="E427" s="8" t="s">
        <v>536</v>
      </c>
      <c r="F427" s="8" t="s">
        <v>531</v>
      </c>
      <c r="G427" s="8" t="s">
        <v>2020</v>
      </c>
      <c r="H427" s="13">
        <v>7.12</v>
      </c>
      <c r="I427" s="13" t="s">
        <v>1744</v>
      </c>
      <c r="J427" s="13">
        <v>2.14</v>
      </c>
      <c r="K427" s="8" t="s">
        <v>129</v>
      </c>
    </row>
    <row r="428" spans="1:11">
      <c r="A428" s="14"/>
      <c r="B428" s="8"/>
      <c r="C428" s="8"/>
      <c r="D428" s="8"/>
      <c r="E428" s="8"/>
      <c r="F428" s="8" t="s">
        <v>539</v>
      </c>
      <c r="G428" s="8" t="s">
        <v>2020</v>
      </c>
      <c r="H428" s="13">
        <v>0.32</v>
      </c>
      <c r="I428" s="13" t="s">
        <v>1745</v>
      </c>
      <c r="J428" s="13">
        <v>2.2</v>
      </c>
      <c r="K428" s="8"/>
    </row>
    <row r="429" spans="1:11">
      <c r="A429" s="14"/>
      <c r="B429" s="8"/>
      <c r="C429" s="8"/>
      <c r="D429" s="8"/>
      <c r="E429" s="8"/>
      <c r="F429" s="8" t="s">
        <v>503</v>
      </c>
      <c r="G429" s="8" t="s">
        <v>2020</v>
      </c>
      <c r="H429" s="13">
        <v>0.56</v>
      </c>
      <c r="I429" s="8" t="s">
        <v>24</v>
      </c>
      <c r="J429" s="8" t="s">
        <v>24</v>
      </c>
      <c r="K429" s="8"/>
    </row>
    <row r="430" spans="1:11">
      <c r="A430" s="9">
        <v>45531</v>
      </c>
      <c r="B430" s="8" t="s">
        <v>2766</v>
      </c>
      <c r="C430" s="13">
        <v>10</v>
      </c>
      <c r="D430" s="8" t="s">
        <v>911</v>
      </c>
      <c r="E430" s="8" t="s">
        <v>2568</v>
      </c>
      <c r="F430" s="8" t="s">
        <v>1064</v>
      </c>
      <c r="G430" s="13">
        <v>1.99</v>
      </c>
      <c r="H430" s="13">
        <v>8.7</v>
      </c>
      <c r="I430" s="13" t="s">
        <v>1744</v>
      </c>
      <c r="J430" s="13">
        <v>2.15</v>
      </c>
      <c r="K430" s="8" t="s">
        <v>35</v>
      </c>
    </row>
    <row r="431" spans="1:11">
      <c r="A431" s="14"/>
      <c r="B431" s="8"/>
      <c r="C431" s="8"/>
      <c r="D431" s="8"/>
      <c r="E431" s="8"/>
      <c r="F431" s="8" t="s">
        <v>1060</v>
      </c>
      <c r="G431" s="13">
        <v>1.99</v>
      </c>
      <c r="H431" s="13">
        <v>0.3</v>
      </c>
      <c r="I431" s="13" t="s">
        <v>1745</v>
      </c>
      <c r="J431" s="13">
        <v>2.2</v>
      </c>
      <c r="K431" s="8"/>
    </row>
    <row r="432" spans="1:11">
      <c r="A432" s="14"/>
      <c r="B432" s="8"/>
      <c r="C432" s="8"/>
      <c r="D432" s="8"/>
      <c r="E432" s="8"/>
      <c r="F432" s="8" t="s">
        <v>509</v>
      </c>
      <c r="G432" s="13">
        <v>1.99</v>
      </c>
      <c r="H432" s="13">
        <v>0.5</v>
      </c>
      <c r="I432" s="13" t="s">
        <v>2635</v>
      </c>
      <c r="J432" s="13">
        <v>3.9</v>
      </c>
      <c r="K432" s="8"/>
    </row>
    <row r="433" spans="1:11">
      <c r="A433" s="14"/>
      <c r="B433" s="8"/>
      <c r="C433" s="8"/>
      <c r="D433" s="8"/>
      <c r="E433" s="8"/>
      <c r="F433" s="8" t="s">
        <v>503</v>
      </c>
      <c r="G433" s="13">
        <v>1.99</v>
      </c>
      <c r="H433" s="13">
        <v>0.5</v>
      </c>
      <c r="I433" s="8" t="s">
        <v>24</v>
      </c>
      <c r="J433" s="8" t="s">
        <v>24</v>
      </c>
      <c r="K433" s="8"/>
    </row>
    <row r="434" spans="1:11">
      <c r="A434" s="9">
        <v>45533</v>
      </c>
      <c r="B434" s="8" t="s">
        <v>2767</v>
      </c>
      <c r="C434" s="13">
        <v>11</v>
      </c>
      <c r="D434" s="8" t="s">
        <v>492</v>
      </c>
      <c r="E434" s="8" t="s">
        <v>477</v>
      </c>
      <c r="F434" s="8" t="s">
        <v>531</v>
      </c>
      <c r="G434" s="13">
        <v>1.91</v>
      </c>
      <c r="H434" s="13">
        <v>9.79</v>
      </c>
      <c r="I434" s="13" t="s">
        <v>1744</v>
      </c>
      <c r="J434" s="13">
        <v>2.14</v>
      </c>
      <c r="K434" s="8" t="s">
        <v>129</v>
      </c>
    </row>
    <row r="435" spans="1:11">
      <c r="A435" s="14"/>
      <c r="B435" s="8"/>
      <c r="C435" s="8"/>
      <c r="D435" s="8"/>
      <c r="E435" s="8"/>
      <c r="F435" s="8" t="s">
        <v>539</v>
      </c>
      <c r="G435" s="13">
        <v>2</v>
      </c>
      <c r="H435" s="13">
        <v>0.44</v>
      </c>
      <c r="I435" s="13" t="s">
        <v>1745</v>
      </c>
      <c r="J435" s="13">
        <v>2.2</v>
      </c>
      <c r="K435" s="8"/>
    </row>
    <row r="436" spans="1:11">
      <c r="A436" s="14"/>
      <c r="B436" s="8"/>
      <c r="C436" s="8"/>
      <c r="D436" s="8"/>
      <c r="E436" s="8"/>
      <c r="F436" s="8" t="s">
        <v>503</v>
      </c>
      <c r="G436" s="13">
        <v>2.66</v>
      </c>
      <c r="H436" s="13">
        <v>0.77</v>
      </c>
      <c r="I436" s="8" t="s">
        <v>24</v>
      </c>
      <c r="J436" s="8" t="s">
        <v>24</v>
      </c>
      <c r="K436" s="8"/>
    </row>
    <row r="437" spans="1:11">
      <c r="A437" s="9">
        <v>45533</v>
      </c>
      <c r="B437" s="8" t="s">
        <v>2768</v>
      </c>
      <c r="C437" s="13">
        <v>9</v>
      </c>
      <c r="D437" s="8" t="s">
        <v>481</v>
      </c>
      <c r="E437" s="8" t="s">
        <v>477</v>
      </c>
      <c r="F437" s="8" t="s">
        <v>531</v>
      </c>
      <c r="G437" s="13">
        <v>1</v>
      </c>
      <c r="H437" s="13">
        <v>8.01</v>
      </c>
      <c r="I437" s="13" t="s">
        <v>1744</v>
      </c>
      <c r="J437" s="13">
        <v>2.06</v>
      </c>
      <c r="K437" s="8" t="s">
        <v>129</v>
      </c>
    </row>
    <row r="438" spans="1:11">
      <c r="A438" s="14"/>
      <c r="B438" s="8"/>
      <c r="C438" s="8"/>
      <c r="D438" s="8"/>
      <c r="E438" s="8"/>
      <c r="F438" s="8" t="s">
        <v>539</v>
      </c>
      <c r="G438" s="13">
        <v>1.16</v>
      </c>
      <c r="H438" s="13">
        <v>0.45</v>
      </c>
      <c r="I438" s="13" t="s">
        <v>1745</v>
      </c>
      <c r="J438" s="13">
        <v>2.15</v>
      </c>
      <c r="K438" s="8"/>
    </row>
    <row r="439" spans="1:11">
      <c r="A439" s="14"/>
      <c r="B439" s="8"/>
      <c r="C439" s="8"/>
      <c r="D439" s="8"/>
      <c r="E439" s="8"/>
      <c r="F439" s="8" t="s">
        <v>503</v>
      </c>
      <c r="G439" s="13">
        <v>1.75</v>
      </c>
      <c r="H439" s="13">
        <v>0.54</v>
      </c>
      <c r="I439" s="8" t="s">
        <v>24</v>
      </c>
      <c r="J439" s="8" t="s">
        <v>24</v>
      </c>
      <c r="K439" s="8"/>
    </row>
    <row r="440" spans="1:11">
      <c r="A440" s="9">
        <v>45540</v>
      </c>
      <c r="B440" s="8" t="s">
        <v>2769</v>
      </c>
      <c r="C440" s="13">
        <v>10</v>
      </c>
      <c r="D440" s="8" t="s">
        <v>477</v>
      </c>
      <c r="E440" s="8" t="s">
        <v>492</v>
      </c>
      <c r="F440" s="8" t="s">
        <v>1058</v>
      </c>
      <c r="G440" s="8" t="s">
        <v>2020</v>
      </c>
      <c r="H440" s="13">
        <v>7</v>
      </c>
      <c r="I440" s="13" t="s">
        <v>1744</v>
      </c>
      <c r="J440" s="13">
        <v>2.1</v>
      </c>
      <c r="K440" s="8" t="s">
        <v>74</v>
      </c>
    </row>
    <row r="441" spans="1:11">
      <c r="A441" s="14"/>
      <c r="B441" s="8"/>
      <c r="C441" s="8"/>
      <c r="D441" s="8"/>
      <c r="E441" s="8"/>
      <c r="F441" s="8" t="s">
        <v>1059</v>
      </c>
      <c r="G441" s="8" t="s">
        <v>2020</v>
      </c>
      <c r="H441" s="13">
        <v>2</v>
      </c>
      <c r="I441" s="13" t="s">
        <v>1744</v>
      </c>
      <c r="J441" s="13">
        <v>2.13</v>
      </c>
      <c r="K441" s="8"/>
    </row>
    <row r="442" spans="1:11">
      <c r="A442" s="14"/>
      <c r="B442" s="8"/>
      <c r="C442" s="8"/>
      <c r="D442" s="8"/>
      <c r="E442" s="8"/>
      <c r="F442" s="8" t="s">
        <v>1060</v>
      </c>
      <c r="G442" s="8" t="s">
        <v>2020</v>
      </c>
      <c r="H442" s="13">
        <v>0.3</v>
      </c>
      <c r="I442" s="13" t="s">
        <v>1745</v>
      </c>
      <c r="J442" s="13">
        <v>2.22</v>
      </c>
      <c r="K442" s="8"/>
    </row>
    <row r="443" spans="1:11">
      <c r="A443" s="14"/>
      <c r="B443" s="8"/>
      <c r="C443" s="8"/>
      <c r="D443" s="8"/>
      <c r="E443" s="8"/>
      <c r="F443" s="8" t="s">
        <v>503</v>
      </c>
      <c r="G443" s="8" t="s">
        <v>2020</v>
      </c>
      <c r="H443" s="13">
        <v>0.7</v>
      </c>
      <c r="I443" s="8" t="s">
        <v>24</v>
      </c>
      <c r="J443" s="8" t="s">
        <v>24</v>
      </c>
      <c r="K443" s="8"/>
    </row>
    <row r="444" spans="1:11">
      <c r="A444" s="9">
        <v>45538</v>
      </c>
      <c r="B444" s="8" t="s">
        <v>2770</v>
      </c>
      <c r="C444" s="13">
        <v>6</v>
      </c>
      <c r="D444" s="8" t="s">
        <v>477</v>
      </c>
      <c r="E444" s="8" t="s">
        <v>536</v>
      </c>
      <c r="F444" s="8" t="s">
        <v>1064</v>
      </c>
      <c r="G444" s="8" t="s">
        <v>2020</v>
      </c>
      <c r="H444" s="13">
        <v>5.34</v>
      </c>
      <c r="I444" s="13" t="s">
        <v>1744</v>
      </c>
      <c r="J444" s="13">
        <v>2.15</v>
      </c>
      <c r="K444" s="8" t="s">
        <v>129</v>
      </c>
    </row>
    <row r="445" spans="1:11">
      <c r="A445" s="14"/>
      <c r="B445" s="8"/>
      <c r="C445" s="8"/>
      <c r="D445" s="8"/>
      <c r="E445" s="8"/>
      <c r="F445" s="8" t="s">
        <v>1060</v>
      </c>
      <c r="G445" s="8" t="s">
        <v>2020</v>
      </c>
      <c r="H445" s="13">
        <v>0.3</v>
      </c>
      <c r="I445" s="13" t="s">
        <v>1745</v>
      </c>
      <c r="J445" s="13">
        <v>2.2</v>
      </c>
      <c r="K445" s="8"/>
    </row>
    <row r="446" spans="1:11">
      <c r="A446" s="14"/>
      <c r="B446" s="8"/>
      <c r="C446" s="8"/>
      <c r="D446" s="8"/>
      <c r="E446" s="8"/>
      <c r="F446" s="8" t="s">
        <v>503</v>
      </c>
      <c r="G446" s="8" t="s">
        <v>2020</v>
      </c>
      <c r="H446" s="13">
        <v>0.36</v>
      </c>
      <c r="I446" s="8" t="s">
        <v>24</v>
      </c>
      <c r="J446" s="8" t="s">
        <v>24</v>
      </c>
      <c r="K446" s="8"/>
    </row>
    <row r="447" spans="1:11">
      <c r="A447" s="9">
        <v>45540</v>
      </c>
      <c r="B447" s="8" t="s">
        <v>2771</v>
      </c>
      <c r="C447" s="13">
        <v>10</v>
      </c>
      <c r="D447" s="8" t="s">
        <v>492</v>
      </c>
      <c r="E447" s="8" t="s">
        <v>1754</v>
      </c>
      <c r="F447" s="8" t="s">
        <v>1058</v>
      </c>
      <c r="G447" s="8" t="s">
        <v>2020</v>
      </c>
      <c r="H447" s="13">
        <v>7</v>
      </c>
      <c r="I447" s="13" t="s">
        <v>1744</v>
      </c>
      <c r="J447" s="13">
        <v>2.15</v>
      </c>
      <c r="K447" s="8" t="s">
        <v>74</v>
      </c>
    </row>
    <row r="448" spans="1:11">
      <c r="A448" s="14"/>
      <c r="B448" s="8"/>
      <c r="C448" s="8"/>
      <c r="D448" s="8"/>
      <c r="E448" s="8"/>
      <c r="F448" s="8" t="s">
        <v>1059</v>
      </c>
      <c r="G448" s="8" t="s">
        <v>2020</v>
      </c>
      <c r="H448" s="13">
        <v>1.9</v>
      </c>
      <c r="I448" s="13" t="s">
        <v>1744</v>
      </c>
      <c r="J448" s="13">
        <v>2.17</v>
      </c>
      <c r="K448" s="8"/>
    </row>
    <row r="449" spans="1:11">
      <c r="A449" s="14"/>
      <c r="B449" s="8"/>
      <c r="C449" s="8"/>
      <c r="D449" s="8"/>
      <c r="E449" s="8"/>
      <c r="F449" s="8" t="s">
        <v>1060</v>
      </c>
      <c r="G449" s="8" t="s">
        <v>2020</v>
      </c>
      <c r="H449" s="13">
        <v>0.35</v>
      </c>
      <c r="I449" s="13" t="s">
        <v>1745</v>
      </c>
      <c r="J449" s="13">
        <v>2.26</v>
      </c>
      <c r="K449" s="8"/>
    </row>
    <row r="450" spans="1:11">
      <c r="A450" s="14"/>
      <c r="B450" s="8"/>
      <c r="C450" s="8"/>
      <c r="D450" s="8"/>
      <c r="E450" s="8"/>
      <c r="F450" s="8" t="s">
        <v>503</v>
      </c>
      <c r="G450" s="8" t="s">
        <v>2020</v>
      </c>
      <c r="H450" s="13">
        <v>0.75</v>
      </c>
      <c r="I450" s="8" t="s">
        <v>24</v>
      </c>
      <c r="J450" s="8" t="s">
        <v>24</v>
      </c>
      <c r="K450" s="8"/>
    </row>
    <row r="451" spans="1:11">
      <c r="A451" s="9">
        <v>45540</v>
      </c>
      <c r="B451" s="8" t="s">
        <v>2772</v>
      </c>
      <c r="C451" s="13">
        <v>10</v>
      </c>
      <c r="D451" s="8" t="s">
        <v>492</v>
      </c>
      <c r="E451" s="8" t="s">
        <v>477</v>
      </c>
      <c r="F451" s="8" t="s">
        <v>1058</v>
      </c>
      <c r="G451" s="8" t="s">
        <v>2020</v>
      </c>
      <c r="H451" s="13">
        <v>7</v>
      </c>
      <c r="I451" s="13" t="s">
        <v>1744</v>
      </c>
      <c r="J451" s="13">
        <v>2.14</v>
      </c>
      <c r="K451" s="8" t="s">
        <v>74</v>
      </c>
    </row>
    <row r="452" spans="1:11">
      <c r="A452" s="14"/>
      <c r="B452" s="8"/>
      <c r="C452" s="8"/>
      <c r="D452" s="8"/>
      <c r="E452" s="8"/>
      <c r="F452" s="8" t="s">
        <v>1059</v>
      </c>
      <c r="G452" s="8" t="s">
        <v>2020</v>
      </c>
      <c r="H452" s="13">
        <v>1.9</v>
      </c>
      <c r="I452" s="13" t="s">
        <v>1744</v>
      </c>
      <c r="J452" s="13">
        <v>2.18</v>
      </c>
      <c r="K452" s="8"/>
    </row>
    <row r="453" spans="1:11">
      <c r="A453" s="14"/>
      <c r="B453" s="8"/>
      <c r="C453" s="8"/>
      <c r="D453" s="8"/>
      <c r="E453" s="8"/>
      <c r="F453" s="8" t="s">
        <v>1060</v>
      </c>
      <c r="G453" s="8" t="s">
        <v>2020</v>
      </c>
      <c r="H453" s="13">
        <v>0.35</v>
      </c>
      <c r="I453" s="13" t="s">
        <v>1745</v>
      </c>
      <c r="J453" s="13">
        <v>2.28</v>
      </c>
      <c r="K453" s="8"/>
    </row>
    <row r="454" spans="1:11">
      <c r="A454" s="14"/>
      <c r="B454" s="8"/>
      <c r="C454" s="8"/>
      <c r="D454" s="8"/>
      <c r="E454" s="8"/>
      <c r="F454" s="8" t="s">
        <v>503</v>
      </c>
      <c r="G454" s="8" t="s">
        <v>2020</v>
      </c>
      <c r="H454" s="13">
        <v>0.75</v>
      </c>
      <c r="I454" s="8" t="s">
        <v>24</v>
      </c>
      <c r="J454" s="8" t="s">
        <v>24</v>
      </c>
      <c r="K454" s="8"/>
    </row>
    <row r="455" spans="1:11">
      <c r="A455" s="9">
        <v>45537</v>
      </c>
      <c r="B455" s="8" t="s">
        <v>2773</v>
      </c>
      <c r="C455" s="13">
        <v>10</v>
      </c>
      <c r="D455" s="8" t="s">
        <v>536</v>
      </c>
      <c r="E455" s="8" t="s">
        <v>477</v>
      </c>
      <c r="F455" s="8" t="s">
        <v>531</v>
      </c>
      <c r="G455" s="8" t="s">
        <v>2020</v>
      </c>
      <c r="H455" s="13">
        <v>8.9</v>
      </c>
      <c r="I455" s="13" t="s">
        <v>1744</v>
      </c>
      <c r="J455" s="13">
        <v>2.15</v>
      </c>
      <c r="K455" s="8" t="s">
        <v>129</v>
      </c>
    </row>
    <row r="456" spans="1:11">
      <c r="A456" s="14"/>
      <c r="B456" s="8"/>
      <c r="C456" s="8"/>
      <c r="D456" s="8"/>
      <c r="E456" s="8"/>
      <c r="F456" s="8" t="s">
        <v>539</v>
      </c>
      <c r="G456" s="8" t="s">
        <v>2020</v>
      </c>
      <c r="H456" s="13">
        <v>0.5</v>
      </c>
      <c r="I456" s="13" t="s">
        <v>1745</v>
      </c>
      <c r="J456" s="13">
        <v>2.2</v>
      </c>
      <c r="K456" s="8"/>
    </row>
    <row r="457" spans="1:11">
      <c r="A457" s="14"/>
      <c r="B457" s="8"/>
      <c r="C457" s="8"/>
      <c r="D457" s="8"/>
      <c r="E457" s="8"/>
      <c r="F457" s="8" t="s">
        <v>503</v>
      </c>
      <c r="G457" s="8" t="s">
        <v>2020</v>
      </c>
      <c r="H457" s="13">
        <v>0.6</v>
      </c>
      <c r="I457" s="8" t="s">
        <v>24</v>
      </c>
      <c r="J457" s="8" t="s">
        <v>24</v>
      </c>
      <c r="K457" s="8"/>
    </row>
    <row r="458" spans="1:11">
      <c r="A458" s="9">
        <v>45537</v>
      </c>
      <c r="B458" s="8" t="s">
        <v>2774</v>
      </c>
      <c r="C458" s="13">
        <v>7</v>
      </c>
      <c r="D458" s="8" t="s">
        <v>492</v>
      </c>
      <c r="E458" s="8" t="s">
        <v>481</v>
      </c>
      <c r="F458" s="8" t="s">
        <v>531</v>
      </c>
      <c r="G458" s="8" t="s">
        <v>2020</v>
      </c>
      <c r="H458" s="13">
        <v>6.23</v>
      </c>
      <c r="I458" s="13" t="s">
        <v>1744</v>
      </c>
      <c r="J458" s="13">
        <v>2.15</v>
      </c>
      <c r="K458" s="8" t="s">
        <v>129</v>
      </c>
    </row>
    <row r="459" spans="1:11">
      <c r="A459" s="14"/>
      <c r="B459" s="8"/>
      <c r="C459" s="8"/>
      <c r="D459" s="8"/>
      <c r="E459" s="8"/>
      <c r="F459" s="8" t="s">
        <v>539</v>
      </c>
      <c r="G459" s="8" t="s">
        <v>2020</v>
      </c>
      <c r="H459" s="13">
        <v>0.35</v>
      </c>
      <c r="I459" s="13" t="s">
        <v>1745</v>
      </c>
      <c r="J459" s="13">
        <v>2.2</v>
      </c>
      <c r="K459" s="8"/>
    </row>
    <row r="460" spans="1:11">
      <c r="A460" s="14"/>
      <c r="B460" s="8"/>
      <c r="C460" s="8"/>
      <c r="D460" s="8"/>
      <c r="E460" s="8"/>
      <c r="F460" s="8" t="s">
        <v>503</v>
      </c>
      <c r="G460" s="8" t="s">
        <v>2020</v>
      </c>
      <c r="H460" s="13">
        <v>0.42</v>
      </c>
      <c r="I460" s="8" t="s">
        <v>24</v>
      </c>
      <c r="J460" s="8" t="s">
        <v>24</v>
      </c>
      <c r="K460" s="8"/>
    </row>
    <row r="461" spans="1:11">
      <c r="A461" s="9">
        <v>45537</v>
      </c>
      <c r="B461" s="8" t="s">
        <v>2775</v>
      </c>
      <c r="C461" s="13">
        <v>5</v>
      </c>
      <c r="D461" s="8" t="s">
        <v>2654</v>
      </c>
      <c r="E461" s="8" t="s">
        <v>492</v>
      </c>
      <c r="F461" s="8" t="s">
        <v>531</v>
      </c>
      <c r="G461" s="8" t="s">
        <v>2020</v>
      </c>
      <c r="H461" s="13">
        <v>4.45</v>
      </c>
      <c r="I461" s="13" t="s">
        <v>1744</v>
      </c>
      <c r="J461" s="13">
        <v>2.15</v>
      </c>
      <c r="K461" s="8" t="s">
        <v>129</v>
      </c>
    </row>
    <row r="462" spans="1:11">
      <c r="A462" s="14"/>
      <c r="B462" s="8"/>
      <c r="C462" s="8"/>
      <c r="D462" s="8"/>
      <c r="E462" s="8"/>
      <c r="F462" s="8" t="s">
        <v>539</v>
      </c>
      <c r="G462" s="8" t="s">
        <v>2020</v>
      </c>
      <c r="H462" s="13">
        <v>0.25</v>
      </c>
      <c r="I462" s="13" t="s">
        <v>1745</v>
      </c>
      <c r="J462" s="13">
        <v>2.2</v>
      </c>
      <c r="K462" s="8"/>
    </row>
    <row r="463" spans="1:11">
      <c r="A463" s="14"/>
      <c r="B463" s="8"/>
      <c r="C463" s="8"/>
      <c r="D463" s="8"/>
      <c r="E463" s="8"/>
      <c r="F463" s="8" t="s">
        <v>503</v>
      </c>
      <c r="G463" s="8" t="s">
        <v>2020</v>
      </c>
      <c r="H463" s="13">
        <v>0.3</v>
      </c>
      <c r="I463" s="8" t="s">
        <v>24</v>
      </c>
      <c r="J463" s="8" t="s">
        <v>24</v>
      </c>
      <c r="K463" s="8"/>
    </row>
    <row r="464" spans="1:11">
      <c r="A464" s="9">
        <v>45534</v>
      </c>
      <c r="B464" s="8" t="s">
        <v>2776</v>
      </c>
      <c r="C464" s="13">
        <v>8</v>
      </c>
      <c r="D464" s="8" t="s">
        <v>536</v>
      </c>
      <c r="E464" s="8" t="s">
        <v>477</v>
      </c>
      <c r="F464" s="8" t="s">
        <v>531</v>
      </c>
      <c r="G464" s="13">
        <v>1.92</v>
      </c>
      <c r="H464" s="13">
        <v>7.12</v>
      </c>
      <c r="I464" s="13" t="s">
        <v>1744</v>
      </c>
      <c r="J464" s="13">
        <v>2.25</v>
      </c>
      <c r="K464" s="8" t="s">
        <v>129</v>
      </c>
    </row>
    <row r="465" spans="1:11">
      <c r="A465" s="14"/>
      <c r="B465" s="8"/>
      <c r="C465" s="8"/>
      <c r="D465" s="8"/>
      <c r="E465" s="8"/>
      <c r="F465" s="8" t="s">
        <v>539</v>
      </c>
      <c r="G465" s="13">
        <v>2</v>
      </c>
      <c r="H465" s="13">
        <v>0.32</v>
      </c>
      <c r="I465" s="13" t="s">
        <v>1745</v>
      </c>
      <c r="J465" s="13">
        <v>2.32</v>
      </c>
      <c r="K465" s="8"/>
    </row>
    <row r="466" spans="1:11">
      <c r="A466" s="14"/>
      <c r="B466" s="8"/>
      <c r="C466" s="8"/>
      <c r="D466" s="8"/>
      <c r="E466" s="8"/>
      <c r="F466" s="8" t="s">
        <v>503</v>
      </c>
      <c r="G466" s="13">
        <v>2.67</v>
      </c>
      <c r="H466" s="13">
        <v>0.56</v>
      </c>
      <c r="I466" s="8" t="s">
        <v>24</v>
      </c>
      <c r="J466" s="8" t="s">
        <v>24</v>
      </c>
      <c r="K466" s="8"/>
    </row>
    <row r="467" spans="1:11">
      <c r="A467" s="9">
        <v>45533</v>
      </c>
      <c r="B467" s="8" t="s">
        <v>2777</v>
      </c>
      <c r="C467" s="13">
        <v>10</v>
      </c>
      <c r="D467" s="8" t="s">
        <v>486</v>
      </c>
      <c r="E467" s="8" t="s">
        <v>486</v>
      </c>
      <c r="F467" s="8" t="s">
        <v>1064</v>
      </c>
      <c r="G467" s="13">
        <v>1.88</v>
      </c>
      <c r="H467" s="13">
        <v>8.4</v>
      </c>
      <c r="I467" s="13" t="s">
        <v>1744</v>
      </c>
      <c r="J467" s="13">
        <v>2.15</v>
      </c>
      <c r="K467" s="8" t="s">
        <v>18</v>
      </c>
    </row>
    <row r="468" spans="1:11">
      <c r="A468" s="14"/>
      <c r="B468" s="8"/>
      <c r="C468" s="8"/>
      <c r="D468" s="8"/>
      <c r="E468" s="8"/>
      <c r="F468" s="8" t="s">
        <v>1060</v>
      </c>
      <c r="G468" s="13">
        <v>1.97</v>
      </c>
      <c r="H468" s="13">
        <v>0.5</v>
      </c>
      <c r="I468" s="13" t="s">
        <v>1745</v>
      </c>
      <c r="J468" s="13">
        <v>2.25</v>
      </c>
      <c r="K468" s="8"/>
    </row>
    <row r="469" spans="1:11">
      <c r="A469" s="14"/>
      <c r="B469" s="8"/>
      <c r="C469" s="8"/>
      <c r="D469" s="8"/>
      <c r="E469" s="8"/>
      <c r="F469" s="8" t="s">
        <v>1061</v>
      </c>
      <c r="G469" s="13">
        <v>2.05</v>
      </c>
      <c r="H469" s="13">
        <v>0.3</v>
      </c>
      <c r="I469" s="13" t="s">
        <v>1746</v>
      </c>
      <c r="J469" s="13">
        <v>2.6</v>
      </c>
      <c r="K469" s="8"/>
    </row>
    <row r="470" spans="1:11">
      <c r="A470" s="14"/>
      <c r="B470" s="8"/>
      <c r="C470" s="8"/>
      <c r="D470" s="8"/>
      <c r="E470" s="8"/>
      <c r="F470" s="8" t="s">
        <v>503</v>
      </c>
      <c r="G470" s="13">
        <v>2.63</v>
      </c>
      <c r="H470" s="13">
        <v>0.8</v>
      </c>
      <c r="I470" s="8" t="s">
        <v>24</v>
      </c>
      <c r="J470" s="8" t="s">
        <v>24</v>
      </c>
      <c r="K470" s="8"/>
    </row>
    <row r="471" spans="1:11">
      <c r="A471" s="9">
        <v>45534</v>
      </c>
      <c r="B471" s="8" t="s">
        <v>2778</v>
      </c>
      <c r="C471" s="13">
        <v>8</v>
      </c>
      <c r="D471" s="8" t="s">
        <v>2654</v>
      </c>
      <c r="E471" s="8" t="s">
        <v>536</v>
      </c>
      <c r="F471" s="8" t="s">
        <v>531</v>
      </c>
      <c r="G471" s="13">
        <v>1.01</v>
      </c>
      <c r="H471" s="13">
        <v>7.12</v>
      </c>
      <c r="I471" s="13" t="s">
        <v>1744</v>
      </c>
      <c r="J471" s="13">
        <v>2.15</v>
      </c>
      <c r="K471" s="8" t="s">
        <v>129</v>
      </c>
    </row>
    <row r="472" spans="1:11">
      <c r="A472" s="14"/>
      <c r="B472" s="8"/>
      <c r="C472" s="8"/>
      <c r="D472" s="8"/>
      <c r="E472" s="8"/>
      <c r="F472" s="8" t="s">
        <v>539</v>
      </c>
      <c r="G472" s="13">
        <v>1.17</v>
      </c>
      <c r="H472" s="13">
        <v>0.4</v>
      </c>
      <c r="I472" s="13" t="s">
        <v>1745</v>
      </c>
      <c r="J472" s="13">
        <v>2.2</v>
      </c>
      <c r="K472" s="8"/>
    </row>
    <row r="473" spans="1:11">
      <c r="A473" s="14"/>
      <c r="B473" s="8"/>
      <c r="C473" s="8"/>
      <c r="D473" s="8"/>
      <c r="E473" s="8"/>
      <c r="F473" s="8" t="s">
        <v>503</v>
      </c>
      <c r="G473" s="13">
        <v>1.75</v>
      </c>
      <c r="H473" s="13">
        <v>0.48</v>
      </c>
      <c r="I473" s="8" t="s">
        <v>24</v>
      </c>
      <c r="J473" s="8" t="s">
        <v>24</v>
      </c>
      <c r="K473" s="8"/>
    </row>
    <row r="474" spans="1:11">
      <c r="A474" s="9">
        <v>45534</v>
      </c>
      <c r="B474" s="8" t="s">
        <v>2779</v>
      </c>
      <c r="C474" s="13">
        <v>5</v>
      </c>
      <c r="D474" s="8" t="s">
        <v>477</v>
      </c>
      <c r="E474" s="8" t="s">
        <v>536</v>
      </c>
      <c r="F474" s="8" t="s">
        <v>531</v>
      </c>
      <c r="G474" s="13">
        <v>1</v>
      </c>
      <c r="H474" s="13">
        <v>4.45</v>
      </c>
      <c r="I474" s="13" t="s">
        <v>1744</v>
      </c>
      <c r="J474" s="13">
        <v>2.1</v>
      </c>
      <c r="K474" s="8" t="s">
        <v>129</v>
      </c>
    </row>
    <row r="475" spans="1:11">
      <c r="A475" s="14"/>
      <c r="B475" s="8"/>
      <c r="C475" s="8"/>
      <c r="D475" s="8"/>
      <c r="E475" s="8"/>
      <c r="F475" s="8" t="s">
        <v>539</v>
      </c>
      <c r="G475" s="13">
        <v>1.17</v>
      </c>
      <c r="H475" s="13">
        <v>0.25</v>
      </c>
      <c r="I475" s="13" t="s">
        <v>1745</v>
      </c>
      <c r="J475" s="13">
        <v>2.15</v>
      </c>
      <c r="K475" s="8"/>
    </row>
    <row r="476" spans="1:11">
      <c r="A476" s="14"/>
      <c r="B476" s="8"/>
      <c r="C476" s="8"/>
      <c r="D476" s="8"/>
      <c r="E476" s="8"/>
      <c r="F476" s="8" t="s">
        <v>503</v>
      </c>
      <c r="G476" s="13">
        <v>1.75</v>
      </c>
      <c r="H476" s="13">
        <v>0.3</v>
      </c>
      <c r="I476" s="8" t="s">
        <v>24</v>
      </c>
      <c r="J476" s="8" t="s">
        <v>24</v>
      </c>
      <c r="K476" s="8"/>
    </row>
    <row r="477" spans="1:11">
      <c r="A477" s="9">
        <v>45532</v>
      </c>
      <c r="B477" s="8" t="s">
        <v>2780</v>
      </c>
      <c r="C477" s="13">
        <v>10</v>
      </c>
      <c r="D477" s="8" t="s">
        <v>1057</v>
      </c>
      <c r="E477" s="8" t="s">
        <v>2559</v>
      </c>
      <c r="F477" s="8" t="s">
        <v>1058</v>
      </c>
      <c r="G477" s="13">
        <v>1.07</v>
      </c>
      <c r="H477" s="13">
        <v>7</v>
      </c>
      <c r="I477" s="13" t="s">
        <v>1744</v>
      </c>
      <c r="J477" s="13">
        <v>2.1</v>
      </c>
      <c r="K477" s="8" t="s">
        <v>41</v>
      </c>
    </row>
    <row r="478" spans="1:11">
      <c r="A478" s="14"/>
      <c r="B478" s="8"/>
      <c r="C478" s="8"/>
      <c r="D478" s="8"/>
      <c r="E478" s="8"/>
      <c r="F478" s="8" t="s">
        <v>1059</v>
      </c>
      <c r="G478" s="13">
        <v>1.2</v>
      </c>
      <c r="H478" s="13">
        <v>1.4</v>
      </c>
      <c r="I478" s="13" t="s">
        <v>1744</v>
      </c>
      <c r="J478" s="13">
        <v>2.17</v>
      </c>
      <c r="K478" s="8"/>
    </row>
    <row r="479" spans="1:11">
      <c r="A479" s="14"/>
      <c r="B479" s="8"/>
      <c r="C479" s="8"/>
      <c r="D479" s="8"/>
      <c r="E479" s="8"/>
      <c r="F479" s="8" t="s">
        <v>1060</v>
      </c>
      <c r="G479" s="13">
        <v>1.24</v>
      </c>
      <c r="H479" s="13">
        <v>0.55</v>
      </c>
      <c r="I479" s="13" t="s">
        <v>1745</v>
      </c>
      <c r="J479" s="13">
        <v>2.25</v>
      </c>
      <c r="K479" s="8"/>
    </row>
    <row r="480" spans="1:11">
      <c r="A480" s="14"/>
      <c r="B480" s="8"/>
      <c r="C480" s="8"/>
      <c r="D480" s="8"/>
      <c r="E480" s="8"/>
      <c r="F480" s="8" t="s">
        <v>1061</v>
      </c>
      <c r="G480" s="13">
        <v>1.33</v>
      </c>
      <c r="H480" s="13">
        <v>0.55</v>
      </c>
      <c r="I480" s="13" t="s">
        <v>2673</v>
      </c>
      <c r="J480" s="13">
        <v>4.7</v>
      </c>
      <c r="K480" s="8"/>
    </row>
    <row r="481" spans="1:11">
      <c r="A481" s="14"/>
      <c r="B481" s="8"/>
      <c r="C481" s="8"/>
      <c r="D481" s="8"/>
      <c r="E481" s="8"/>
      <c r="F481" s="8" t="s">
        <v>1327</v>
      </c>
      <c r="G481" s="13">
        <v>1.74</v>
      </c>
      <c r="H481" s="13">
        <v>0.5</v>
      </c>
      <c r="I481" s="8" t="s">
        <v>24</v>
      </c>
      <c r="J481" s="8" t="s">
        <v>24</v>
      </c>
      <c r="K481" s="8"/>
    </row>
    <row r="482" spans="1:11">
      <c r="A482" s="9">
        <v>45534</v>
      </c>
      <c r="B482" s="8" t="s">
        <v>2781</v>
      </c>
      <c r="C482" s="13">
        <v>10</v>
      </c>
      <c r="D482" s="8" t="s">
        <v>477</v>
      </c>
      <c r="E482" s="8" t="s">
        <v>492</v>
      </c>
      <c r="F482" s="8" t="s">
        <v>1058</v>
      </c>
      <c r="G482" s="13">
        <v>1.21</v>
      </c>
      <c r="H482" s="13">
        <v>7</v>
      </c>
      <c r="I482" s="13" t="s">
        <v>1744</v>
      </c>
      <c r="J482" s="13">
        <v>2.15</v>
      </c>
      <c r="K482" s="8" t="s">
        <v>74</v>
      </c>
    </row>
    <row r="483" spans="1:11">
      <c r="A483" s="14"/>
      <c r="B483" s="8"/>
      <c r="C483" s="8"/>
      <c r="D483" s="8"/>
      <c r="E483" s="8"/>
      <c r="F483" s="8" t="s">
        <v>1059</v>
      </c>
      <c r="G483" s="13">
        <v>1.46</v>
      </c>
      <c r="H483" s="13">
        <v>2</v>
      </c>
      <c r="I483" s="13" t="s">
        <v>1744</v>
      </c>
      <c r="J483" s="13">
        <v>2.16</v>
      </c>
      <c r="K483" s="8"/>
    </row>
    <row r="484" spans="1:11">
      <c r="A484" s="14"/>
      <c r="B484" s="8"/>
      <c r="C484" s="8"/>
      <c r="D484" s="8"/>
      <c r="E484" s="8"/>
      <c r="F484" s="8" t="s">
        <v>1060</v>
      </c>
      <c r="G484" s="13">
        <v>1.46</v>
      </c>
      <c r="H484" s="13">
        <v>0.3</v>
      </c>
      <c r="I484" s="13" t="s">
        <v>1745</v>
      </c>
      <c r="J484" s="13">
        <v>2.18</v>
      </c>
      <c r="K484" s="8"/>
    </row>
    <row r="485" spans="1:11">
      <c r="A485" s="14"/>
      <c r="B485" s="8"/>
      <c r="C485" s="8"/>
      <c r="D485" s="8"/>
      <c r="E485" s="8"/>
      <c r="F485" s="8" t="s">
        <v>503</v>
      </c>
      <c r="G485" s="13">
        <v>1.96</v>
      </c>
      <c r="H485" s="13">
        <v>0.7</v>
      </c>
      <c r="I485" s="8" t="s">
        <v>24</v>
      </c>
      <c r="J485" s="8" t="s">
        <v>24</v>
      </c>
      <c r="K485" s="8"/>
    </row>
    <row r="486" spans="1:11">
      <c r="A486" s="9">
        <v>45534</v>
      </c>
      <c r="B486" s="8" t="s">
        <v>2782</v>
      </c>
      <c r="C486" s="13">
        <v>10</v>
      </c>
      <c r="D486" s="8" t="s">
        <v>492</v>
      </c>
      <c r="E486" s="8" t="s">
        <v>1754</v>
      </c>
      <c r="F486" s="8" t="s">
        <v>1058</v>
      </c>
      <c r="G486" s="13">
        <v>1.21</v>
      </c>
      <c r="H486" s="13">
        <v>7</v>
      </c>
      <c r="I486" s="13" t="s">
        <v>1744</v>
      </c>
      <c r="J486" s="13">
        <v>2.15</v>
      </c>
      <c r="K486" s="8" t="s">
        <v>74</v>
      </c>
    </row>
    <row r="487" spans="1:11">
      <c r="A487" s="14"/>
      <c r="B487" s="8"/>
      <c r="C487" s="8"/>
      <c r="D487" s="8"/>
      <c r="E487" s="8"/>
      <c r="F487" s="8" t="s">
        <v>1059</v>
      </c>
      <c r="G487" s="13">
        <v>1.46</v>
      </c>
      <c r="H487" s="13">
        <v>2</v>
      </c>
      <c r="I487" s="13" t="s">
        <v>1744</v>
      </c>
      <c r="J487" s="13">
        <v>2.16</v>
      </c>
      <c r="K487" s="8"/>
    </row>
    <row r="488" spans="1:11">
      <c r="A488" s="14"/>
      <c r="B488" s="8"/>
      <c r="C488" s="8"/>
      <c r="D488" s="8"/>
      <c r="E488" s="8"/>
      <c r="F488" s="8" t="s">
        <v>1060</v>
      </c>
      <c r="G488" s="13">
        <v>1.46</v>
      </c>
      <c r="H488" s="13">
        <v>0.3</v>
      </c>
      <c r="I488" s="13" t="s">
        <v>1745</v>
      </c>
      <c r="J488" s="13">
        <v>2.18</v>
      </c>
      <c r="K488" s="8"/>
    </row>
    <row r="489" spans="1:11">
      <c r="A489" s="14"/>
      <c r="B489" s="8"/>
      <c r="C489" s="8"/>
      <c r="D489" s="8"/>
      <c r="E489" s="8"/>
      <c r="F489" s="8" t="s">
        <v>503</v>
      </c>
      <c r="G489" s="13">
        <v>1.96</v>
      </c>
      <c r="H489" s="13">
        <v>0.7</v>
      </c>
      <c r="I489" s="8" t="s">
        <v>24</v>
      </c>
      <c r="J489" s="8" t="s">
        <v>24</v>
      </c>
      <c r="K489" s="8"/>
    </row>
    <row r="490" spans="1:11">
      <c r="A490" s="9">
        <v>45540</v>
      </c>
      <c r="B490" s="8" t="s">
        <v>2783</v>
      </c>
      <c r="C490" s="13">
        <v>8</v>
      </c>
      <c r="D490" s="8" t="s">
        <v>486</v>
      </c>
      <c r="E490" s="8" t="s">
        <v>486</v>
      </c>
      <c r="F490" s="8" t="s">
        <v>1064</v>
      </c>
      <c r="G490" s="8" t="s">
        <v>2020</v>
      </c>
      <c r="H490" s="13">
        <v>7.04</v>
      </c>
      <c r="I490" s="13" t="s">
        <v>1744</v>
      </c>
      <c r="J490" s="13">
        <v>2.04</v>
      </c>
      <c r="K490" s="8" t="s">
        <v>86</v>
      </c>
    </row>
    <row r="491" spans="1:11">
      <c r="A491" s="14"/>
      <c r="B491" s="8"/>
      <c r="C491" s="8"/>
      <c r="D491" s="8"/>
      <c r="E491" s="8"/>
      <c r="F491" s="8" t="s">
        <v>1060</v>
      </c>
      <c r="G491" s="8" t="s">
        <v>2020</v>
      </c>
      <c r="H491" s="13">
        <v>0.48</v>
      </c>
      <c r="I491" s="13" t="s">
        <v>1745</v>
      </c>
      <c r="J491" s="13">
        <v>2.1</v>
      </c>
      <c r="K491" s="8"/>
    </row>
    <row r="492" spans="1:11">
      <c r="A492" s="14"/>
      <c r="B492" s="8"/>
      <c r="C492" s="8"/>
      <c r="D492" s="8"/>
      <c r="E492" s="8"/>
      <c r="F492" s="8" t="s">
        <v>503</v>
      </c>
      <c r="G492" s="8" t="s">
        <v>2020</v>
      </c>
      <c r="H492" s="13">
        <v>0.48</v>
      </c>
      <c r="I492" s="8" t="s">
        <v>24</v>
      </c>
      <c r="J492" s="8" t="s">
        <v>24</v>
      </c>
      <c r="K492" s="8"/>
    </row>
    <row r="493" spans="1:11">
      <c r="A493" s="9">
        <v>45546</v>
      </c>
      <c r="B493" s="8" t="s">
        <v>2784</v>
      </c>
      <c r="C493" s="13">
        <v>10</v>
      </c>
      <c r="D493" s="8" t="s">
        <v>911</v>
      </c>
      <c r="E493" s="8" t="s">
        <v>2568</v>
      </c>
      <c r="F493" s="8" t="s">
        <v>531</v>
      </c>
      <c r="G493" s="8" t="s">
        <v>2020</v>
      </c>
      <c r="H493" s="13">
        <v>9</v>
      </c>
      <c r="I493" s="13" t="s">
        <v>1744</v>
      </c>
      <c r="J493" s="13">
        <v>2.08</v>
      </c>
      <c r="K493" s="8" t="s">
        <v>35</v>
      </c>
    </row>
    <row r="494" spans="1:11">
      <c r="A494" s="14"/>
      <c r="B494" s="8"/>
      <c r="C494" s="8"/>
      <c r="D494" s="8"/>
      <c r="E494" s="8"/>
      <c r="F494" s="8" t="s">
        <v>509</v>
      </c>
      <c r="G494" s="8" t="s">
        <v>2020</v>
      </c>
      <c r="H494" s="13">
        <v>0.45</v>
      </c>
      <c r="I494" s="13" t="s">
        <v>1746</v>
      </c>
      <c r="J494" s="13">
        <v>3.6</v>
      </c>
      <c r="K494" s="8"/>
    </row>
    <row r="495" spans="1:11">
      <c r="A495" s="14"/>
      <c r="B495" s="8"/>
      <c r="C495" s="8"/>
      <c r="D495" s="8"/>
      <c r="E495" s="8"/>
      <c r="F495" s="8" t="s">
        <v>503</v>
      </c>
      <c r="G495" s="8" t="s">
        <v>2020</v>
      </c>
      <c r="H495" s="13">
        <v>0.55</v>
      </c>
      <c r="I495" s="8" t="s">
        <v>24</v>
      </c>
      <c r="J495" s="8" t="s">
        <v>24</v>
      </c>
      <c r="K495" s="8"/>
    </row>
    <row r="496" spans="1:11">
      <c r="A496" s="9">
        <v>45545</v>
      </c>
      <c r="B496" s="8" t="s">
        <v>2785</v>
      </c>
      <c r="C496" s="13">
        <v>10</v>
      </c>
      <c r="D496" s="8" t="s">
        <v>477</v>
      </c>
      <c r="E496" s="8" t="s">
        <v>492</v>
      </c>
      <c r="F496" s="8" t="s">
        <v>1058</v>
      </c>
      <c r="G496" s="8" t="s">
        <v>2020</v>
      </c>
      <c r="H496" s="13">
        <v>7</v>
      </c>
      <c r="I496" s="13" t="s">
        <v>1744</v>
      </c>
      <c r="J496" s="13">
        <v>2.1</v>
      </c>
      <c r="K496" s="8" t="s">
        <v>74</v>
      </c>
    </row>
    <row r="497" spans="1:11">
      <c r="A497" s="14"/>
      <c r="B497" s="8"/>
      <c r="C497" s="8"/>
      <c r="D497" s="8"/>
      <c r="E497" s="8"/>
      <c r="F497" s="8" t="s">
        <v>1059</v>
      </c>
      <c r="G497" s="8" t="s">
        <v>2020</v>
      </c>
      <c r="H497" s="13">
        <v>2</v>
      </c>
      <c r="I497" s="13" t="s">
        <v>1744</v>
      </c>
      <c r="J497" s="13">
        <v>2.12</v>
      </c>
      <c r="K497" s="8"/>
    </row>
    <row r="498" spans="1:11">
      <c r="A498" s="14"/>
      <c r="B498" s="8"/>
      <c r="C498" s="8"/>
      <c r="D498" s="8"/>
      <c r="E498" s="8"/>
      <c r="F498" s="8" t="s">
        <v>1060</v>
      </c>
      <c r="G498" s="8" t="s">
        <v>2020</v>
      </c>
      <c r="H498" s="13">
        <v>0.3</v>
      </c>
      <c r="I498" s="13" t="s">
        <v>1745</v>
      </c>
      <c r="J498" s="13">
        <v>2.2</v>
      </c>
      <c r="K498" s="8"/>
    </row>
    <row r="499" spans="1:11">
      <c r="A499" s="14"/>
      <c r="B499" s="8"/>
      <c r="C499" s="8"/>
      <c r="D499" s="8"/>
      <c r="E499" s="8"/>
      <c r="F499" s="8" t="s">
        <v>503</v>
      </c>
      <c r="G499" s="8" t="s">
        <v>2020</v>
      </c>
      <c r="H499" s="13">
        <v>0.7</v>
      </c>
      <c r="I499" s="8" t="s">
        <v>24</v>
      </c>
      <c r="J499" s="8" t="s">
        <v>24</v>
      </c>
      <c r="K499" s="8"/>
    </row>
    <row r="500" spans="1:11">
      <c r="A500" s="9">
        <v>45545</v>
      </c>
      <c r="B500" s="8" t="s">
        <v>2786</v>
      </c>
      <c r="C500" s="13">
        <v>8</v>
      </c>
      <c r="D500" s="8" t="s">
        <v>492</v>
      </c>
      <c r="E500" s="8" t="s">
        <v>486</v>
      </c>
      <c r="F500" s="8" t="s">
        <v>1064</v>
      </c>
      <c r="G500" s="8" t="s">
        <v>2020</v>
      </c>
      <c r="H500" s="13">
        <v>7.04</v>
      </c>
      <c r="I500" s="13" t="s">
        <v>1744</v>
      </c>
      <c r="J500" s="13">
        <v>2.04</v>
      </c>
      <c r="K500" s="8" t="s">
        <v>86</v>
      </c>
    </row>
    <row r="501" spans="1:11">
      <c r="A501" s="14"/>
      <c r="B501" s="8"/>
      <c r="C501" s="8"/>
      <c r="D501" s="8"/>
      <c r="E501" s="8"/>
      <c r="F501" s="8" t="s">
        <v>1060</v>
      </c>
      <c r="G501" s="8" t="s">
        <v>2020</v>
      </c>
      <c r="H501" s="13">
        <v>0.48</v>
      </c>
      <c r="I501" s="13" t="s">
        <v>1745</v>
      </c>
      <c r="J501" s="13">
        <v>2.1</v>
      </c>
      <c r="K501" s="8"/>
    </row>
    <row r="502" spans="1:11">
      <c r="A502" s="14"/>
      <c r="B502" s="8"/>
      <c r="C502" s="8"/>
      <c r="D502" s="8"/>
      <c r="E502" s="8"/>
      <c r="F502" s="8" t="s">
        <v>503</v>
      </c>
      <c r="G502" s="8" t="s">
        <v>2020</v>
      </c>
      <c r="H502" s="13">
        <v>0.48</v>
      </c>
      <c r="I502" s="8" t="s">
        <v>24</v>
      </c>
      <c r="J502" s="8" t="s">
        <v>24</v>
      </c>
      <c r="K502" s="8"/>
    </row>
    <row r="503" spans="1:11">
      <c r="A503" s="9">
        <v>45541</v>
      </c>
      <c r="B503" s="8" t="s">
        <v>2787</v>
      </c>
      <c r="C503" s="13">
        <v>10</v>
      </c>
      <c r="D503" s="8" t="s">
        <v>477</v>
      </c>
      <c r="E503" s="8" t="s">
        <v>492</v>
      </c>
      <c r="F503" s="8" t="s">
        <v>1058</v>
      </c>
      <c r="G503" s="13">
        <v>1.27</v>
      </c>
      <c r="H503" s="13">
        <v>7</v>
      </c>
      <c r="I503" s="13" t="s">
        <v>1744</v>
      </c>
      <c r="J503" s="13">
        <v>2.1</v>
      </c>
      <c r="K503" s="8" t="s">
        <v>74</v>
      </c>
    </row>
    <row r="504" spans="1:11">
      <c r="A504" s="14"/>
      <c r="B504" s="8"/>
      <c r="C504" s="8"/>
      <c r="D504" s="8"/>
      <c r="E504" s="8"/>
      <c r="F504" s="8" t="s">
        <v>1059</v>
      </c>
      <c r="G504" s="13">
        <v>1.52</v>
      </c>
      <c r="H504" s="13">
        <v>2</v>
      </c>
      <c r="I504" s="13" t="s">
        <v>1744</v>
      </c>
      <c r="J504" s="13">
        <v>2.13</v>
      </c>
      <c r="K504" s="8"/>
    </row>
    <row r="505" spans="1:11">
      <c r="A505" s="14"/>
      <c r="B505" s="8"/>
      <c r="C505" s="8"/>
      <c r="D505" s="8"/>
      <c r="E505" s="8"/>
      <c r="F505" s="8" t="s">
        <v>1060</v>
      </c>
      <c r="G505" s="13">
        <v>1.52</v>
      </c>
      <c r="H505" s="13">
        <v>0.3</v>
      </c>
      <c r="I505" s="13" t="s">
        <v>1745</v>
      </c>
      <c r="J505" s="13">
        <v>2.21</v>
      </c>
      <c r="K505" s="8"/>
    </row>
    <row r="506" spans="1:11">
      <c r="A506" s="14"/>
      <c r="B506" s="8"/>
      <c r="C506" s="8"/>
      <c r="D506" s="8"/>
      <c r="E506" s="8"/>
      <c r="F506" s="8" t="s">
        <v>503</v>
      </c>
      <c r="G506" s="13">
        <v>2.02</v>
      </c>
      <c r="H506" s="13">
        <v>0.7</v>
      </c>
      <c r="I506" s="8" t="s">
        <v>24</v>
      </c>
      <c r="J506" s="8" t="s">
        <v>24</v>
      </c>
      <c r="K506" s="8"/>
    </row>
    <row r="507" spans="1:11">
      <c r="A507" s="9">
        <v>45540</v>
      </c>
      <c r="B507" s="8" t="s">
        <v>2788</v>
      </c>
      <c r="C507" s="13">
        <v>8</v>
      </c>
      <c r="D507" s="8" t="s">
        <v>536</v>
      </c>
      <c r="E507" s="8" t="s">
        <v>477</v>
      </c>
      <c r="F507" s="8" t="s">
        <v>531</v>
      </c>
      <c r="G507" s="13">
        <v>1.91</v>
      </c>
      <c r="H507" s="13">
        <v>7.12</v>
      </c>
      <c r="I507" s="13" t="s">
        <v>1744</v>
      </c>
      <c r="J507" s="13">
        <v>2.23</v>
      </c>
      <c r="K507" s="8" t="s">
        <v>129</v>
      </c>
    </row>
    <row r="508" spans="1:11">
      <c r="A508" s="14"/>
      <c r="B508" s="8"/>
      <c r="C508" s="8"/>
      <c r="D508" s="8"/>
      <c r="E508" s="8"/>
      <c r="F508" s="8" t="s">
        <v>539</v>
      </c>
      <c r="G508" s="13">
        <v>2</v>
      </c>
      <c r="H508" s="13">
        <v>0.32</v>
      </c>
      <c r="I508" s="13" t="s">
        <v>1745</v>
      </c>
      <c r="J508" s="13">
        <v>2.3</v>
      </c>
      <c r="K508" s="8"/>
    </row>
    <row r="509" spans="1:11">
      <c r="A509" s="14"/>
      <c r="B509" s="8"/>
      <c r="C509" s="8"/>
      <c r="D509" s="8"/>
      <c r="E509" s="8"/>
      <c r="F509" s="8" t="s">
        <v>503</v>
      </c>
      <c r="G509" s="13">
        <v>2.66</v>
      </c>
      <c r="H509" s="13">
        <v>0.56</v>
      </c>
      <c r="I509" s="8" t="s">
        <v>24</v>
      </c>
      <c r="J509" s="8" t="s">
        <v>24</v>
      </c>
      <c r="K509" s="8"/>
    </row>
    <row r="510" spans="1:11">
      <c r="A510" s="9">
        <v>45547</v>
      </c>
      <c r="B510" s="8" t="s">
        <v>2789</v>
      </c>
      <c r="C510" s="13">
        <v>20</v>
      </c>
      <c r="D510" s="8" t="s">
        <v>492</v>
      </c>
      <c r="E510" s="8" t="s">
        <v>1754</v>
      </c>
      <c r="F510" s="8" t="s">
        <v>1058</v>
      </c>
      <c r="G510" s="8" t="s">
        <v>2020</v>
      </c>
      <c r="H510" s="13">
        <v>14</v>
      </c>
      <c r="I510" s="13" t="s">
        <v>1744</v>
      </c>
      <c r="J510" s="13">
        <v>2.13</v>
      </c>
      <c r="K510" s="8" t="s">
        <v>74</v>
      </c>
    </row>
    <row r="511" spans="1:11">
      <c r="A511" s="14"/>
      <c r="B511" s="8"/>
      <c r="C511" s="8"/>
      <c r="D511" s="8"/>
      <c r="E511" s="8"/>
      <c r="F511" s="8" t="s">
        <v>1059</v>
      </c>
      <c r="G511" s="8" t="s">
        <v>2020</v>
      </c>
      <c r="H511" s="13">
        <v>4</v>
      </c>
      <c r="I511" s="13" t="s">
        <v>1744</v>
      </c>
      <c r="J511" s="13">
        <v>2.15</v>
      </c>
      <c r="K511" s="8"/>
    </row>
    <row r="512" spans="1:11">
      <c r="A512" s="14"/>
      <c r="B512" s="8"/>
      <c r="C512" s="8"/>
      <c r="D512" s="8"/>
      <c r="E512" s="8"/>
      <c r="F512" s="8" t="s">
        <v>1060</v>
      </c>
      <c r="G512" s="8" t="s">
        <v>2020</v>
      </c>
      <c r="H512" s="13">
        <v>0.6</v>
      </c>
      <c r="I512" s="13" t="s">
        <v>1745</v>
      </c>
      <c r="J512" s="13">
        <v>2.23</v>
      </c>
      <c r="K512" s="8"/>
    </row>
    <row r="513" spans="1:11">
      <c r="A513" s="14"/>
      <c r="B513" s="8"/>
      <c r="C513" s="8"/>
      <c r="D513" s="8"/>
      <c r="E513" s="8"/>
      <c r="F513" s="8" t="s">
        <v>503</v>
      </c>
      <c r="G513" s="8" t="s">
        <v>2020</v>
      </c>
      <c r="H513" s="13">
        <v>1.4</v>
      </c>
      <c r="I513" s="8" t="s">
        <v>24</v>
      </c>
      <c r="J513" s="8" t="s">
        <v>24</v>
      </c>
      <c r="K513" s="8"/>
    </row>
    <row r="514" spans="1:11">
      <c r="A514" s="9">
        <v>45555</v>
      </c>
      <c r="B514" s="8" t="s">
        <v>2790</v>
      </c>
      <c r="C514" s="13">
        <v>10</v>
      </c>
      <c r="D514" s="8" t="s">
        <v>477</v>
      </c>
      <c r="E514" s="8" t="s">
        <v>492</v>
      </c>
      <c r="F514" s="8" t="s">
        <v>1058</v>
      </c>
      <c r="G514" s="13">
        <v>0.98</v>
      </c>
      <c r="H514" s="13">
        <v>7</v>
      </c>
      <c r="I514" s="13" t="s">
        <v>1744</v>
      </c>
      <c r="J514" s="13">
        <v>2.1</v>
      </c>
      <c r="K514" s="8" t="s">
        <v>74</v>
      </c>
    </row>
    <row r="515" spans="1:11">
      <c r="A515" s="14"/>
      <c r="B515" s="8"/>
      <c r="C515" s="8"/>
      <c r="D515" s="8"/>
      <c r="E515" s="8"/>
      <c r="F515" s="8" t="s">
        <v>1059</v>
      </c>
      <c r="G515" s="13">
        <v>1.23</v>
      </c>
      <c r="H515" s="13">
        <v>2</v>
      </c>
      <c r="I515" s="13" t="s">
        <v>1744</v>
      </c>
      <c r="J515" s="13">
        <v>2.1</v>
      </c>
      <c r="K515" s="8"/>
    </row>
    <row r="516" spans="1:11">
      <c r="A516" s="14"/>
      <c r="B516" s="8"/>
      <c r="C516" s="8"/>
      <c r="D516" s="8"/>
      <c r="E516" s="8"/>
      <c r="F516" s="8" t="s">
        <v>1060</v>
      </c>
      <c r="G516" s="13">
        <v>1.23</v>
      </c>
      <c r="H516" s="13">
        <v>0.3</v>
      </c>
      <c r="I516" s="13" t="s">
        <v>1745</v>
      </c>
      <c r="J516" s="13">
        <v>2.2</v>
      </c>
      <c r="K516" s="8"/>
    </row>
    <row r="517" spans="1:11">
      <c r="A517" s="14"/>
      <c r="B517" s="8"/>
      <c r="C517" s="8"/>
      <c r="D517" s="8"/>
      <c r="E517" s="8"/>
      <c r="F517" s="8" t="s">
        <v>503</v>
      </c>
      <c r="G517" s="13">
        <v>1.73</v>
      </c>
      <c r="H517" s="13">
        <v>0.7</v>
      </c>
      <c r="I517" s="8" t="s">
        <v>24</v>
      </c>
      <c r="J517" s="8" t="s">
        <v>24</v>
      </c>
      <c r="K517" s="8"/>
    </row>
    <row r="518" spans="1:11">
      <c r="A518" s="9">
        <v>45554</v>
      </c>
      <c r="B518" s="8" t="s">
        <v>2791</v>
      </c>
      <c r="C518" s="13">
        <v>10</v>
      </c>
      <c r="D518" s="8" t="s">
        <v>492</v>
      </c>
      <c r="E518" s="8" t="s">
        <v>477</v>
      </c>
      <c r="F518" s="8" t="s">
        <v>1058</v>
      </c>
      <c r="G518" s="13">
        <v>1.23</v>
      </c>
      <c r="H518" s="13">
        <v>7</v>
      </c>
      <c r="I518" s="13" t="s">
        <v>1744</v>
      </c>
      <c r="J518" s="13">
        <v>2.13</v>
      </c>
      <c r="K518" s="8" t="s">
        <v>74</v>
      </c>
    </row>
    <row r="519" spans="1:11">
      <c r="A519" s="14"/>
      <c r="B519" s="8"/>
      <c r="C519" s="8"/>
      <c r="D519" s="8"/>
      <c r="E519" s="8"/>
      <c r="F519" s="8" t="s">
        <v>1059</v>
      </c>
      <c r="G519" s="13">
        <v>1.48</v>
      </c>
      <c r="H519" s="13">
        <v>2</v>
      </c>
      <c r="I519" s="13" t="s">
        <v>1744</v>
      </c>
      <c r="J519" s="13">
        <v>2.15</v>
      </c>
      <c r="K519" s="8"/>
    </row>
    <row r="520" spans="1:11">
      <c r="A520" s="14"/>
      <c r="B520" s="8"/>
      <c r="C520" s="8"/>
      <c r="D520" s="8"/>
      <c r="E520" s="8"/>
      <c r="F520" s="8" t="s">
        <v>1060</v>
      </c>
      <c r="G520" s="13">
        <v>1.48</v>
      </c>
      <c r="H520" s="13">
        <v>0.3</v>
      </c>
      <c r="I520" s="13" t="s">
        <v>1745</v>
      </c>
      <c r="J520" s="13">
        <v>2.2</v>
      </c>
      <c r="K520" s="8"/>
    </row>
    <row r="521" spans="1:11">
      <c r="A521" s="14"/>
      <c r="B521" s="8"/>
      <c r="C521" s="8"/>
      <c r="D521" s="8"/>
      <c r="E521" s="8"/>
      <c r="F521" s="8" t="s">
        <v>503</v>
      </c>
      <c r="G521" s="13">
        <v>1.99</v>
      </c>
      <c r="H521" s="13">
        <v>0.7</v>
      </c>
      <c r="I521" s="8" t="s">
        <v>24</v>
      </c>
      <c r="J521" s="8" t="s">
        <v>24</v>
      </c>
      <c r="K521" s="8"/>
    </row>
    <row r="522" spans="1:11">
      <c r="A522" s="9">
        <v>45554</v>
      </c>
      <c r="B522" s="8" t="s">
        <v>2792</v>
      </c>
      <c r="C522" s="13">
        <v>10</v>
      </c>
      <c r="D522" s="8" t="s">
        <v>492</v>
      </c>
      <c r="E522" s="8" t="s">
        <v>1754</v>
      </c>
      <c r="F522" s="8" t="s">
        <v>1058</v>
      </c>
      <c r="G522" s="13">
        <v>0.98</v>
      </c>
      <c r="H522" s="13">
        <v>7</v>
      </c>
      <c r="I522" s="13" t="s">
        <v>1744</v>
      </c>
      <c r="J522" s="13">
        <v>2.08</v>
      </c>
      <c r="K522" s="8" t="s">
        <v>74</v>
      </c>
    </row>
    <row r="523" spans="1:11">
      <c r="A523" s="14"/>
      <c r="B523" s="8"/>
      <c r="C523" s="8"/>
      <c r="D523" s="8"/>
      <c r="E523" s="8"/>
      <c r="F523" s="8" t="s">
        <v>1059</v>
      </c>
      <c r="G523" s="13">
        <v>1.23</v>
      </c>
      <c r="H523" s="13">
        <v>2</v>
      </c>
      <c r="I523" s="13" t="s">
        <v>1744</v>
      </c>
      <c r="J523" s="13">
        <v>2.12</v>
      </c>
      <c r="K523" s="8"/>
    </row>
    <row r="524" spans="1:11">
      <c r="A524" s="14"/>
      <c r="B524" s="8"/>
      <c r="C524" s="8"/>
      <c r="D524" s="8"/>
      <c r="E524" s="8"/>
      <c r="F524" s="8" t="s">
        <v>1060</v>
      </c>
      <c r="G524" s="13">
        <v>1.23</v>
      </c>
      <c r="H524" s="13">
        <v>0.3</v>
      </c>
      <c r="I524" s="13" t="s">
        <v>1745</v>
      </c>
      <c r="J524" s="13">
        <v>2.2</v>
      </c>
      <c r="K524" s="8"/>
    </row>
    <row r="525" spans="1:11">
      <c r="A525" s="14"/>
      <c r="B525" s="8"/>
      <c r="C525" s="8"/>
      <c r="D525" s="8"/>
      <c r="E525" s="8"/>
      <c r="F525" s="8" t="s">
        <v>503</v>
      </c>
      <c r="G525" s="13">
        <v>1.73</v>
      </c>
      <c r="H525" s="13">
        <v>0.7</v>
      </c>
      <c r="I525" s="8" t="s">
        <v>24</v>
      </c>
      <c r="J525" s="8" t="s">
        <v>24</v>
      </c>
      <c r="K525" s="8"/>
    </row>
    <row r="526" spans="1:11">
      <c r="A526" s="9">
        <v>45555</v>
      </c>
      <c r="B526" s="8" t="s">
        <v>2793</v>
      </c>
      <c r="C526" s="13">
        <v>10</v>
      </c>
      <c r="D526" s="8" t="s">
        <v>492</v>
      </c>
      <c r="E526" s="8" t="s">
        <v>1754</v>
      </c>
      <c r="F526" s="8" t="s">
        <v>1058</v>
      </c>
      <c r="G526" s="13">
        <v>1.23</v>
      </c>
      <c r="H526" s="13">
        <v>7</v>
      </c>
      <c r="I526" s="13" t="s">
        <v>1744</v>
      </c>
      <c r="J526" s="13">
        <v>2.1</v>
      </c>
      <c r="K526" s="8" t="s">
        <v>74</v>
      </c>
    </row>
    <row r="527" spans="1:11">
      <c r="A527" s="14"/>
      <c r="B527" s="8"/>
      <c r="C527" s="8"/>
      <c r="D527" s="8"/>
      <c r="E527" s="8"/>
      <c r="F527" s="8" t="s">
        <v>1059</v>
      </c>
      <c r="G527" s="13">
        <v>1.48</v>
      </c>
      <c r="H527" s="13">
        <v>2</v>
      </c>
      <c r="I527" s="13" t="s">
        <v>1744</v>
      </c>
      <c r="J527" s="13">
        <v>2.1</v>
      </c>
      <c r="K527" s="8"/>
    </row>
    <row r="528" spans="1:11">
      <c r="A528" s="14"/>
      <c r="B528" s="8"/>
      <c r="C528" s="8"/>
      <c r="D528" s="8"/>
      <c r="E528" s="8"/>
      <c r="F528" s="8" t="s">
        <v>1060</v>
      </c>
      <c r="G528" s="13">
        <v>1.48</v>
      </c>
      <c r="H528" s="13">
        <v>0.3</v>
      </c>
      <c r="I528" s="13" t="s">
        <v>1745</v>
      </c>
      <c r="J528" s="13">
        <v>2.2</v>
      </c>
      <c r="K528" s="8"/>
    </row>
    <row r="529" spans="1:11">
      <c r="A529" s="14"/>
      <c r="B529" s="8"/>
      <c r="C529" s="8"/>
      <c r="D529" s="8"/>
      <c r="E529" s="8"/>
      <c r="F529" s="8" t="s">
        <v>503</v>
      </c>
      <c r="G529" s="13">
        <v>1.98</v>
      </c>
      <c r="H529" s="13">
        <v>0.7</v>
      </c>
      <c r="I529" s="8" t="s">
        <v>24</v>
      </c>
      <c r="J529" s="8" t="s">
        <v>24</v>
      </c>
      <c r="K529" s="8"/>
    </row>
    <row r="530" spans="1:11">
      <c r="A530" s="9">
        <v>45554</v>
      </c>
      <c r="B530" s="8" t="s">
        <v>2794</v>
      </c>
      <c r="C530" s="13">
        <v>8</v>
      </c>
      <c r="D530" s="8" t="s">
        <v>492</v>
      </c>
      <c r="E530" s="8" t="s">
        <v>486</v>
      </c>
      <c r="F530" s="8" t="s">
        <v>531</v>
      </c>
      <c r="G530" s="13">
        <v>1.02</v>
      </c>
      <c r="H530" s="13">
        <v>7.04</v>
      </c>
      <c r="I530" s="13" t="s">
        <v>1744</v>
      </c>
      <c r="J530" s="13">
        <v>2.12</v>
      </c>
      <c r="K530" s="8" t="s">
        <v>86</v>
      </c>
    </row>
    <row r="531" spans="1:11">
      <c r="A531" s="14"/>
      <c r="B531" s="8"/>
      <c r="C531" s="8"/>
      <c r="D531" s="8"/>
      <c r="E531" s="8"/>
      <c r="F531" s="8" t="s">
        <v>539</v>
      </c>
      <c r="G531" s="13">
        <v>1.02</v>
      </c>
      <c r="H531" s="13">
        <v>0.48</v>
      </c>
      <c r="I531" s="13" t="s">
        <v>1745</v>
      </c>
      <c r="J531" s="13">
        <v>2.08</v>
      </c>
      <c r="K531" s="8"/>
    </row>
    <row r="532" spans="1:11">
      <c r="A532" s="14"/>
      <c r="B532" s="8"/>
      <c r="C532" s="8"/>
      <c r="D532" s="8"/>
      <c r="E532" s="8"/>
      <c r="F532" s="8" t="s">
        <v>503</v>
      </c>
      <c r="G532" s="13">
        <v>4.02</v>
      </c>
      <c r="H532" s="13">
        <v>0.48</v>
      </c>
      <c r="I532" s="8" t="s">
        <v>24</v>
      </c>
      <c r="J532" s="8" t="s">
        <v>24</v>
      </c>
      <c r="K532" s="8"/>
    </row>
    <row r="533" spans="1:11">
      <c r="A533" s="9">
        <v>45548</v>
      </c>
      <c r="B533" s="8" t="s">
        <v>2795</v>
      </c>
      <c r="C533" s="13">
        <v>10</v>
      </c>
      <c r="D533" s="8" t="s">
        <v>521</v>
      </c>
      <c r="E533" s="8" t="s">
        <v>492</v>
      </c>
      <c r="F533" s="8" t="s">
        <v>1058</v>
      </c>
      <c r="G533" s="13">
        <v>1.01</v>
      </c>
      <c r="H533" s="13">
        <v>3</v>
      </c>
      <c r="I533" s="13" t="s">
        <v>1744</v>
      </c>
      <c r="J533" s="13">
        <v>2.04</v>
      </c>
      <c r="K533" s="8" t="s">
        <v>86</v>
      </c>
    </row>
    <row r="534" spans="1:11">
      <c r="A534" s="14"/>
      <c r="B534" s="8"/>
      <c r="C534" s="8"/>
      <c r="D534" s="8"/>
      <c r="E534" s="8"/>
      <c r="F534" s="8" t="s">
        <v>1059</v>
      </c>
      <c r="G534" s="13">
        <v>1.01</v>
      </c>
      <c r="H534" s="13">
        <v>5.8</v>
      </c>
      <c r="I534" s="13" t="s">
        <v>1744</v>
      </c>
      <c r="J534" s="13">
        <v>2.04</v>
      </c>
      <c r="K534" s="8"/>
    </row>
    <row r="535" spans="1:11">
      <c r="A535" s="14"/>
      <c r="B535" s="8"/>
      <c r="C535" s="8"/>
      <c r="D535" s="8"/>
      <c r="E535" s="8"/>
      <c r="F535" s="8" t="s">
        <v>1060</v>
      </c>
      <c r="G535" s="13">
        <v>1.01</v>
      </c>
      <c r="H535" s="13">
        <v>0.6</v>
      </c>
      <c r="I535" s="13" t="s">
        <v>1745</v>
      </c>
      <c r="J535" s="13">
        <v>2.15</v>
      </c>
      <c r="K535" s="8"/>
    </row>
    <row r="536" spans="1:11">
      <c r="A536" s="14"/>
      <c r="B536" s="8"/>
      <c r="C536" s="8"/>
      <c r="D536" s="8"/>
      <c r="E536" s="8"/>
      <c r="F536" s="8" t="s">
        <v>503</v>
      </c>
      <c r="G536" s="13">
        <v>3.17</v>
      </c>
      <c r="H536" s="13">
        <v>0.6</v>
      </c>
      <c r="I536" s="8" t="s">
        <v>24</v>
      </c>
      <c r="J536" s="8" t="s">
        <v>24</v>
      </c>
      <c r="K536" s="8"/>
    </row>
    <row r="537" spans="1:11">
      <c r="A537" s="9">
        <v>45548</v>
      </c>
      <c r="B537" s="8" t="s">
        <v>2796</v>
      </c>
      <c r="C537" s="13">
        <v>10</v>
      </c>
      <c r="D537" s="8" t="s">
        <v>492</v>
      </c>
      <c r="E537" s="8" t="s">
        <v>477</v>
      </c>
      <c r="F537" s="8" t="s">
        <v>1058</v>
      </c>
      <c r="G537" s="13">
        <v>1</v>
      </c>
      <c r="H537" s="13">
        <v>7</v>
      </c>
      <c r="I537" s="13" t="s">
        <v>1744</v>
      </c>
      <c r="J537" s="13">
        <v>2.09</v>
      </c>
      <c r="K537" s="8" t="s">
        <v>74</v>
      </c>
    </row>
    <row r="538" spans="1:11">
      <c r="A538" s="14"/>
      <c r="B538" s="8"/>
      <c r="C538" s="8"/>
      <c r="D538" s="8"/>
      <c r="E538" s="8"/>
      <c r="F538" s="8" t="s">
        <v>1059</v>
      </c>
      <c r="G538" s="13">
        <v>1.25</v>
      </c>
      <c r="H538" s="13">
        <v>2</v>
      </c>
      <c r="I538" s="13" t="s">
        <v>1744</v>
      </c>
      <c r="J538" s="13">
        <v>2.13</v>
      </c>
      <c r="K538" s="8"/>
    </row>
    <row r="539" spans="1:11">
      <c r="A539" s="14"/>
      <c r="B539" s="8"/>
      <c r="C539" s="8"/>
      <c r="D539" s="8"/>
      <c r="E539" s="8"/>
      <c r="F539" s="8" t="s">
        <v>1060</v>
      </c>
      <c r="G539" s="13">
        <v>1.25</v>
      </c>
      <c r="H539" s="13">
        <v>0.3</v>
      </c>
      <c r="I539" s="13" t="s">
        <v>1745</v>
      </c>
      <c r="J539" s="13">
        <v>2.2</v>
      </c>
      <c r="K539" s="8"/>
    </row>
    <row r="540" spans="1:11">
      <c r="A540" s="14"/>
      <c r="B540" s="8"/>
      <c r="C540" s="8"/>
      <c r="D540" s="8"/>
      <c r="E540" s="8"/>
      <c r="F540" s="8" t="s">
        <v>503</v>
      </c>
      <c r="G540" s="13">
        <v>1.75</v>
      </c>
      <c r="H540" s="13">
        <v>0.7</v>
      </c>
      <c r="I540" s="8" t="s">
        <v>24</v>
      </c>
      <c r="J540" s="16"/>
      <c r="K540" s="8"/>
    </row>
    <row r="541" spans="1:11">
      <c r="A541" s="9">
        <v>45547</v>
      </c>
      <c r="B541" s="8" t="s">
        <v>2797</v>
      </c>
      <c r="C541" s="13">
        <v>10</v>
      </c>
      <c r="D541" s="8" t="s">
        <v>911</v>
      </c>
      <c r="E541" s="8" t="s">
        <v>2568</v>
      </c>
      <c r="F541" s="8" t="s">
        <v>1064</v>
      </c>
      <c r="G541" s="13">
        <v>1.99</v>
      </c>
      <c r="H541" s="13">
        <v>8.7</v>
      </c>
      <c r="I541" s="13" t="s">
        <v>1744</v>
      </c>
      <c r="J541" s="13">
        <v>2.18</v>
      </c>
      <c r="K541" s="8" t="s">
        <v>35</v>
      </c>
    </row>
    <row r="542" spans="1:11">
      <c r="A542" s="14"/>
      <c r="B542" s="8"/>
      <c r="C542" s="8"/>
      <c r="D542" s="8"/>
      <c r="E542" s="8"/>
      <c r="F542" s="8" t="s">
        <v>1060</v>
      </c>
      <c r="G542" s="13">
        <v>1.99</v>
      </c>
      <c r="H542" s="13">
        <v>0.3</v>
      </c>
      <c r="I542" s="13" t="s">
        <v>1745</v>
      </c>
      <c r="J542" s="13">
        <v>2.3</v>
      </c>
      <c r="K542" s="8"/>
    </row>
    <row r="543" spans="1:11">
      <c r="A543" s="14"/>
      <c r="B543" s="8"/>
      <c r="C543" s="8"/>
      <c r="D543" s="8"/>
      <c r="E543" s="8"/>
      <c r="F543" s="8" t="s">
        <v>1061</v>
      </c>
      <c r="G543" s="13">
        <v>1.99</v>
      </c>
      <c r="H543" s="13">
        <v>0.5</v>
      </c>
      <c r="I543" s="13" t="s">
        <v>2635</v>
      </c>
      <c r="J543" s="13">
        <v>3.7</v>
      </c>
      <c r="K543" s="8"/>
    </row>
    <row r="544" spans="1:11">
      <c r="A544" s="14"/>
      <c r="B544" s="8"/>
      <c r="C544" s="8"/>
      <c r="D544" s="8"/>
      <c r="E544" s="8"/>
      <c r="F544" s="8" t="s">
        <v>503</v>
      </c>
      <c r="G544" s="13">
        <v>1.99</v>
      </c>
      <c r="H544" s="13">
        <v>0.5</v>
      </c>
      <c r="I544" s="8" t="s">
        <v>24</v>
      </c>
      <c r="J544" s="8" t="s">
        <v>24</v>
      </c>
      <c r="K544" s="8"/>
    </row>
    <row r="545" spans="1:11">
      <c r="A545" s="9">
        <v>45546</v>
      </c>
      <c r="B545" s="8" t="s">
        <v>2798</v>
      </c>
      <c r="C545" s="13">
        <v>15</v>
      </c>
      <c r="D545" s="8" t="s">
        <v>477</v>
      </c>
      <c r="E545" s="8" t="s">
        <v>477</v>
      </c>
      <c r="F545" s="8" t="s">
        <v>1064</v>
      </c>
      <c r="G545" s="13">
        <v>1.49</v>
      </c>
      <c r="H545" s="13">
        <v>12.3</v>
      </c>
      <c r="I545" s="13" t="s">
        <v>1744</v>
      </c>
      <c r="J545" s="13">
        <v>2.35</v>
      </c>
      <c r="K545" s="8" t="s">
        <v>35</v>
      </c>
    </row>
    <row r="546" spans="1:11">
      <c r="A546" s="14"/>
      <c r="B546" s="8"/>
      <c r="C546" s="8"/>
      <c r="D546" s="8"/>
      <c r="E546" s="8"/>
      <c r="F546" s="8" t="s">
        <v>1060</v>
      </c>
      <c r="G546" s="13">
        <v>1.49</v>
      </c>
      <c r="H546" s="13">
        <v>0.6</v>
      </c>
      <c r="I546" s="13" t="s">
        <v>1745</v>
      </c>
      <c r="J546" s="13">
        <v>2.38</v>
      </c>
      <c r="K546" s="8"/>
    </row>
    <row r="547" spans="1:11">
      <c r="A547" s="14"/>
      <c r="B547" s="8"/>
      <c r="C547" s="8"/>
      <c r="D547" s="8"/>
      <c r="E547" s="8"/>
      <c r="F547" s="8" t="s">
        <v>509</v>
      </c>
      <c r="G547" s="13">
        <v>1.99</v>
      </c>
      <c r="H547" s="13">
        <v>0.825</v>
      </c>
      <c r="I547" s="13" t="s">
        <v>2673</v>
      </c>
      <c r="J547" s="13">
        <v>3.7</v>
      </c>
      <c r="K547" s="8"/>
    </row>
    <row r="548" spans="1:11">
      <c r="A548" s="14"/>
      <c r="B548" s="8"/>
      <c r="C548" s="8"/>
      <c r="D548" s="8"/>
      <c r="E548" s="8"/>
      <c r="F548" s="8" t="s">
        <v>503</v>
      </c>
      <c r="G548" s="13">
        <v>1.99</v>
      </c>
      <c r="H548" s="13">
        <v>1.275</v>
      </c>
      <c r="I548" s="8" t="s">
        <v>24</v>
      </c>
      <c r="J548" s="8" t="s">
        <v>24</v>
      </c>
      <c r="K548" s="8"/>
    </row>
    <row r="549" spans="1:11">
      <c r="A549" s="9">
        <v>45548</v>
      </c>
      <c r="B549" s="8" t="s">
        <v>2799</v>
      </c>
      <c r="C549" s="13">
        <v>10</v>
      </c>
      <c r="D549" s="8" t="s">
        <v>477</v>
      </c>
      <c r="E549" s="8" t="s">
        <v>536</v>
      </c>
      <c r="F549" s="8" t="s">
        <v>1064</v>
      </c>
      <c r="G549" s="13">
        <v>1.99</v>
      </c>
      <c r="H549" s="13">
        <v>8.7</v>
      </c>
      <c r="I549" s="13" t="s">
        <v>1744</v>
      </c>
      <c r="J549" s="13">
        <v>2.3</v>
      </c>
      <c r="K549" s="8" t="s">
        <v>35</v>
      </c>
    </row>
    <row r="550" spans="1:11">
      <c r="A550" s="14"/>
      <c r="B550" s="8"/>
      <c r="C550" s="8"/>
      <c r="D550" s="8"/>
      <c r="E550" s="8"/>
      <c r="F550" s="8" t="s">
        <v>1060</v>
      </c>
      <c r="G550" s="13">
        <v>2.08</v>
      </c>
      <c r="H550" s="13">
        <v>0.4</v>
      </c>
      <c r="I550" s="13" t="s">
        <v>1745</v>
      </c>
      <c r="J550" s="13">
        <v>2.4</v>
      </c>
      <c r="K550" s="8"/>
    </row>
    <row r="551" spans="1:11">
      <c r="A551" s="14"/>
      <c r="B551" s="8"/>
      <c r="C551" s="8"/>
      <c r="D551" s="8"/>
      <c r="E551" s="8"/>
      <c r="F551" s="8" t="s">
        <v>503</v>
      </c>
      <c r="G551" s="13">
        <v>2.66</v>
      </c>
      <c r="H551" s="13">
        <v>0.9</v>
      </c>
      <c r="I551" s="8" t="s">
        <v>24</v>
      </c>
      <c r="J551" s="16"/>
      <c r="K551" s="8"/>
    </row>
    <row r="552" spans="1:11">
      <c r="A552" s="9">
        <v>45548</v>
      </c>
      <c r="B552" s="8" t="s">
        <v>2800</v>
      </c>
      <c r="C552" s="13">
        <v>10</v>
      </c>
      <c r="D552" s="8" t="s">
        <v>477</v>
      </c>
      <c r="E552" s="8" t="s">
        <v>492</v>
      </c>
      <c r="F552" s="8" t="s">
        <v>1058</v>
      </c>
      <c r="G552" s="13">
        <v>1.25</v>
      </c>
      <c r="H552" s="13">
        <v>7</v>
      </c>
      <c r="I552" s="13" t="s">
        <v>1744</v>
      </c>
      <c r="J552" s="13">
        <v>2.13</v>
      </c>
      <c r="K552" s="8" t="s">
        <v>74</v>
      </c>
    </row>
    <row r="553" spans="1:11">
      <c r="A553" s="14"/>
      <c r="B553" s="8"/>
      <c r="C553" s="8"/>
      <c r="D553" s="8"/>
      <c r="E553" s="8"/>
      <c r="F553" s="8" t="s">
        <v>1059</v>
      </c>
      <c r="G553" s="13">
        <v>1.5</v>
      </c>
      <c r="H553" s="13">
        <v>2</v>
      </c>
      <c r="I553" s="13" t="s">
        <v>1744</v>
      </c>
      <c r="J553" s="13">
        <v>2.15</v>
      </c>
      <c r="K553" s="8"/>
    </row>
    <row r="554" spans="1:11">
      <c r="A554" s="14"/>
      <c r="B554" s="8"/>
      <c r="C554" s="8"/>
      <c r="D554" s="8"/>
      <c r="E554" s="8"/>
      <c r="F554" s="8" t="s">
        <v>1060</v>
      </c>
      <c r="G554" s="13">
        <v>1.5</v>
      </c>
      <c r="H554" s="13">
        <v>0.3</v>
      </c>
      <c r="I554" s="13" t="s">
        <v>1745</v>
      </c>
      <c r="J554" s="13">
        <v>2.2</v>
      </c>
      <c r="K554" s="8"/>
    </row>
    <row r="555" spans="1:11">
      <c r="A555" s="14"/>
      <c r="B555" s="8"/>
      <c r="C555" s="8"/>
      <c r="D555" s="8"/>
      <c r="E555" s="8"/>
      <c r="F555" s="8" t="s">
        <v>503</v>
      </c>
      <c r="G555" s="13">
        <v>2</v>
      </c>
      <c r="H555" s="13">
        <v>0.7</v>
      </c>
      <c r="I555" s="8" t="s">
        <v>24</v>
      </c>
      <c r="J555" s="8" t="s">
        <v>24</v>
      </c>
      <c r="K555" s="8"/>
    </row>
    <row r="556" spans="1:11">
      <c r="A556" s="9">
        <v>45555</v>
      </c>
      <c r="B556" s="8" t="s">
        <v>2801</v>
      </c>
      <c r="C556" s="13">
        <v>8</v>
      </c>
      <c r="D556" s="8" t="s">
        <v>536</v>
      </c>
      <c r="E556" s="8" t="s">
        <v>477</v>
      </c>
      <c r="F556" s="8" t="s">
        <v>1064</v>
      </c>
      <c r="G556" s="13">
        <v>1.92</v>
      </c>
      <c r="H556" s="13">
        <v>7.12</v>
      </c>
      <c r="I556" s="13" t="s">
        <v>1744</v>
      </c>
      <c r="J556" s="13">
        <v>2.2</v>
      </c>
      <c r="K556" s="8" t="s">
        <v>129</v>
      </c>
    </row>
    <row r="557" spans="1:11">
      <c r="A557" s="14"/>
      <c r="B557" s="8"/>
      <c r="C557" s="8"/>
      <c r="D557" s="8"/>
      <c r="E557" s="8"/>
      <c r="F557" s="8" t="s">
        <v>1060</v>
      </c>
      <c r="G557" s="13">
        <v>2</v>
      </c>
      <c r="H557" s="13">
        <v>0.32</v>
      </c>
      <c r="I557" s="13" t="s">
        <v>1745</v>
      </c>
      <c r="J557" s="13">
        <v>2.25</v>
      </c>
      <c r="K557" s="8"/>
    </row>
    <row r="558" spans="1:11">
      <c r="A558" s="14"/>
      <c r="B558" s="8"/>
      <c r="C558" s="8"/>
      <c r="D558" s="8"/>
      <c r="E558" s="8"/>
      <c r="F558" s="8" t="s">
        <v>503</v>
      </c>
      <c r="G558" s="13">
        <v>2.66</v>
      </c>
      <c r="H558" s="13">
        <v>0.56</v>
      </c>
      <c r="I558" s="8" t="s">
        <v>24</v>
      </c>
      <c r="J558" s="8" t="s">
        <v>24</v>
      </c>
      <c r="K558" s="8"/>
    </row>
    <row r="559" spans="1:11">
      <c r="A559" s="9">
        <v>45555</v>
      </c>
      <c r="B559" s="8" t="s">
        <v>2802</v>
      </c>
      <c r="C559" s="13">
        <v>6</v>
      </c>
      <c r="D559" s="8" t="s">
        <v>477</v>
      </c>
      <c r="E559" s="8" t="s">
        <v>536</v>
      </c>
      <c r="F559" s="8" t="s">
        <v>1064</v>
      </c>
      <c r="G559" s="13">
        <v>1.01</v>
      </c>
      <c r="H559" s="13">
        <v>5.34</v>
      </c>
      <c r="I559" s="13" t="s">
        <v>1744</v>
      </c>
      <c r="J559" s="13">
        <v>2.1</v>
      </c>
      <c r="K559" s="8" t="s">
        <v>129</v>
      </c>
    </row>
    <row r="560" spans="1:11">
      <c r="A560" s="14"/>
      <c r="B560" s="8"/>
      <c r="C560" s="8"/>
      <c r="D560" s="8"/>
      <c r="E560" s="8"/>
      <c r="F560" s="8" t="s">
        <v>1060</v>
      </c>
      <c r="G560" s="13">
        <v>1.17</v>
      </c>
      <c r="H560" s="13">
        <v>0.3</v>
      </c>
      <c r="I560" s="13" t="s">
        <v>1745</v>
      </c>
      <c r="J560" s="13">
        <v>2.15</v>
      </c>
      <c r="K560" s="8"/>
    </row>
    <row r="561" spans="1:11">
      <c r="A561" s="14"/>
      <c r="B561" s="8"/>
      <c r="C561" s="8"/>
      <c r="D561" s="8"/>
      <c r="E561" s="8"/>
      <c r="F561" s="8" t="s">
        <v>503</v>
      </c>
      <c r="G561" s="13">
        <v>1.75</v>
      </c>
      <c r="H561" s="13">
        <v>0.36</v>
      </c>
      <c r="I561" s="8" t="s">
        <v>24</v>
      </c>
      <c r="J561" s="16"/>
      <c r="K561" s="8"/>
    </row>
    <row r="562" spans="1:11">
      <c r="A562" s="9">
        <v>45560</v>
      </c>
      <c r="B562" s="8" t="s">
        <v>2803</v>
      </c>
      <c r="C562" s="13">
        <v>10</v>
      </c>
      <c r="D562" s="8" t="s">
        <v>911</v>
      </c>
      <c r="E562" s="8" t="s">
        <v>2568</v>
      </c>
      <c r="F562" s="8" t="s">
        <v>1064</v>
      </c>
      <c r="G562" s="13">
        <v>2</v>
      </c>
      <c r="H562" s="13">
        <v>8.7</v>
      </c>
      <c r="I562" s="13" t="s">
        <v>1744</v>
      </c>
      <c r="J562" s="13">
        <v>2.25</v>
      </c>
      <c r="K562" s="8" t="s">
        <v>35</v>
      </c>
    </row>
    <row r="563" spans="1:11">
      <c r="A563" s="14"/>
      <c r="B563" s="8"/>
      <c r="C563" s="8"/>
      <c r="D563" s="8"/>
      <c r="E563" s="8"/>
      <c r="F563" s="8" t="s">
        <v>1060</v>
      </c>
      <c r="G563" s="13">
        <v>2</v>
      </c>
      <c r="H563" s="13">
        <v>0.3</v>
      </c>
      <c r="I563" s="13" t="s">
        <v>1745</v>
      </c>
      <c r="J563" s="13">
        <v>2.35</v>
      </c>
      <c r="K563" s="8"/>
    </row>
    <row r="564" spans="1:11">
      <c r="A564" s="14"/>
      <c r="B564" s="8"/>
      <c r="C564" s="8"/>
      <c r="D564" s="8"/>
      <c r="E564" s="8"/>
      <c r="F564" s="8" t="s">
        <v>1061</v>
      </c>
      <c r="G564" s="13">
        <v>2</v>
      </c>
      <c r="H564" s="13">
        <v>0.5</v>
      </c>
      <c r="I564" s="13" t="s">
        <v>2635</v>
      </c>
      <c r="J564" s="13">
        <v>3.7</v>
      </c>
      <c r="K564" s="8"/>
    </row>
    <row r="565" spans="1:11">
      <c r="A565" s="14"/>
      <c r="B565" s="8"/>
      <c r="C565" s="8"/>
      <c r="D565" s="8"/>
      <c r="E565" s="8"/>
      <c r="F565" s="8" t="s">
        <v>503</v>
      </c>
      <c r="G565" s="13">
        <v>2</v>
      </c>
      <c r="H565" s="13">
        <v>0.5</v>
      </c>
      <c r="I565" s="8" t="s">
        <v>24</v>
      </c>
      <c r="J565" s="8" t="s">
        <v>24</v>
      </c>
      <c r="K565" s="8"/>
    </row>
    <row r="566" spans="1:11">
      <c r="A566" s="9">
        <v>45561</v>
      </c>
      <c r="B566" s="8" t="s">
        <v>2804</v>
      </c>
      <c r="C566" s="13">
        <v>6</v>
      </c>
      <c r="D566" s="8" t="s">
        <v>486</v>
      </c>
      <c r="E566" s="8" t="s">
        <v>486</v>
      </c>
      <c r="F566" s="8" t="s">
        <v>1064</v>
      </c>
      <c r="G566" s="13">
        <v>1</v>
      </c>
      <c r="H566" s="13">
        <v>5.28</v>
      </c>
      <c r="I566" s="13" t="s">
        <v>1744</v>
      </c>
      <c r="J566" s="13">
        <v>2.08</v>
      </c>
      <c r="K566" s="8" t="s">
        <v>86</v>
      </c>
    </row>
    <row r="567" spans="1:11">
      <c r="A567" s="14"/>
      <c r="B567" s="8"/>
      <c r="C567" s="8"/>
      <c r="D567" s="8"/>
      <c r="E567" s="8"/>
      <c r="F567" s="8" t="s">
        <v>1060</v>
      </c>
      <c r="G567" s="13">
        <v>1</v>
      </c>
      <c r="H567" s="13">
        <v>0.36</v>
      </c>
      <c r="I567" s="13" t="s">
        <v>1745</v>
      </c>
      <c r="J567" s="13">
        <v>2.12</v>
      </c>
      <c r="K567" s="8"/>
    </row>
    <row r="568" spans="1:11">
      <c r="A568" s="14"/>
      <c r="B568" s="8"/>
      <c r="C568" s="8"/>
      <c r="D568" s="8"/>
      <c r="E568" s="8"/>
      <c r="F568" s="8" t="s">
        <v>503</v>
      </c>
      <c r="G568" s="13">
        <v>4</v>
      </c>
      <c r="H568" s="13">
        <v>0.36</v>
      </c>
      <c r="I568" s="8" t="s">
        <v>24</v>
      </c>
      <c r="J568" s="8" t="s">
        <v>24</v>
      </c>
      <c r="K568" s="8"/>
    </row>
    <row r="569" spans="1:11">
      <c r="A569" s="9">
        <v>45559</v>
      </c>
      <c r="B569" s="8" t="s">
        <v>2805</v>
      </c>
      <c r="C569" s="13">
        <v>10</v>
      </c>
      <c r="D569" s="8" t="s">
        <v>486</v>
      </c>
      <c r="E569" s="8" t="s">
        <v>486</v>
      </c>
      <c r="F569" s="8" t="s">
        <v>1064</v>
      </c>
      <c r="G569" s="13">
        <v>1.81</v>
      </c>
      <c r="H569" s="13">
        <v>8.4</v>
      </c>
      <c r="I569" s="13" t="s">
        <v>1744</v>
      </c>
      <c r="J569" s="13">
        <v>2.12</v>
      </c>
      <c r="K569" s="8" t="s">
        <v>18</v>
      </c>
    </row>
    <row r="570" spans="1:11">
      <c r="A570" s="14"/>
      <c r="B570" s="8"/>
      <c r="C570" s="8"/>
      <c r="D570" s="8"/>
      <c r="E570" s="8"/>
      <c r="F570" s="8" t="s">
        <v>1060</v>
      </c>
      <c r="G570" s="13">
        <v>1.9</v>
      </c>
      <c r="H570" s="13">
        <v>0.5</v>
      </c>
      <c r="I570" s="13" t="s">
        <v>1745</v>
      </c>
      <c r="J570" s="13">
        <v>2.2</v>
      </c>
      <c r="K570" s="8"/>
    </row>
    <row r="571" spans="1:11">
      <c r="A571" s="14"/>
      <c r="B571" s="8"/>
      <c r="C571" s="8"/>
      <c r="D571" s="8"/>
      <c r="E571" s="8"/>
      <c r="F571" s="8" t="s">
        <v>1061</v>
      </c>
      <c r="G571" s="13">
        <v>1.98</v>
      </c>
      <c r="H571" s="13">
        <v>0.3</v>
      </c>
      <c r="I571" s="13" t="s">
        <v>1746</v>
      </c>
      <c r="J571" s="13">
        <v>2.6</v>
      </c>
      <c r="K571" s="8"/>
    </row>
    <row r="572" spans="1:11">
      <c r="A572" s="14"/>
      <c r="B572" s="8"/>
      <c r="C572" s="8"/>
      <c r="D572" s="8"/>
      <c r="E572" s="8"/>
      <c r="F572" s="8" t="s">
        <v>503</v>
      </c>
      <c r="G572" s="13">
        <v>2.65</v>
      </c>
      <c r="H572" s="13">
        <v>0.8</v>
      </c>
      <c r="I572" s="8" t="s">
        <v>24</v>
      </c>
      <c r="J572" s="8" t="s">
        <v>24</v>
      </c>
      <c r="K572" s="8"/>
    </row>
    <row r="573" spans="1:11">
      <c r="A573" s="9">
        <v>45561</v>
      </c>
      <c r="B573" s="8" t="s">
        <v>2806</v>
      </c>
      <c r="C573" s="13">
        <v>6</v>
      </c>
      <c r="D573" s="8" t="s">
        <v>481</v>
      </c>
      <c r="E573" s="8" t="s">
        <v>2654</v>
      </c>
      <c r="F573" s="8" t="s">
        <v>1058</v>
      </c>
      <c r="G573" s="13">
        <v>1</v>
      </c>
      <c r="H573" s="13">
        <v>5.34</v>
      </c>
      <c r="I573" s="13" t="s">
        <v>1744</v>
      </c>
      <c r="J573" s="13">
        <v>2.1</v>
      </c>
      <c r="K573" s="8" t="s">
        <v>129</v>
      </c>
    </row>
    <row r="574" spans="1:11">
      <c r="A574" s="14"/>
      <c r="B574" s="8"/>
      <c r="C574" s="8"/>
      <c r="D574" s="8"/>
      <c r="E574" s="8"/>
      <c r="F574" s="8" t="s">
        <v>1059</v>
      </c>
      <c r="G574" s="13">
        <v>1.17</v>
      </c>
      <c r="H574" s="13">
        <v>0.3</v>
      </c>
      <c r="I574" s="13" t="s">
        <v>1745</v>
      </c>
      <c r="J574" s="13">
        <v>2.15</v>
      </c>
      <c r="K574" s="8"/>
    </row>
    <row r="575" spans="1:11">
      <c r="A575" s="14"/>
      <c r="B575" s="8"/>
      <c r="C575" s="8"/>
      <c r="D575" s="8"/>
      <c r="E575" s="8"/>
      <c r="F575" s="8" t="s">
        <v>503</v>
      </c>
      <c r="G575" s="13">
        <v>1.75</v>
      </c>
      <c r="H575" s="13">
        <v>0.36</v>
      </c>
      <c r="I575" s="8" t="s">
        <v>24</v>
      </c>
      <c r="J575" s="8" t="s">
        <v>24</v>
      </c>
      <c r="K575" s="8"/>
    </row>
    <row r="576" spans="1:11">
      <c r="A576" s="9">
        <v>45560</v>
      </c>
      <c r="B576" s="8" t="s">
        <v>2807</v>
      </c>
      <c r="C576" s="13">
        <v>8</v>
      </c>
      <c r="D576" s="8" t="s">
        <v>492</v>
      </c>
      <c r="E576" s="8" t="s">
        <v>477</v>
      </c>
      <c r="F576" s="8" t="s">
        <v>1064</v>
      </c>
      <c r="G576" s="13">
        <v>1.92</v>
      </c>
      <c r="H576" s="13">
        <v>7.12</v>
      </c>
      <c r="I576" s="13" t="s">
        <v>1744</v>
      </c>
      <c r="J576" s="13">
        <v>2.2</v>
      </c>
      <c r="K576" s="8" t="s">
        <v>129</v>
      </c>
    </row>
    <row r="577" spans="1:11">
      <c r="A577" s="14"/>
      <c r="B577" s="8"/>
      <c r="C577" s="8"/>
      <c r="D577" s="8"/>
      <c r="E577" s="8"/>
      <c r="F577" s="8" t="s">
        <v>1060</v>
      </c>
      <c r="G577" s="13">
        <v>2</v>
      </c>
      <c r="H577" s="13">
        <v>0.32</v>
      </c>
      <c r="I577" s="13" t="s">
        <v>1745</v>
      </c>
      <c r="J577" s="13">
        <v>2.25</v>
      </c>
      <c r="K577" s="8"/>
    </row>
    <row r="578" spans="1:11">
      <c r="A578" s="14"/>
      <c r="B578" s="8"/>
      <c r="C578" s="8"/>
      <c r="D578" s="8"/>
      <c r="E578" s="8"/>
      <c r="F578" s="8" t="s">
        <v>503</v>
      </c>
      <c r="G578" s="13">
        <v>2.66</v>
      </c>
      <c r="H578" s="13">
        <v>0.56</v>
      </c>
      <c r="I578" s="8" t="s">
        <v>24</v>
      </c>
      <c r="J578" s="8" t="s">
        <v>24</v>
      </c>
      <c r="K578" s="8"/>
    </row>
    <row r="579" spans="1:11">
      <c r="A579" s="9">
        <v>45559</v>
      </c>
      <c r="B579" s="8" t="s">
        <v>2808</v>
      </c>
      <c r="C579" s="13">
        <v>8</v>
      </c>
      <c r="D579" s="8" t="s">
        <v>477</v>
      </c>
      <c r="E579" s="8" t="s">
        <v>536</v>
      </c>
      <c r="F579" s="8" t="s">
        <v>1064</v>
      </c>
      <c r="G579" s="13">
        <v>1.92</v>
      </c>
      <c r="H579" s="13">
        <v>7.12</v>
      </c>
      <c r="I579" s="13" t="s">
        <v>1744</v>
      </c>
      <c r="J579" s="13">
        <v>2.2</v>
      </c>
      <c r="K579" s="8" t="s">
        <v>129</v>
      </c>
    </row>
    <row r="580" spans="1:11">
      <c r="A580" s="14"/>
      <c r="B580" s="8"/>
      <c r="C580" s="8"/>
      <c r="D580" s="8"/>
      <c r="E580" s="8"/>
      <c r="F580" s="8" t="s">
        <v>1060</v>
      </c>
      <c r="G580" s="13">
        <v>2</v>
      </c>
      <c r="H580" s="13">
        <v>0.32</v>
      </c>
      <c r="I580" s="13" t="s">
        <v>1745</v>
      </c>
      <c r="J580" s="13">
        <v>2.25</v>
      </c>
      <c r="K580" s="8"/>
    </row>
    <row r="581" spans="1:11">
      <c r="A581" s="14"/>
      <c r="B581" s="8"/>
      <c r="C581" s="8"/>
      <c r="D581" s="8"/>
      <c r="E581" s="8"/>
      <c r="F581" s="8" t="s">
        <v>503</v>
      </c>
      <c r="G581" s="13">
        <v>2.66</v>
      </c>
      <c r="H581" s="13">
        <v>0.56</v>
      </c>
      <c r="I581" s="8" t="s">
        <v>24</v>
      </c>
      <c r="J581" s="8" t="s">
        <v>24</v>
      </c>
      <c r="K581" s="8"/>
    </row>
    <row r="582" spans="1:11">
      <c r="A582" s="9">
        <v>45560</v>
      </c>
      <c r="B582" s="8" t="s">
        <v>2809</v>
      </c>
      <c r="C582" s="13">
        <v>4</v>
      </c>
      <c r="D582" s="8" t="s">
        <v>486</v>
      </c>
      <c r="E582" s="8" t="s">
        <v>486</v>
      </c>
      <c r="F582" s="8" t="s">
        <v>1064</v>
      </c>
      <c r="G582" s="13">
        <v>1.5</v>
      </c>
      <c r="H582" s="13">
        <v>3.35</v>
      </c>
      <c r="I582" s="13" t="s">
        <v>1744</v>
      </c>
      <c r="J582" s="13">
        <v>2.2</v>
      </c>
      <c r="K582" s="8" t="s">
        <v>27</v>
      </c>
    </row>
    <row r="583" spans="1:11">
      <c r="A583" s="14"/>
      <c r="B583" s="8"/>
      <c r="C583" s="8"/>
      <c r="D583" s="8"/>
      <c r="E583" s="8"/>
      <c r="F583" s="8" t="s">
        <v>1060</v>
      </c>
      <c r="G583" s="13">
        <v>1.92</v>
      </c>
      <c r="H583" s="13">
        <v>0.21</v>
      </c>
      <c r="I583" s="13" t="s">
        <v>1745</v>
      </c>
      <c r="J583" s="13">
        <v>2.2</v>
      </c>
      <c r="K583" s="8"/>
    </row>
    <row r="584" spans="1:11">
      <c r="A584" s="14"/>
      <c r="B584" s="8"/>
      <c r="C584" s="8"/>
      <c r="D584" s="8"/>
      <c r="E584" s="8"/>
      <c r="F584" s="8" t="s">
        <v>1086</v>
      </c>
      <c r="G584" s="13">
        <v>3.01</v>
      </c>
      <c r="H584" s="13">
        <v>0.24</v>
      </c>
      <c r="I584" s="8" t="s">
        <v>24</v>
      </c>
      <c r="J584" s="8" t="s">
        <v>24</v>
      </c>
      <c r="K584" s="8"/>
    </row>
    <row r="585" spans="1:11">
      <c r="A585" s="14"/>
      <c r="B585" s="8"/>
      <c r="C585" s="8"/>
      <c r="D585" s="8"/>
      <c r="E585" s="8"/>
      <c r="F585" s="8" t="s">
        <v>1087</v>
      </c>
      <c r="G585" s="13">
        <v>3.01</v>
      </c>
      <c r="H585" s="13">
        <v>0.2</v>
      </c>
      <c r="I585" s="8" t="s">
        <v>24</v>
      </c>
      <c r="J585" s="8" t="s">
        <v>24</v>
      </c>
      <c r="K585" s="8"/>
    </row>
    <row r="586" spans="1:11">
      <c r="A586" s="9">
        <v>45558</v>
      </c>
      <c r="B586" s="8" t="s">
        <v>2810</v>
      </c>
      <c r="C586" s="13">
        <v>10</v>
      </c>
      <c r="D586" s="8" t="s">
        <v>477</v>
      </c>
      <c r="E586" s="8" t="s">
        <v>477</v>
      </c>
      <c r="F586" s="8" t="s">
        <v>1064</v>
      </c>
      <c r="G586" s="13">
        <v>1.5</v>
      </c>
      <c r="H586" s="13">
        <v>8.2</v>
      </c>
      <c r="I586" s="13" t="s">
        <v>1744</v>
      </c>
      <c r="J586" s="13">
        <v>2.37</v>
      </c>
      <c r="K586" s="8" t="s">
        <v>35</v>
      </c>
    </row>
    <row r="587" spans="1:11">
      <c r="A587" s="14"/>
      <c r="B587" s="8"/>
      <c r="C587" s="8"/>
      <c r="D587" s="8"/>
      <c r="E587" s="8"/>
      <c r="F587" s="8" t="s">
        <v>1060</v>
      </c>
      <c r="G587" s="13">
        <v>1.5</v>
      </c>
      <c r="H587" s="13">
        <v>0.4</v>
      </c>
      <c r="I587" s="13" t="s">
        <v>1745</v>
      </c>
      <c r="J587" s="13">
        <v>2.53</v>
      </c>
      <c r="K587" s="8"/>
    </row>
    <row r="588" spans="1:11">
      <c r="A588" s="14"/>
      <c r="B588" s="8"/>
      <c r="C588" s="8"/>
      <c r="D588" s="8"/>
      <c r="E588" s="8"/>
      <c r="F588" s="8" t="s">
        <v>1061</v>
      </c>
      <c r="G588" s="13">
        <v>2</v>
      </c>
      <c r="H588" s="13">
        <v>0.55</v>
      </c>
      <c r="I588" s="13" t="s">
        <v>2673</v>
      </c>
      <c r="J588" s="13">
        <v>3.7</v>
      </c>
      <c r="K588" s="8"/>
    </row>
    <row r="589" spans="1:11">
      <c r="A589" s="14"/>
      <c r="B589" s="8"/>
      <c r="C589" s="8"/>
      <c r="D589" s="8"/>
      <c r="E589" s="8"/>
      <c r="F589" s="8" t="s">
        <v>503</v>
      </c>
      <c r="G589" s="13">
        <v>2</v>
      </c>
      <c r="H589" s="13">
        <v>0.85</v>
      </c>
      <c r="I589" s="8" t="s">
        <v>24</v>
      </c>
      <c r="J589" s="8" t="s">
        <v>24</v>
      </c>
      <c r="K589" s="8"/>
    </row>
    <row r="590" spans="1:11">
      <c r="A590" s="9">
        <v>45560</v>
      </c>
      <c r="B590" s="8" t="s">
        <v>2811</v>
      </c>
      <c r="C590" s="13">
        <v>10</v>
      </c>
      <c r="D590" s="8" t="s">
        <v>521</v>
      </c>
      <c r="E590" s="8" t="s">
        <v>484</v>
      </c>
      <c r="F590" s="8" t="s">
        <v>1064</v>
      </c>
      <c r="G590" s="13">
        <v>1.92</v>
      </c>
      <c r="H590" s="13">
        <v>8.6</v>
      </c>
      <c r="I590" s="13" t="s">
        <v>1744</v>
      </c>
      <c r="J590" s="13">
        <v>2.09</v>
      </c>
      <c r="K590" s="8" t="s">
        <v>86</v>
      </c>
    </row>
    <row r="591" spans="1:11">
      <c r="A591" s="14"/>
      <c r="B591" s="8"/>
      <c r="C591" s="8"/>
      <c r="D591" s="8"/>
      <c r="E591" s="8"/>
      <c r="F591" s="8" t="s">
        <v>1060</v>
      </c>
      <c r="G591" s="13">
        <v>2</v>
      </c>
      <c r="H591" s="13">
        <v>0.7</v>
      </c>
      <c r="I591" s="13" t="s">
        <v>1745</v>
      </c>
      <c r="J591" s="13">
        <v>2.2</v>
      </c>
      <c r="K591" s="8"/>
    </row>
    <row r="592" spans="1:11">
      <c r="A592" s="14"/>
      <c r="B592" s="8"/>
      <c r="C592" s="8"/>
      <c r="D592" s="8"/>
      <c r="E592" s="8"/>
      <c r="F592" s="8" t="s">
        <v>503</v>
      </c>
      <c r="G592" s="13">
        <v>2</v>
      </c>
      <c r="H592" s="13">
        <v>0.7</v>
      </c>
      <c r="I592" s="8" t="s">
        <v>24</v>
      </c>
      <c r="J592" s="8" t="s">
        <v>24</v>
      </c>
      <c r="K592" s="8"/>
    </row>
    <row r="593" spans="1:11">
      <c r="A593" s="9">
        <v>45559</v>
      </c>
      <c r="B593" s="8" t="s">
        <v>2812</v>
      </c>
      <c r="C593" s="13">
        <v>10</v>
      </c>
      <c r="D593" s="8" t="s">
        <v>492</v>
      </c>
      <c r="E593" s="8" t="s">
        <v>1754</v>
      </c>
      <c r="F593" s="8" t="s">
        <v>1058</v>
      </c>
      <c r="G593" s="13">
        <v>0.97</v>
      </c>
      <c r="H593" s="13">
        <v>7</v>
      </c>
      <c r="I593" s="13" t="s">
        <v>1744</v>
      </c>
      <c r="J593" s="13">
        <v>2.09</v>
      </c>
      <c r="K593" s="8" t="s">
        <v>74</v>
      </c>
    </row>
    <row r="594" spans="1:11">
      <c r="A594" s="14"/>
      <c r="B594" s="8"/>
      <c r="C594" s="8"/>
      <c r="D594" s="8"/>
      <c r="E594" s="8"/>
      <c r="F594" s="8" t="s">
        <v>1059</v>
      </c>
      <c r="G594" s="13">
        <v>1.22</v>
      </c>
      <c r="H594" s="13">
        <v>2</v>
      </c>
      <c r="I594" s="13" t="s">
        <v>1744</v>
      </c>
      <c r="J594" s="13">
        <v>2.1</v>
      </c>
      <c r="K594" s="8"/>
    </row>
    <row r="595" spans="1:11">
      <c r="A595" s="14"/>
      <c r="B595" s="8"/>
      <c r="C595" s="8"/>
      <c r="D595" s="8"/>
      <c r="E595" s="8"/>
      <c r="F595" s="8" t="s">
        <v>1060</v>
      </c>
      <c r="G595" s="13">
        <v>1.22</v>
      </c>
      <c r="H595" s="13">
        <v>0.3</v>
      </c>
      <c r="I595" s="13" t="s">
        <v>1745</v>
      </c>
      <c r="J595" s="13">
        <v>2.2</v>
      </c>
      <c r="K595" s="8"/>
    </row>
    <row r="596" spans="1:11">
      <c r="A596" s="14"/>
      <c r="B596" s="8"/>
      <c r="C596" s="8"/>
      <c r="D596" s="8"/>
      <c r="E596" s="8"/>
      <c r="F596" s="8" t="s">
        <v>503</v>
      </c>
      <c r="G596" s="13">
        <v>1.72</v>
      </c>
      <c r="H596" s="13">
        <v>0.7</v>
      </c>
      <c r="I596" s="8" t="s">
        <v>24</v>
      </c>
      <c r="J596" s="8" t="s">
        <v>24</v>
      </c>
      <c r="K596" s="8"/>
    </row>
    <row r="597" spans="1:11">
      <c r="A597" s="9">
        <v>45558</v>
      </c>
      <c r="B597" s="8" t="s">
        <v>2813</v>
      </c>
      <c r="C597" s="13">
        <v>8</v>
      </c>
      <c r="D597" s="8" t="s">
        <v>536</v>
      </c>
      <c r="E597" s="8" t="s">
        <v>477</v>
      </c>
      <c r="F597" s="8" t="s">
        <v>1064</v>
      </c>
      <c r="G597" s="13">
        <v>1</v>
      </c>
      <c r="H597" s="13">
        <v>7.12</v>
      </c>
      <c r="I597" s="13" t="s">
        <v>1744</v>
      </c>
      <c r="J597" s="13">
        <v>2.1</v>
      </c>
      <c r="K597" s="8" t="s">
        <v>129</v>
      </c>
    </row>
    <row r="598" spans="1:11">
      <c r="A598" s="14"/>
      <c r="B598" s="8"/>
      <c r="C598" s="8"/>
      <c r="D598" s="8"/>
      <c r="E598" s="8"/>
      <c r="F598" s="8" t="s">
        <v>1060</v>
      </c>
      <c r="G598" s="13">
        <v>1.17</v>
      </c>
      <c r="H598" s="13">
        <v>0.4</v>
      </c>
      <c r="I598" s="13" t="s">
        <v>1745</v>
      </c>
      <c r="J598" s="13">
        <v>2.15</v>
      </c>
      <c r="K598" s="8"/>
    </row>
    <row r="599" spans="1:11">
      <c r="A599" s="14"/>
      <c r="B599" s="8"/>
      <c r="C599" s="8"/>
      <c r="D599" s="8"/>
      <c r="E599" s="8"/>
      <c r="F599" s="8" t="s">
        <v>503</v>
      </c>
      <c r="G599" s="13">
        <v>1.75</v>
      </c>
      <c r="H599" s="13">
        <v>0.48</v>
      </c>
      <c r="I599" s="8" t="s">
        <v>24</v>
      </c>
      <c r="J599" s="8" t="s">
        <v>24</v>
      </c>
      <c r="K599" s="8"/>
    </row>
    <row r="600" spans="1:11">
      <c r="A600" s="9">
        <v>45558</v>
      </c>
      <c r="B600" s="8" t="s">
        <v>2814</v>
      </c>
      <c r="C600" s="13">
        <v>6</v>
      </c>
      <c r="D600" s="8" t="s">
        <v>481</v>
      </c>
      <c r="E600" s="8" t="s">
        <v>2654</v>
      </c>
      <c r="F600" s="8" t="s">
        <v>1064</v>
      </c>
      <c r="G600" s="13">
        <v>1</v>
      </c>
      <c r="H600" s="13">
        <v>5.34</v>
      </c>
      <c r="I600" s="13" t="s">
        <v>1744</v>
      </c>
      <c r="J600" s="13">
        <v>2.1</v>
      </c>
      <c r="K600" s="8" t="s">
        <v>129</v>
      </c>
    </row>
    <row r="601" spans="1:11">
      <c r="A601" s="14"/>
      <c r="B601" s="8"/>
      <c r="C601" s="8"/>
      <c r="D601" s="8"/>
      <c r="E601" s="8"/>
      <c r="F601" s="8" t="s">
        <v>1060</v>
      </c>
      <c r="G601" s="13">
        <v>1.17</v>
      </c>
      <c r="H601" s="13">
        <v>0.3</v>
      </c>
      <c r="I601" s="13" t="s">
        <v>1745</v>
      </c>
      <c r="J601" s="13">
        <v>2.15</v>
      </c>
      <c r="K601" s="8"/>
    </row>
    <row r="602" spans="1:11">
      <c r="A602" s="14"/>
      <c r="B602" s="8"/>
      <c r="C602" s="8"/>
      <c r="D602" s="8"/>
      <c r="E602" s="8"/>
      <c r="F602" s="8" t="s">
        <v>503</v>
      </c>
      <c r="G602" s="13">
        <v>1.75</v>
      </c>
      <c r="H602" s="13">
        <v>0.36</v>
      </c>
      <c r="I602" s="8" t="s">
        <v>24</v>
      </c>
      <c r="J602" s="8" t="s">
        <v>24</v>
      </c>
      <c r="K602" s="8"/>
    </row>
    <row r="603" spans="1:11">
      <c r="A603" s="9">
        <v>45559</v>
      </c>
      <c r="B603" s="8" t="s">
        <v>2815</v>
      </c>
      <c r="C603" s="13">
        <v>10</v>
      </c>
      <c r="D603" s="8" t="s">
        <v>911</v>
      </c>
      <c r="E603" s="8" t="s">
        <v>2568</v>
      </c>
      <c r="F603" s="8" t="s">
        <v>1064</v>
      </c>
      <c r="G603" s="13">
        <v>2</v>
      </c>
      <c r="H603" s="13">
        <v>8.7</v>
      </c>
      <c r="I603" s="13" t="s">
        <v>1744</v>
      </c>
      <c r="J603" s="13">
        <v>2.26</v>
      </c>
      <c r="K603" s="8" t="s">
        <v>35</v>
      </c>
    </row>
    <row r="604" spans="1:11">
      <c r="A604" s="14"/>
      <c r="B604" s="8"/>
      <c r="C604" s="8"/>
      <c r="D604" s="8"/>
      <c r="E604" s="8"/>
      <c r="F604" s="8" t="s">
        <v>1060</v>
      </c>
      <c r="G604" s="13">
        <v>2</v>
      </c>
      <c r="H604" s="13">
        <v>0.3</v>
      </c>
      <c r="I604" s="13" t="s">
        <v>1745</v>
      </c>
      <c r="J604" s="13">
        <v>2.35</v>
      </c>
      <c r="K604" s="8"/>
    </row>
    <row r="605" spans="1:11">
      <c r="A605" s="14"/>
      <c r="B605" s="8"/>
      <c r="C605" s="8"/>
      <c r="D605" s="8"/>
      <c r="E605" s="8"/>
      <c r="F605" s="8" t="s">
        <v>1061</v>
      </c>
      <c r="G605" s="13">
        <v>2</v>
      </c>
      <c r="H605" s="13">
        <v>0.5</v>
      </c>
      <c r="I605" s="13" t="s">
        <v>2635</v>
      </c>
      <c r="J605" s="13">
        <v>3.7</v>
      </c>
      <c r="K605" s="8"/>
    </row>
    <row r="606" spans="1:11">
      <c r="A606" s="14"/>
      <c r="B606" s="8"/>
      <c r="C606" s="8"/>
      <c r="D606" s="8"/>
      <c r="E606" s="8"/>
      <c r="F606" s="8" t="s">
        <v>503</v>
      </c>
      <c r="G606" s="13">
        <v>2</v>
      </c>
      <c r="H606" s="13">
        <v>0.5</v>
      </c>
      <c r="I606" s="8" t="s">
        <v>24</v>
      </c>
      <c r="J606" s="8" t="s">
        <v>24</v>
      </c>
      <c r="K606" s="8"/>
    </row>
    <row r="607" spans="1:11">
      <c r="A607" s="9">
        <v>45562</v>
      </c>
      <c r="B607" s="8" t="s">
        <v>2816</v>
      </c>
      <c r="C607" s="13">
        <v>10</v>
      </c>
      <c r="D607" s="8" t="s">
        <v>1079</v>
      </c>
      <c r="E607" s="8" t="s">
        <v>484</v>
      </c>
      <c r="F607" s="8" t="s">
        <v>1064</v>
      </c>
      <c r="G607" s="13">
        <v>1.99</v>
      </c>
      <c r="H607" s="13">
        <v>8.7</v>
      </c>
      <c r="I607" s="13" t="s">
        <v>1744</v>
      </c>
      <c r="J607" s="13">
        <v>2.35</v>
      </c>
      <c r="K607" s="8" t="s">
        <v>35</v>
      </c>
    </row>
    <row r="608" spans="1:11">
      <c r="A608" s="14"/>
      <c r="B608" s="8"/>
      <c r="C608" s="8"/>
      <c r="D608" s="8"/>
      <c r="E608" s="8"/>
      <c r="F608" s="8" t="s">
        <v>1060</v>
      </c>
      <c r="G608" s="13">
        <v>1.99</v>
      </c>
      <c r="H608" s="13">
        <v>0.3</v>
      </c>
      <c r="I608" s="13" t="s">
        <v>1745</v>
      </c>
      <c r="J608" s="13">
        <v>2.5</v>
      </c>
      <c r="K608" s="8"/>
    </row>
    <row r="609" spans="1:11">
      <c r="A609" s="14"/>
      <c r="B609" s="8"/>
      <c r="C609" s="8"/>
      <c r="D609" s="8"/>
      <c r="E609" s="8"/>
      <c r="F609" s="8" t="s">
        <v>509</v>
      </c>
      <c r="G609" s="13">
        <v>1.99</v>
      </c>
      <c r="H609" s="13">
        <v>0.5</v>
      </c>
      <c r="I609" s="13" t="s">
        <v>2635</v>
      </c>
      <c r="J609" s="13">
        <v>3.7</v>
      </c>
      <c r="K609" s="8"/>
    </row>
    <row r="610" spans="1:11">
      <c r="A610" s="14"/>
      <c r="B610" s="8"/>
      <c r="C610" s="8"/>
      <c r="D610" s="8"/>
      <c r="E610" s="8"/>
      <c r="F610" s="8" t="s">
        <v>503</v>
      </c>
      <c r="G610" s="13">
        <v>1.99</v>
      </c>
      <c r="H610" s="13">
        <v>0.5</v>
      </c>
      <c r="I610" s="8" t="s">
        <v>24</v>
      </c>
      <c r="J610" s="8" t="s">
        <v>24</v>
      </c>
      <c r="K610" s="8"/>
    </row>
    <row r="611" spans="1:11">
      <c r="A611" s="9">
        <v>45561</v>
      </c>
      <c r="B611" s="8" t="s">
        <v>2817</v>
      </c>
      <c r="C611" s="13">
        <v>10</v>
      </c>
      <c r="D611" s="8" t="s">
        <v>477</v>
      </c>
      <c r="E611" s="8" t="s">
        <v>477</v>
      </c>
      <c r="F611" s="8" t="s">
        <v>1064</v>
      </c>
      <c r="G611" s="13">
        <v>1.49</v>
      </c>
      <c r="H611" s="13">
        <v>8.2</v>
      </c>
      <c r="I611" s="13" t="s">
        <v>1744</v>
      </c>
      <c r="J611" s="13">
        <v>2.3</v>
      </c>
      <c r="K611" s="8" t="s">
        <v>35</v>
      </c>
    </row>
    <row r="612" spans="1:11">
      <c r="A612" s="14"/>
      <c r="B612" s="8"/>
      <c r="C612" s="8"/>
      <c r="D612" s="8"/>
      <c r="E612" s="8"/>
      <c r="F612" s="8" t="s">
        <v>1060</v>
      </c>
      <c r="G612" s="13">
        <v>1.49</v>
      </c>
      <c r="H612" s="13">
        <v>0.4</v>
      </c>
      <c r="I612" s="13" t="s">
        <v>1745</v>
      </c>
      <c r="J612" s="13">
        <v>2.5</v>
      </c>
      <c r="K612" s="8"/>
    </row>
    <row r="613" spans="1:11">
      <c r="A613" s="14"/>
      <c r="B613" s="8"/>
      <c r="C613" s="8"/>
      <c r="D613" s="8"/>
      <c r="E613" s="8"/>
      <c r="F613" s="8" t="s">
        <v>509</v>
      </c>
      <c r="G613" s="13">
        <v>1.99</v>
      </c>
      <c r="H613" s="13">
        <v>0.9</v>
      </c>
      <c r="I613" s="13" t="s">
        <v>2818</v>
      </c>
      <c r="J613" s="13">
        <v>3.7</v>
      </c>
      <c r="K613" s="8"/>
    </row>
    <row r="614" spans="1:11">
      <c r="A614" s="14"/>
      <c r="B614" s="8"/>
      <c r="C614" s="8"/>
      <c r="D614" s="8"/>
      <c r="E614" s="8"/>
      <c r="F614" s="8" t="s">
        <v>503</v>
      </c>
      <c r="G614" s="13">
        <v>1.99</v>
      </c>
      <c r="H614" s="13">
        <v>0.5</v>
      </c>
      <c r="I614" s="8" t="s">
        <v>24</v>
      </c>
      <c r="J614" s="8" t="s">
        <v>24</v>
      </c>
      <c r="K614" s="8"/>
    </row>
    <row r="615" spans="1:11">
      <c r="A615" s="9">
        <v>45562</v>
      </c>
      <c r="B615" s="8" t="s">
        <v>2819</v>
      </c>
      <c r="C615" s="13">
        <v>10</v>
      </c>
      <c r="D615" s="8" t="s">
        <v>486</v>
      </c>
      <c r="E615" s="8" t="s">
        <v>486</v>
      </c>
      <c r="F615" s="8" t="s">
        <v>1064</v>
      </c>
      <c r="G615" s="13">
        <v>1.81</v>
      </c>
      <c r="H615" s="13">
        <v>8.4</v>
      </c>
      <c r="I615" s="13" t="s">
        <v>1744</v>
      </c>
      <c r="J615" s="13">
        <v>2.1</v>
      </c>
      <c r="K615" s="8" t="s">
        <v>18</v>
      </c>
    </row>
    <row r="616" spans="1:11">
      <c r="A616" s="14"/>
      <c r="B616" s="8"/>
      <c r="C616" s="8"/>
      <c r="D616" s="8"/>
      <c r="E616" s="8"/>
      <c r="F616" s="8" t="s">
        <v>1060</v>
      </c>
      <c r="G616" s="13">
        <v>1.89</v>
      </c>
      <c r="H616" s="13">
        <v>0.5</v>
      </c>
      <c r="I616" s="13" t="s">
        <v>1745</v>
      </c>
      <c r="J616" s="13">
        <v>2.2</v>
      </c>
      <c r="K616" s="8"/>
    </row>
    <row r="617" spans="1:11">
      <c r="A617" s="14"/>
      <c r="B617" s="8"/>
      <c r="C617" s="8"/>
      <c r="D617" s="8"/>
      <c r="E617" s="8"/>
      <c r="F617" s="8" t="s">
        <v>1061</v>
      </c>
      <c r="G617" s="13">
        <v>1.98</v>
      </c>
      <c r="H617" s="13">
        <v>0.3</v>
      </c>
      <c r="I617" s="13" t="s">
        <v>1746</v>
      </c>
      <c r="J617" s="13">
        <v>2.6</v>
      </c>
      <c r="K617" s="8"/>
    </row>
    <row r="618" spans="1:11">
      <c r="A618" s="14"/>
      <c r="B618" s="8"/>
      <c r="C618" s="8"/>
      <c r="D618" s="8"/>
      <c r="E618" s="8"/>
      <c r="F618" s="8" t="s">
        <v>503</v>
      </c>
      <c r="G618" s="13">
        <v>2.64</v>
      </c>
      <c r="H618" s="13">
        <v>0.8</v>
      </c>
      <c r="I618" s="8" t="s">
        <v>24</v>
      </c>
      <c r="J618" s="8" t="s">
        <v>24</v>
      </c>
      <c r="K618" s="8"/>
    </row>
    <row r="619" spans="1:11">
      <c r="A619" s="9">
        <v>45562</v>
      </c>
      <c r="B619" s="8" t="s">
        <v>2820</v>
      </c>
      <c r="C619" s="13">
        <v>8</v>
      </c>
      <c r="D619" s="8" t="s">
        <v>536</v>
      </c>
      <c r="E619" s="8" t="s">
        <v>481</v>
      </c>
      <c r="F619" s="8" t="s">
        <v>1064</v>
      </c>
      <c r="G619" s="13">
        <v>1.01</v>
      </c>
      <c r="H619" s="13">
        <v>7.12</v>
      </c>
      <c r="I619" s="13" t="s">
        <v>1744</v>
      </c>
      <c r="J619" s="13">
        <v>2.1</v>
      </c>
      <c r="K619" s="8" t="s">
        <v>129</v>
      </c>
    </row>
    <row r="620" spans="1:11">
      <c r="A620" s="14"/>
      <c r="B620" s="8"/>
      <c r="C620" s="8"/>
      <c r="D620" s="8"/>
      <c r="E620" s="8"/>
      <c r="F620" s="8" t="s">
        <v>539</v>
      </c>
      <c r="G620" s="13">
        <v>1.17</v>
      </c>
      <c r="H620" s="13">
        <v>0.4</v>
      </c>
      <c r="I620" s="13" t="s">
        <v>1745</v>
      </c>
      <c r="J620" s="13">
        <v>2.15</v>
      </c>
      <c r="K620" s="8"/>
    </row>
    <row r="621" spans="1:11">
      <c r="A621" s="14"/>
      <c r="B621" s="8"/>
      <c r="C621" s="8"/>
      <c r="D621" s="8"/>
      <c r="E621" s="8"/>
      <c r="F621" s="8" t="s">
        <v>503</v>
      </c>
      <c r="G621" s="13">
        <v>1.75</v>
      </c>
      <c r="H621" s="13">
        <v>0.48</v>
      </c>
      <c r="I621" s="8" t="s">
        <v>24</v>
      </c>
      <c r="J621" s="8" t="s">
        <v>24</v>
      </c>
      <c r="K621" s="8"/>
    </row>
    <row r="622" spans="1:11">
      <c r="A622" s="9">
        <v>45562</v>
      </c>
      <c r="B622" s="8" t="s">
        <v>2821</v>
      </c>
      <c r="C622" s="13">
        <v>6</v>
      </c>
      <c r="D622" s="8" t="s">
        <v>492</v>
      </c>
      <c r="E622" s="8" t="s">
        <v>477</v>
      </c>
      <c r="F622" s="8" t="s">
        <v>531</v>
      </c>
      <c r="G622" s="13">
        <v>1</v>
      </c>
      <c r="H622" s="13">
        <v>5.34</v>
      </c>
      <c r="I622" s="13" t="s">
        <v>1744</v>
      </c>
      <c r="J622" s="13">
        <v>2.1</v>
      </c>
      <c r="K622" s="8" t="s">
        <v>129</v>
      </c>
    </row>
    <row r="623" spans="1:11">
      <c r="A623" s="14"/>
      <c r="B623" s="8"/>
      <c r="C623" s="8"/>
      <c r="D623" s="8"/>
      <c r="E623" s="8"/>
      <c r="F623" s="8" t="s">
        <v>539</v>
      </c>
      <c r="G623" s="13">
        <v>1.17</v>
      </c>
      <c r="H623" s="13">
        <v>0.3</v>
      </c>
      <c r="I623" s="13" t="s">
        <v>1745</v>
      </c>
      <c r="J623" s="13">
        <v>2.15</v>
      </c>
      <c r="K623" s="8"/>
    </row>
    <row r="624" spans="1:11">
      <c r="A624" s="14"/>
      <c r="B624" s="8"/>
      <c r="C624" s="8"/>
      <c r="D624" s="8"/>
      <c r="E624" s="8"/>
      <c r="F624" s="8" t="s">
        <v>503</v>
      </c>
      <c r="G624" s="13">
        <v>1.75</v>
      </c>
      <c r="H624" s="13">
        <v>0.36</v>
      </c>
      <c r="I624" s="8" t="s">
        <v>24</v>
      </c>
      <c r="J624" s="8" t="s">
        <v>24</v>
      </c>
      <c r="K624" s="8"/>
    </row>
    <row r="625" spans="1:11">
      <c r="A625" s="9">
        <v>45562</v>
      </c>
      <c r="B625" s="8" t="s">
        <v>2822</v>
      </c>
      <c r="C625" s="13">
        <v>10</v>
      </c>
      <c r="D625" s="8" t="s">
        <v>492</v>
      </c>
      <c r="E625" s="8" t="s">
        <v>477</v>
      </c>
      <c r="F625" s="8" t="s">
        <v>1058</v>
      </c>
      <c r="G625" s="13">
        <v>0.96</v>
      </c>
      <c r="H625" s="13">
        <v>7</v>
      </c>
      <c r="I625" s="13" t="s">
        <v>1744</v>
      </c>
      <c r="J625" s="13">
        <v>2.09</v>
      </c>
      <c r="K625" s="8" t="s">
        <v>74</v>
      </c>
    </row>
    <row r="626" spans="1:11">
      <c r="A626" s="14"/>
      <c r="B626" s="8"/>
      <c r="C626" s="8"/>
      <c r="D626" s="8"/>
      <c r="E626" s="8"/>
      <c r="F626" s="8" t="s">
        <v>1059</v>
      </c>
      <c r="G626" s="13">
        <v>1.21</v>
      </c>
      <c r="H626" s="13">
        <v>2</v>
      </c>
      <c r="I626" s="13" t="s">
        <v>1744</v>
      </c>
      <c r="J626" s="13">
        <v>2.1</v>
      </c>
      <c r="K626" s="8"/>
    </row>
    <row r="627" spans="1:11">
      <c r="A627" s="14"/>
      <c r="B627" s="8"/>
      <c r="C627" s="8"/>
      <c r="D627" s="8"/>
      <c r="E627" s="8"/>
      <c r="F627" s="8" t="s">
        <v>1060</v>
      </c>
      <c r="G627" s="13">
        <v>1.21</v>
      </c>
      <c r="H627" s="13">
        <v>0.3</v>
      </c>
      <c r="I627" s="13" t="s">
        <v>1745</v>
      </c>
      <c r="J627" s="13">
        <v>2.2</v>
      </c>
      <c r="K627" s="8"/>
    </row>
    <row r="628" spans="1:11">
      <c r="A628" s="14"/>
      <c r="B628" s="8"/>
      <c r="C628" s="8"/>
      <c r="D628" s="8"/>
      <c r="E628" s="8"/>
      <c r="F628" s="8" t="s">
        <v>503</v>
      </c>
      <c r="G628" s="13">
        <v>1.71</v>
      </c>
      <c r="H628" s="13">
        <v>0.7</v>
      </c>
      <c r="I628" s="8" t="s">
        <v>24</v>
      </c>
      <c r="J628" s="8" t="s">
        <v>24</v>
      </c>
      <c r="K628" s="8"/>
    </row>
    <row r="629" spans="1:11">
      <c r="A629" s="9">
        <v>45562</v>
      </c>
      <c r="B629" s="8" t="s">
        <v>2823</v>
      </c>
      <c r="C629" s="13">
        <v>10</v>
      </c>
      <c r="D629" s="8" t="s">
        <v>911</v>
      </c>
      <c r="E629" s="8" t="s">
        <v>2568</v>
      </c>
      <c r="F629" s="8" t="s">
        <v>1064</v>
      </c>
      <c r="G629" s="13">
        <v>1.99</v>
      </c>
      <c r="H629" s="13">
        <v>8.7</v>
      </c>
      <c r="I629" s="13" t="s">
        <v>1744</v>
      </c>
      <c r="J629" s="13">
        <v>2.25</v>
      </c>
      <c r="K629" s="8" t="s">
        <v>35</v>
      </c>
    </row>
    <row r="630" spans="1:11">
      <c r="A630" s="14"/>
      <c r="B630" s="8"/>
      <c r="C630" s="8"/>
      <c r="D630" s="8"/>
      <c r="E630" s="8"/>
      <c r="F630" s="8" t="s">
        <v>1060</v>
      </c>
      <c r="G630" s="13">
        <v>1.99</v>
      </c>
      <c r="H630" s="13">
        <v>0.3</v>
      </c>
      <c r="I630" s="13" t="s">
        <v>1745</v>
      </c>
      <c r="J630" s="13">
        <v>2.34</v>
      </c>
      <c r="K630" s="8"/>
    </row>
    <row r="631" spans="1:11">
      <c r="A631" s="14"/>
      <c r="B631" s="8"/>
      <c r="C631" s="8"/>
      <c r="D631" s="8"/>
      <c r="E631" s="8"/>
      <c r="F631" s="8" t="s">
        <v>509</v>
      </c>
      <c r="G631" s="13">
        <v>1.99</v>
      </c>
      <c r="H631" s="13">
        <v>0.5</v>
      </c>
      <c r="I631" s="13" t="s">
        <v>2635</v>
      </c>
      <c r="J631" s="13">
        <v>3.7</v>
      </c>
      <c r="K631" s="8"/>
    </row>
    <row r="632" spans="1:11">
      <c r="A632" s="14"/>
      <c r="B632" s="8"/>
      <c r="C632" s="8"/>
      <c r="D632" s="8"/>
      <c r="E632" s="8"/>
      <c r="F632" s="8" t="s">
        <v>1087</v>
      </c>
      <c r="G632" s="13">
        <v>1.99</v>
      </c>
      <c r="H632" s="13">
        <v>0.5</v>
      </c>
      <c r="I632" s="8" t="s">
        <v>24</v>
      </c>
      <c r="J632" s="8" t="s">
        <v>24</v>
      </c>
      <c r="K632" s="8"/>
    </row>
    <row r="633" spans="1:11">
      <c r="A633" s="9">
        <v>45562</v>
      </c>
      <c r="B633" s="8" t="s">
        <v>2824</v>
      </c>
      <c r="C633" s="13">
        <v>10</v>
      </c>
      <c r="D633" s="8" t="s">
        <v>911</v>
      </c>
      <c r="E633" s="8" t="s">
        <v>2568</v>
      </c>
      <c r="F633" s="8" t="s">
        <v>1064</v>
      </c>
      <c r="G633" s="13">
        <v>1.99</v>
      </c>
      <c r="H633" s="13">
        <v>8.7</v>
      </c>
      <c r="I633" s="13" t="s">
        <v>1744</v>
      </c>
      <c r="J633" s="13">
        <v>2.25</v>
      </c>
      <c r="K633" s="8" t="s">
        <v>35</v>
      </c>
    </row>
    <row r="634" spans="1:11">
      <c r="A634" s="14"/>
      <c r="B634" s="8"/>
      <c r="C634" s="8"/>
      <c r="D634" s="8"/>
      <c r="E634" s="8"/>
      <c r="F634" s="8" t="s">
        <v>1060</v>
      </c>
      <c r="G634" s="13">
        <v>1.99</v>
      </c>
      <c r="H634" s="13">
        <v>0.3</v>
      </c>
      <c r="I634" s="13" t="s">
        <v>1745</v>
      </c>
      <c r="J634" s="13">
        <v>2.35</v>
      </c>
      <c r="K634" s="8"/>
    </row>
    <row r="635" spans="1:11">
      <c r="A635" s="14"/>
      <c r="B635" s="8"/>
      <c r="C635" s="8"/>
      <c r="D635" s="8"/>
      <c r="E635" s="8"/>
      <c r="F635" s="8" t="s">
        <v>1086</v>
      </c>
      <c r="G635" s="13">
        <v>1.99</v>
      </c>
      <c r="H635" s="13">
        <v>0.5</v>
      </c>
      <c r="I635" s="13" t="s">
        <v>2635</v>
      </c>
      <c r="J635" s="13">
        <v>3.7</v>
      </c>
      <c r="K635" s="8"/>
    </row>
    <row r="636" spans="1:11">
      <c r="A636" s="14"/>
      <c r="B636" s="8"/>
      <c r="C636" s="8"/>
      <c r="D636" s="8"/>
      <c r="E636" s="8"/>
      <c r="F636" s="8" t="s">
        <v>1087</v>
      </c>
      <c r="G636" s="13">
        <v>1.99</v>
      </c>
      <c r="H636" s="13">
        <v>0.5</v>
      </c>
      <c r="I636" s="8" t="s">
        <v>24</v>
      </c>
      <c r="J636" s="8" t="s">
        <v>24</v>
      </c>
      <c r="K636" s="8"/>
    </row>
    <row r="637" spans="1:11">
      <c r="A637" s="9">
        <v>45581</v>
      </c>
      <c r="B637" s="8" t="s">
        <v>2825</v>
      </c>
      <c r="C637" s="13">
        <v>4</v>
      </c>
      <c r="D637" s="8" t="s">
        <v>477</v>
      </c>
      <c r="E637" s="8" t="s">
        <v>2559</v>
      </c>
      <c r="F637" s="8" t="s">
        <v>1064</v>
      </c>
      <c r="G637" s="13">
        <v>1.41</v>
      </c>
      <c r="H637" s="13">
        <v>3.28</v>
      </c>
      <c r="I637" s="13" t="s">
        <v>1744</v>
      </c>
      <c r="J637" s="13">
        <v>2.4</v>
      </c>
      <c r="K637" s="8" t="s">
        <v>233</v>
      </c>
    </row>
    <row r="638" spans="1:11">
      <c r="A638" s="14"/>
      <c r="B638" s="8"/>
      <c r="C638" s="8"/>
      <c r="D638" s="8"/>
      <c r="E638" s="8"/>
      <c r="F638" s="8" t="s">
        <v>1060</v>
      </c>
      <c r="G638" s="13">
        <v>1.5</v>
      </c>
      <c r="H638" s="13">
        <v>0.24</v>
      </c>
      <c r="I638" s="13" t="s">
        <v>1745</v>
      </c>
      <c r="J638" s="13">
        <v>2.95</v>
      </c>
      <c r="K638" s="8"/>
    </row>
    <row r="639" spans="1:11">
      <c r="A639" s="14"/>
      <c r="B639" s="8"/>
      <c r="C639" s="8"/>
      <c r="D639" s="8"/>
      <c r="E639" s="8"/>
      <c r="F639" s="8" t="s">
        <v>503</v>
      </c>
      <c r="G639" s="13">
        <v>2.58</v>
      </c>
      <c r="H639" s="13">
        <v>0.48</v>
      </c>
      <c r="I639" s="8" t="s">
        <v>24</v>
      </c>
      <c r="J639" s="8" t="s">
        <v>24</v>
      </c>
      <c r="K639" s="8"/>
    </row>
    <row r="640" spans="1:11">
      <c r="A640" s="9">
        <v>45581</v>
      </c>
      <c r="B640" s="8" t="s">
        <v>2826</v>
      </c>
      <c r="C640" s="13">
        <v>6</v>
      </c>
      <c r="D640" s="8" t="s">
        <v>492</v>
      </c>
      <c r="E640" s="8" t="s">
        <v>492</v>
      </c>
      <c r="F640" s="8" t="s">
        <v>1064</v>
      </c>
      <c r="G640" s="13">
        <v>1.03</v>
      </c>
      <c r="H640" s="13">
        <v>5.28</v>
      </c>
      <c r="I640" s="13" t="s">
        <v>1744</v>
      </c>
      <c r="J640" s="13">
        <v>2.2</v>
      </c>
      <c r="K640" s="8" t="s">
        <v>86</v>
      </c>
    </row>
    <row r="641" spans="1:11">
      <c r="A641" s="14"/>
      <c r="B641" s="8"/>
      <c r="C641" s="8"/>
      <c r="D641" s="8"/>
      <c r="E641" s="8"/>
      <c r="F641" s="8" t="s">
        <v>1060</v>
      </c>
      <c r="G641" s="13">
        <v>1.03</v>
      </c>
      <c r="H641" s="13">
        <v>0.36</v>
      </c>
      <c r="I641" s="13" t="s">
        <v>1745</v>
      </c>
      <c r="J641" s="13">
        <v>2.45</v>
      </c>
      <c r="K641" s="8"/>
    </row>
    <row r="642" spans="1:11">
      <c r="A642" s="14"/>
      <c r="B642" s="8"/>
      <c r="C642" s="8"/>
      <c r="D642" s="8"/>
      <c r="E642" s="8"/>
      <c r="F642" s="8" t="s">
        <v>503</v>
      </c>
      <c r="G642" s="13">
        <v>4.02</v>
      </c>
      <c r="H642" s="13">
        <v>0.36</v>
      </c>
      <c r="I642" s="8" t="s">
        <v>24</v>
      </c>
      <c r="J642" s="8" t="s">
        <v>24</v>
      </c>
      <c r="K642" s="8"/>
    </row>
    <row r="643" spans="1:11">
      <c r="A643" s="9">
        <v>45582</v>
      </c>
      <c r="B643" s="8" t="s">
        <v>2827</v>
      </c>
      <c r="C643" s="13">
        <v>10</v>
      </c>
      <c r="D643" s="8" t="s">
        <v>521</v>
      </c>
      <c r="E643" s="8" t="s">
        <v>492</v>
      </c>
      <c r="F643" s="8" t="s">
        <v>1058</v>
      </c>
      <c r="G643" s="13">
        <v>1</v>
      </c>
      <c r="H643" s="13">
        <v>3</v>
      </c>
      <c r="I643" s="13" t="s">
        <v>1744</v>
      </c>
      <c r="J643" s="13">
        <v>2.18</v>
      </c>
      <c r="K643" s="8" t="s">
        <v>86</v>
      </c>
    </row>
    <row r="644" spans="1:11">
      <c r="A644" s="14"/>
      <c r="B644" s="8"/>
      <c r="C644" s="8"/>
      <c r="D644" s="8"/>
      <c r="E644" s="8"/>
      <c r="F644" s="8" t="s">
        <v>1059</v>
      </c>
      <c r="G644" s="13">
        <v>1</v>
      </c>
      <c r="H644" s="13">
        <v>5.8</v>
      </c>
      <c r="I644" s="13" t="s">
        <v>1744</v>
      </c>
      <c r="J644" s="13">
        <v>2.19</v>
      </c>
      <c r="K644" s="8"/>
    </row>
    <row r="645" spans="1:11">
      <c r="A645" s="14"/>
      <c r="B645" s="8"/>
      <c r="C645" s="8"/>
      <c r="D645" s="8"/>
      <c r="E645" s="8"/>
      <c r="F645" s="8" t="s">
        <v>1060</v>
      </c>
      <c r="G645" s="13">
        <v>1</v>
      </c>
      <c r="H645" s="13">
        <v>0.6</v>
      </c>
      <c r="I645" s="13" t="s">
        <v>1745</v>
      </c>
      <c r="J645" s="13">
        <v>2.38</v>
      </c>
      <c r="K645" s="8"/>
    </row>
    <row r="646" spans="1:11">
      <c r="A646" s="14"/>
      <c r="B646" s="8"/>
      <c r="C646" s="8"/>
      <c r="D646" s="8"/>
      <c r="E646" s="8"/>
      <c r="F646" s="8" t="s">
        <v>503</v>
      </c>
      <c r="G646" s="13">
        <v>3.17</v>
      </c>
      <c r="H646" s="13">
        <v>0.6</v>
      </c>
      <c r="I646" s="8" t="s">
        <v>24</v>
      </c>
      <c r="J646" s="8" t="s">
        <v>24</v>
      </c>
      <c r="K646" s="8"/>
    </row>
    <row r="647" spans="1:11">
      <c r="A647" s="9">
        <v>45589</v>
      </c>
      <c r="B647" s="8" t="s">
        <v>2828</v>
      </c>
      <c r="C647" s="13">
        <v>10</v>
      </c>
      <c r="D647" s="8" t="s">
        <v>492</v>
      </c>
      <c r="E647" s="8" t="s">
        <v>481</v>
      </c>
      <c r="F647" s="8" t="s">
        <v>1058</v>
      </c>
      <c r="G647" s="13">
        <v>0.99</v>
      </c>
      <c r="H647" s="13">
        <v>7</v>
      </c>
      <c r="I647" s="13" t="s">
        <v>1744</v>
      </c>
      <c r="J647" s="13">
        <v>2.18</v>
      </c>
      <c r="K647" s="8" t="s">
        <v>74</v>
      </c>
    </row>
    <row r="648" spans="1:11">
      <c r="A648" s="14"/>
      <c r="B648" s="8"/>
      <c r="C648" s="8"/>
      <c r="D648" s="8"/>
      <c r="E648" s="8"/>
      <c r="F648" s="8" t="s">
        <v>1059</v>
      </c>
      <c r="G648" s="13">
        <v>1.23</v>
      </c>
      <c r="H648" s="13">
        <v>2</v>
      </c>
      <c r="I648" s="13" t="s">
        <v>1744</v>
      </c>
      <c r="J648" s="13">
        <v>2.24</v>
      </c>
      <c r="K648" s="8"/>
    </row>
    <row r="649" spans="1:11">
      <c r="A649" s="14"/>
      <c r="B649" s="8"/>
      <c r="C649" s="8"/>
      <c r="D649" s="8"/>
      <c r="E649" s="8"/>
      <c r="F649" s="8" t="s">
        <v>1060</v>
      </c>
      <c r="G649" s="13">
        <v>1.23</v>
      </c>
      <c r="H649" s="13">
        <v>0.3</v>
      </c>
      <c r="I649" s="13" t="s">
        <v>1745</v>
      </c>
      <c r="J649" s="13">
        <v>2.35</v>
      </c>
      <c r="K649" s="8"/>
    </row>
    <row r="650" spans="1:11">
      <c r="A650" s="14"/>
      <c r="B650" s="8"/>
      <c r="C650" s="8"/>
      <c r="D650" s="8"/>
      <c r="E650" s="8"/>
      <c r="F650" s="8" t="s">
        <v>503</v>
      </c>
      <c r="G650" s="13">
        <v>1.72</v>
      </c>
      <c r="H650" s="13">
        <v>0.7</v>
      </c>
      <c r="I650" s="8" t="s">
        <v>24</v>
      </c>
      <c r="J650" s="8" t="s">
        <v>24</v>
      </c>
      <c r="K650" s="8"/>
    </row>
    <row r="651" spans="1:11">
      <c r="A651" s="9">
        <v>45588</v>
      </c>
      <c r="B651" s="8" t="s">
        <v>2829</v>
      </c>
      <c r="C651" s="13">
        <v>10</v>
      </c>
      <c r="D651" s="8" t="s">
        <v>481</v>
      </c>
      <c r="E651" s="8" t="s">
        <v>536</v>
      </c>
      <c r="F651" s="8" t="s">
        <v>1058</v>
      </c>
      <c r="G651" s="13">
        <v>0.99</v>
      </c>
      <c r="H651" s="13">
        <v>7</v>
      </c>
      <c r="I651" s="13" t="s">
        <v>1744</v>
      </c>
      <c r="J651" s="13">
        <v>2.18</v>
      </c>
      <c r="K651" s="8" t="s">
        <v>74</v>
      </c>
    </row>
    <row r="652" spans="1:11">
      <c r="A652" s="14"/>
      <c r="B652" s="8"/>
      <c r="C652" s="8"/>
      <c r="D652" s="8"/>
      <c r="E652" s="8"/>
      <c r="F652" s="8" t="s">
        <v>1059</v>
      </c>
      <c r="G652" s="13">
        <v>1.23</v>
      </c>
      <c r="H652" s="13">
        <v>2</v>
      </c>
      <c r="I652" s="13" t="s">
        <v>1744</v>
      </c>
      <c r="J652" s="13">
        <v>2.25</v>
      </c>
      <c r="K652" s="8"/>
    </row>
    <row r="653" spans="1:11">
      <c r="A653" s="14"/>
      <c r="B653" s="8"/>
      <c r="C653" s="8"/>
      <c r="D653" s="8"/>
      <c r="E653" s="8"/>
      <c r="F653" s="8" t="s">
        <v>1060</v>
      </c>
      <c r="G653" s="13">
        <v>1.23</v>
      </c>
      <c r="H653" s="13">
        <v>0.3</v>
      </c>
      <c r="I653" s="13" t="s">
        <v>1745</v>
      </c>
      <c r="J653" s="13">
        <v>2.3</v>
      </c>
      <c r="K653" s="8"/>
    </row>
    <row r="654" spans="1:11">
      <c r="A654" s="14"/>
      <c r="B654" s="8"/>
      <c r="C654" s="8"/>
      <c r="D654" s="8"/>
      <c r="E654" s="8"/>
      <c r="F654" s="8" t="s">
        <v>503</v>
      </c>
      <c r="G654" s="13">
        <v>1.72</v>
      </c>
      <c r="H654" s="13">
        <v>0.7</v>
      </c>
      <c r="I654" s="8" t="s">
        <v>24</v>
      </c>
      <c r="J654" s="8" t="s">
        <v>24</v>
      </c>
      <c r="K654" s="8"/>
    </row>
    <row r="655" spans="1:11">
      <c r="A655" s="9">
        <v>45583</v>
      </c>
      <c r="B655" s="8" t="s">
        <v>2830</v>
      </c>
      <c r="C655" s="13">
        <v>6</v>
      </c>
      <c r="D655" s="8" t="s">
        <v>486</v>
      </c>
      <c r="E655" s="8" t="s">
        <v>486</v>
      </c>
      <c r="F655" s="8" t="s">
        <v>1064</v>
      </c>
      <c r="G655" s="13">
        <v>1.01</v>
      </c>
      <c r="H655" s="13">
        <v>5.28</v>
      </c>
      <c r="I655" s="13" t="s">
        <v>1744</v>
      </c>
      <c r="J655" s="13">
        <v>2.08</v>
      </c>
      <c r="K655" s="8" t="s">
        <v>86</v>
      </c>
    </row>
    <row r="656" spans="1:11">
      <c r="A656" s="14"/>
      <c r="B656" s="8"/>
      <c r="C656" s="8"/>
      <c r="D656" s="8"/>
      <c r="E656" s="8"/>
      <c r="F656" s="8" t="s">
        <v>1060</v>
      </c>
      <c r="G656" s="13">
        <v>1.01</v>
      </c>
      <c r="H656" s="13">
        <v>0.36</v>
      </c>
      <c r="I656" s="13" t="s">
        <v>1745</v>
      </c>
      <c r="J656" s="13">
        <v>2.25</v>
      </c>
      <c r="K656" s="8"/>
    </row>
    <row r="657" spans="1:11">
      <c r="A657" s="14"/>
      <c r="B657" s="8"/>
      <c r="C657" s="8"/>
      <c r="D657" s="8"/>
      <c r="E657" s="8"/>
      <c r="F657" s="8" t="s">
        <v>503</v>
      </c>
      <c r="G657" s="13">
        <v>4.01</v>
      </c>
      <c r="H657" s="13">
        <v>0.36</v>
      </c>
      <c r="I657" s="8" t="s">
        <v>24</v>
      </c>
      <c r="J657" s="8" t="s">
        <v>24</v>
      </c>
      <c r="K657" s="8"/>
    </row>
    <row r="658" spans="1:11">
      <c r="A658" s="9">
        <v>45582</v>
      </c>
      <c r="B658" s="8" t="s">
        <v>2831</v>
      </c>
      <c r="C658" s="13">
        <v>4</v>
      </c>
      <c r="D658" s="8" t="s">
        <v>486</v>
      </c>
      <c r="E658" s="8" t="s">
        <v>486</v>
      </c>
      <c r="F658" s="8" t="s">
        <v>1064</v>
      </c>
      <c r="G658" s="13">
        <v>1.51</v>
      </c>
      <c r="H658" s="13">
        <v>3.35</v>
      </c>
      <c r="I658" s="13" t="s">
        <v>1744</v>
      </c>
      <c r="J658" s="13">
        <v>2.3</v>
      </c>
      <c r="K658" s="8" t="s">
        <v>27</v>
      </c>
    </row>
    <row r="659" spans="1:11">
      <c r="A659" s="14"/>
      <c r="B659" s="8"/>
      <c r="C659" s="8"/>
      <c r="D659" s="8"/>
      <c r="E659" s="8"/>
      <c r="F659" s="8" t="s">
        <v>1060</v>
      </c>
      <c r="G659" s="13">
        <v>1.93</v>
      </c>
      <c r="H659" s="13">
        <v>0.21</v>
      </c>
      <c r="I659" s="13" t="s">
        <v>1745</v>
      </c>
      <c r="J659" s="13">
        <v>2.4</v>
      </c>
      <c r="K659" s="8"/>
    </row>
    <row r="660" spans="1:11">
      <c r="A660" s="14"/>
      <c r="B660" s="8"/>
      <c r="C660" s="8"/>
      <c r="D660" s="8"/>
      <c r="E660" s="8"/>
      <c r="F660" s="8" t="s">
        <v>1326</v>
      </c>
      <c r="G660" s="13">
        <v>3.01</v>
      </c>
      <c r="H660" s="13">
        <v>0.24</v>
      </c>
      <c r="I660" s="8" t="s">
        <v>24</v>
      </c>
      <c r="J660" s="8" t="s">
        <v>24</v>
      </c>
      <c r="K660" s="8"/>
    </row>
    <row r="661" spans="1:11">
      <c r="A661" s="14"/>
      <c r="B661" s="8"/>
      <c r="C661" s="8"/>
      <c r="D661" s="8"/>
      <c r="E661" s="8"/>
      <c r="F661" s="8" t="s">
        <v>1327</v>
      </c>
      <c r="G661" s="13">
        <v>3.01</v>
      </c>
      <c r="H661" s="13">
        <v>0.2</v>
      </c>
      <c r="I661" s="8" t="s">
        <v>24</v>
      </c>
      <c r="J661" s="8" t="s">
        <v>24</v>
      </c>
      <c r="K661" s="8"/>
    </row>
    <row r="662" spans="1:11">
      <c r="A662" s="9">
        <v>45589</v>
      </c>
      <c r="B662" s="8" t="s">
        <v>2832</v>
      </c>
      <c r="C662" s="13">
        <v>20</v>
      </c>
      <c r="D662" s="8" t="s">
        <v>521</v>
      </c>
      <c r="E662" s="8" t="s">
        <v>492</v>
      </c>
      <c r="F662" s="8" t="s">
        <v>1058</v>
      </c>
      <c r="G662" s="13">
        <v>1</v>
      </c>
      <c r="H662" s="13">
        <v>6</v>
      </c>
      <c r="I662" s="13" t="s">
        <v>1744</v>
      </c>
      <c r="J662" s="13">
        <v>2.08</v>
      </c>
      <c r="K662" s="8" t="s">
        <v>86</v>
      </c>
    </row>
    <row r="663" spans="1:11">
      <c r="A663" s="14"/>
      <c r="B663" s="8"/>
      <c r="C663" s="8"/>
      <c r="D663" s="8"/>
      <c r="E663" s="8"/>
      <c r="F663" s="8" t="s">
        <v>1900</v>
      </c>
      <c r="G663" s="13">
        <v>1</v>
      </c>
      <c r="H663" s="13">
        <v>11.6</v>
      </c>
      <c r="I663" s="13" t="s">
        <v>1744</v>
      </c>
      <c r="J663" s="13">
        <v>2.08</v>
      </c>
      <c r="K663" s="8"/>
    </row>
    <row r="664" spans="1:11">
      <c r="A664" s="14"/>
      <c r="B664" s="8"/>
      <c r="C664" s="8"/>
      <c r="D664" s="8"/>
      <c r="E664" s="8"/>
      <c r="F664" s="8" t="s">
        <v>1060</v>
      </c>
      <c r="G664" s="13">
        <v>1</v>
      </c>
      <c r="H664" s="13">
        <v>1.2</v>
      </c>
      <c r="I664" s="13" t="s">
        <v>1745</v>
      </c>
      <c r="J664" s="13">
        <v>2.24</v>
      </c>
      <c r="K664" s="8"/>
    </row>
    <row r="665" spans="1:11">
      <c r="A665" s="14"/>
      <c r="B665" s="8"/>
      <c r="C665" s="8"/>
      <c r="D665" s="8"/>
      <c r="E665" s="8"/>
      <c r="F665" s="8" t="s">
        <v>503</v>
      </c>
      <c r="G665" s="13">
        <v>3.17</v>
      </c>
      <c r="H665" s="13">
        <v>1.2</v>
      </c>
      <c r="I665" s="8" t="s">
        <v>24</v>
      </c>
      <c r="J665" s="8" t="s">
        <v>24</v>
      </c>
      <c r="K665" s="8"/>
    </row>
    <row r="666" spans="1:11">
      <c r="A666" s="9">
        <v>45587</v>
      </c>
      <c r="B666" s="8" t="s">
        <v>2833</v>
      </c>
      <c r="C666" s="13">
        <v>10</v>
      </c>
      <c r="D666" s="8" t="s">
        <v>536</v>
      </c>
      <c r="E666" s="8" t="s">
        <v>492</v>
      </c>
      <c r="F666" s="8" t="s">
        <v>1058</v>
      </c>
      <c r="G666" s="13">
        <v>0.99</v>
      </c>
      <c r="H666" s="13">
        <v>7</v>
      </c>
      <c r="I666" s="13" t="s">
        <v>1744</v>
      </c>
      <c r="J666" s="13">
        <v>2.18</v>
      </c>
      <c r="K666" s="8" t="s">
        <v>74</v>
      </c>
    </row>
    <row r="667" spans="1:11">
      <c r="A667" s="14"/>
      <c r="B667" s="8"/>
      <c r="C667" s="8"/>
      <c r="D667" s="8"/>
      <c r="E667" s="8"/>
      <c r="F667" s="8" t="s">
        <v>1059</v>
      </c>
      <c r="G667" s="13">
        <v>1.23</v>
      </c>
      <c r="H667" s="13">
        <v>2</v>
      </c>
      <c r="I667" s="13" t="s">
        <v>1744</v>
      </c>
      <c r="J667" s="13">
        <v>2.2</v>
      </c>
      <c r="K667" s="8"/>
    </row>
    <row r="668" spans="1:11">
      <c r="A668" s="14"/>
      <c r="B668" s="8"/>
      <c r="C668" s="8"/>
      <c r="D668" s="8"/>
      <c r="E668" s="8"/>
      <c r="F668" s="8" t="s">
        <v>1060</v>
      </c>
      <c r="G668" s="13">
        <v>1.23</v>
      </c>
      <c r="H668" s="13">
        <v>0.3</v>
      </c>
      <c r="I668" s="13" t="s">
        <v>1745</v>
      </c>
      <c r="J668" s="13">
        <v>2.3</v>
      </c>
      <c r="K668" s="8"/>
    </row>
    <row r="669" spans="1:11">
      <c r="A669" s="14"/>
      <c r="B669" s="8"/>
      <c r="C669" s="8"/>
      <c r="D669" s="8"/>
      <c r="E669" s="8"/>
      <c r="F669" s="8" t="s">
        <v>503</v>
      </c>
      <c r="G669" s="13">
        <v>1.73</v>
      </c>
      <c r="H669" s="13">
        <v>0.7</v>
      </c>
      <c r="I669" s="8" t="s">
        <v>24</v>
      </c>
      <c r="J669" s="8" t="s">
        <v>24</v>
      </c>
      <c r="K669" s="8"/>
    </row>
    <row r="670" spans="1:11">
      <c r="A670" s="9">
        <v>45583</v>
      </c>
      <c r="B670" s="8" t="s">
        <v>2834</v>
      </c>
      <c r="C670" s="13">
        <v>10</v>
      </c>
      <c r="D670" s="8" t="s">
        <v>492</v>
      </c>
      <c r="E670" s="8" t="s">
        <v>481</v>
      </c>
      <c r="F670" s="8" t="s">
        <v>1058</v>
      </c>
      <c r="G670" s="13">
        <v>0.99</v>
      </c>
      <c r="H670" s="13">
        <v>7</v>
      </c>
      <c r="I670" s="13" t="s">
        <v>1744</v>
      </c>
      <c r="J670" s="13">
        <v>2.18</v>
      </c>
      <c r="K670" s="8" t="s">
        <v>74</v>
      </c>
    </row>
    <row r="671" spans="1:11">
      <c r="A671" s="14"/>
      <c r="B671" s="8"/>
      <c r="C671" s="8"/>
      <c r="D671" s="8"/>
      <c r="E671" s="8"/>
      <c r="F671" s="8" t="s">
        <v>1059</v>
      </c>
      <c r="G671" s="13">
        <v>1.23</v>
      </c>
      <c r="H671" s="13">
        <v>2</v>
      </c>
      <c r="I671" s="13" t="s">
        <v>1744</v>
      </c>
      <c r="J671" s="13">
        <v>2.2</v>
      </c>
      <c r="K671" s="8"/>
    </row>
    <row r="672" spans="1:11">
      <c r="A672" s="14"/>
      <c r="B672" s="8"/>
      <c r="C672" s="8"/>
      <c r="D672" s="8"/>
      <c r="E672" s="8"/>
      <c r="F672" s="8" t="s">
        <v>1060</v>
      </c>
      <c r="G672" s="13">
        <v>1.23</v>
      </c>
      <c r="H672" s="13">
        <v>0.3</v>
      </c>
      <c r="I672" s="13" t="s">
        <v>1745</v>
      </c>
      <c r="J672" s="13">
        <v>2.3</v>
      </c>
      <c r="K672" s="8"/>
    </row>
    <row r="673" spans="1:11">
      <c r="A673" s="14"/>
      <c r="B673" s="8"/>
      <c r="C673" s="8"/>
      <c r="D673" s="8"/>
      <c r="E673" s="8"/>
      <c r="F673" s="8" t="s">
        <v>503</v>
      </c>
      <c r="G673" s="13">
        <v>1.73</v>
      </c>
      <c r="H673" s="13">
        <v>0.7</v>
      </c>
      <c r="I673" s="8" t="s">
        <v>24</v>
      </c>
      <c r="J673" s="8" t="s">
        <v>24</v>
      </c>
      <c r="K673" s="8"/>
    </row>
    <row r="674" spans="1:11">
      <c r="A674" s="9">
        <v>45587</v>
      </c>
      <c r="B674" s="8" t="s">
        <v>2835</v>
      </c>
      <c r="C674" s="13">
        <v>10</v>
      </c>
      <c r="D674" s="8" t="s">
        <v>2654</v>
      </c>
      <c r="E674" s="8" t="s">
        <v>492</v>
      </c>
      <c r="F674" s="8" t="s">
        <v>1064</v>
      </c>
      <c r="G674" s="13">
        <v>1</v>
      </c>
      <c r="H674" s="13">
        <v>8.9</v>
      </c>
      <c r="I674" s="13" t="s">
        <v>1744</v>
      </c>
      <c r="J674" s="13">
        <v>2.22</v>
      </c>
      <c r="K674" s="8" t="s">
        <v>129</v>
      </c>
    </row>
    <row r="675" spans="1:11">
      <c r="A675" s="14"/>
      <c r="B675" s="8"/>
      <c r="C675" s="8"/>
      <c r="D675" s="8"/>
      <c r="E675" s="8"/>
      <c r="F675" s="8" t="s">
        <v>1060</v>
      </c>
      <c r="G675" s="13">
        <v>1.17</v>
      </c>
      <c r="H675" s="13">
        <v>0.5</v>
      </c>
      <c r="I675" s="13" t="s">
        <v>1745</v>
      </c>
      <c r="J675" s="13">
        <v>2.35</v>
      </c>
      <c r="K675" s="8"/>
    </row>
    <row r="676" spans="1:11">
      <c r="A676" s="14"/>
      <c r="B676" s="8"/>
      <c r="C676" s="8"/>
      <c r="D676" s="8"/>
      <c r="E676" s="8"/>
      <c r="F676" s="8" t="s">
        <v>503</v>
      </c>
      <c r="G676" s="13">
        <v>1.75</v>
      </c>
      <c r="H676" s="13">
        <v>0.6</v>
      </c>
      <c r="I676" s="8" t="s">
        <v>24</v>
      </c>
      <c r="J676" s="8" t="s">
        <v>24</v>
      </c>
      <c r="K676" s="8"/>
    </row>
    <row r="677" spans="1:11">
      <c r="A677" s="9">
        <v>45586</v>
      </c>
      <c r="B677" s="8" t="s">
        <v>2836</v>
      </c>
      <c r="C677" s="13">
        <v>10</v>
      </c>
      <c r="D677" s="8" t="s">
        <v>477</v>
      </c>
      <c r="E677" s="8" t="s">
        <v>2654</v>
      </c>
      <c r="F677" s="8" t="s">
        <v>1064</v>
      </c>
      <c r="G677" s="13">
        <v>1</v>
      </c>
      <c r="H677" s="13">
        <v>8.9</v>
      </c>
      <c r="I677" s="13" t="s">
        <v>1744</v>
      </c>
      <c r="J677" s="13">
        <v>2.22</v>
      </c>
      <c r="K677" s="8" t="s">
        <v>129</v>
      </c>
    </row>
    <row r="678" spans="1:11">
      <c r="A678" s="14"/>
      <c r="B678" s="8"/>
      <c r="C678" s="8"/>
      <c r="D678" s="8"/>
      <c r="E678" s="8"/>
      <c r="F678" s="8" t="s">
        <v>1060</v>
      </c>
      <c r="G678" s="13">
        <v>1.17</v>
      </c>
      <c r="H678" s="13">
        <v>0.5</v>
      </c>
      <c r="I678" s="13" t="s">
        <v>1745</v>
      </c>
      <c r="J678" s="13">
        <v>2.35</v>
      </c>
      <c r="K678" s="8"/>
    </row>
    <row r="679" spans="1:11">
      <c r="A679" s="14"/>
      <c r="B679" s="8"/>
      <c r="C679" s="8"/>
      <c r="D679" s="8"/>
      <c r="E679" s="8"/>
      <c r="F679" s="8" t="s">
        <v>503</v>
      </c>
      <c r="G679" s="13">
        <v>1.75</v>
      </c>
      <c r="H679" s="13">
        <v>0.6</v>
      </c>
      <c r="I679" s="8" t="s">
        <v>24</v>
      </c>
      <c r="J679" s="8" t="s">
        <v>24</v>
      </c>
      <c r="K679" s="8"/>
    </row>
    <row r="680" spans="1:11">
      <c r="A680" s="9">
        <v>45583</v>
      </c>
      <c r="B680" s="8" t="s">
        <v>2837</v>
      </c>
      <c r="C680" s="13">
        <v>10</v>
      </c>
      <c r="D680" s="8" t="s">
        <v>911</v>
      </c>
      <c r="E680" s="8" t="s">
        <v>2568</v>
      </c>
      <c r="F680" s="8" t="s">
        <v>1064</v>
      </c>
      <c r="G680" s="13">
        <v>1.99</v>
      </c>
      <c r="H680" s="13">
        <v>8.7</v>
      </c>
      <c r="I680" s="13" t="s">
        <v>1744</v>
      </c>
      <c r="J680" s="13">
        <v>2.29</v>
      </c>
      <c r="K680" s="8" t="s">
        <v>35</v>
      </c>
    </row>
    <row r="681" spans="1:11">
      <c r="A681" s="14"/>
      <c r="B681" s="8"/>
      <c r="C681" s="8"/>
      <c r="D681" s="8"/>
      <c r="E681" s="8"/>
      <c r="F681" s="8" t="s">
        <v>1060</v>
      </c>
      <c r="G681" s="13">
        <v>1.99</v>
      </c>
      <c r="H681" s="13">
        <v>0.3</v>
      </c>
      <c r="I681" s="13" t="s">
        <v>1745</v>
      </c>
      <c r="J681" s="13">
        <v>2.5</v>
      </c>
      <c r="K681" s="8"/>
    </row>
    <row r="682" spans="1:11">
      <c r="A682" s="14"/>
      <c r="B682" s="8"/>
      <c r="C682" s="8"/>
      <c r="D682" s="8"/>
      <c r="E682" s="8"/>
      <c r="F682" s="8" t="s">
        <v>509</v>
      </c>
      <c r="G682" s="13">
        <v>1.99</v>
      </c>
      <c r="H682" s="13">
        <v>0.5</v>
      </c>
      <c r="I682" s="13" t="s">
        <v>2635</v>
      </c>
      <c r="J682" s="13">
        <v>3.7</v>
      </c>
      <c r="K682" s="8"/>
    </row>
    <row r="683" spans="1:11">
      <c r="A683" s="14"/>
      <c r="B683" s="8"/>
      <c r="C683" s="8"/>
      <c r="D683" s="8"/>
      <c r="E683" s="8"/>
      <c r="F683" s="8" t="s">
        <v>503</v>
      </c>
      <c r="G683" s="13">
        <v>1.99</v>
      </c>
      <c r="H683" s="13">
        <v>0.5</v>
      </c>
      <c r="I683" s="8" t="s">
        <v>24</v>
      </c>
      <c r="J683" s="8" t="s">
        <v>24</v>
      </c>
      <c r="K683" s="8"/>
    </row>
    <row r="684" spans="1:11">
      <c r="A684" s="9">
        <v>45595</v>
      </c>
      <c r="B684" s="8" t="s">
        <v>2838</v>
      </c>
      <c r="C684" s="13">
        <v>10</v>
      </c>
      <c r="D684" s="8" t="s">
        <v>911</v>
      </c>
      <c r="E684" s="8" t="s">
        <v>536</v>
      </c>
      <c r="F684" s="8" t="s">
        <v>1064</v>
      </c>
      <c r="G684" s="13">
        <v>2</v>
      </c>
      <c r="H684" s="13">
        <v>8.7</v>
      </c>
      <c r="I684" s="13" t="s">
        <v>1744</v>
      </c>
      <c r="J684" s="13">
        <v>2.38</v>
      </c>
      <c r="K684" s="8" t="s">
        <v>35</v>
      </c>
    </row>
    <row r="685" spans="1:11">
      <c r="A685" s="14"/>
      <c r="B685" s="8"/>
      <c r="C685" s="8"/>
      <c r="D685" s="8"/>
      <c r="E685" s="8"/>
      <c r="F685" s="8" t="s">
        <v>1060</v>
      </c>
      <c r="G685" s="13">
        <v>2</v>
      </c>
      <c r="H685" s="13">
        <v>0.3</v>
      </c>
      <c r="I685" s="13" t="s">
        <v>1745</v>
      </c>
      <c r="J685" s="13">
        <v>2.48</v>
      </c>
      <c r="K685" s="8"/>
    </row>
    <row r="686" spans="1:11">
      <c r="A686" s="14"/>
      <c r="B686" s="8"/>
      <c r="C686" s="8"/>
      <c r="D686" s="8"/>
      <c r="E686" s="8"/>
      <c r="F686" s="8" t="s">
        <v>509</v>
      </c>
      <c r="G686" s="13">
        <v>2</v>
      </c>
      <c r="H686" s="13">
        <v>0.5</v>
      </c>
      <c r="I686" s="13" t="s">
        <v>2635</v>
      </c>
      <c r="J686" s="13">
        <v>3.7</v>
      </c>
      <c r="K686" s="8"/>
    </row>
    <row r="687" spans="1:11">
      <c r="A687" s="14"/>
      <c r="B687" s="8"/>
      <c r="C687" s="8"/>
      <c r="D687" s="8"/>
      <c r="E687" s="8"/>
      <c r="F687" s="8" t="s">
        <v>503</v>
      </c>
      <c r="G687" s="13">
        <v>2</v>
      </c>
      <c r="H687" s="13">
        <v>0.5</v>
      </c>
      <c r="I687" s="8" t="s">
        <v>24</v>
      </c>
      <c r="J687" s="8" t="s">
        <v>24</v>
      </c>
      <c r="K687" s="8"/>
    </row>
    <row r="688" spans="1:11">
      <c r="A688" s="9">
        <v>45597</v>
      </c>
      <c r="B688" s="8" t="s">
        <v>2839</v>
      </c>
      <c r="C688" s="13">
        <v>10</v>
      </c>
      <c r="D688" s="8" t="s">
        <v>492</v>
      </c>
      <c r="E688" s="8" t="s">
        <v>477</v>
      </c>
      <c r="F688" s="8" t="s">
        <v>1064</v>
      </c>
      <c r="G688" s="13">
        <v>1</v>
      </c>
      <c r="H688" s="13">
        <v>8.9</v>
      </c>
      <c r="I688" s="13" t="s">
        <v>1744</v>
      </c>
      <c r="J688" s="13">
        <v>2.21</v>
      </c>
      <c r="K688" s="8" t="s">
        <v>129</v>
      </c>
    </row>
    <row r="689" spans="1:11">
      <c r="A689" s="14"/>
      <c r="B689" s="8"/>
      <c r="C689" s="8"/>
      <c r="D689" s="8"/>
      <c r="E689" s="8"/>
      <c r="F689" s="8" t="s">
        <v>1060</v>
      </c>
      <c r="G689" s="13">
        <v>1.17</v>
      </c>
      <c r="H689" s="13">
        <v>0.5</v>
      </c>
      <c r="I689" s="13" t="s">
        <v>1745</v>
      </c>
      <c r="J689" s="13">
        <v>2.35</v>
      </c>
      <c r="K689" s="8"/>
    </row>
    <row r="690" spans="1:11">
      <c r="A690" s="14"/>
      <c r="B690" s="8"/>
      <c r="C690" s="8"/>
      <c r="D690" s="8"/>
      <c r="E690" s="8"/>
      <c r="F690" s="8" t="s">
        <v>503</v>
      </c>
      <c r="G690" s="13">
        <v>1.75</v>
      </c>
      <c r="H690" s="13">
        <v>0.6</v>
      </c>
      <c r="I690" s="8" t="s">
        <v>24</v>
      </c>
      <c r="J690" s="8" t="s">
        <v>24</v>
      </c>
      <c r="K690" s="8"/>
    </row>
    <row r="691" spans="1:11">
      <c r="A691" s="9">
        <v>45595</v>
      </c>
      <c r="B691" s="8" t="s">
        <v>2840</v>
      </c>
      <c r="C691" s="13">
        <v>6</v>
      </c>
      <c r="D691" s="8" t="s">
        <v>492</v>
      </c>
      <c r="E691" s="8" t="s">
        <v>492</v>
      </c>
      <c r="F691" s="8" t="s">
        <v>1058</v>
      </c>
      <c r="G691" s="13">
        <v>1.84</v>
      </c>
      <c r="H691" s="13">
        <v>3</v>
      </c>
      <c r="I691" s="13" t="s">
        <v>1744</v>
      </c>
      <c r="J691" s="13">
        <v>2.48</v>
      </c>
      <c r="K691" s="13">
        <v>360</v>
      </c>
    </row>
    <row r="692" spans="1:11">
      <c r="A692" s="14"/>
      <c r="B692" s="8"/>
      <c r="C692" s="8"/>
      <c r="D692" s="8"/>
      <c r="E692" s="8"/>
      <c r="F692" s="8" t="s">
        <v>1059</v>
      </c>
      <c r="G692" s="13">
        <v>1.84</v>
      </c>
      <c r="H692" s="13">
        <v>2</v>
      </c>
      <c r="I692" s="13" t="s">
        <v>1744</v>
      </c>
      <c r="J692" s="13">
        <v>2.5</v>
      </c>
      <c r="K692" s="8"/>
    </row>
    <row r="693" spans="1:11">
      <c r="A693" s="14"/>
      <c r="B693" s="8"/>
      <c r="C693" s="8"/>
      <c r="D693" s="8"/>
      <c r="E693" s="8"/>
      <c r="F693" s="8" t="s">
        <v>1060</v>
      </c>
      <c r="G693" s="13">
        <v>1.84</v>
      </c>
      <c r="H693" s="13">
        <v>0.34</v>
      </c>
      <c r="I693" s="13" t="s">
        <v>1745</v>
      </c>
      <c r="J693" s="13">
        <v>2.85</v>
      </c>
      <c r="K693" s="8"/>
    </row>
    <row r="694" spans="1:11">
      <c r="A694" s="14"/>
      <c r="B694" s="8"/>
      <c r="C694" s="8"/>
      <c r="D694" s="8"/>
      <c r="E694" s="8"/>
      <c r="F694" s="8" t="s">
        <v>1061</v>
      </c>
      <c r="G694" s="13">
        <v>1.84</v>
      </c>
      <c r="H694" s="13">
        <v>0.21</v>
      </c>
      <c r="I694" s="13" t="s">
        <v>1746</v>
      </c>
      <c r="J694" s="13">
        <v>5</v>
      </c>
      <c r="K694" s="8"/>
    </row>
    <row r="695" spans="1:11">
      <c r="A695" s="14"/>
      <c r="B695" s="8"/>
      <c r="C695" s="8"/>
      <c r="D695" s="8"/>
      <c r="E695" s="8"/>
      <c r="F695" s="8" t="s">
        <v>503</v>
      </c>
      <c r="G695" s="13">
        <v>1.84</v>
      </c>
      <c r="H695" s="13">
        <v>0.45</v>
      </c>
      <c r="I695" s="8" t="s">
        <v>24</v>
      </c>
      <c r="J695" s="8" t="s">
        <v>24</v>
      </c>
      <c r="K695" s="8"/>
    </row>
    <row r="696" spans="1:11">
      <c r="A696" s="9">
        <v>45597</v>
      </c>
      <c r="B696" s="8" t="s">
        <v>2841</v>
      </c>
      <c r="C696" s="13">
        <v>8</v>
      </c>
      <c r="D696" s="8" t="s">
        <v>2654</v>
      </c>
      <c r="E696" s="8" t="s">
        <v>536</v>
      </c>
      <c r="F696" s="8" t="s">
        <v>1064</v>
      </c>
      <c r="G696" s="13">
        <v>1</v>
      </c>
      <c r="H696" s="13">
        <v>7.12</v>
      </c>
      <c r="I696" s="13" t="s">
        <v>1744</v>
      </c>
      <c r="J696" s="13">
        <v>2.23</v>
      </c>
      <c r="K696" s="8" t="s">
        <v>129</v>
      </c>
    </row>
    <row r="697" spans="1:11">
      <c r="A697" s="14"/>
      <c r="B697" s="8"/>
      <c r="C697" s="8"/>
      <c r="D697" s="8"/>
      <c r="E697" s="8"/>
      <c r="F697" s="8" t="s">
        <v>1060</v>
      </c>
      <c r="G697" s="13">
        <v>1.17</v>
      </c>
      <c r="H697" s="13">
        <v>0.4</v>
      </c>
      <c r="I697" s="13" t="s">
        <v>1745</v>
      </c>
      <c r="J697" s="13">
        <v>2.35</v>
      </c>
      <c r="K697" s="8"/>
    </row>
    <row r="698" spans="1:11">
      <c r="A698" s="14"/>
      <c r="B698" s="8"/>
      <c r="C698" s="8"/>
      <c r="D698" s="8"/>
      <c r="E698" s="8"/>
      <c r="F698" s="8" t="s">
        <v>503</v>
      </c>
      <c r="G698" s="13">
        <v>1.75</v>
      </c>
      <c r="H698" s="13">
        <v>0.48</v>
      </c>
      <c r="I698" s="8" t="s">
        <v>24</v>
      </c>
      <c r="J698" s="8" t="s">
        <v>24</v>
      </c>
      <c r="K698" s="8"/>
    </row>
    <row r="699" spans="1:11">
      <c r="A699" s="9">
        <v>45594</v>
      </c>
      <c r="B699" s="8" t="s">
        <v>2842</v>
      </c>
      <c r="C699" s="13">
        <v>5</v>
      </c>
      <c r="D699" s="8" t="s">
        <v>1277</v>
      </c>
      <c r="E699" s="8" t="s">
        <v>477</v>
      </c>
      <c r="F699" s="8" t="s">
        <v>1064</v>
      </c>
      <c r="G699" s="13">
        <v>1.42</v>
      </c>
      <c r="H699" s="13">
        <v>4.2</v>
      </c>
      <c r="I699" s="13" t="s">
        <v>1744</v>
      </c>
      <c r="J699" s="13">
        <v>2.19</v>
      </c>
      <c r="K699" s="8" t="s">
        <v>355</v>
      </c>
    </row>
    <row r="700" spans="1:11">
      <c r="A700" s="14"/>
      <c r="B700" s="8"/>
      <c r="C700" s="8"/>
      <c r="D700" s="8"/>
      <c r="E700" s="8"/>
      <c r="F700" s="8" t="s">
        <v>1060</v>
      </c>
      <c r="G700" s="13">
        <v>2</v>
      </c>
      <c r="H700" s="13">
        <v>0.25</v>
      </c>
      <c r="I700" s="13" t="s">
        <v>1745</v>
      </c>
      <c r="J700" s="13">
        <v>2.5</v>
      </c>
      <c r="K700" s="8"/>
    </row>
    <row r="701" spans="1:11">
      <c r="A701" s="14"/>
      <c r="B701" s="8"/>
      <c r="C701" s="8"/>
      <c r="D701" s="8"/>
      <c r="E701" s="8"/>
      <c r="F701" s="8" t="s">
        <v>1061</v>
      </c>
      <c r="G701" s="13">
        <v>2</v>
      </c>
      <c r="H701" s="13">
        <v>0.2</v>
      </c>
      <c r="I701" s="13" t="s">
        <v>2673</v>
      </c>
      <c r="J701" s="13">
        <v>3</v>
      </c>
      <c r="K701" s="8"/>
    </row>
    <row r="702" spans="1:11">
      <c r="A702" s="14"/>
      <c r="B702" s="8"/>
      <c r="C702" s="8"/>
      <c r="D702" s="8"/>
      <c r="E702" s="8"/>
      <c r="F702" s="8" t="s">
        <v>503</v>
      </c>
      <c r="G702" s="13">
        <v>2</v>
      </c>
      <c r="H702" s="13">
        <v>0.35</v>
      </c>
      <c r="I702" s="8" t="s">
        <v>24</v>
      </c>
      <c r="J702" s="8" t="s">
        <v>24</v>
      </c>
      <c r="K702" s="8"/>
    </row>
    <row r="703" spans="1:11">
      <c r="A703" s="9">
        <v>45594</v>
      </c>
      <c r="B703" s="8" t="s">
        <v>2843</v>
      </c>
      <c r="C703" s="13">
        <v>10</v>
      </c>
      <c r="D703" s="8" t="s">
        <v>492</v>
      </c>
      <c r="E703" s="8" t="s">
        <v>477</v>
      </c>
      <c r="F703" s="8" t="s">
        <v>1064</v>
      </c>
      <c r="G703" s="13">
        <v>1.92</v>
      </c>
      <c r="H703" s="13">
        <v>8.9</v>
      </c>
      <c r="I703" s="13" t="s">
        <v>1744</v>
      </c>
      <c r="J703" s="13">
        <v>2.35</v>
      </c>
      <c r="K703" s="8" t="s">
        <v>129</v>
      </c>
    </row>
    <row r="704" spans="1:11">
      <c r="A704" s="14"/>
      <c r="B704" s="8"/>
      <c r="C704" s="8"/>
      <c r="D704" s="8"/>
      <c r="E704" s="8"/>
      <c r="F704" s="8" t="s">
        <v>1060</v>
      </c>
      <c r="G704" s="13">
        <v>2</v>
      </c>
      <c r="H704" s="13">
        <v>0.4</v>
      </c>
      <c r="I704" s="13" t="s">
        <v>1745</v>
      </c>
      <c r="J704" s="13">
        <v>2.45</v>
      </c>
      <c r="K704" s="8"/>
    </row>
    <row r="705" spans="1:11">
      <c r="A705" s="14"/>
      <c r="B705" s="8"/>
      <c r="C705" s="8"/>
      <c r="D705" s="8"/>
      <c r="E705" s="8"/>
      <c r="F705" s="8" t="s">
        <v>503</v>
      </c>
      <c r="G705" s="13">
        <v>2.67</v>
      </c>
      <c r="H705" s="13">
        <v>0.7</v>
      </c>
      <c r="I705" s="8" t="s">
        <v>24</v>
      </c>
      <c r="J705" s="8" t="s">
        <v>24</v>
      </c>
      <c r="K705" s="8"/>
    </row>
    <row r="706" spans="1:11">
      <c r="A706" s="9">
        <v>45590</v>
      </c>
      <c r="B706" s="8" t="s">
        <v>2844</v>
      </c>
      <c r="C706" s="13">
        <v>10</v>
      </c>
      <c r="D706" s="8" t="s">
        <v>911</v>
      </c>
      <c r="E706" s="8" t="s">
        <v>536</v>
      </c>
      <c r="F706" s="8" t="s">
        <v>1064</v>
      </c>
      <c r="G706" s="13">
        <v>1.99</v>
      </c>
      <c r="H706" s="13">
        <v>7</v>
      </c>
      <c r="I706" s="13" t="s">
        <v>1744</v>
      </c>
      <c r="J706" s="13">
        <v>2.4</v>
      </c>
      <c r="K706" s="8" t="s">
        <v>35</v>
      </c>
    </row>
    <row r="707" spans="1:11">
      <c r="A707" s="14"/>
      <c r="B707" s="8"/>
      <c r="C707" s="8"/>
      <c r="D707" s="8"/>
      <c r="E707" s="8"/>
      <c r="F707" s="8" t="s">
        <v>1060</v>
      </c>
      <c r="G707" s="13">
        <v>1.99</v>
      </c>
      <c r="H707" s="13">
        <v>2</v>
      </c>
      <c r="I707" s="13" t="s">
        <v>1745</v>
      </c>
      <c r="J707" s="13">
        <v>2.5</v>
      </c>
      <c r="K707" s="8"/>
    </row>
    <row r="708" spans="1:11">
      <c r="A708" s="14"/>
      <c r="B708" s="8"/>
      <c r="C708" s="8"/>
      <c r="D708" s="8"/>
      <c r="E708" s="8"/>
      <c r="F708" s="8" t="s">
        <v>509</v>
      </c>
      <c r="G708" s="13">
        <v>1.99</v>
      </c>
      <c r="H708" s="13">
        <v>0.3</v>
      </c>
      <c r="I708" s="13" t="s">
        <v>2845</v>
      </c>
      <c r="J708" s="13">
        <v>3.7</v>
      </c>
      <c r="K708" s="8"/>
    </row>
    <row r="709" spans="1:11">
      <c r="A709" s="14"/>
      <c r="B709" s="8"/>
      <c r="C709" s="8"/>
      <c r="D709" s="8"/>
      <c r="E709" s="8"/>
      <c r="F709" s="8" t="s">
        <v>503</v>
      </c>
      <c r="G709" s="13">
        <v>1.99</v>
      </c>
      <c r="H709" s="13">
        <v>0.7</v>
      </c>
      <c r="I709" s="8" t="s">
        <v>24</v>
      </c>
      <c r="J709" s="8" t="s">
        <v>24</v>
      </c>
      <c r="K709" s="8"/>
    </row>
    <row r="710" spans="1:11">
      <c r="A710" s="9">
        <v>45590</v>
      </c>
      <c r="B710" s="8" t="s">
        <v>2846</v>
      </c>
      <c r="C710" s="13">
        <v>10</v>
      </c>
      <c r="D710" s="8" t="s">
        <v>492</v>
      </c>
      <c r="E710" s="8" t="s">
        <v>477</v>
      </c>
      <c r="F710" s="8" t="s">
        <v>1064</v>
      </c>
      <c r="G710" s="13">
        <v>1</v>
      </c>
      <c r="H710" s="13">
        <v>8.9</v>
      </c>
      <c r="I710" s="13" t="s">
        <v>1744</v>
      </c>
      <c r="J710" s="13">
        <v>2.22</v>
      </c>
      <c r="K710" s="8" t="s">
        <v>129</v>
      </c>
    </row>
    <row r="711" spans="1:11">
      <c r="A711" s="14"/>
      <c r="B711" s="8"/>
      <c r="C711" s="8"/>
      <c r="D711" s="8"/>
      <c r="E711" s="8"/>
      <c r="F711" s="8" t="s">
        <v>1060</v>
      </c>
      <c r="G711" s="13">
        <v>1.17</v>
      </c>
      <c r="H711" s="13">
        <v>0.5</v>
      </c>
      <c r="I711" s="13" t="s">
        <v>1745</v>
      </c>
      <c r="J711" s="13">
        <v>2.35</v>
      </c>
      <c r="K711" s="8"/>
    </row>
    <row r="712" spans="1:11">
      <c r="A712" s="14"/>
      <c r="B712" s="8"/>
      <c r="C712" s="8"/>
      <c r="D712" s="8"/>
      <c r="E712" s="8"/>
      <c r="F712" s="8" t="s">
        <v>503</v>
      </c>
      <c r="G712" s="13">
        <v>1.75</v>
      </c>
      <c r="H712" s="13">
        <v>0.6</v>
      </c>
      <c r="I712" s="8" t="s">
        <v>24</v>
      </c>
      <c r="J712" s="8" t="s">
        <v>24</v>
      </c>
      <c r="K712" s="8"/>
    </row>
    <row r="713" spans="1:11">
      <c r="A713" s="9">
        <v>45594</v>
      </c>
      <c r="B713" s="8" t="s">
        <v>2847</v>
      </c>
      <c r="C713" s="13">
        <v>10</v>
      </c>
      <c r="D713" s="8" t="s">
        <v>477</v>
      </c>
      <c r="E713" s="8" t="s">
        <v>536</v>
      </c>
      <c r="F713" s="8" t="s">
        <v>1064</v>
      </c>
      <c r="G713" s="13">
        <v>1</v>
      </c>
      <c r="H713" s="13">
        <v>8.9</v>
      </c>
      <c r="I713" s="13" t="s">
        <v>1744</v>
      </c>
      <c r="J713" s="13">
        <v>2.22</v>
      </c>
      <c r="K713" s="8" t="s">
        <v>129</v>
      </c>
    </row>
    <row r="714" spans="1:11">
      <c r="A714" s="14"/>
      <c r="B714" s="8"/>
      <c r="C714" s="8"/>
      <c r="D714" s="8"/>
      <c r="E714" s="8"/>
      <c r="F714" s="8" t="s">
        <v>1060</v>
      </c>
      <c r="G714" s="13">
        <v>1.17</v>
      </c>
      <c r="H714" s="13">
        <v>0.5</v>
      </c>
      <c r="I714" s="13" t="s">
        <v>1745</v>
      </c>
      <c r="J714" s="13">
        <v>2.35</v>
      </c>
      <c r="K714" s="8"/>
    </row>
    <row r="715" spans="1:11">
      <c r="A715" s="14"/>
      <c r="B715" s="8"/>
      <c r="C715" s="8"/>
      <c r="D715" s="8"/>
      <c r="E715" s="8"/>
      <c r="F715" s="8" t="s">
        <v>503</v>
      </c>
      <c r="G715" s="13">
        <v>1.75</v>
      </c>
      <c r="H715" s="13">
        <v>0.6</v>
      </c>
      <c r="I715" s="8" t="s">
        <v>24</v>
      </c>
      <c r="J715" s="8" t="s">
        <v>24</v>
      </c>
      <c r="K715" s="8"/>
    </row>
    <row r="716" spans="1:11">
      <c r="A716" s="9">
        <v>45590</v>
      </c>
      <c r="B716" s="8" t="s">
        <v>2848</v>
      </c>
      <c r="C716" s="13">
        <v>10</v>
      </c>
      <c r="D716" s="8" t="s">
        <v>477</v>
      </c>
      <c r="E716" s="8" t="s">
        <v>536</v>
      </c>
      <c r="F716" s="8" t="s">
        <v>1064</v>
      </c>
      <c r="G716" s="13">
        <v>1.01</v>
      </c>
      <c r="H716" s="13">
        <v>8.9</v>
      </c>
      <c r="I716" s="13" t="s">
        <v>1744</v>
      </c>
      <c r="J716" s="13">
        <v>2.22</v>
      </c>
      <c r="K716" s="8" t="s">
        <v>129</v>
      </c>
    </row>
    <row r="717" spans="1:11">
      <c r="A717" s="14"/>
      <c r="B717" s="8"/>
      <c r="C717" s="8"/>
      <c r="D717" s="8"/>
      <c r="E717" s="8"/>
      <c r="F717" s="8" t="s">
        <v>1060</v>
      </c>
      <c r="G717" s="13">
        <v>1.17</v>
      </c>
      <c r="H717" s="13">
        <v>0.5</v>
      </c>
      <c r="I717" s="13" t="s">
        <v>1745</v>
      </c>
      <c r="J717" s="13">
        <v>2.35</v>
      </c>
      <c r="K717" s="8"/>
    </row>
    <row r="718" spans="1:11">
      <c r="A718" s="14"/>
      <c r="B718" s="8"/>
      <c r="C718" s="8"/>
      <c r="D718" s="8"/>
      <c r="E718" s="8"/>
      <c r="F718" s="8" t="s">
        <v>503</v>
      </c>
      <c r="G718" s="13">
        <v>1.75</v>
      </c>
      <c r="H718" s="13">
        <v>0.6</v>
      </c>
      <c r="I718" s="8" t="s">
        <v>24</v>
      </c>
      <c r="J718" s="8" t="s">
        <v>24</v>
      </c>
      <c r="K718" s="8"/>
    </row>
    <row r="719" spans="1:11">
      <c r="A719" s="9">
        <v>45589</v>
      </c>
      <c r="B719" s="8" t="s">
        <v>2849</v>
      </c>
      <c r="C719" s="13">
        <v>10</v>
      </c>
      <c r="D719" s="8" t="s">
        <v>486</v>
      </c>
      <c r="E719" s="8" t="s">
        <v>486</v>
      </c>
      <c r="F719" s="8" t="s">
        <v>1064</v>
      </c>
      <c r="G719" s="13">
        <v>1.81</v>
      </c>
      <c r="H719" s="13">
        <v>8.4</v>
      </c>
      <c r="I719" s="13" t="s">
        <v>1744</v>
      </c>
      <c r="J719" s="13">
        <v>2.15</v>
      </c>
      <c r="K719" s="8" t="s">
        <v>18</v>
      </c>
    </row>
    <row r="720" spans="1:11">
      <c r="A720" s="14"/>
      <c r="B720" s="8"/>
      <c r="C720" s="8"/>
      <c r="D720" s="8"/>
      <c r="E720" s="8"/>
      <c r="F720" s="8" t="s">
        <v>1060</v>
      </c>
      <c r="G720" s="13">
        <v>1.9</v>
      </c>
      <c r="H720" s="13">
        <v>0.5</v>
      </c>
      <c r="I720" s="13" t="s">
        <v>1745</v>
      </c>
      <c r="J720" s="13">
        <v>2.5</v>
      </c>
      <c r="K720" s="8"/>
    </row>
    <row r="721" spans="1:11">
      <c r="A721" s="14"/>
      <c r="B721" s="8"/>
      <c r="C721" s="8"/>
      <c r="D721" s="8"/>
      <c r="E721" s="8"/>
      <c r="F721" s="8" t="s">
        <v>1061</v>
      </c>
      <c r="G721" s="13">
        <v>1.98</v>
      </c>
      <c r="H721" s="13">
        <v>0.3</v>
      </c>
      <c r="I721" s="13" t="s">
        <v>1746</v>
      </c>
      <c r="J721" s="13">
        <v>2.8</v>
      </c>
      <c r="K721" s="8"/>
    </row>
    <row r="722" spans="1:11">
      <c r="A722" s="14"/>
      <c r="B722" s="8"/>
      <c r="C722" s="8"/>
      <c r="D722" s="8"/>
      <c r="E722" s="8"/>
      <c r="F722" s="8" t="s">
        <v>503</v>
      </c>
      <c r="G722" s="13">
        <v>2.65</v>
      </c>
      <c r="H722" s="13">
        <v>0.8</v>
      </c>
      <c r="I722" s="8" t="s">
        <v>24</v>
      </c>
      <c r="J722" s="8" t="s">
        <v>24</v>
      </c>
      <c r="K722" s="8"/>
    </row>
    <row r="723" spans="1:11">
      <c r="A723" s="9">
        <v>45590</v>
      </c>
      <c r="B723" s="8" t="s">
        <v>2850</v>
      </c>
      <c r="C723" s="13">
        <v>10</v>
      </c>
      <c r="D723" s="8" t="s">
        <v>536</v>
      </c>
      <c r="E723" s="8" t="s">
        <v>477</v>
      </c>
      <c r="F723" s="8" t="s">
        <v>1064</v>
      </c>
      <c r="G723" s="13">
        <v>1.92</v>
      </c>
      <c r="H723" s="13">
        <v>8.9</v>
      </c>
      <c r="I723" s="13" t="s">
        <v>1744</v>
      </c>
      <c r="J723" s="13">
        <v>2.39</v>
      </c>
      <c r="K723" s="8" t="s">
        <v>129</v>
      </c>
    </row>
    <row r="724" spans="1:11">
      <c r="A724" s="14"/>
      <c r="B724" s="8"/>
      <c r="C724" s="8"/>
      <c r="D724" s="8"/>
      <c r="E724" s="8"/>
      <c r="F724" s="8" t="s">
        <v>1060</v>
      </c>
      <c r="G724" s="13">
        <v>2</v>
      </c>
      <c r="H724" s="13">
        <v>0.4</v>
      </c>
      <c r="I724" s="13" t="s">
        <v>1745</v>
      </c>
      <c r="J724" s="13">
        <v>2.48</v>
      </c>
      <c r="K724" s="8"/>
    </row>
    <row r="725" spans="1:11">
      <c r="A725" s="14"/>
      <c r="B725" s="8"/>
      <c r="C725" s="8"/>
      <c r="D725" s="8"/>
      <c r="E725" s="8"/>
      <c r="F725" s="8" t="s">
        <v>503</v>
      </c>
      <c r="G725" s="13">
        <v>2.67</v>
      </c>
      <c r="H725" s="13">
        <v>0.7</v>
      </c>
      <c r="I725" s="8" t="s">
        <v>24</v>
      </c>
      <c r="J725" s="8" t="s">
        <v>24</v>
      </c>
      <c r="K725" s="8"/>
    </row>
    <row r="726" spans="1:11">
      <c r="A726" s="9">
        <v>45589</v>
      </c>
      <c r="B726" s="8" t="s">
        <v>2851</v>
      </c>
      <c r="C726" s="13">
        <v>10</v>
      </c>
      <c r="D726" s="8" t="s">
        <v>481</v>
      </c>
      <c r="E726" s="8" t="s">
        <v>536</v>
      </c>
      <c r="F726" s="8" t="s">
        <v>1058</v>
      </c>
      <c r="G726" s="13">
        <v>0.88</v>
      </c>
      <c r="H726" s="13">
        <v>7</v>
      </c>
      <c r="I726" s="13" t="s">
        <v>1744</v>
      </c>
      <c r="J726" s="13">
        <v>2.15</v>
      </c>
      <c r="K726" s="8" t="s">
        <v>74</v>
      </c>
    </row>
    <row r="727" spans="1:11">
      <c r="A727" s="14"/>
      <c r="B727" s="8"/>
      <c r="C727" s="8"/>
      <c r="D727" s="8"/>
      <c r="E727" s="8"/>
      <c r="F727" s="8" t="s">
        <v>1059</v>
      </c>
      <c r="G727" s="13">
        <v>1.13</v>
      </c>
      <c r="H727" s="13">
        <v>2</v>
      </c>
      <c r="I727" s="13" t="s">
        <v>1744</v>
      </c>
      <c r="J727" s="13">
        <v>2.24</v>
      </c>
      <c r="K727" s="8"/>
    </row>
    <row r="728" spans="1:11">
      <c r="A728" s="14"/>
      <c r="B728" s="8"/>
      <c r="C728" s="8"/>
      <c r="D728" s="8"/>
      <c r="E728" s="8"/>
      <c r="F728" s="8" t="s">
        <v>1060</v>
      </c>
      <c r="G728" s="13">
        <v>1.13</v>
      </c>
      <c r="H728" s="13">
        <v>0.3</v>
      </c>
      <c r="I728" s="13" t="s">
        <v>1745</v>
      </c>
      <c r="J728" s="13">
        <v>2.35</v>
      </c>
      <c r="K728" s="8"/>
    </row>
    <row r="729" spans="1:11">
      <c r="A729" s="14"/>
      <c r="B729" s="8"/>
      <c r="C729" s="8"/>
      <c r="D729" s="8"/>
      <c r="E729" s="8"/>
      <c r="F729" s="8" t="s">
        <v>503</v>
      </c>
      <c r="G729" s="13">
        <v>1.63</v>
      </c>
      <c r="H729" s="13">
        <v>0.7</v>
      </c>
      <c r="I729" s="8" t="s">
        <v>24</v>
      </c>
      <c r="J729" s="8" t="s">
        <v>24</v>
      </c>
      <c r="K729" s="8"/>
    </row>
    <row r="730" spans="1:11">
      <c r="A730" s="14">
        <v>45652</v>
      </c>
      <c r="B730" s="8" t="s">
        <v>2852</v>
      </c>
      <c r="C730" s="13">
        <v>10</v>
      </c>
      <c r="D730" s="8" t="s">
        <v>477</v>
      </c>
      <c r="E730" s="8" t="s">
        <v>536</v>
      </c>
      <c r="F730" s="8" t="s">
        <v>1064</v>
      </c>
      <c r="G730" s="8" t="s">
        <v>2020</v>
      </c>
      <c r="H730" s="13">
        <v>9</v>
      </c>
      <c r="I730" s="13" t="s">
        <v>1744</v>
      </c>
      <c r="J730" s="8">
        <v>1.98</v>
      </c>
      <c r="K730" s="8" t="s">
        <v>35</v>
      </c>
    </row>
    <row r="731" spans="1:11">
      <c r="A731" s="8"/>
      <c r="B731" s="8"/>
      <c r="C731" s="8"/>
      <c r="D731" s="8"/>
      <c r="E731" s="8"/>
      <c r="F731" s="8" t="s">
        <v>1060</v>
      </c>
      <c r="G731" s="8" t="s">
        <v>2020</v>
      </c>
      <c r="H731" s="13">
        <v>0.3</v>
      </c>
      <c r="I731" s="13" t="s">
        <v>1745</v>
      </c>
      <c r="J731" s="8">
        <v>2.28</v>
      </c>
      <c r="K731" s="8"/>
    </row>
    <row r="732" spans="1:11">
      <c r="A732" s="8"/>
      <c r="B732" s="8"/>
      <c r="C732" s="8"/>
      <c r="D732" s="8"/>
      <c r="E732" s="8"/>
      <c r="F732" s="8" t="s">
        <v>503</v>
      </c>
      <c r="G732" s="8" t="s">
        <v>2020</v>
      </c>
      <c r="H732" s="13">
        <v>0.7</v>
      </c>
      <c r="I732" s="8" t="s">
        <v>24</v>
      </c>
      <c r="J732" s="8" t="s">
        <v>24</v>
      </c>
      <c r="K732" s="8"/>
    </row>
    <row r="733" spans="1:11">
      <c r="A733" s="9">
        <v>45603</v>
      </c>
      <c r="B733" s="8" t="s">
        <v>2853</v>
      </c>
      <c r="C733" s="13">
        <v>6</v>
      </c>
      <c r="D733" s="8" t="s">
        <v>492</v>
      </c>
      <c r="E733" s="8" t="s">
        <v>486</v>
      </c>
      <c r="F733" s="8" t="s">
        <v>1064</v>
      </c>
      <c r="G733" s="13">
        <v>1.05</v>
      </c>
      <c r="H733" s="13">
        <v>5.28</v>
      </c>
      <c r="I733" s="13" t="s">
        <v>1744</v>
      </c>
      <c r="J733" s="13">
        <v>2.12</v>
      </c>
      <c r="K733" s="8" t="s">
        <v>86</v>
      </c>
    </row>
    <row r="734" spans="1:11">
      <c r="A734" s="14"/>
      <c r="B734" s="8"/>
      <c r="C734" s="8"/>
      <c r="D734" s="8"/>
      <c r="E734" s="8"/>
      <c r="F734" s="8" t="s">
        <v>1060</v>
      </c>
      <c r="G734" s="13">
        <v>1.05</v>
      </c>
      <c r="H734" s="13">
        <v>0.36</v>
      </c>
      <c r="I734" s="13" t="s">
        <v>1745</v>
      </c>
      <c r="J734" s="13">
        <v>2.35</v>
      </c>
      <c r="K734" s="8"/>
    </row>
    <row r="735" spans="1:11">
      <c r="A735" s="14"/>
      <c r="B735" s="8"/>
      <c r="C735" s="8"/>
      <c r="D735" s="8"/>
      <c r="E735" s="8"/>
      <c r="F735" s="8" t="s">
        <v>503</v>
      </c>
      <c r="G735" s="13">
        <v>4.05</v>
      </c>
      <c r="H735" s="13">
        <v>0.36</v>
      </c>
      <c r="I735" s="8" t="s">
        <v>24</v>
      </c>
      <c r="J735" s="8" t="s">
        <v>24</v>
      </c>
      <c r="K735" s="8"/>
    </row>
    <row r="736" spans="1:11">
      <c r="A736" s="9">
        <v>45596</v>
      </c>
      <c r="B736" s="8" t="s">
        <v>2854</v>
      </c>
      <c r="C736" s="13">
        <v>10</v>
      </c>
      <c r="D736" s="8" t="s">
        <v>1079</v>
      </c>
      <c r="E736" s="8" t="s">
        <v>484</v>
      </c>
      <c r="F736" s="8" t="s">
        <v>1064</v>
      </c>
      <c r="G736" s="13">
        <v>1.99</v>
      </c>
      <c r="H736" s="13">
        <v>8.7</v>
      </c>
      <c r="I736" s="13" t="s">
        <v>1744</v>
      </c>
      <c r="J736" s="13">
        <v>2.43</v>
      </c>
      <c r="K736" s="8" t="s">
        <v>35</v>
      </c>
    </row>
    <row r="737" spans="1:11">
      <c r="A737" s="14"/>
      <c r="B737" s="8"/>
      <c r="C737" s="8"/>
      <c r="D737" s="8"/>
      <c r="E737" s="8"/>
      <c r="F737" s="8" t="s">
        <v>1060</v>
      </c>
      <c r="G737" s="13">
        <v>1.99</v>
      </c>
      <c r="H737" s="13">
        <v>0.3</v>
      </c>
      <c r="I737" s="13" t="s">
        <v>1745</v>
      </c>
      <c r="J737" s="13">
        <v>2.6</v>
      </c>
      <c r="K737" s="8"/>
    </row>
    <row r="738" spans="1:11">
      <c r="A738" s="14"/>
      <c r="B738" s="8"/>
      <c r="C738" s="8"/>
      <c r="D738" s="8"/>
      <c r="E738" s="8"/>
      <c r="F738" s="8" t="s">
        <v>509</v>
      </c>
      <c r="G738" s="13">
        <v>1.99</v>
      </c>
      <c r="H738" s="13">
        <v>0.5</v>
      </c>
      <c r="I738" s="13" t="s">
        <v>2635</v>
      </c>
      <c r="J738" s="13">
        <v>3.7</v>
      </c>
      <c r="K738" s="8"/>
    </row>
    <row r="739" spans="1:11">
      <c r="A739" s="14"/>
      <c r="B739" s="8"/>
      <c r="C739" s="8"/>
      <c r="D739" s="8"/>
      <c r="E739" s="8"/>
      <c r="F739" s="8" t="s">
        <v>503</v>
      </c>
      <c r="G739" s="13">
        <v>1.99</v>
      </c>
      <c r="H739" s="13">
        <v>0.5</v>
      </c>
      <c r="I739" s="8" t="s">
        <v>24</v>
      </c>
      <c r="J739" s="8" t="s">
        <v>24</v>
      </c>
      <c r="K739" s="8"/>
    </row>
    <row r="740" spans="1:11">
      <c r="A740" s="9">
        <v>45596</v>
      </c>
      <c r="B740" s="8" t="s">
        <v>2855</v>
      </c>
      <c r="C740" s="13">
        <v>10</v>
      </c>
      <c r="D740" s="8" t="s">
        <v>911</v>
      </c>
      <c r="E740" s="8" t="s">
        <v>536</v>
      </c>
      <c r="F740" s="8" t="s">
        <v>531</v>
      </c>
      <c r="G740" s="13">
        <v>1</v>
      </c>
      <c r="H740" s="13">
        <v>9</v>
      </c>
      <c r="I740" s="13" t="s">
        <v>1744</v>
      </c>
      <c r="J740" s="13">
        <v>2.23</v>
      </c>
      <c r="K740" s="8" t="s">
        <v>35</v>
      </c>
    </row>
    <row r="741" spans="1:11">
      <c r="A741" s="14"/>
      <c r="B741" s="8"/>
      <c r="C741" s="8"/>
      <c r="D741" s="8"/>
      <c r="E741" s="8"/>
      <c r="F741" s="8" t="s">
        <v>509</v>
      </c>
      <c r="G741" s="13">
        <v>1</v>
      </c>
      <c r="H741" s="13">
        <v>0.45</v>
      </c>
      <c r="I741" s="13" t="s">
        <v>1746</v>
      </c>
      <c r="J741" s="13">
        <v>3.6</v>
      </c>
      <c r="K741" s="8"/>
    </row>
    <row r="742" spans="1:11">
      <c r="A742" s="14"/>
      <c r="B742" s="8"/>
      <c r="C742" s="8"/>
      <c r="D742" s="8"/>
      <c r="E742" s="8"/>
      <c r="F742" s="8" t="s">
        <v>503</v>
      </c>
      <c r="G742" s="13">
        <v>2.99</v>
      </c>
      <c r="H742" s="13">
        <v>0.55</v>
      </c>
      <c r="I742" s="8" t="s">
        <v>24</v>
      </c>
      <c r="J742" s="8" t="s">
        <v>24</v>
      </c>
      <c r="K742" s="8"/>
    </row>
    <row r="743" spans="1:11">
      <c r="A743" s="9">
        <v>45597</v>
      </c>
      <c r="B743" s="8" t="s">
        <v>2856</v>
      </c>
      <c r="C743" s="13">
        <v>8</v>
      </c>
      <c r="D743" s="8" t="s">
        <v>477</v>
      </c>
      <c r="E743" s="8" t="s">
        <v>2654</v>
      </c>
      <c r="F743" s="8" t="s">
        <v>531</v>
      </c>
      <c r="G743" s="13">
        <v>1.01</v>
      </c>
      <c r="H743" s="13">
        <v>7.12</v>
      </c>
      <c r="I743" s="13" t="s">
        <v>1744</v>
      </c>
      <c r="J743" s="13">
        <v>2.21</v>
      </c>
      <c r="K743" s="8" t="s">
        <v>129</v>
      </c>
    </row>
    <row r="744" spans="1:11">
      <c r="A744" s="14"/>
      <c r="B744" s="8"/>
      <c r="C744" s="8"/>
      <c r="D744" s="8"/>
      <c r="E744" s="8"/>
      <c r="F744" s="8" t="s">
        <v>539</v>
      </c>
      <c r="G744" s="13">
        <v>1.18</v>
      </c>
      <c r="H744" s="13">
        <v>0.4</v>
      </c>
      <c r="I744" s="13" t="s">
        <v>1745</v>
      </c>
      <c r="J744" s="13">
        <v>2.35</v>
      </c>
      <c r="K744" s="8"/>
    </row>
    <row r="745" spans="1:11">
      <c r="A745" s="14"/>
      <c r="B745" s="8"/>
      <c r="C745" s="8"/>
      <c r="D745" s="8"/>
      <c r="E745" s="8"/>
      <c r="F745" s="8" t="s">
        <v>503</v>
      </c>
      <c r="G745" s="13">
        <v>1.75</v>
      </c>
      <c r="H745" s="13">
        <v>0.48</v>
      </c>
      <c r="I745" s="8" t="s">
        <v>24</v>
      </c>
      <c r="J745" s="8" t="s">
        <v>24</v>
      </c>
      <c r="K745" s="8"/>
    </row>
    <row r="746" spans="1:11">
      <c r="A746" s="9">
        <v>45595</v>
      </c>
      <c r="B746" s="8" t="s">
        <v>2857</v>
      </c>
      <c r="C746" s="13">
        <v>10</v>
      </c>
      <c r="D746" s="8" t="s">
        <v>1079</v>
      </c>
      <c r="E746" s="8" t="s">
        <v>484</v>
      </c>
      <c r="F746" s="8" t="s">
        <v>1064</v>
      </c>
      <c r="G746" s="13">
        <v>1.99</v>
      </c>
      <c r="H746" s="13">
        <v>8.7</v>
      </c>
      <c r="I746" s="13" t="s">
        <v>1744</v>
      </c>
      <c r="J746" s="13">
        <v>2.49</v>
      </c>
      <c r="K746" s="8" t="s">
        <v>35</v>
      </c>
    </row>
    <row r="747" spans="1:11">
      <c r="A747" s="14"/>
      <c r="B747" s="8"/>
      <c r="C747" s="8"/>
      <c r="D747" s="8"/>
      <c r="E747" s="8"/>
      <c r="F747" s="8" t="s">
        <v>1060</v>
      </c>
      <c r="G747" s="13">
        <v>1.99</v>
      </c>
      <c r="H747" s="13">
        <v>0.3</v>
      </c>
      <c r="I747" s="13" t="s">
        <v>1745</v>
      </c>
      <c r="J747" s="13">
        <v>2.6</v>
      </c>
      <c r="K747" s="8"/>
    </row>
    <row r="748" spans="1:11">
      <c r="A748" s="14"/>
      <c r="B748" s="8"/>
      <c r="C748" s="8"/>
      <c r="D748" s="8"/>
      <c r="E748" s="8"/>
      <c r="F748" s="8" t="s">
        <v>1061</v>
      </c>
      <c r="G748" s="13">
        <v>1.99</v>
      </c>
      <c r="H748" s="13">
        <v>0.5</v>
      </c>
      <c r="I748" s="13" t="s">
        <v>2635</v>
      </c>
      <c r="J748" s="13">
        <v>3.7</v>
      </c>
      <c r="K748" s="8"/>
    </row>
    <row r="749" spans="1:11">
      <c r="A749" s="14"/>
      <c r="B749" s="8"/>
      <c r="C749" s="8"/>
      <c r="D749" s="8"/>
      <c r="E749" s="8"/>
      <c r="F749" s="8" t="s">
        <v>503</v>
      </c>
      <c r="G749" s="13">
        <v>1.99</v>
      </c>
      <c r="H749" s="13">
        <v>0.5</v>
      </c>
      <c r="I749" s="8" t="s">
        <v>24</v>
      </c>
      <c r="J749" s="8" t="s">
        <v>24</v>
      </c>
      <c r="K749" s="8"/>
    </row>
    <row r="750" spans="1:11">
      <c r="A750" s="9">
        <v>45596</v>
      </c>
      <c r="B750" s="8" t="s">
        <v>2858</v>
      </c>
      <c r="C750" s="13">
        <v>10</v>
      </c>
      <c r="D750" s="8" t="s">
        <v>911</v>
      </c>
      <c r="E750" s="8" t="s">
        <v>536</v>
      </c>
      <c r="F750" s="8" t="s">
        <v>531</v>
      </c>
      <c r="G750" s="13">
        <v>1</v>
      </c>
      <c r="H750" s="13">
        <v>9</v>
      </c>
      <c r="I750" s="13" t="s">
        <v>1744</v>
      </c>
      <c r="J750" s="13">
        <v>2.2</v>
      </c>
      <c r="K750" s="8" t="s">
        <v>35</v>
      </c>
    </row>
    <row r="751" spans="1:11">
      <c r="A751" s="14"/>
      <c r="B751" s="8"/>
      <c r="C751" s="8"/>
      <c r="D751" s="8"/>
      <c r="E751" s="8"/>
      <c r="F751" s="8" t="s">
        <v>509</v>
      </c>
      <c r="G751" s="13">
        <v>1</v>
      </c>
      <c r="H751" s="13">
        <v>0.45</v>
      </c>
      <c r="I751" s="13" t="s">
        <v>1746</v>
      </c>
      <c r="J751" s="13">
        <v>3.6</v>
      </c>
      <c r="K751" s="8"/>
    </row>
    <row r="752" spans="1:11">
      <c r="A752" s="14"/>
      <c r="B752" s="8"/>
      <c r="C752" s="8"/>
      <c r="D752" s="8"/>
      <c r="E752" s="8"/>
      <c r="F752" s="8" t="s">
        <v>503</v>
      </c>
      <c r="G752" s="13">
        <v>2.99</v>
      </c>
      <c r="H752" s="13">
        <v>0.55</v>
      </c>
      <c r="I752" s="8" t="s">
        <v>24</v>
      </c>
      <c r="J752" s="8" t="s">
        <v>24</v>
      </c>
      <c r="K752" s="8"/>
    </row>
    <row r="753" spans="1:11">
      <c r="A753" s="9">
        <v>45597</v>
      </c>
      <c r="B753" s="8" t="s">
        <v>2859</v>
      </c>
      <c r="C753" s="13">
        <v>8</v>
      </c>
      <c r="D753" s="8" t="s">
        <v>536</v>
      </c>
      <c r="E753" s="8" t="s">
        <v>492</v>
      </c>
      <c r="F753" s="8" t="s">
        <v>531</v>
      </c>
      <c r="G753" s="13">
        <v>1.01</v>
      </c>
      <c r="H753" s="13">
        <v>7.12</v>
      </c>
      <c r="I753" s="13" t="s">
        <v>1744</v>
      </c>
      <c r="J753" s="13">
        <v>2.21</v>
      </c>
      <c r="K753" s="8" t="s">
        <v>129</v>
      </c>
    </row>
    <row r="754" spans="1:11">
      <c r="A754" s="14"/>
      <c r="B754" s="8"/>
      <c r="C754" s="8"/>
      <c r="D754" s="8"/>
      <c r="E754" s="8"/>
      <c r="F754" s="8" t="s">
        <v>539</v>
      </c>
      <c r="G754" s="13">
        <v>1.18</v>
      </c>
      <c r="H754" s="13">
        <v>0.4</v>
      </c>
      <c r="I754" s="13" t="s">
        <v>1745</v>
      </c>
      <c r="J754" s="13">
        <v>2.35</v>
      </c>
      <c r="K754" s="8"/>
    </row>
    <row r="755" spans="1:11">
      <c r="A755" s="14"/>
      <c r="B755" s="8"/>
      <c r="C755" s="8"/>
      <c r="D755" s="8"/>
      <c r="E755" s="8"/>
      <c r="F755" s="8" t="s">
        <v>503</v>
      </c>
      <c r="G755" s="13">
        <v>1.75</v>
      </c>
      <c r="H755" s="13">
        <v>0.48</v>
      </c>
      <c r="I755" s="8" t="s">
        <v>24</v>
      </c>
      <c r="J755" s="8" t="s">
        <v>24</v>
      </c>
      <c r="K755" s="8"/>
    </row>
    <row r="756" spans="1:11">
      <c r="A756" s="9">
        <v>45609</v>
      </c>
      <c r="B756" s="8" t="s">
        <v>2860</v>
      </c>
      <c r="C756" s="13">
        <v>20</v>
      </c>
      <c r="D756" s="8" t="s">
        <v>521</v>
      </c>
      <c r="E756" s="8" t="s">
        <v>492</v>
      </c>
      <c r="F756" s="8" t="s">
        <v>1058</v>
      </c>
      <c r="G756" s="13">
        <v>1.17</v>
      </c>
      <c r="H756" s="13">
        <v>6</v>
      </c>
      <c r="I756" s="13" t="s">
        <v>1744</v>
      </c>
      <c r="J756" s="13">
        <v>2.15</v>
      </c>
      <c r="K756" s="8" t="s">
        <v>86</v>
      </c>
    </row>
    <row r="757" spans="1:11">
      <c r="A757" s="14"/>
      <c r="B757" s="8"/>
      <c r="C757" s="8"/>
      <c r="D757" s="8"/>
      <c r="E757" s="8"/>
      <c r="F757" s="8" t="s">
        <v>1059</v>
      </c>
      <c r="G757" s="13">
        <v>1.75</v>
      </c>
      <c r="H757" s="13">
        <v>11.6</v>
      </c>
      <c r="I757" s="13" t="s">
        <v>1744</v>
      </c>
      <c r="J757" s="13">
        <v>2.28</v>
      </c>
      <c r="K757" s="8"/>
    </row>
    <row r="758" spans="1:11">
      <c r="A758" s="14"/>
      <c r="B758" s="8"/>
      <c r="C758" s="8"/>
      <c r="D758" s="8"/>
      <c r="E758" s="8"/>
      <c r="F758" s="8" t="s">
        <v>1060</v>
      </c>
      <c r="G758" s="13">
        <v>1.84</v>
      </c>
      <c r="H758" s="13">
        <v>1.2</v>
      </c>
      <c r="I758" s="13" t="s">
        <v>1745</v>
      </c>
      <c r="J758" s="13">
        <v>2.37</v>
      </c>
      <c r="K758" s="8"/>
    </row>
    <row r="759" spans="1:11">
      <c r="A759" s="14"/>
      <c r="B759" s="8"/>
      <c r="C759" s="8"/>
      <c r="D759" s="8"/>
      <c r="E759" s="8"/>
      <c r="F759" s="8" t="s">
        <v>503</v>
      </c>
      <c r="G759" s="13">
        <v>1.84</v>
      </c>
      <c r="H759" s="13">
        <v>1.2</v>
      </c>
      <c r="I759" s="8" t="s">
        <v>24</v>
      </c>
      <c r="J759" s="8" t="s">
        <v>24</v>
      </c>
      <c r="K759" s="8"/>
    </row>
    <row r="760" spans="1:11">
      <c r="A760" s="9">
        <v>45608</v>
      </c>
      <c r="B760" s="8" t="s">
        <v>2861</v>
      </c>
      <c r="C760" s="13">
        <v>10</v>
      </c>
      <c r="D760" s="8" t="s">
        <v>1079</v>
      </c>
      <c r="E760" s="8" t="s">
        <v>484</v>
      </c>
      <c r="F760" s="8" t="s">
        <v>1064</v>
      </c>
      <c r="G760" s="13">
        <v>2</v>
      </c>
      <c r="H760" s="13">
        <v>8.7</v>
      </c>
      <c r="I760" s="13" t="s">
        <v>1744</v>
      </c>
      <c r="J760" s="13">
        <v>2.36</v>
      </c>
      <c r="K760" s="8" t="s">
        <v>35</v>
      </c>
    </row>
    <row r="761" spans="1:11">
      <c r="A761" s="14"/>
      <c r="B761" s="8"/>
      <c r="C761" s="8"/>
      <c r="D761" s="8"/>
      <c r="E761" s="8"/>
      <c r="F761" s="8" t="s">
        <v>1060</v>
      </c>
      <c r="G761" s="13">
        <v>2</v>
      </c>
      <c r="H761" s="13">
        <v>0.3</v>
      </c>
      <c r="I761" s="13" t="s">
        <v>1745</v>
      </c>
      <c r="J761" s="13">
        <v>2.55</v>
      </c>
      <c r="K761" s="8"/>
    </row>
    <row r="762" spans="1:11">
      <c r="A762" s="14"/>
      <c r="B762" s="8"/>
      <c r="C762" s="8"/>
      <c r="D762" s="8"/>
      <c r="E762" s="8"/>
      <c r="F762" s="8" t="s">
        <v>509</v>
      </c>
      <c r="G762" s="13">
        <v>2</v>
      </c>
      <c r="H762" s="13">
        <v>0.5</v>
      </c>
      <c r="I762" s="13" t="s">
        <v>2635</v>
      </c>
      <c r="J762" s="13">
        <v>3.7</v>
      </c>
      <c r="K762" s="8"/>
    </row>
    <row r="763" spans="1:11">
      <c r="A763" s="14"/>
      <c r="B763" s="8"/>
      <c r="C763" s="8"/>
      <c r="D763" s="8"/>
      <c r="E763" s="8"/>
      <c r="F763" s="8" t="s">
        <v>503</v>
      </c>
      <c r="G763" s="13">
        <v>2</v>
      </c>
      <c r="H763" s="13">
        <v>0.5</v>
      </c>
      <c r="I763" s="8" t="s">
        <v>24</v>
      </c>
      <c r="J763" s="8" t="s">
        <v>24</v>
      </c>
      <c r="K763" s="8"/>
    </row>
    <row r="764" spans="1:11">
      <c r="A764" s="9">
        <v>45604</v>
      </c>
      <c r="B764" s="8" t="s">
        <v>2862</v>
      </c>
      <c r="C764" s="13">
        <v>5</v>
      </c>
      <c r="D764" s="8" t="s">
        <v>492</v>
      </c>
      <c r="E764" s="8" t="s">
        <v>481</v>
      </c>
      <c r="F764" s="8" t="s">
        <v>1064</v>
      </c>
      <c r="G764" s="13">
        <v>1.92</v>
      </c>
      <c r="H764" s="13">
        <v>4.45</v>
      </c>
      <c r="I764" s="13" t="s">
        <v>1744</v>
      </c>
      <c r="J764" s="13">
        <v>2.35</v>
      </c>
      <c r="K764" s="8" t="s">
        <v>129</v>
      </c>
    </row>
    <row r="765" spans="1:11">
      <c r="A765" s="14"/>
      <c r="B765" s="8"/>
      <c r="C765" s="8"/>
      <c r="D765" s="8"/>
      <c r="E765" s="8"/>
      <c r="F765" s="8" t="s">
        <v>1060</v>
      </c>
      <c r="G765" s="13">
        <v>2</v>
      </c>
      <c r="H765" s="13">
        <v>0.2</v>
      </c>
      <c r="I765" s="13" t="s">
        <v>1745</v>
      </c>
      <c r="J765" s="13">
        <v>2.45</v>
      </c>
      <c r="K765" s="8"/>
    </row>
    <row r="766" spans="1:11">
      <c r="A766" s="14"/>
      <c r="B766" s="8"/>
      <c r="C766" s="8"/>
      <c r="D766" s="8"/>
      <c r="E766" s="8"/>
      <c r="F766" s="8" t="s">
        <v>503</v>
      </c>
      <c r="G766" s="13">
        <v>2.66</v>
      </c>
      <c r="H766" s="13">
        <v>0.35</v>
      </c>
      <c r="I766" s="8" t="s">
        <v>24</v>
      </c>
      <c r="J766" s="8" t="s">
        <v>24</v>
      </c>
      <c r="K766" s="8"/>
    </row>
    <row r="767" spans="1:11">
      <c r="A767" s="9">
        <v>45603</v>
      </c>
      <c r="B767" s="8" t="s">
        <v>2863</v>
      </c>
      <c r="C767" s="13">
        <v>10</v>
      </c>
      <c r="D767" s="8" t="s">
        <v>486</v>
      </c>
      <c r="E767" s="8" t="s">
        <v>486</v>
      </c>
      <c r="F767" s="8" t="s">
        <v>1064</v>
      </c>
      <c r="G767" s="13">
        <v>1.86</v>
      </c>
      <c r="H767" s="13">
        <v>8.4</v>
      </c>
      <c r="I767" s="13" t="s">
        <v>1744</v>
      </c>
      <c r="J767" s="13">
        <v>2.2</v>
      </c>
      <c r="K767" s="8" t="s">
        <v>18</v>
      </c>
    </row>
    <row r="768" spans="1:11">
      <c r="A768" s="14"/>
      <c r="B768" s="8"/>
      <c r="C768" s="8"/>
      <c r="D768" s="8"/>
      <c r="E768" s="8"/>
      <c r="F768" s="8" t="s">
        <v>1060</v>
      </c>
      <c r="G768" s="13">
        <v>1.94</v>
      </c>
      <c r="H768" s="13">
        <v>0.5</v>
      </c>
      <c r="I768" s="13" t="s">
        <v>1745</v>
      </c>
      <c r="J768" s="13">
        <v>2.45</v>
      </c>
      <c r="K768" s="8"/>
    </row>
    <row r="769" spans="1:11">
      <c r="A769" s="14"/>
      <c r="B769" s="8"/>
      <c r="C769" s="8"/>
      <c r="D769" s="8"/>
      <c r="E769" s="8"/>
      <c r="F769" s="8" t="s">
        <v>509</v>
      </c>
      <c r="G769" s="13">
        <v>2.03</v>
      </c>
      <c r="H769" s="13">
        <v>0.3</v>
      </c>
      <c r="I769" s="13" t="s">
        <v>1746</v>
      </c>
      <c r="J769" s="13">
        <v>2.9</v>
      </c>
      <c r="K769" s="8"/>
    </row>
    <row r="770" spans="1:11">
      <c r="A770" s="14"/>
      <c r="B770" s="8"/>
      <c r="C770" s="8"/>
      <c r="D770" s="8"/>
      <c r="E770" s="8"/>
      <c r="F770" s="8" t="s">
        <v>503</v>
      </c>
      <c r="G770" s="13">
        <v>2.69</v>
      </c>
      <c r="H770" s="13">
        <v>0.8</v>
      </c>
      <c r="I770" s="8" t="s">
        <v>24</v>
      </c>
      <c r="J770" s="8" t="s">
        <v>24</v>
      </c>
      <c r="K770" s="8"/>
    </row>
    <row r="771" spans="1:11">
      <c r="A771" s="9">
        <v>45610</v>
      </c>
      <c r="B771" s="8" t="s">
        <v>2864</v>
      </c>
      <c r="C771" s="13">
        <v>10</v>
      </c>
      <c r="D771" s="8" t="s">
        <v>911</v>
      </c>
      <c r="E771" s="8" t="s">
        <v>536</v>
      </c>
      <c r="F771" s="8" t="s">
        <v>1064</v>
      </c>
      <c r="G771" s="8" t="s">
        <v>2020</v>
      </c>
      <c r="H771" s="13">
        <v>8.7</v>
      </c>
      <c r="I771" s="13" t="s">
        <v>1744</v>
      </c>
      <c r="J771" s="8">
        <v>2.25</v>
      </c>
      <c r="K771" s="8" t="s">
        <v>35</v>
      </c>
    </row>
    <row r="772" spans="1:11">
      <c r="A772" s="14"/>
      <c r="B772" s="8"/>
      <c r="C772" s="8"/>
      <c r="D772" s="8"/>
      <c r="E772" s="8"/>
      <c r="F772" s="8" t="s">
        <v>1060</v>
      </c>
      <c r="G772" s="8" t="s">
        <v>2020</v>
      </c>
      <c r="H772" s="13">
        <v>0.3</v>
      </c>
      <c r="I772" s="13" t="s">
        <v>1745</v>
      </c>
      <c r="J772" s="8">
        <v>2.5</v>
      </c>
      <c r="K772" s="8"/>
    </row>
    <row r="773" spans="1:11">
      <c r="A773" s="14"/>
      <c r="B773" s="8"/>
      <c r="C773" s="8"/>
      <c r="D773" s="8"/>
      <c r="E773" s="8"/>
      <c r="F773" s="8" t="s">
        <v>509</v>
      </c>
      <c r="G773" s="8" t="s">
        <v>2020</v>
      </c>
      <c r="H773" s="13">
        <v>0.5</v>
      </c>
      <c r="I773" s="13" t="s">
        <v>2635</v>
      </c>
      <c r="J773" s="8">
        <v>3.7</v>
      </c>
      <c r="K773" s="8"/>
    </row>
    <row r="774" spans="1:11">
      <c r="A774" s="14"/>
      <c r="B774" s="8"/>
      <c r="C774" s="8"/>
      <c r="D774" s="8"/>
      <c r="E774" s="8"/>
      <c r="F774" s="8" t="s">
        <v>503</v>
      </c>
      <c r="G774" s="8" t="s">
        <v>2020</v>
      </c>
      <c r="H774" s="13">
        <v>0.5</v>
      </c>
      <c r="I774" s="8" t="s">
        <v>24</v>
      </c>
      <c r="J774" s="8" t="s">
        <v>24</v>
      </c>
      <c r="K774" s="8"/>
    </row>
    <row r="775" spans="1:11">
      <c r="A775" s="9">
        <v>45611</v>
      </c>
      <c r="B775" s="8" t="s">
        <v>2865</v>
      </c>
      <c r="C775" s="13">
        <v>10</v>
      </c>
      <c r="D775" s="8" t="s">
        <v>911</v>
      </c>
      <c r="E775" s="8" t="s">
        <v>536</v>
      </c>
      <c r="F775" s="8" t="s">
        <v>1064</v>
      </c>
      <c r="G775" s="8" t="s">
        <v>2020</v>
      </c>
      <c r="H775" s="13">
        <v>8.7</v>
      </c>
      <c r="I775" s="13" t="s">
        <v>1744</v>
      </c>
      <c r="J775" s="8">
        <v>2.19</v>
      </c>
      <c r="K775" s="8" t="s">
        <v>35</v>
      </c>
    </row>
    <row r="776" spans="1:11">
      <c r="A776" s="14"/>
      <c r="B776" s="8"/>
      <c r="C776" s="8"/>
      <c r="D776" s="8"/>
      <c r="E776" s="8"/>
      <c r="F776" s="8" t="s">
        <v>1060</v>
      </c>
      <c r="G776" s="8" t="s">
        <v>2020</v>
      </c>
      <c r="H776" s="13">
        <v>0.3</v>
      </c>
      <c r="I776" s="13" t="s">
        <v>1745</v>
      </c>
      <c r="J776" s="8">
        <v>2.5</v>
      </c>
      <c r="K776" s="8"/>
    </row>
    <row r="777" spans="1:11">
      <c r="A777" s="14"/>
      <c r="B777" s="8"/>
      <c r="C777" s="8"/>
      <c r="D777" s="8"/>
      <c r="E777" s="8"/>
      <c r="F777" s="8" t="s">
        <v>509</v>
      </c>
      <c r="G777" s="8" t="s">
        <v>2020</v>
      </c>
      <c r="H777" s="13">
        <v>0.5</v>
      </c>
      <c r="I777" s="13" t="s">
        <v>2635</v>
      </c>
      <c r="J777" s="8">
        <v>3.7</v>
      </c>
      <c r="K777" s="8"/>
    </row>
    <row r="778" spans="1:11">
      <c r="A778" s="14"/>
      <c r="B778" s="8"/>
      <c r="C778" s="8"/>
      <c r="D778" s="8"/>
      <c r="E778" s="8"/>
      <c r="F778" s="8" t="s">
        <v>503</v>
      </c>
      <c r="G778" s="8" t="s">
        <v>2020</v>
      </c>
      <c r="H778" s="13">
        <v>0.5</v>
      </c>
      <c r="I778" s="8" t="s">
        <v>24</v>
      </c>
      <c r="J778" s="8" t="s">
        <v>24</v>
      </c>
      <c r="K778" s="8"/>
    </row>
    <row r="779" spans="1:11">
      <c r="A779" s="9">
        <v>45608</v>
      </c>
      <c r="B779" s="8" t="s">
        <v>2866</v>
      </c>
      <c r="C779" s="13">
        <v>10</v>
      </c>
      <c r="D779" s="8" t="s">
        <v>1057</v>
      </c>
      <c r="E779" s="8" t="s">
        <v>2559</v>
      </c>
      <c r="F779" s="8" t="s">
        <v>1058</v>
      </c>
      <c r="G779" s="13">
        <v>1.07</v>
      </c>
      <c r="H779" s="13">
        <v>7</v>
      </c>
      <c r="I779" s="13" t="s">
        <v>1744</v>
      </c>
      <c r="J779" s="13">
        <v>2.14</v>
      </c>
      <c r="K779" s="8" t="s">
        <v>41</v>
      </c>
    </row>
    <row r="780" spans="1:11">
      <c r="A780" s="14"/>
      <c r="B780" s="8"/>
      <c r="C780" s="8"/>
      <c r="D780" s="8"/>
      <c r="E780" s="8"/>
      <c r="F780" s="8" t="s">
        <v>1059</v>
      </c>
      <c r="G780" s="13">
        <v>1.21</v>
      </c>
      <c r="H780" s="13">
        <v>1.4</v>
      </c>
      <c r="I780" s="13" t="s">
        <v>1744</v>
      </c>
      <c r="J780" s="13">
        <v>2.28</v>
      </c>
      <c r="K780" s="8"/>
    </row>
    <row r="781" spans="1:11">
      <c r="A781" s="14"/>
      <c r="B781" s="8"/>
      <c r="C781" s="8"/>
      <c r="D781" s="8"/>
      <c r="E781" s="8"/>
      <c r="F781" s="8" t="s">
        <v>1060</v>
      </c>
      <c r="G781" s="13">
        <v>1.25</v>
      </c>
      <c r="H781" s="13">
        <v>0.55</v>
      </c>
      <c r="I781" s="13" t="s">
        <v>1745</v>
      </c>
      <c r="J781" s="13">
        <v>2.48</v>
      </c>
      <c r="K781" s="8"/>
    </row>
    <row r="782" spans="1:11">
      <c r="A782" s="14"/>
      <c r="B782" s="8"/>
      <c r="C782" s="8"/>
      <c r="D782" s="8"/>
      <c r="E782" s="8"/>
      <c r="F782" s="8" t="s">
        <v>1061</v>
      </c>
      <c r="G782" s="13">
        <v>1.32</v>
      </c>
      <c r="H782" s="13">
        <v>0.55</v>
      </c>
      <c r="I782" s="13" t="s">
        <v>2673</v>
      </c>
      <c r="J782" s="13">
        <v>4.9</v>
      </c>
      <c r="K782" s="8"/>
    </row>
    <row r="783" spans="1:11">
      <c r="A783" s="14"/>
      <c r="B783" s="8"/>
      <c r="C783" s="8"/>
      <c r="D783" s="8"/>
      <c r="E783" s="8"/>
      <c r="F783" s="8" t="s">
        <v>503</v>
      </c>
      <c r="G783" s="13">
        <v>1.74</v>
      </c>
      <c r="H783" s="13">
        <v>0.5</v>
      </c>
      <c r="I783" s="8" t="s">
        <v>24</v>
      </c>
      <c r="J783" s="8" t="s">
        <v>24</v>
      </c>
      <c r="K783" s="8"/>
    </row>
    <row r="784" spans="1:11">
      <c r="A784" s="14">
        <v>45617</v>
      </c>
      <c r="B784" s="8" t="s">
        <v>2867</v>
      </c>
      <c r="C784" s="13">
        <v>10</v>
      </c>
      <c r="D784" s="8" t="s">
        <v>492</v>
      </c>
      <c r="E784" s="8" t="s">
        <v>492</v>
      </c>
      <c r="F784" s="8" t="s">
        <v>1064</v>
      </c>
      <c r="G784" s="8" t="s">
        <v>2020</v>
      </c>
      <c r="H784" s="13">
        <v>8.5</v>
      </c>
      <c r="I784" s="13" t="s">
        <v>1744</v>
      </c>
      <c r="J784" s="8">
        <v>2.31</v>
      </c>
      <c r="K784" s="8" t="s">
        <v>129</v>
      </c>
    </row>
    <row r="785" spans="1:11">
      <c r="A785" s="8"/>
      <c r="B785" s="8"/>
      <c r="C785" s="8"/>
      <c r="D785" s="8"/>
      <c r="E785" s="8"/>
      <c r="F785" s="8" t="s">
        <v>1060</v>
      </c>
      <c r="G785" s="8" t="s">
        <v>2020</v>
      </c>
      <c r="H785" s="13">
        <v>0.9</v>
      </c>
      <c r="I785" s="13" t="s">
        <v>1745</v>
      </c>
      <c r="J785" s="8">
        <v>2.06</v>
      </c>
      <c r="K785" s="8"/>
    </row>
    <row r="786" spans="1:11">
      <c r="A786" s="8"/>
      <c r="B786" s="8"/>
      <c r="C786" s="8"/>
      <c r="D786" s="8"/>
      <c r="E786" s="8"/>
      <c r="F786" s="8" t="s">
        <v>503</v>
      </c>
      <c r="G786" s="8" t="s">
        <v>2020</v>
      </c>
      <c r="H786" s="13">
        <v>0.6</v>
      </c>
      <c r="I786" s="8" t="s">
        <v>24</v>
      </c>
      <c r="J786" s="8" t="s">
        <v>24</v>
      </c>
      <c r="K786" s="8"/>
    </row>
    <row r="787" spans="1:11">
      <c r="A787" s="14">
        <v>45621</v>
      </c>
      <c r="B787" s="8" t="s">
        <v>2868</v>
      </c>
      <c r="C787" s="13">
        <v>6</v>
      </c>
      <c r="D787" s="8" t="s">
        <v>492</v>
      </c>
      <c r="E787" s="8" t="s">
        <v>492</v>
      </c>
      <c r="F787" s="8" t="s">
        <v>1064</v>
      </c>
      <c r="G787" s="8" t="s">
        <v>2020</v>
      </c>
      <c r="H787" s="13">
        <v>5</v>
      </c>
      <c r="I787" s="13" t="s">
        <v>1744</v>
      </c>
      <c r="J787" s="8">
        <v>2.48</v>
      </c>
      <c r="K787" s="8" t="s">
        <v>67</v>
      </c>
    </row>
    <row r="788" spans="1:11">
      <c r="A788" s="8"/>
      <c r="B788" s="8"/>
      <c r="C788" s="8"/>
      <c r="D788" s="8"/>
      <c r="E788" s="8"/>
      <c r="F788" s="8" t="s">
        <v>1060</v>
      </c>
      <c r="G788" s="8" t="s">
        <v>2020</v>
      </c>
      <c r="H788" s="13">
        <v>0.34</v>
      </c>
      <c r="I788" s="13" t="s">
        <v>1745</v>
      </c>
      <c r="J788" s="8">
        <v>2.85</v>
      </c>
      <c r="K788" s="8"/>
    </row>
    <row r="789" spans="1:11">
      <c r="A789" s="8"/>
      <c r="B789" s="8"/>
      <c r="C789" s="8"/>
      <c r="D789" s="8"/>
      <c r="E789" s="8"/>
      <c r="F789" s="8" t="s">
        <v>509</v>
      </c>
      <c r="G789" s="8" t="s">
        <v>2020</v>
      </c>
      <c r="H789" s="13">
        <v>0.21</v>
      </c>
      <c r="I789" s="13" t="s">
        <v>1746</v>
      </c>
      <c r="J789" s="8">
        <v>5</v>
      </c>
      <c r="K789" s="8"/>
    </row>
    <row r="790" spans="1:11">
      <c r="A790" s="8"/>
      <c r="B790" s="8"/>
      <c r="C790" s="8"/>
      <c r="D790" s="8"/>
      <c r="E790" s="8"/>
      <c r="F790" s="8" t="s">
        <v>503</v>
      </c>
      <c r="G790" s="8" t="s">
        <v>2020</v>
      </c>
      <c r="H790" s="13">
        <v>0.45</v>
      </c>
      <c r="I790" s="8" t="s">
        <v>24</v>
      </c>
      <c r="J790" s="8" t="s">
        <v>24</v>
      </c>
      <c r="K790" s="8"/>
    </row>
    <row r="791" spans="1:11">
      <c r="A791" s="14">
        <v>45618</v>
      </c>
      <c r="B791" s="8" t="s">
        <v>2869</v>
      </c>
      <c r="C791" s="13">
        <v>5</v>
      </c>
      <c r="D791" s="8" t="s">
        <v>492</v>
      </c>
      <c r="E791" s="8" t="s">
        <v>486</v>
      </c>
      <c r="F791" s="8" t="s">
        <v>1064</v>
      </c>
      <c r="G791" s="8" t="s">
        <v>2020</v>
      </c>
      <c r="H791" s="13">
        <v>4.4</v>
      </c>
      <c r="I791" s="13" t="s">
        <v>1744</v>
      </c>
      <c r="J791" s="8">
        <v>2.07</v>
      </c>
      <c r="K791" s="8" t="s">
        <v>86</v>
      </c>
    </row>
    <row r="792" spans="1:11">
      <c r="A792" s="8"/>
      <c r="B792" s="8"/>
      <c r="C792" s="8"/>
      <c r="D792" s="8"/>
      <c r="E792" s="8"/>
      <c r="F792" s="8" t="s">
        <v>1060</v>
      </c>
      <c r="G792" s="8" t="s">
        <v>2020</v>
      </c>
      <c r="H792" s="13">
        <v>0.3</v>
      </c>
      <c r="I792" s="13" t="s">
        <v>1745</v>
      </c>
      <c r="J792" s="8">
        <v>2.28</v>
      </c>
      <c r="K792" s="8"/>
    </row>
    <row r="793" spans="1:11">
      <c r="A793" s="8"/>
      <c r="B793" s="8"/>
      <c r="C793" s="8"/>
      <c r="D793" s="8"/>
      <c r="E793" s="8"/>
      <c r="F793" s="8" t="s">
        <v>503</v>
      </c>
      <c r="G793" s="8" t="s">
        <v>2020</v>
      </c>
      <c r="H793" s="13">
        <v>0.3</v>
      </c>
      <c r="I793" s="8" t="s">
        <v>24</v>
      </c>
      <c r="J793" s="8" t="s">
        <v>24</v>
      </c>
      <c r="K793" s="8"/>
    </row>
    <row r="794" spans="1:11">
      <c r="A794" s="9">
        <v>45617</v>
      </c>
      <c r="B794" s="8" t="s">
        <v>2870</v>
      </c>
      <c r="C794" s="13">
        <v>10</v>
      </c>
      <c r="D794" s="8" t="s">
        <v>486</v>
      </c>
      <c r="E794" s="8" t="s">
        <v>486</v>
      </c>
      <c r="F794" s="8" t="s">
        <v>1064</v>
      </c>
      <c r="G794" s="13">
        <v>1.82</v>
      </c>
      <c r="H794" s="13">
        <v>8.4</v>
      </c>
      <c r="I794" s="13" t="s">
        <v>1744</v>
      </c>
      <c r="J794" s="13">
        <v>2.19</v>
      </c>
      <c r="K794" s="8" t="s">
        <v>18</v>
      </c>
    </row>
    <row r="795" spans="1:11">
      <c r="A795" s="14"/>
      <c r="B795" s="8"/>
      <c r="C795" s="8"/>
      <c r="D795" s="8"/>
      <c r="E795" s="8"/>
      <c r="F795" s="8" t="s">
        <v>1060</v>
      </c>
      <c r="G795" s="13">
        <v>1.9</v>
      </c>
      <c r="H795" s="13">
        <v>0.5</v>
      </c>
      <c r="I795" s="13" t="s">
        <v>1745</v>
      </c>
      <c r="J795" s="13">
        <v>2.45</v>
      </c>
      <c r="K795" s="8"/>
    </row>
    <row r="796" spans="1:11">
      <c r="A796" s="14"/>
      <c r="B796" s="8"/>
      <c r="C796" s="8"/>
      <c r="D796" s="8"/>
      <c r="E796" s="8"/>
      <c r="F796" s="8" t="s">
        <v>509</v>
      </c>
      <c r="G796" s="13">
        <v>1.99</v>
      </c>
      <c r="H796" s="13">
        <v>0.3</v>
      </c>
      <c r="I796" s="13" t="s">
        <v>1746</v>
      </c>
      <c r="J796" s="13">
        <v>2.8</v>
      </c>
      <c r="K796" s="8"/>
    </row>
    <row r="797" spans="1:11">
      <c r="A797" s="14"/>
      <c r="B797" s="8"/>
      <c r="C797" s="8"/>
      <c r="D797" s="8"/>
      <c r="E797" s="8"/>
      <c r="F797" s="8" t="s">
        <v>503</v>
      </c>
      <c r="G797" s="13">
        <v>2.65</v>
      </c>
      <c r="H797" s="13">
        <v>0.8</v>
      </c>
      <c r="I797" s="8" t="s">
        <v>24</v>
      </c>
      <c r="J797" s="8" t="s">
        <v>24</v>
      </c>
      <c r="K797" s="8"/>
    </row>
    <row r="798" spans="1:11">
      <c r="A798" s="14">
        <v>45635</v>
      </c>
      <c r="B798" s="8" t="s">
        <v>2871</v>
      </c>
      <c r="C798" s="13">
        <v>10</v>
      </c>
      <c r="D798" s="8" t="s">
        <v>486</v>
      </c>
      <c r="E798" s="8" t="s">
        <v>486</v>
      </c>
      <c r="F798" s="8" t="s">
        <v>1064</v>
      </c>
      <c r="G798" s="8" t="s">
        <v>2020</v>
      </c>
      <c r="H798" s="13">
        <v>8.4</v>
      </c>
      <c r="I798" s="13" t="s">
        <v>1744</v>
      </c>
      <c r="J798" s="8">
        <v>2.14</v>
      </c>
      <c r="K798" s="8" t="s">
        <v>18</v>
      </c>
    </row>
    <row r="799" spans="1:11">
      <c r="A799" s="8"/>
      <c r="B799" s="8"/>
      <c r="C799" s="8"/>
      <c r="D799" s="8"/>
      <c r="E799" s="8"/>
      <c r="F799" s="8" t="s">
        <v>1060</v>
      </c>
      <c r="G799" s="8" t="s">
        <v>2020</v>
      </c>
      <c r="H799" s="13">
        <v>0.5</v>
      </c>
      <c r="I799" s="13" t="s">
        <v>1745</v>
      </c>
      <c r="J799" s="8">
        <v>2.4</v>
      </c>
      <c r="K799" s="8"/>
    </row>
    <row r="800" spans="1:11">
      <c r="A800" s="8"/>
      <c r="B800" s="8"/>
      <c r="C800" s="8"/>
      <c r="D800" s="8"/>
      <c r="E800" s="8"/>
      <c r="F800" s="8" t="s">
        <v>1061</v>
      </c>
      <c r="G800" s="8" t="s">
        <v>2020</v>
      </c>
      <c r="H800" s="13">
        <v>0.3</v>
      </c>
      <c r="I800" s="13" t="s">
        <v>1746</v>
      </c>
      <c r="J800" s="8">
        <v>2.5</v>
      </c>
      <c r="K800" s="8"/>
    </row>
    <row r="801" spans="1:11">
      <c r="A801" s="8"/>
      <c r="B801" s="8"/>
      <c r="C801" s="8"/>
      <c r="D801" s="8"/>
      <c r="E801" s="8"/>
      <c r="F801" s="8" t="s">
        <v>503</v>
      </c>
      <c r="G801" s="8" t="s">
        <v>2020</v>
      </c>
      <c r="H801" s="13">
        <v>0.8</v>
      </c>
      <c r="I801" s="8" t="s">
        <v>24</v>
      </c>
      <c r="J801" s="8" t="s">
        <v>24</v>
      </c>
      <c r="K801" s="8"/>
    </row>
    <row r="802" spans="1:11">
      <c r="A802" s="14">
        <v>45635</v>
      </c>
      <c r="B802" s="8" t="s">
        <v>2872</v>
      </c>
      <c r="C802" s="13">
        <v>20</v>
      </c>
      <c r="D802" s="8" t="s">
        <v>521</v>
      </c>
      <c r="E802" s="8" t="s">
        <v>492</v>
      </c>
      <c r="F802" s="8" t="s">
        <v>1058</v>
      </c>
      <c r="G802" s="8" t="s">
        <v>2020</v>
      </c>
      <c r="H802" s="13">
        <v>6</v>
      </c>
      <c r="I802" s="13" t="s">
        <v>1744</v>
      </c>
      <c r="J802" s="8">
        <v>2.31</v>
      </c>
      <c r="K802" s="8" t="s">
        <v>86</v>
      </c>
    </row>
    <row r="803" spans="1:11">
      <c r="A803" s="8"/>
      <c r="B803" s="8"/>
      <c r="C803" s="8"/>
      <c r="D803" s="8"/>
      <c r="E803" s="8"/>
      <c r="F803" s="8" t="s">
        <v>1059</v>
      </c>
      <c r="G803" s="8" t="s">
        <v>2020</v>
      </c>
      <c r="H803" s="13">
        <v>11.6</v>
      </c>
      <c r="I803" s="13" t="s">
        <v>1744</v>
      </c>
      <c r="J803" s="8">
        <v>2.31</v>
      </c>
      <c r="K803" s="8"/>
    </row>
    <row r="804" spans="1:11">
      <c r="A804" s="8"/>
      <c r="B804" s="8"/>
      <c r="C804" s="8"/>
      <c r="D804" s="8"/>
      <c r="E804" s="8"/>
      <c r="F804" s="8" t="s">
        <v>1060</v>
      </c>
      <c r="G804" s="8" t="s">
        <v>2020</v>
      </c>
      <c r="H804" s="13">
        <v>1.2</v>
      </c>
      <c r="I804" s="13" t="s">
        <v>1745</v>
      </c>
      <c r="J804" s="8">
        <v>2.41</v>
      </c>
      <c r="K804" s="8"/>
    </row>
    <row r="805" spans="1:11">
      <c r="A805" s="8"/>
      <c r="B805" s="8"/>
      <c r="C805" s="8"/>
      <c r="D805" s="8"/>
      <c r="E805" s="8"/>
      <c r="F805" s="8" t="s">
        <v>503</v>
      </c>
      <c r="G805" s="8" t="s">
        <v>2020</v>
      </c>
      <c r="H805" s="13">
        <v>1.2</v>
      </c>
      <c r="I805" s="8" t="s">
        <v>24</v>
      </c>
      <c r="J805" s="8" t="s">
        <v>24</v>
      </c>
      <c r="K805" s="8"/>
    </row>
    <row r="806" spans="1:11">
      <c r="A806" s="14">
        <v>45642</v>
      </c>
      <c r="B806" s="8" t="s">
        <v>2873</v>
      </c>
      <c r="C806" s="13">
        <v>6</v>
      </c>
      <c r="D806" s="8" t="s">
        <v>492</v>
      </c>
      <c r="E806" s="8" t="s">
        <v>486</v>
      </c>
      <c r="F806" s="8" t="s">
        <v>1064</v>
      </c>
      <c r="G806" s="8" t="s">
        <v>2020</v>
      </c>
      <c r="H806" s="13">
        <v>5.28</v>
      </c>
      <c r="I806" s="13" t="s">
        <v>1744</v>
      </c>
      <c r="J806" s="8">
        <v>1.73</v>
      </c>
      <c r="K806" s="8" t="s">
        <v>86</v>
      </c>
    </row>
    <row r="807" spans="1:11">
      <c r="A807" s="8"/>
      <c r="B807" s="8"/>
      <c r="C807" s="8"/>
      <c r="D807" s="8"/>
      <c r="E807" s="8"/>
      <c r="F807" s="8" t="s">
        <v>1060</v>
      </c>
      <c r="G807" s="8" t="s">
        <v>2020</v>
      </c>
      <c r="H807" s="13">
        <v>0.36</v>
      </c>
      <c r="I807" s="13" t="s">
        <v>1745</v>
      </c>
      <c r="J807" s="8">
        <v>1.82</v>
      </c>
      <c r="K807" s="8"/>
    </row>
    <row r="808" spans="1:11">
      <c r="A808" s="8"/>
      <c r="B808" s="8"/>
      <c r="C808" s="8"/>
      <c r="D808" s="8"/>
      <c r="E808" s="8"/>
      <c r="F808" s="8" t="s">
        <v>503</v>
      </c>
      <c r="G808" s="8" t="s">
        <v>2020</v>
      </c>
      <c r="H808" s="13">
        <v>0.36</v>
      </c>
      <c r="I808" s="8" t="s">
        <v>24</v>
      </c>
      <c r="J808" s="8" t="s">
        <v>24</v>
      </c>
      <c r="K808" s="8"/>
    </row>
    <row r="809" spans="1:11">
      <c r="A809" s="14">
        <v>45638</v>
      </c>
      <c r="B809" s="8" t="s">
        <v>2874</v>
      </c>
      <c r="C809" s="13">
        <v>6</v>
      </c>
      <c r="D809" s="8" t="s">
        <v>486</v>
      </c>
      <c r="E809" s="8" t="s">
        <v>492</v>
      </c>
      <c r="F809" s="8" t="s">
        <v>1064</v>
      </c>
      <c r="G809" s="8" t="s">
        <v>2020</v>
      </c>
      <c r="H809" s="13">
        <v>5.28</v>
      </c>
      <c r="I809" s="13" t="s">
        <v>1744</v>
      </c>
      <c r="J809" s="8">
        <v>1.73</v>
      </c>
      <c r="K809" s="8" t="s">
        <v>86</v>
      </c>
    </row>
    <row r="810" spans="1:11">
      <c r="A810" s="8"/>
      <c r="B810" s="8"/>
      <c r="C810" s="8"/>
      <c r="D810" s="8"/>
      <c r="E810" s="8"/>
      <c r="F810" s="8" t="s">
        <v>1060</v>
      </c>
      <c r="G810" s="8" t="s">
        <v>2020</v>
      </c>
      <c r="H810" s="13">
        <v>0.36</v>
      </c>
      <c r="I810" s="13" t="s">
        <v>1745</v>
      </c>
      <c r="J810" s="8">
        <v>1.82</v>
      </c>
      <c r="K810" s="8"/>
    </row>
    <row r="811" spans="1:11">
      <c r="A811" s="8"/>
      <c r="B811" s="8"/>
      <c r="C811" s="8"/>
      <c r="D811" s="8"/>
      <c r="E811" s="8"/>
      <c r="F811" s="8" t="s">
        <v>503</v>
      </c>
      <c r="G811" s="8" t="s">
        <v>2020</v>
      </c>
      <c r="H811" s="13">
        <v>0.36</v>
      </c>
      <c r="I811" s="8" t="s">
        <v>24</v>
      </c>
      <c r="J811" s="8" t="s">
        <v>24</v>
      </c>
      <c r="K811" s="8"/>
    </row>
    <row r="812" spans="1:11">
      <c r="A812" s="9">
        <v>45639</v>
      </c>
      <c r="B812" s="8" t="s">
        <v>2875</v>
      </c>
      <c r="C812" s="13">
        <v>10</v>
      </c>
      <c r="D812" s="8" t="s">
        <v>492</v>
      </c>
      <c r="E812" s="8" t="s">
        <v>492</v>
      </c>
      <c r="F812" s="8" t="s">
        <v>1064</v>
      </c>
      <c r="G812" s="13">
        <v>1</v>
      </c>
      <c r="H812" s="13">
        <v>8.9</v>
      </c>
      <c r="I812" s="13" t="s">
        <v>1744</v>
      </c>
      <c r="J812" s="13">
        <v>2.05</v>
      </c>
      <c r="K812" s="8" t="s">
        <v>129</v>
      </c>
    </row>
    <row r="813" spans="1:11">
      <c r="A813" s="14"/>
      <c r="B813" s="8"/>
      <c r="C813" s="8"/>
      <c r="D813" s="8"/>
      <c r="E813" s="8"/>
      <c r="F813" s="8" t="s">
        <v>1060</v>
      </c>
      <c r="G813" s="13">
        <v>1.17</v>
      </c>
      <c r="H813" s="13">
        <v>0.5</v>
      </c>
      <c r="I813" s="13" t="s">
        <v>1745</v>
      </c>
      <c r="J813" s="13">
        <v>2.23</v>
      </c>
      <c r="K813" s="8"/>
    </row>
    <row r="814" spans="1:11">
      <c r="A814" s="14"/>
      <c r="B814" s="8"/>
      <c r="C814" s="8"/>
      <c r="D814" s="8"/>
      <c r="E814" s="8"/>
      <c r="F814" s="8" t="s">
        <v>503</v>
      </c>
      <c r="G814" s="13">
        <v>1.75</v>
      </c>
      <c r="H814" s="13">
        <v>0.6</v>
      </c>
      <c r="I814" s="8" t="s">
        <v>24</v>
      </c>
      <c r="J814" s="8" t="s">
        <v>24</v>
      </c>
      <c r="K814" s="8"/>
    </row>
    <row r="815" spans="1:11">
      <c r="A815" s="9">
        <v>45638</v>
      </c>
      <c r="B815" s="8" t="s">
        <v>2876</v>
      </c>
      <c r="C815" s="13">
        <v>7.2</v>
      </c>
      <c r="D815" s="8" t="s">
        <v>486</v>
      </c>
      <c r="E815" s="8" t="s">
        <v>486</v>
      </c>
      <c r="F815" s="8" t="s">
        <v>1058</v>
      </c>
      <c r="G815" s="13">
        <v>0.58</v>
      </c>
      <c r="H815" s="13">
        <v>2.16</v>
      </c>
      <c r="I815" s="13" t="s">
        <v>1744</v>
      </c>
      <c r="J815" s="13">
        <v>2.8</v>
      </c>
      <c r="K815" s="8" t="s">
        <v>1082</v>
      </c>
    </row>
    <row r="816" spans="1:11">
      <c r="A816" s="14"/>
      <c r="B816" s="8"/>
      <c r="C816" s="8"/>
      <c r="D816" s="8"/>
      <c r="E816" s="8"/>
      <c r="F816" s="8" t="s">
        <v>1059</v>
      </c>
      <c r="G816" s="13">
        <v>1.75</v>
      </c>
      <c r="H816" s="13">
        <v>2.88</v>
      </c>
      <c r="I816" s="13" t="s">
        <v>1744</v>
      </c>
      <c r="J816" s="13">
        <v>3.1</v>
      </c>
      <c r="K816" s="8"/>
    </row>
    <row r="817" spans="1:11">
      <c r="A817" s="14"/>
      <c r="B817" s="8"/>
      <c r="C817" s="8"/>
      <c r="D817" s="8"/>
      <c r="E817" s="8"/>
      <c r="F817" s="8" t="s">
        <v>1099</v>
      </c>
      <c r="G817" s="13">
        <v>2.92</v>
      </c>
      <c r="H817" s="13">
        <v>2.052</v>
      </c>
      <c r="I817" s="13" t="s">
        <v>1744</v>
      </c>
      <c r="J817" s="13">
        <v>4.4</v>
      </c>
      <c r="K817" s="8"/>
    </row>
    <row r="818" spans="1:11">
      <c r="A818" s="14"/>
      <c r="B818" s="8"/>
      <c r="C818" s="8"/>
      <c r="D818" s="8"/>
      <c r="E818" s="8"/>
      <c r="F818" s="8" t="s">
        <v>503</v>
      </c>
      <c r="G818" s="13">
        <v>3.25</v>
      </c>
      <c r="H818" s="13">
        <v>0.108</v>
      </c>
      <c r="I818" s="8" t="s">
        <v>24</v>
      </c>
      <c r="J818" s="8" t="s">
        <v>24</v>
      </c>
      <c r="K818" s="8"/>
    </row>
    <row r="819" spans="1:11">
      <c r="A819" s="14">
        <v>45645</v>
      </c>
      <c r="B819" s="8" t="s">
        <v>2877</v>
      </c>
      <c r="C819" s="13">
        <v>10</v>
      </c>
      <c r="D819" s="8" t="s">
        <v>492</v>
      </c>
      <c r="E819" s="8" t="s">
        <v>492</v>
      </c>
      <c r="F819" s="8" t="s">
        <v>531</v>
      </c>
      <c r="G819" s="8" t="s">
        <v>2020</v>
      </c>
      <c r="H819" s="13">
        <v>8.9</v>
      </c>
      <c r="I819" s="13" t="s">
        <v>1744</v>
      </c>
      <c r="J819" s="8">
        <v>1.9</v>
      </c>
      <c r="K819" s="8" t="s">
        <v>129</v>
      </c>
    </row>
    <row r="820" spans="1:11">
      <c r="A820" s="8"/>
      <c r="B820" s="8"/>
      <c r="C820" s="8"/>
      <c r="D820" s="8"/>
      <c r="E820" s="8"/>
      <c r="F820" s="8" t="s">
        <v>539</v>
      </c>
      <c r="G820" s="8" t="s">
        <v>2020</v>
      </c>
      <c r="H820" s="13">
        <v>0.5</v>
      </c>
      <c r="I820" s="13" t="s">
        <v>1745</v>
      </c>
      <c r="J820" s="8">
        <v>2.07</v>
      </c>
      <c r="K820" s="8"/>
    </row>
    <row r="821" spans="1:11">
      <c r="A821" s="8"/>
      <c r="B821" s="8"/>
      <c r="C821" s="8"/>
      <c r="D821" s="8"/>
      <c r="E821" s="8"/>
      <c r="F821" s="8" t="s">
        <v>503</v>
      </c>
      <c r="G821" s="8" t="s">
        <v>2020</v>
      </c>
      <c r="H821" s="13">
        <v>0.6</v>
      </c>
      <c r="I821" s="8" t="s">
        <v>24</v>
      </c>
      <c r="J821" s="8" t="s">
        <v>24</v>
      </c>
      <c r="K821" s="8"/>
    </row>
    <row r="822" spans="1:11">
      <c r="A822" s="14">
        <v>45645</v>
      </c>
      <c r="B822" s="8" t="s">
        <v>2878</v>
      </c>
      <c r="C822" s="13">
        <v>10</v>
      </c>
      <c r="D822" s="8" t="s">
        <v>536</v>
      </c>
      <c r="E822" s="8" t="s">
        <v>536</v>
      </c>
      <c r="F822" s="8" t="s">
        <v>531</v>
      </c>
      <c r="G822" s="8" t="s">
        <v>2020</v>
      </c>
      <c r="H822" s="13">
        <v>8.9</v>
      </c>
      <c r="I822" s="13" t="s">
        <v>1744</v>
      </c>
      <c r="J822" s="8">
        <v>1.9</v>
      </c>
      <c r="K822" s="8" t="s">
        <v>129</v>
      </c>
    </row>
    <row r="823" spans="1:11">
      <c r="A823" s="8"/>
      <c r="B823" s="8"/>
      <c r="C823" s="8"/>
      <c r="D823" s="8"/>
      <c r="E823" s="8"/>
      <c r="F823" s="8" t="s">
        <v>539</v>
      </c>
      <c r="G823" s="8" t="s">
        <v>2020</v>
      </c>
      <c r="H823" s="13">
        <v>0.5</v>
      </c>
      <c r="I823" s="13" t="s">
        <v>1745</v>
      </c>
      <c r="J823" s="8">
        <v>2.07</v>
      </c>
      <c r="K823" s="8"/>
    </row>
    <row r="824" spans="1:11">
      <c r="A824" s="8"/>
      <c r="B824" s="8"/>
      <c r="C824" s="8"/>
      <c r="D824" s="8"/>
      <c r="E824" s="8"/>
      <c r="F824" s="8" t="s">
        <v>503</v>
      </c>
      <c r="G824" s="8" t="s">
        <v>2020</v>
      </c>
      <c r="H824" s="13">
        <v>0.6</v>
      </c>
      <c r="I824" s="8" t="s">
        <v>24</v>
      </c>
      <c r="J824" s="8" t="s">
        <v>24</v>
      </c>
      <c r="K824" s="8"/>
    </row>
    <row r="825" spans="1:11">
      <c r="A825" s="14">
        <v>45645</v>
      </c>
      <c r="B825" s="8" t="s">
        <v>2879</v>
      </c>
      <c r="C825" s="13">
        <v>10</v>
      </c>
      <c r="D825" s="8" t="s">
        <v>521</v>
      </c>
      <c r="E825" s="8" t="s">
        <v>492</v>
      </c>
      <c r="F825" s="8" t="s">
        <v>1058</v>
      </c>
      <c r="G825" s="8" t="s">
        <v>2020</v>
      </c>
      <c r="H825" s="13">
        <v>3</v>
      </c>
      <c r="I825" s="13" t="s">
        <v>1744</v>
      </c>
      <c r="J825" s="8">
        <v>2.31</v>
      </c>
      <c r="K825" s="8" t="s">
        <v>86</v>
      </c>
    </row>
    <row r="826" spans="1:11">
      <c r="A826" s="8"/>
      <c r="B826" s="8"/>
      <c r="C826" s="8"/>
      <c r="D826" s="8"/>
      <c r="E826" s="8"/>
      <c r="F826" s="8" t="s">
        <v>1059</v>
      </c>
      <c r="G826" s="8" t="s">
        <v>2020</v>
      </c>
      <c r="H826" s="13">
        <v>5.8</v>
      </c>
      <c r="I826" s="13" t="s">
        <v>1744</v>
      </c>
      <c r="J826" s="8">
        <v>2.31</v>
      </c>
      <c r="K826" s="8"/>
    </row>
    <row r="827" spans="1:11">
      <c r="A827" s="8"/>
      <c r="B827" s="8"/>
      <c r="C827" s="8"/>
      <c r="D827" s="8"/>
      <c r="E827" s="8"/>
      <c r="F827" s="8" t="s">
        <v>1060</v>
      </c>
      <c r="G827" s="8" t="s">
        <v>2020</v>
      </c>
      <c r="H827" s="13">
        <v>0.6</v>
      </c>
      <c r="I827" s="13" t="s">
        <v>1745</v>
      </c>
      <c r="J827" s="8">
        <v>2.41</v>
      </c>
      <c r="K827" s="8"/>
    </row>
    <row r="828" spans="1:11">
      <c r="A828" s="8"/>
      <c r="B828" s="8"/>
      <c r="C828" s="8"/>
      <c r="D828" s="8"/>
      <c r="E828" s="8"/>
      <c r="F828" s="8" t="s">
        <v>503</v>
      </c>
      <c r="G828" s="8" t="s">
        <v>2020</v>
      </c>
      <c r="H828" s="13">
        <v>0.6</v>
      </c>
      <c r="I828" s="8" t="s">
        <v>24</v>
      </c>
      <c r="J828" s="8" t="s">
        <v>24</v>
      </c>
      <c r="K828" s="8"/>
    </row>
    <row r="829" spans="1:11">
      <c r="A829" s="14">
        <v>45644</v>
      </c>
      <c r="B829" s="8" t="s">
        <v>2880</v>
      </c>
      <c r="C829" s="13">
        <v>10</v>
      </c>
      <c r="D829" s="8" t="s">
        <v>1109</v>
      </c>
      <c r="E829" s="8" t="s">
        <v>486</v>
      </c>
      <c r="F829" s="8" t="s">
        <v>1064</v>
      </c>
      <c r="G829" s="8" t="s">
        <v>2020</v>
      </c>
      <c r="H829" s="13">
        <v>8.7</v>
      </c>
      <c r="I829" s="13" t="s">
        <v>1744</v>
      </c>
      <c r="J829" s="8">
        <v>1.9</v>
      </c>
      <c r="K829" s="8" t="s">
        <v>27</v>
      </c>
    </row>
    <row r="830" spans="1:11">
      <c r="A830" s="8"/>
      <c r="B830" s="8"/>
      <c r="C830" s="8"/>
      <c r="D830" s="8"/>
      <c r="E830" s="8"/>
      <c r="F830" s="8" t="s">
        <v>1060</v>
      </c>
      <c r="G830" s="8" t="s">
        <v>2020</v>
      </c>
      <c r="H830" s="13">
        <v>0.6</v>
      </c>
      <c r="I830" s="13" t="s">
        <v>1745</v>
      </c>
      <c r="J830" s="8">
        <v>2.2</v>
      </c>
      <c r="K830" s="8"/>
    </row>
    <row r="831" spans="1:11">
      <c r="A831" s="8"/>
      <c r="B831" s="8"/>
      <c r="C831" s="8"/>
      <c r="D831" s="8"/>
      <c r="E831" s="8"/>
      <c r="F831" s="8" t="s">
        <v>503</v>
      </c>
      <c r="G831" s="8" t="s">
        <v>2020</v>
      </c>
      <c r="H831" s="13">
        <v>0.7</v>
      </c>
      <c r="I831" s="8" t="s">
        <v>24</v>
      </c>
      <c r="J831" s="8" t="s">
        <v>24</v>
      </c>
      <c r="K831" s="8"/>
    </row>
    <row r="832" spans="1:11">
      <c r="A832" s="9">
        <v>45646</v>
      </c>
      <c r="B832" s="8" t="s">
        <v>2881</v>
      </c>
      <c r="C832" s="13">
        <v>10</v>
      </c>
      <c r="D832" s="8" t="s">
        <v>492</v>
      </c>
      <c r="E832" s="8" t="s">
        <v>536</v>
      </c>
      <c r="F832" s="8" t="s">
        <v>531</v>
      </c>
      <c r="G832" s="13">
        <v>1.01</v>
      </c>
      <c r="H832" s="13">
        <v>8.9</v>
      </c>
      <c r="I832" s="13" t="s">
        <v>1744</v>
      </c>
      <c r="J832" s="13">
        <v>1.95</v>
      </c>
      <c r="K832" s="8" t="s">
        <v>129</v>
      </c>
    </row>
    <row r="833" spans="1:11">
      <c r="A833" s="14"/>
      <c r="B833" s="8"/>
      <c r="C833" s="8"/>
      <c r="D833" s="8"/>
      <c r="E833" s="8"/>
      <c r="F833" s="8" t="s">
        <v>539</v>
      </c>
      <c r="G833" s="13">
        <v>1.17</v>
      </c>
      <c r="H833" s="13">
        <v>0.5</v>
      </c>
      <c r="I833" s="13" t="s">
        <v>1745</v>
      </c>
      <c r="J833" s="13">
        <v>2.15</v>
      </c>
      <c r="K833" s="8"/>
    </row>
    <row r="834" spans="1:11">
      <c r="A834" s="14"/>
      <c r="B834" s="8"/>
      <c r="C834" s="8"/>
      <c r="D834" s="8"/>
      <c r="E834" s="8"/>
      <c r="F834" s="8" t="s">
        <v>503</v>
      </c>
      <c r="G834" s="13">
        <v>1.75</v>
      </c>
      <c r="H834" s="13">
        <v>0.6</v>
      </c>
      <c r="I834" s="8" t="s">
        <v>24</v>
      </c>
      <c r="J834" s="8" t="s">
        <v>24</v>
      </c>
      <c r="K834" s="8"/>
    </row>
    <row r="835" spans="1:11">
      <c r="A835" s="9">
        <v>45646</v>
      </c>
      <c r="B835" s="8" t="s">
        <v>2882</v>
      </c>
      <c r="C835" s="13">
        <v>5</v>
      </c>
      <c r="D835" s="8" t="s">
        <v>492</v>
      </c>
      <c r="E835" s="8" t="s">
        <v>481</v>
      </c>
      <c r="F835" s="8" t="s">
        <v>1058</v>
      </c>
      <c r="G835" s="13">
        <v>0.98</v>
      </c>
      <c r="H835" s="13">
        <v>3.5</v>
      </c>
      <c r="I835" s="13" t="s">
        <v>1744</v>
      </c>
      <c r="J835" s="13">
        <v>1.89</v>
      </c>
      <c r="K835" s="8" t="s">
        <v>74</v>
      </c>
    </row>
    <row r="836" spans="1:11">
      <c r="A836" s="14"/>
      <c r="B836" s="8"/>
      <c r="C836" s="8"/>
      <c r="D836" s="8"/>
      <c r="E836" s="8"/>
      <c r="F836" s="8" t="s">
        <v>1059</v>
      </c>
      <c r="G836" s="13">
        <v>1.23</v>
      </c>
      <c r="H836" s="13">
        <v>1</v>
      </c>
      <c r="I836" s="13" t="s">
        <v>1744</v>
      </c>
      <c r="J836" s="13">
        <v>1.94</v>
      </c>
      <c r="K836" s="8"/>
    </row>
    <row r="837" spans="1:11">
      <c r="A837" s="14"/>
      <c r="B837" s="8"/>
      <c r="C837" s="8"/>
      <c r="D837" s="8"/>
      <c r="E837" s="8"/>
      <c r="F837" s="8" t="s">
        <v>1060</v>
      </c>
      <c r="G837" s="13">
        <v>1.23</v>
      </c>
      <c r="H837" s="13">
        <v>0.15</v>
      </c>
      <c r="I837" s="13" t="s">
        <v>1745</v>
      </c>
      <c r="J837" s="13">
        <v>2.2</v>
      </c>
      <c r="K837" s="8"/>
    </row>
    <row r="838" spans="1:11">
      <c r="A838" s="14"/>
      <c r="B838" s="8"/>
      <c r="C838" s="8"/>
      <c r="D838" s="8"/>
      <c r="E838" s="8"/>
      <c r="F838" s="8" t="s">
        <v>503</v>
      </c>
      <c r="G838" s="13">
        <v>1.73</v>
      </c>
      <c r="H838" s="13">
        <v>0.35</v>
      </c>
      <c r="I838" s="8" t="s">
        <v>24</v>
      </c>
      <c r="J838" s="8" t="s">
        <v>24</v>
      </c>
      <c r="K838" s="8"/>
    </row>
    <row r="839" spans="1:11">
      <c r="A839" s="9">
        <v>45645</v>
      </c>
      <c r="B839" s="8" t="s">
        <v>2883</v>
      </c>
      <c r="C839" s="13">
        <v>5</v>
      </c>
      <c r="D839" s="8" t="s">
        <v>536</v>
      </c>
      <c r="E839" s="8" t="s">
        <v>492</v>
      </c>
      <c r="F839" s="8" t="s">
        <v>1058</v>
      </c>
      <c r="G839" s="13">
        <v>0.98</v>
      </c>
      <c r="H839" s="13">
        <v>3.5</v>
      </c>
      <c r="I839" s="13" t="s">
        <v>1744</v>
      </c>
      <c r="J839" s="13">
        <v>1.89</v>
      </c>
      <c r="K839" s="8" t="s">
        <v>74</v>
      </c>
    </row>
    <row r="840" spans="1:11">
      <c r="A840" s="14"/>
      <c r="B840" s="8"/>
      <c r="C840" s="8"/>
      <c r="D840" s="8"/>
      <c r="E840" s="8"/>
      <c r="F840" s="8" t="s">
        <v>1059</v>
      </c>
      <c r="G840" s="13">
        <v>1.23</v>
      </c>
      <c r="H840" s="13">
        <v>1</v>
      </c>
      <c r="I840" s="13" t="s">
        <v>1744</v>
      </c>
      <c r="J840" s="13">
        <v>1.95</v>
      </c>
      <c r="K840" s="8"/>
    </row>
    <row r="841" spans="1:11">
      <c r="A841" s="14"/>
      <c r="B841" s="8"/>
      <c r="C841" s="8"/>
      <c r="D841" s="8"/>
      <c r="E841" s="8"/>
      <c r="F841" s="8" t="s">
        <v>1060</v>
      </c>
      <c r="G841" s="13">
        <v>1.23</v>
      </c>
      <c r="H841" s="13">
        <v>0.15</v>
      </c>
      <c r="I841" s="13" t="s">
        <v>1745</v>
      </c>
      <c r="J841" s="13">
        <v>2.2</v>
      </c>
      <c r="K841" s="8"/>
    </row>
    <row r="842" spans="1:11">
      <c r="A842" s="14"/>
      <c r="B842" s="8"/>
      <c r="C842" s="8"/>
      <c r="D842" s="8"/>
      <c r="E842" s="8"/>
      <c r="F842" s="8" t="s">
        <v>503</v>
      </c>
      <c r="G842" s="13">
        <v>1.73</v>
      </c>
      <c r="H842" s="13">
        <v>0.35</v>
      </c>
      <c r="I842" s="8" t="s">
        <v>24</v>
      </c>
      <c r="J842" s="8" t="s">
        <v>24</v>
      </c>
      <c r="K842" s="8"/>
    </row>
    <row r="843" spans="1:11">
      <c r="A843" s="9">
        <v>45646</v>
      </c>
      <c r="B843" s="8" t="s">
        <v>2884</v>
      </c>
      <c r="C843" s="13">
        <v>10</v>
      </c>
      <c r="D843" s="8" t="s">
        <v>536</v>
      </c>
      <c r="E843" s="8" t="s">
        <v>536</v>
      </c>
      <c r="F843" s="8" t="s">
        <v>531</v>
      </c>
      <c r="G843" s="13">
        <v>1.01</v>
      </c>
      <c r="H843" s="13">
        <v>8.9</v>
      </c>
      <c r="I843" s="13" t="s">
        <v>1744</v>
      </c>
      <c r="J843" s="13">
        <v>2</v>
      </c>
      <c r="K843" s="8" t="s">
        <v>129</v>
      </c>
    </row>
    <row r="844" spans="1:11">
      <c r="A844" s="14"/>
      <c r="B844" s="8"/>
      <c r="C844" s="8"/>
      <c r="D844" s="8"/>
      <c r="E844" s="8"/>
      <c r="F844" s="8" t="s">
        <v>539</v>
      </c>
      <c r="G844" s="13">
        <v>1.17</v>
      </c>
      <c r="H844" s="13">
        <v>0.5</v>
      </c>
      <c r="I844" s="13" t="s">
        <v>1745</v>
      </c>
      <c r="J844" s="13">
        <v>2.19</v>
      </c>
      <c r="K844" s="8"/>
    </row>
    <row r="845" spans="1:11">
      <c r="A845" s="14"/>
      <c r="B845" s="8"/>
      <c r="C845" s="8"/>
      <c r="D845" s="8"/>
      <c r="E845" s="8"/>
      <c r="F845" s="8" t="s">
        <v>503</v>
      </c>
      <c r="G845" s="13">
        <v>1.75</v>
      </c>
      <c r="H845" s="13">
        <v>0.6</v>
      </c>
      <c r="I845" s="8" t="s">
        <v>24</v>
      </c>
      <c r="J845" s="8" t="s">
        <v>24</v>
      </c>
      <c r="K845" s="8"/>
    </row>
    <row r="846" spans="1:11">
      <c r="A846" s="9">
        <v>45653</v>
      </c>
      <c r="B846" s="8" t="s">
        <v>2885</v>
      </c>
      <c r="C846" s="13">
        <v>5</v>
      </c>
      <c r="D846" s="8" t="s">
        <v>492</v>
      </c>
      <c r="E846" s="8" t="s">
        <v>481</v>
      </c>
      <c r="F846" s="8" t="s">
        <v>1058</v>
      </c>
      <c r="G846" s="13">
        <v>0.96</v>
      </c>
      <c r="H846" s="13">
        <v>3.5</v>
      </c>
      <c r="I846" s="13" t="s">
        <v>1744</v>
      </c>
      <c r="J846" s="13">
        <v>1.87</v>
      </c>
      <c r="K846" s="8" t="s">
        <v>74</v>
      </c>
    </row>
    <row r="847" spans="1:11">
      <c r="A847" s="14"/>
      <c r="B847" s="8"/>
      <c r="C847" s="8"/>
      <c r="D847" s="8"/>
      <c r="E847" s="8"/>
      <c r="F847" s="8" t="s">
        <v>1059</v>
      </c>
      <c r="G847" s="13">
        <v>1.21</v>
      </c>
      <c r="H847" s="13">
        <v>1</v>
      </c>
      <c r="I847" s="13" t="s">
        <v>1744</v>
      </c>
      <c r="J847" s="13">
        <v>1.89</v>
      </c>
      <c r="K847" s="8"/>
    </row>
    <row r="848" spans="1:11">
      <c r="A848" s="14"/>
      <c r="B848" s="8"/>
      <c r="C848" s="8"/>
      <c r="D848" s="8"/>
      <c r="E848" s="8"/>
      <c r="F848" s="8" t="s">
        <v>1060</v>
      </c>
      <c r="G848" s="13">
        <v>1.21</v>
      </c>
      <c r="H848" s="13">
        <v>0.15</v>
      </c>
      <c r="I848" s="13" t="s">
        <v>1745</v>
      </c>
      <c r="J848" s="13">
        <v>2.2</v>
      </c>
      <c r="K848" s="8"/>
    </row>
    <row r="849" spans="1:11">
      <c r="A849" s="14"/>
      <c r="B849" s="8"/>
      <c r="C849" s="8"/>
      <c r="D849" s="8"/>
      <c r="E849" s="8"/>
      <c r="F849" s="8" t="s">
        <v>503</v>
      </c>
      <c r="G849" s="13">
        <v>1.71</v>
      </c>
      <c r="H849" s="13">
        <v>0.35</v>
      </c>
      <c r="I849" s="8" t="s">
        <v>24</v>
      </c>
      <c r="J849" s="8" t="s">
        <v>24</v>
      </c>
      <c r="K849" s="8"/>
    </row>
    <row r="850" spans="1:11">
      <c r="A850" s="9">
        <v>45653</v>
      </c>
      <c r="B850" s="8" t="s">
        <v>2886</v>
      </c>
      <c r="C850" s="13">
        <v>5</v>
      </c>
      <c r="D850" s="8" t="s">
        <v>536</v>
      </c>
      <c r="E850" s="8" t="s">
        <v>492</v>
      </c>
      <c r="F850" s="8" t="s">
        <v>1058</v>
      </c>
      <c r="G850" s="13">
        <v>0.96</v>
      </c>
      <c r="H850" s="13">
        <v>3.5</v>
      </c>
      <c r="I850" s="13" t="s">
        <v>1744</v>
      </c>
      <c r="J850" s="13">
        <v>1.87</v>
      </c>
      <c r="K850" s="8" t="s">
        <v>74</v>
      </c>
    </row>
    <row r="851" spans="1:11">
      <c r="A851" s="14"/>
      <c r="B851" s="8"/>
      <c r="C851" s="8"/>
      <c r="D851" s="8"/>
      <c r="E851" s="8"/>
      <c r="F851" s="8" t="s">
        <v>1059</v>
      </c>
      <c r="G851" s="13">
        <v>1.21</v>
      </c>
      <c r="H851" s="13">
        <v>1</v>
      </c>
      <c r="I851" s="13" t="s">
        <v>1744</v>
      </c>
      <c r="J851" s="13">
        <v>1.89</v>
      </c>
      <c r="K851" s="8"/>
    </row>
    <row r="852" spans="1:11">
      <c r="A852" s="14"/>
      <c r="B852" s="8"/>
      <c r="C852" s="8"/>
      <c r="D852" s="8"/>
      <c r="E852" s="8"/>
      <c r="F852" s="8" t="s">
        <v>1060</v>
      </c>
      <c r="G852" s="13">
        <v>1.21</v>
      </c>
      <c r="H852" s="13">
        <v>0.15</v>
      </c>
      <c r="I852" s="13" t="s">
        <v>1745</v>
      </c>
      <c r="J852" s="13">
        <v>2.2</v>
      </c>
      <c r="K852" s="8"/>
    </row>
    <row r="853" spans="1:11">
      <c r="A853" s="14"/>
      <c r="B853" s="8"/>
      <c r="C853" s="8"/>
      <c r="D853" s="8"/>
      <c r="E853" s="8"/>
      <c r="F853" s="8" t="s">
        <v>503</v>
      </c>
      <c r="G853" s="13">
        <v>1.71</v>
      </c>
      <c r="H853" s="13">
        <v>0.35</v>
      </c>
      <c r="I853" s="8" t="s">
        <v>24</v>
      </c>
      <c r="J853" s="8" t="s">
        <v>24</v>
      </c>
      <c r="K853" s="8"/>
    </row>
    <row r="854" spans="1:11">
      <c r="A854" s="9">
        <v>45652</v>
      </c>
      <c r="B854" s="8" t="s">
        <v>2887</v>
      </c>
      <c r="C854" s="13">
        <v>10</v>
      </c>
      <c r="D854" s="8" t="s">
        <v>481</v>
      </c>
      <c r="E854" s="8" t="s">
        <v>492</v>
      </c>
      <c r="F854" s="8" t="s">
        <v>1064</v>
      </c>
      <c r="G854" s="13">
        <v>1</v>
      </c>
      <c r="H854" s="13">
        <v>8.9</v>
      </c>
      <c r="I854" s="13" t="s">
        <v>1744</v>
      </c>
      <c r="J854" s="13">
        <v>1.86</v>
      </c>
      <c r="K854" s="8" t="s">
        <v>129</v>
      </c>
    </row>
    <row r="855" spans="1:11">
      <c r="A855" s="14"/>
      <c r="B855" s="8"/>
      <c r="C855" s="8"/>
      <c r="D855" s="8"/>
      <c r="E855" s="8"/>
      <c r="F855" s="8" t="s">
        <v>1060</v>
      </c>
      <c r="G855" s="13">
        <v>1.17</v>
      </c>
      <c r="H855" s="13">
        <v>0.5</v>
      </c>
      <c r="I855" s="13" t="s">
        <v>1745</v>
      </c>
      <c r="J855" s="13">
        <v>2.07</v>
      </c>
      <c r="K855" s="8"/>
    </row>
    <row r="856" spans="1:11">
      <c r="A856" s="14"/>
      <c r="B856" s="8"/>
      <c r="C856" s="8"/>
      <c r="D856" s="8"/>
      <c r="E856" s="8"/>
      <c r="F856" s="8" t="s">
        <v>503</v>
      </c>
      <c r="G856" s="13">
        <v>1.75</v>
      </c>
      <c r="H856" s="13">
        <v>0.6</v>
      </c>
      <c r="I856" s="8" t="s">
        <v>24</v>
      </c>
      <c r="J856" s="8" t="s">
        <v>24</v>
      </c>
      <c r="K856" s="8"/>
    </row>
    <row r="857" spans="1:11">
      <c r="A857" s="9">
        <v>45653</v>
      </c>
      <c r="B857" s="8" t="s">
        <v>2888</v>
      </c>
      <c r="C857" s="13">
        <v>10</v>
      </c>
      <c r="D857" s="8" t="s">
        <v>492</v>
      </c>
      <c r="E857" s="8" t="s">
        <v>492</v>
      </c>
      <c r="F857" s="8" t="s">
        <v>1064</v>
      </c>
      <c r="G857" s="13">
        <v>1</v>
      </c>
      <c r="H857" s="13">
        <v>8.9</v>
      </c>
      <c r="I857" s="13" t="s">
        <v>1744</v>
      </c>
      <c r="J857" s="13">
        <v>1.86</v>
      </c>
      <c r="K857" s="8" t="s">
        <v>129</v>
      </c>
    </row>
    <row r="858" spans="1:11">
      <c r="A858" s="14"/>
      <c r="B858" s="8"/>
      <c r="C858" s="8"/>
      <c r="D858" s="8"/>
      <c r="E858" s="8"/>
      <c r="F858" s="8" t="s">
        <v>1060</v>
      </c>
      <c r="G858" s="13">
        <v>1.17</v>
      </c>
      <c r="H858" s="13">
        <v>0.5</v>
      </c>
      <c r="I858" s="13" t="s">
        <v>1745</v>
      </c>
      <c r="J858" s="13">
        <v>2.07</v>
      </c>
      <c r="K858" s="8"/>
    </row>
    <row r="859" spans="1:11">
      <c r="A859" s="14"/>
      <c r="B859" s="8"/>
      <c r="C859" s="8"/>
      <c r="D859" s="8"/>
      <c r="E859" s="8"/>
      <c r="F859" s="8" t="s">
        <v>503</v>
      </c>
      <c r="G859" s="13">
        <v>1.75</v>
      </c>
      <c r="H859" s="13">
        <v>0.6</v>
      </c>
      <c r="I859" s="8" t="s">
        <v>24</v>
      </c>
      <c r="J859" s="8" t="s">
        <v>24</v>
      </c>
      <c r="K859" s="8"/>
    </row>
    <row r="860" spans="1:11">
      <c r="A860" s="9">
        <v>45659</v>
      </c>
      <c r="B860" s="8" t="s">
        <v>2889</v>
      </c>
      <c r="C860" s="13">
        <v>6</v>
      </c>
      <c r="D860" s="8" t="s">
        <v>486</v>
      </c>
      <c r="E860" s="8" t="s">
        <v>492</v>
      </c>
      <c r="F860" s="8" t="s">
        <v>1064</v>
      </c>
      <c r="G860" s="8" t="s">
        <v>2020</v>
      </c>
      <c r="H860" s="13">
        <v>5.28</v>
      </c>
      <c r="I860" s="13" t="s">
        <v>1744</v>
      </c>
      <c r="J860" s="13">
        <v>1.87</v>
      </c>
      <c r="K860" s="8" t="s">
        <v>86</v>
      </c>
    </row>
    <row r="861" spans="1:11">
      <c r="A861" s="14"/>
      <c r="B861" s="8"/>
      <c r="C861" s="8"/>
      <c r="D861" s="8"/>
      <c r="E861" s="8"/>
      <c r="F861" s="8" t="s">
        <v>1060</v>
      </c>
      <c r="G861" s="8" t="s">
        <v>2020</v>
      </c>
      <c r="H861" s="13">
        <v>0.36</v>
      </c>
      <c r="I861" s="13" t="s">
        <v>1745</v>
      </c>
      <c r="J861" s="13">
        <v>2.2</v>
      </c>
      <c r="K861" s="8"/>
    </row>
    <row r="862" spans="1:11">
      <c r="A862" s="14"/>
      <c r="B862" s="8"/>
      <c r="C862" s="8"/>
      <c r="D862" s="8"/>
      <c r="E862" s="8"/>
      <c r="F862" s="8" t="s">
        <v>503</v>
      </c>
      <c r="G862" s="8" t="s">
        <v>2020</v>
      </c>
      <c r="H862" s="13">
        <v>0.36</v>
      </c>
      <c r="I862" s="8" t="s">
        <v>24</v>
      </c>
      <c r="J862" s="8" t="s">
        <v>24</v>
      </c>
      <c r="K862" s="8"/>
    </row>
    <row r="863" spans="1:11">
      <c r="A863" s="9">
        <v>45663</v>
      </c>
      <c r="B863" s="8" t="s">
        <v>2890</v>
      </c>
      <c r="C863" s="13">
        <v>8</v>
      </c>
      <c r="D863" s="8" t="s">
        <v>492</v>
      </c>
      <c r="E863" s="8" t="s">
        <v>486</v>
      </c>
      <c r="F863" s="8" t="s">
        <v>1064</v>
      </c>
      <c r="G863" s="8" t="s">
        <v>2020</v>
      </c>
      <c r="H863" s="13">
        <v>7.04</v>
      </c>
      <c r="I863" s="13" t="s">
        <v>1744</v>
      </c>
      <c r="J863" s="13">
        <v>1.87</v>
      </c>
      <c r="K863" s="8" t="s">
        <v>86</v>
      </c>
    </row>
    <row r="864" spans="1:11">
      <c r="A864" s="14"/>
      <c r="B864" s="8"/>
      <c r="C864" s="8"/>
      <c r="D864" s="8"/>
      <c r="E864" s="8"/>
      <c r="F864" s="8" t="s">
        <v>1060</v>
      </c>
      <c r="G864" s="8" t="s">
        <v>2020</v>
      </c>
      <c r="H864" s="13">
        <v>0.48</v>
      </c>
      <c r="I864" s="13" t="s">
        <v>1745</v>
      </c>
      <c r="J864" s="13">
        <v>2.2</v>
      </c>
      <c r="K864" s="8"/>
    </row>
    <row r="865" spans="1:11">
      <c r="A865" s="14"/>
      <c r="B865" s="8"/>
      <c r="C865" s="8"/>
      <c r="D865" s="8"/>
      <c r="E865" s="8"/>
      <c r="F865" s="8" t="s">
        <v>503</v>
      </c>
      <c r="G865" s="8" t="s">
        <v>2020</v>
      </c>
      <c r="H865" s="13">
        <v>0.48</v>
      </c>
      <c r="I865" s="8" t="s">
        <v>24</v>
      </c>
      <c r="J865" s="8" t="s">
        <v>24</v>
      </c>
      <c r="K865" s="8"/>
    </row>
  </sheetData>
  <autoFilter xmlns:etc="http://www.wps.cn/officeDocument/2017/etCustomData" ref="A1:K865" etc:filterBottomFollowUsedRange="0">
    <extLst/>
  </autoFilter>
  <mergeCells count="1512">
    <mergeCell ref="A2:A5"/>
    <mergeCell ref="A6:A8"/>
    <mergeCell ref="A9:A11"/>
    <mergeCell ref="A12:A14"/>
    <mergeCell ref="A15:A18"/>
    <mergeCell ref="A19:A22"/>
    <mergeCell ref="A23:A26"/>
    <mergeCell ref="A27:A30"/>
    <mergeCell ref="A31:A33"/>
    <mergeCell ref="A34:A36"/>
    <mergeCell ref="A37:A39"/>
    <mergeCell ref="A40:A43"/>
    <mergeCell ref="A44:A46"/>
    <mergeCell ref="A47:A50"/>
    <mergeCell ref="A51:A53"/>
    <mergeCell ref="A54:A56"/>
    <mergeCell ref="A57:A59"/>
    <mergeCell ref="A60:A62"/>
    <mergeCell ref="A63:A65"/>
    <mergeCell ref="A66:A68"/>
    <mergeCell ref="A69:A72"/>
    <mergeCell ref="A73:A75"/>
    <mergeCell ref="A76:A78"/>
    <mergeCell ref="A79:A81"/>
    <mergeCell ref="A82:A84"/>
    <mergeCell ref="A85:A88"/>
    <mergeCell ref="A89:A92"/>
    <mergeCell ref="A93:A95"/>
    <mergeCell ref="A96:A98"/>
    <mergeCell ref="A99:A101"/>
    <mergeCell ref="A102:A104"/>
    <mergeCell ref="A105:A107"/>
    <mergeCell ref="A108:A110"/>
    <mergeCell ref="A111:A114"/>
    <mergeCell ref="A115:A117"/>
    <mergeCell ref="A118:A120"/>
    <mergeCell ref="A121:A124"/>
    <mergeCell ref="A125:A127"/>
    <mergeCell ref="A128:A130"/>
    <mergeCell ref="A131:A133"/>
    <mergeCell ref="A134:A137"/>
    <mergeCell ref="A138:A140"/>
    <mergeCell ref="A141:A143"/>
    <mergeCell ref="A144:A146"/>
    <mergeCell ref="A147:A149"/>
    <mergeCell ref="A150:A152"/>
    <mergeCell ref="A153:A155"/>
    <mergeCell ref="A156:A159"/>
    <mergeCell ref="A160:A162"/>
    <mergeCell ref="A163:A165"/>
    <mergeCell ref="A166:A168"/>
    <mergeCell ref="A169:A171"/>
    <mergeCell ref="A172:A175"/>
    <mergeCell ref="A176:A178"/>
    <mergeCell ref="A179:A182"/>
    <mergeCell ref="A183:A186"/>
    <mergeCell ref="A187:A189"/>
    <mergeCell ref="A190:A192"/>
    <mergeCell ref="A193:A195"/>
    <mergeCell ref="A196:A198"/>
    <mergeCell ref="A199:A202"/>
    <mergeCell ref="A203:A206"/>
    <mergeCell ref="A207:A210"/>
    <mergeCell ref="A211:A213"/>
    <mergeCell ref="A214:A216"/>
    <mergeCell ref="A217:A219"/>
    <mergeCell ref="A220:A223"/>
    <mergeCell ref="A224:A226"/>
    <mergeCell ref="A227:A229"/>
    <mergeCell ref="A230:A232"/>
    <mergeCell ref="A233:A235"/>
    <mergeCell ref="A236:A238"/>
    <mergeCell ref="A239:A241"/>
    <mergeCell ref="A242:A245"/>
    <mergeCell ref="A246:A248"/>
    <mergeCell ref="A249:A251"/>
    <mergeCell ref="A252:A255"/>
    <mergeCell ref="A256:A258"/>
    <mergeCell ref="A259:A261"/>
    <mergeCell ref="A262:A265"/>
    <mergeCell ref="A266:A269"/>
    <mergeCell ref="A270:A272"/>
    <mergeCell ref="A273:A275"/>
    <mergeCell ref="A276:A278"/>
    <mergeCell ref="A279:A281"/>
    <mergeCell ref="A282:A285"/>
    <mergeCell ref="A286:A288"/>
    <mergeCell ref="A289:A292"/>
    <mergeCell ref="A293:A295"/>
    <mergeCell ref="A296:A298"/>
    <mergeCell ref="A299:A302"/>
    <mergeCell ref="A303:A305"/>
    <mergeCell ref="A306:A309"/>
    <mergeCell ref="A310:A312"/>
    <mergeCell ref="A313:A315"/>
    <mergeCell ref="A316:A318"/>
    <mergeCell ref="A319:A322"/>
    <mergeCell ref="A323:A325"/>
    <mergeCell ref="A326:A329"/>
    <mergeCell ref="A330:A332"/>
    <mergeCell ref="A333:A336"/>
    <mergeCell ref="A337:A339"/>
    <mergeCell ref="A340:A343"/>
    <mergeCell ref="A344:A346"/>
    <mergeCell ref="A347:A349"/>
    <mergeCell ref="A350:A353"/>
    <mergeCell ref="A354:A356"/>
    <mergeCell ref="A357:A360"/>
    <mergeCell ref="A361:A363"/>
    <mergeCell ref="A364:A366"/>
    <mergeCell ref="A367:A369"/>
    <mergeCell ref="A370:A372"/>
    <mergeCell ref="A373:A376"/>
    <mergeCell ref="A377:A379"/>
    <mergeCell ref="A380:A382"/>
    <mergeCell ref="A383:A386"/>
    <mergeCell ref="A387:A390"/>
    <mergeCell ref="A391:A393"/>
    <mergeCell ref="A394:A397"/>
    <mergeCell ref="A398:A400"/>
    <mergeCell ref="A401:A403"/>
    <mergeCell ref="A404:A406"/>
    <mergeCell ref="A407:A410"/>
    <mergeCell ref="A411:A414"/>
    <mergeCell ref="A415:A417"/>
    <mergeCell ref="A418:A420"/>
    <mergeCell ref="A421:A423"/>
    <mergeCell ref="A424:A426"/>
    <mergeCell ref="A427:A429"/>
    <mergeCell ref="A430:A433"/>
    <mergeCell ref="A434:A436"/>
    <mergeCell ref="A437:A439"/>
    <mergeCell ref="A440:A443"/>
    <mergeCell ref="A444:A446"/>
    <mergeCell ref="A447:A450"/>
    <mergeCell ref="A451:A454"/>
    <mergeCell ref="A455:A457"/>
    <mergeCell ref="A458:A460"/>
    <mergeCell ref="A461:A463"/>
    <mergeCell ref="A464:A466"/>
    <mergeCell ref="A467:A470"/>
    <mergeCell ref="A471:A473"/>
    <mergeCell ref="A474:A476"/>
    <mergeCell ref="A477:A481"/>
    <mergeCell ref="A482:A485"/>
    <mergeCell ref="A486:A489"/>
    <mergeCell ref="A490:A492"/>
    <mergeCell ref="A493:A495"/>
    <mergeCell ref="A496:A499"/>
    <mergeCell ref="A500:A502"/>
    <mergeCell ref="A503:A506"/>
    <mergeCell ref="A507:A509"/>
    <mergeCell ref="A510:A513"/>
    <mergeCell ref="A514:A517"/>
    <mergeCell ref="A518:A521"/>
    <mergeCell ref="A522:A525"/>
    <mergeCell ref="A526:A529"/>
    <mergeCell ref="A530:A532"/>
    <mergeCell ref="A533:A536"/>
    <mergeCell ref="A537:A540"/>
    <mergeCell ref="A541:A544"/>
    <mergeCell ref="A545:A548"/>
    <mergeCell ref="A549:A551"/>
    <mergeCell ref="A552:A555"/>
    <mergeCell ref="A556:A558"/>
    <mergeCell ref="A559:A561"/>
    <mergeCell ref="A562:A565"/>
    <mergeCell ref="A566:A568"/>
    <mergeCell ref="A569:A572"/>
    <mergeCell ref="A573:A575"/>
    <mergeCell ref="A576:A578"/>
    <mergeCell ref="A579:A581"/>
    <mergeCell ref="A582:A585"/>
    <mergeCell ref="A586:A589"/>
    <mergeCell ref="A590:A592"/>
    <mergeCell ref="A593:A596"/>
    <mergeCell ref="A597:A599"/>
    <mergeCell ref="A600:A602"/>
    <mergeCell ref="A603:A606"/>
    <mergeCell ref="A607:A610"/>
    <mergeCell ref="A611:A614"/>
    <mergeCell ref="A615:A618"/>
    <mergeCell ref="A619:A621"/>
    <mergeCell ref="A622:A624"/>
    <mergeCell ref="A625:A628"/>
    <mergeCell ref="A629:A632"/>
    <mergeCell ref="A633:A636"/>
    <mergeCell ref="A637:A639"/>
    <mergeCell ref="A640:A642"/>
    <mergeCell ref="A643:A646"/>
    <mergeCell ref="A647:A650"/>
    <mergeCell ref="A651:A654"/>
    <mergeCell ref="A655:A657"/>
    <mergeCell ref="A658:A661"/>
    <mergeCell ref="A662:A665"/>
    <mergeCell ref="A666:A669"/>
    <mergeCell ref="A670:A673"/>
    <mergeCell ref="A674:A676"/>
    <mergeCell ref="A677:A679"/>
    <mergeCell ref="A680:A683"/>
    <mergeCell ref="A684:A687"/>
    <mergeCell ref="A688:A690"/>
    <mergeCell ref="A691:A695"/>
    <mergeCell ref="A696:A698"/>
    <mergeCell ref="A699:A702"/>
    <mergeCell ref="A703:A705"/>
    <mergeCell ref="A706:A709"/>
    <mergeCell ref="A710:A712"/>
    <mergeCell ref="A713:A715"/>
    <mergeCell ref="A716:A718"/>
    <mergeCell ref="A719:A722"/>
    <mergeCell ref="A723:A725"/>
    <mergeCell ref="A726:A729"/>
    <mergeCell ref="A730:A732"/>
    <mergeCell ref="A733:A735"/>
    <mergeCell ref="A736:A739"/>
    <mergeCell ref="A740:A742"/>
    <mergeCell ref="A743:A745"/>
    <mergeCell ref="A746:A749"/>
    <mergeCell ref="A750:A752"/>
    <mergeCell ref="A753:A755"/>
    <mergeCell ref="A756:A759"/>
    <mergeCell ref="A760:A763"/>
    <mergeCell ref="A764:A766"/>
    <mergeCell ref="A767:A770"/>
    <mergeCell ref="A771:A774"/>
    <mergeCell ref="A775:A778"/>
    <mergeCell ref="A779:A783"/>
    <mergeCell ref="A784:A786"/>
    <mergeCell ref="A787:A790"/>
    <mergeCell ref="A791:A793"/>
    <mergeCell ref="A794:A797"/>
    <mergeCell ref="A798:A801"/>
    <mergeCell ref="A802:A805"/>
    <mergeCell ref="A806:A808"/>
    <mergeCell ref="A809:A811"/>
    <mergeCell ref="A812:A814"/>
    <mergeCell ref="A815:A818"/>
    <mergeCell ref="A819:A821"/>
    <mergeCell ref="A822:A824"/>
    <mergeCell ref="A825:A828"/>
    <mergeCell ref="A829:A831"/>
    <mergeCell ref="A832:A834"/>
    <mergeCell ref="A835:A838"/>
    <mergeCell ref="A839:A842"/>
    <mergeCell ref="A843:A845"/>
    <mergeCell ref="A846:A849"/>
    <mergeCell ref="A850:A853"/>
    <mergeCell ref="A854:A856"/>
    <mergeCell ref="A857:A859"/>
    <mergeCell ref="A860:A862"/>
    <mergeCell ref="A863:A865"/>
    <mergeCell ref="B2:B5"/>
    <mergeCell ref="B6:B8"/>
    <mergeCell ref="B9:B11"/>
    <mergeCell ref="B12:B14"/>
    <mergeCell ref="B15:B18"/>
    <mergeCell ref="B19:B22"/>
    <mergeCell ref="B23:B26"/>
    <mergeCell ref="B27:B30"/>
    <mergeCell ref="B31:B33"/>
    <mergeCell ref="B34:B36"/>
    <mergeCell ref="B37:B39"/>
    <mergeCell ref="B40:B43"/>
    <mergeCell ref="B44:B46"/>
    <mergeCell ref="B47:B50"/>
    <mergeCell ref="B51:B53"/>
    <mergeCell ref="B54:B56"/>
    <mergeCell ref="B57:B59"/>
    <mergeCell ref="B60:B62"/>
    <mergeCell ref="B63:B65"/>
    <mergeCell ref="B66:B68"/>
    <mergeCell ref="B69:B72"/>
    <mergeCell ref="B73:B75"/>
    <mergeCell ref="B76:B78"/>
    <mergeCell ref="B79:B81"/>
    <mergeCell ref="B82:B84"/>
    <mergeCell ref="B85:B88"/>
    <mergeCell ref="B89:B92"/>
    <mergeCell ref="B93:B95"/>
    <mergeCell ref="B96:B98"/>
    <mergeCell ref="B99:B101"/>
    <mergeCell ref="B102:B104"/>
    <mergeCell ref="B105:B107"/>
    <mergeCell ref="B108:B110"/>
    <mergeCell ref="B111:B114"/>
    <mergeCell ref="B115:B117"/>
    <mergeCell ref="B118:B120"/>
    <mergeCell ref="B121:B124"/>
    <mergeCell ref="B125:B127"/>
    <mergeCell ref="B128:B130"/>
    <mergeCell ref="B131:B133"/>
    <mergeCell ref="B134:B137"/>
    <mergeCell ref="B138:B140"/>
    <mergeCell ref="B141:B143"/>
    <mergeCell ref="B144:B146"/>
    <mergeCell ref="B147:B149"/>
    <mergeCell ref="B150:B152"/>
    <mergeCell ref="B153:B155"/>
    <mergeCell ref="B156:B159"/>
    <mergeCell ref="B160:B162"/>
    <mergeCell ref="B163:B165"/>
    <mergeCell ref="B166:B168"/>
    <mergeCell ref="B169:B171"/>
    <mergeCell ref="B172:B175"/>
    <mergeCell ref="B176:B178"/>
    <mergeCell ref="B179:B182"/>
    <mergeCell ref="B183:B186"/>
    <mergeCell ref="B187:B189"/>
    <mergeCell ref="B190:B192"/>
    <mergeCell ref="B193:B195"/>
    <mergeCell ref="B196:B198"/>
    <mergeCell ref="B199:B202"/>
    <mergeCell ref="B203:B206"/>
    <mergeCell ref="B207:B210"/>
    <mergeCell ref="B211:B213"/>
    <mergeCell ref="B214:B216"/>
    <mergeCell ref="B217:B219"/>
    <mergeCell ref="B220:B223"/>
    <mergeCell ref="B224:B226"/>
    <mergeCell ref="B227:B229"/>
    <mergeCell ref="B230:B232"/>
    <mergeCell ref="B233:B235"/>
    <mergeCell ref="B236:B238"/>
    <mergeCell ref="B239:B241"/>
    <mergeCell ref="B242:B245"/>
    <mergeCell ref="B246:B248"/>
    <mergeCell ref="B249:B251"/>
    <mergeCell ref="B252:B255"/>
    <mergeCell ref="B256:B258"/>
    <mergeCell ref="B259:B261"/>
    <mergeCell ref="B262:B265"/>
    <mergeCell ref="B266:B269"/>
    <mergeCell ref="B270:B272"/>
    <mergeCell ref="B273:B275"/>
    <mergeCell ref="B276:B278"/>
    <mergeCell ref="B279:B281"/>
    <mergeCell ref="B282:B285"/>
    <mergeCell ref="B286:B288"/>
    <mergeCell ref="B289:B292"/>
    <mergeCell ref="B293:B295"/>
    <mergeCell ref="B296:B298"/>
    <mergeCell ref="B299:B302"/>
    <mergeCell ref="B303:B305"/>
    <mergeCell ref="B306:B309"/>
    <mergeCell ref="B310:B312"/>
    <mergeCell ref="B313:B315"/>
    <mergeCell ref="B316:B318"/>
    <mergeCell ref="B319:B322"/>
    <mergeCell ref="B323:B325"/>
    <mergeCell ref="B326:B329"/>
    <mergeCell ref="B330:B332"/>
    <mergeCell ref="B333:B336"/>
    <mergeCell ref="B337:B339"/>
    <mergeCell ref="B340:B343"/>
    <mergeCell ref="B344:B346"/>
    <mergeCell ref="B347:B349"/>
    <mergeCell ref="B350:B353"/>
    <mergeCell ref="B354:B356"/>
    <mergeCell ref="B357:B360"/>
    <mergeCell ref="B361:B363"/>
    <mergeCell ref="B364:B366"/>
    <mergeCell ref="B367:B369"/>
    <mergeCell ref="B370:B372"/>
    <mergeCell ref="B373:B376"/>
    <mergeCell ref="B377:B379"/>
    <mergeCell ref="B380:B382"/>
    <mergeCell ref="B383:B386"/>
    <mergeCell ref="B387:B390"/>
    <mergeCell ref="B391:B393"/>
    <mergeCell ref="B394:B397"/>
    <mergeCell ref="B398:B400"/>
    <mergeCell ref="B401:B403"/>
    <mergeCell ref="B404:B406"/>
    <mergeCell ref="B407:B410"/>
    <mergeCell ref="B411:B414"/>
    <mergeCell ref="B415:B417"/>
    <mergeCell ref="B418:B420"/>
    <mergeCell ref="B421:B423"/>
    <mergeCell ref="B424:B426"/>
    <mergeCell ref="B427:B429"/>
    <mergeCell ref="B430:B433"/>
    <mergeCell ref="B434:B436"/>
    <mergeCell ref="B437:B439"/>
    <mergeCell ref="B440:B443"/>
    <mergeCell ref="B444:B446"/>
    <mergeCell ref="B447:B450"/>
    <mergeCell ref="B451:B454"/>
    <mergeCell ref="B455:B457"/>
    <mergeCell ref="B458:B460"/>
    <mergeCell ref="B461:B463"/>
    <mergeCell ref="B464:B466"/>
    <mergeCell ref="B467:B470"/>
    <mergeCell ref="B471:B473"/>
    <mergeCell ref="B474:B476"/>
    <mergeCell ref="B477:B481"/>
    <mergeCell ref="B482:B485"/>
    <mergeCell ref="B486:B489"/>
    <mergeCell ref="B490:B492"/>
    <mergeCell ref="B493:B495"/>
    <mergeCell ref="B496:B499"/>
    <mergeCell ref="B500:B502"/>
    <mergeCell ref="B503:B506"/>
    <mergeCell ref="B507:B509"/>
    <mergeCell ref="B510:B513"/>
    <mergeCell ref="B514:B517"/>
    <mergeCell ref="B518:B521"/>
    <mergeCell ref="B522:B525"/>
    <mergeCell ref="B526:B529"/>
    <mergeCell ref="B530:B532"/>
    <mergeCell ref="B533:B536"/>
    <mergeCell ref="B537:B540"/>
    <mergeCell ref="B541:B544"/>
    <mergeCell ref="B545:B548"/>
    <mergeCell ref="B549:B551"/>
    <mergeCell ref="B552:B555"/>
    <mergeCell ref="B556:B558"/>
    <mergeCell ref="B559:B561"/>
    <mergeCell ref="B562:B565"/>
    <mergeCell ref="B566:B568"/>
    <mergeCell ref="B569:B572"/>
    <mergeCell ref="B573:B575"/>
    <mergeCell ref="B576:B578"/>
    <mergeCell ref="B579:B581"/>
    <mergeCell ref="B582:B585"/>
    <mergeCell ref="B586:B589"/>
    <mergeCell ref="B590:B592"/>
    <mergeCell ref="B593:B596"/>
    <mergeCell ref="B597:B599"/>
    <mergeCell ref="B600:B602"/>
    <mergeCell ref="B603:B606"/>
    <mergeCell ref="B607:B610"/>
    <mergeCell ref="B611:B614"/>
    <mergeCell ref="B615:B618"/>
    <mergeCell ref="B619:B621"/>
    <mergeCell ref="B622:B624"/>
    <mergeCell ref="B625:B628"/>
    <mergeCell ref="B629:B632"/>
    <mergeCell ref="B633:B636"/>
    <mergeCell ref="B637:B639"/>
    <mergeCell ref="B640:B642"/>
    <mergeCell ref="B643:B646"/>
    <mergeCell ref="B647:B650"/>
    <mergeCell ref="B651:B654"/>
    <mergeCell ref="B655:B657"/>
    <mergeCell ref="B658:B661"/>
    <mergeCell ref="B662:B665"/>
    <mergeCell ref="B666:B669"/>
    <mergeCell ref="B670:B673"/>
    <mergeCell ref="B674:B676"/>
    <mergeCell ref="B677:B679"/>
    <mergeCell ref="B680:B683"/>
    <mergeCell ref="B684:B687"/>
    <mergeCell ref="B688:B690"/>
    <mergeCell ref="B691:B695"/>
    <mergeCell ref="B696:B698"/>
    <mergeCell ref="B699:B702"/>
    <mergeCell ref="B703:B705"/>
    <mergeCell ref="B706:B709"/>
    <mergeCell ref="B710:B712"/>
    <mergeCell ref="B713:B715"/>
    <mergeCell ref="B716:B718"/>
    <mergeCell ref="B719:B722"/>
    <mergeCell ref="B723:B725"/>
    <mergeCell ref="B726:B729"/>
    <mergeCell ref="B730:B732"/>
    <mergeCell ref="B733:B735"/>
    <mergeCell ref="B736:B739"/>
    <mergeCell ref="B740:B742"/>
    <mergeCell ref="B743:B745"/>
    <mergeCell ref="B746:B749"/>
    <mergeCell ref="B750:B752"/>
    <mergeCell ref="B753:B755"/>
    <mergeCell ref="B756:B759"/>
    <mergeCell ref="B760:B763"/>
    <mergeCell ref="B764:B766"/>
    <mergeCell ref="B767:B770"/>
    <mergeCell ref="B771:B774"/>
    <mergeCell ref="B775:B778"/>
    <mergeCell ref="B779:B783"/>
    <mergeCell ref="B784:B786"/>
    <mergeCell ref="B787:B790"/>
    <mergeCell ref="B791:B793"/>
    <mergeCell ref="B794:B797"/>
    <mergeCell ref="B798:B801"/>
    <mergeCell ref="B802:B805"/>
    <mergeCell ref="B806:B808"/>
    <mergeCell ref="B809:B811"/>
    <mergeCell ref="B812:B814"/>
    <mergeCell ref="B815:B818"/>
    <mergeCell ref="B819:B821"/>
    <mergeCell ref="B822:B824"/>
    <mergeCell ref="B825:B828"/>
    <mergeCell ref="B829:B831"/>
    <mergeCell ref="B832:B834"/>
    <mergeCell ref="B835:B838"/>
    <mergeCell ref="B839:B842"/>
    <mergeCell ref="B843:B845"/>
    <mergeCell ref="B846:B849"/>
    <mergeCell ref="B850:B853"/>
    <mergeCell ref="B854:B856"/>
    <mergeCell ref="B857:B859"/>
    <mergeCell ref="B860:B862"/>
    <mergeCell ref="B863:B865"/>
    <mergeCell ref="C2:C5"/>
    <mergeCell ref="C6:C8"/>
    <mergeCell ref="C9:C11"/>
    <mergeCell ref="C12:C14"/>
    <mergeCell ref="C15:C18"/>
    <mergeCell ref="C19:C22"/>
    <mergeCell ref="C23:C26"/>
    <mergeCell ref="C27:C30"/>
    <mergeCell ref="C31:C33"/>
    <mergeCell ref="C34:C36"/>
    <mergeCell ref="C37:C39"/>
    <mergeCell ref="C40:C43"/>
    <mergeCell ref="C44:C46"/>
    <mergeCell ref="C47:C50"/>
    <mergeCell ref="C51:C53"/>
    <mergeCell ref="C54:C56"/>
    <mergeCell ref="C57:C59"/>
    <mergeCell ref="C60:C62"/>
    <mergeCell ref="C63:C65"/>
    <mergeCell ref="C66:C68"/>
    <mergeCell ref="C69:C72"/>
    <mergeCell ref="C73:C75"/>
    <mergeCell ref="C76:C78"/>
    <mergeCell ref="C79:C81"/>
    <mergeCell ref="C82:C84"/>
    <mergeCell ref="C85:C88"/>
    <mergeCell ref="C89:C92"/>
    <mergeCell ref="C93:C95"/>
    <mergeCell ref="C96:C98"/>
    <mergeCell ref="C99:C101"/>
    <mergeCell ref="C102:C104"/>
    <mergeCell ref="C105:C107"/>
    <mergeCell ref="C108:C110"/>
    <mergeCell ref="C111:C114"/>
    <mergeCell ref="C115:C117"/>
    <mergeCell ref="C118:C120"/>
    <mergeCell ref="C121:C124"/>
    <mergeCell ref="C125:C127"/>
    <mergeCell ref="C128:C130"/>
    <mergeCell ref="C131:C133"/>
    <mergeCell ref="C134:C137"/>
    <mergeCell ref="C138:C140"/>
    <mergeCell ref="C141:C143"/>
    <mergeCell ref="C144:C146"/>
    <mergeCell ref="C147:C149"/>
    <mergeCell ref="C150:C152"/>
    <mergeCell ref="C153:C155"/>
    <mergeCell ref="C156:C159"/>
    <mergeCell ref="C160:C162"/>
    <mergeCell ref="C163:C165"/>
    <mergeCell ref="C166:C168"/>
    <mergeCell ref="C169:C171"/>
    <mergeCell ref="C172:C175"/>
    <mergeCell ref="C176:C178"/>
    <mergeCell ref="C179:C182"/>
    <mergeCell ref="C183:C186"/>
    <mergeCell ref="C187:C189"/>
    <mergeCell ref="C190:C192"/>
    <mergeCell ref="C193:C195"/>
    <mergeCell ref="C196:C198"/>
    <mergeCell ref="C199:C202"/>
    <mergeCell ref="C203:C206"/>
    <mergeCell ref="C207:C210"/>
    <mergeCell ref="C211:C213"/>
    <mergeCell ref="C214:C216"/>
    <mergeCell ref="C217:C219"/>
    <mergeCell ref="C220:C223"/>
    <mergeCell ref="C224:C226"/>
    <mergeCell ref="C227:C229"/>
    <mergeCell ref="C230:C232"/>
    <mergeCell ref="C233:C235"/>
    <mergeCell ref="C236:C238"/>
    <mergeCell ref="C239:C241"/>
    <mergeCell ref="C242:C245"/>
    <mergeCell ref="C246:C248"/>
    <mergeCell ref="C249:C251"/>
    <mergeCell ref="C252:C255"/>
    <mergeCell ref="C256:C258"/>
    <mergeCell ref="C259:C261"/>
    <mergeCell ref="C262:C265"/>
    <mergeCell ref="C266:C269"/>
    <mergeCell ref="C270:C272"/>
    <mergeCell ref="C273:C275"/>
    <mergeCell ref="C276:C278"/>
    <mergeCell ref="C279:C281"/>
    <mergeCell ref="C282:C285"/>
    <mergeCell ref="C286:C288"/>
    <mergeCell ref="C289:C292"/>
    <mergeCell ref="C293:C295"/>
    <mergeCell ref="C296:C298"/>
    <mergeCell ref="C299:C302"/>
    <mergeCell ref="C303:C305"/>
    <mergeCell ref="C306:C309"/>
    <mergeCell ref="C310:C312"/>
    <mergeCell ref="C313:C315"/>
    <mergeCell ref="C316:C318"/>
    <mergeCell ref="C319:C322"/>
    <mergeCell ref="C323:C325"/>
    <mergeCell ref="C326:C329"/>
    <mergeCell ref="C330:C332"/>
    <mergeCell ref="C333:C336"/>
    <mergeCell ref="C337:C339"/>
    <mergeCell ref="C340:C343"/>
    <mergeCell ref="C344:C346"/>
    <mergeCell ref="C347:C349"/>
    <mergeCell ref="C350:C353"/>
    <mergeCell ref="C354:C356"/>
    <mergeCell ref="C357:C360"/>
    <mergeCell ref="C361:C363"/>
    <mergeCell ref="C364:C366"/>
    <mergeCell ref="C367:C369"/>
    <mergeCell ref="C370:C372"/>
    <mergeCell ref="C373:C376"/>
    <mergeCell ref="C377:C379"/>
    <mergeCell ref="C380:C382"/>
    <mergeCell ref="C383:C386"/>
    <mergeCell ref="C387:C390"/>
    <mergeCell ref="C391:C393"/>
    <mergeCell ref="C394:C397"/>
    <mergeCell ref="C398:C400"/>
    <mergeCell ref="C401:C403"/>
    <mergeCell ref="C404:C406"/>
    <mergeCell ref="C407:C410"/>
    <mergeCell ref="C411:C414"/>
    <mergeCell ref="C415:C417"/>
    <mergeCell ref="C418:C420"/>
    <mergeCell ref="C421:C423"/>
    <mergeCell ref="C424:C426"/>
    <mergeCell ref="C427:C429"/>
    <mergeCell ref="C430:C433"/>
    <mergeCell ref="C434:C436"/>
    <mergeCell ref="C437:C439"/>
    <mergeCell ref="C440:C443"/>
    <mergeCell ref="C444:C446"/>
    <mergeCell ref="C447:C450"/>
    <mergeCell ref="C451:C454"/>
    <mergeCell ref="C455:C457"/>
    <mergeCell ref="C458:C460"/>
    <mergeCell ref="C461:C463"/>
    <mergeCell ref="C464:C466"/>
    <mergeCell ref="C467:C470"/>
    <mergeCell ref="C471:C473"/>
    <mergeCell ref="C474:C476"/>
    <mergeCell ref="C477:C481"/>
    <mergeCell ref="C482:C485"/>
    <mergeCell ref="C486:C489"/>
    <mergeCell ref="C490:C492"/>
    <mergeCell ref="C493:C495"/>
    <mergeCell ref="C496:C499"/>
    <mergeCell ref="C500:C502"/>
    <mergeCell ref="C503:C506"/>
    <mergeCell ref="C507:C509"/>
    <mergeCell ref="C510:C513"/>
    <mergeCell ref="C514:C517"/>
    <mergeCell ref="C518:C521"/>
    <mergeCell ref="C522:C525"/>
    <mergeCell ref="C526:C529"/>
    <mergeCell ref="C530:C532"/>
    <mergeCell ref="C533:C536"/>
    <mergeCell ref="C537:C540"/>
    <mergeCell ref="C541:C544"/>
    <mergeCell ref="C545:C548"/>
    <mergeCell ref="C549:C551"/>
    <mergeCell ref="C552:C555"/>
    <mergeCell ref="C556:C558"/>
    <mergeCell ref="C559:C561"/>
    <mergeCell ref="C562:C565"/>
    <mergeCell ref="C566:C568"/>
    <mergeCell ref="C569:C572"/>
    <mergeCell ref="C573:C575"/>
    <mergeCell ref="C576:C578"/>
    <mergeCell ref="C579:C581"/>
    <mergeCell ref="C582:C585"/>
    <mergeCell ref="C586:C589"/>
    <mergeCell ref="C590:C592"/>
    <mergeCell ref="C593:C596"/>
    <mergeCell ref="C597:C599"/>
    <mergeCell ref="C600:C602"/>
    <mergeCell ref="C603:C606"/>
    <mergeCell ref="C607:C610"/>
    <mergeCell ref="C611:C614"/>
    <mergeCell ref="C615:C618"/>
    <mergeCell ref="C619:C621"/>
    <mergeCell ref="C622:C624"/>
    <mergeCell ref="C625:C628"/>
    <mergeCell ref="C629:C632"/>
    <mergeCell ref="C633:C636"/>
    <mergeCell ref="C637:C639"/>
    <mergeCell ref="C640:C642"/>
    <mergeCell ref="C643:C646"/>
    <mergeCell ref="C647:C650"/>
    <mergeCell ref="C651:C654"/>
    <mergeCell ref="C655:C657"/>
    <mergeCell ref="C658:C661"/>
    <mergeCell ref="C662:C665"/>
    <mergeCell ref="C666:C669"/>
    <mergeCell ref="C670:C673"/>
    <mergeCell ref="C674:C676"/>
    <mergeCell ref="C677:C679"/>
    <mergeCell ref="C680:C683"/>
    <mergeCell ref="C684:C687"/>
    <mergeCell ref="C688:C690"/>
    <mergeCell ref="C691:C695"/>
    <mergeCell ref="C696:C698"/>
    <mergeCell ref="C699:C702"/>
    <mergeCell ref="C703:C705"/>
    <mergeCell ref="C706:C709"/>
    <mergeCell ref="C710:C712"/>
    <mergeCell ref="C713:C715"/>
    <mergeCell ref="C716:C718"/>
    <mergeCell ref="C719:C722"/>
    <mergeCell ref="C723:C725"/>
    <mergeCell ref="C726:C729"/>
    <mergeCell ref="C730:C732"/>
    <mergeCell ref="C733:C735"/>
    <mergeCell ref="C736:C739"/>
    <mergeCell ref="C740:C742"/>
    <mergeCell ref="C743:C745"/>
    <mergeCell ref="C746:C749"/>
    <mergeCell ref="C750:C752"/>
    <mergeCell ref="C753:C755"/>
    <mergeCell ref="C756:C759"/>
    <mergeCell ref="C760:C763"/>
    <mergeCell ref="C764:C766"/>
    <mergeCell ref="C767:C770"/>
    <mergeCell ref="C771:C774"/>
    <mergeCell ref="C775:C778"/>
    <mergeCell ref="C779:C783"/>
    <mergeCell ref="C784:C786"/>
    <mergeCell ref="C787:C790"/>
    <mergeCell ref="C791:C793"/>
    <mergeCell ref="C794:C797"/>
    <mergeCell ref="C798:C801"/>
    <mergeCell ref="C802:C805"/>
    <mergeCell ref="C806:C808"/>
    <mergeCell ref="C809:C811"/>
    <mergeCell ref="C812:C814"/>
    <mergeCell ref="C815:C818"/>
    <mergeCell ref="C819:C821"/>
    <mergeCell ref="C822:C824"/>
    <mergeCell ref="C825:C828"/>
    <mergeCell ref="C829:C831"/>
    <mergeCell ref="C832:C834"/>
    <mergeCell ref="C835:C838"/>
    <mergeCell ref="C839:C842"/>
    <mergeCell ref="C843:C845"/>
    <mergeCell ref="C846:C849"/>
    <mergeCell ref="C850:C853"/>
    <mergeCell ref="C854:C856"/>
    <mergeCell ref="C857:C859"/>
    <mergeCell ref="C860:C862"/>
    <mergeCell ref="C863:C865"/>
    <mergeCell ref="D2:D5"/>
    <mergeCell ref="D6:D8"/>
    <mergeCell ref="D9:D11"/>
    <mergeCell ref="D12:D14"/>
    <mergeCell ref="D15:D18"/>
    <mergeCell ref="D19:D22"/>
    <mergeCell ref="D23:D26"/>
    <mergeCell ref="D27:D30"/>
    <mergeCell ref="D31:D33"/>
    <mergeCell ref="D34:D36"/>
    <mergeCell ref="D37:D39"/>
    <mergeCell ref="D40:D43"/>
    <mergeCell ref="D44:D46"/>
    <mergeCell ref="D47:D50"/>
    <mergeCell ref="D51:D53"/>
    <mergeCell ref="D54:D56"/>
    <mergeCell ref="D57:D59"/>
    <mergeCell ref="D60:D62"/>
    <mergeCell ref="D63:D65"/>
    <mergeCell ref="D66:D68"/>
    <mergeCell ref="D69:D72"/>
    <mergeCell ref="D73:D75"/>
    <mergeCell ref="D76:D78"/>
    <mergeCell ref="D79:D81"/>
    <mergeCell ref="D82:D84"/>
    <mergeCell ref="D85:D88"/>
    <mergeCell ref="D89:D92"/>
    <mergeCell ref="D93:D95"/>
    <mergeCell ref="D96:D98"/>
    <mergeCell ref="D99:D101"/>
    <mergeCell ref="D102:D104"/>
    <mergeCell ref="D105:D107"/>
    <mergeCell ref="D108:D110"/>
    <mergeCell ref="D111:D114"/>
    <mergeCell ref="D115:D117"/>
    <mergeCell ref="D118:D120"/>
    <mergeCell ref="D121:D124"/>
    <mergeCell ref="D125:D127"/>
    <mergeCell ref="D128:D130"/>
    <mergeCell ref="D131:D133"/>
    <mergeCell ref="D134:D137"/>
    <mergeCell ref="D138:D140"/>
    <mergeCell ref="D141:D143"/>
    <mergeCell ref="D144:D146"/>
    <mergeCell ref="D147:D149"/>
    <mergeCell ref="D150:D152"/>
    <mergeCell ref="D153:D155"/>
    <mergeCell ref="D156:D159"/>
    <mergeCell ref="D160:D162"/>
    <mergeCell ref="D163:D165"/>
    <mergeCell ref="D166:D168"/>
    <mergeCell ref="D169:D171"/>
    <mergeCell ref="D172:D175"/>
    <mergeCell ref="D176:D178"/>
    <mergeCell ref="D179:D182"/>
    <mergeCell ref="D183:D186"/>
    <mergeCell ref="D187:D189"/>
    <mergeCell ref="D190:D192"/>
    <mergeCell ref="D193:D195"/>
    <mergeCell ref="D196:D198"/>
    <mergeCell ref="D199:D202"/>
    <mergeCell ref="D203:D206"/>
    <mergeCell ref="D207:D210"/>
    <mergeCell ref="D211:D213"/>
    <mergeCell ref="D214:D216"/>
    <mergeCell ref="D217:D219"/>
    <mergeCell ref="D220:D223"/>
    <mergeCell ref="D224:D226"/>
    <mergeCell ref="D227:D229"/>
    <mergeCell ref="D230:D232"/>
    <mergeCell ref="D233:D235"/>
    <mergeCell ref="D236:D238"/>
    <mergeCell ref="D239:D241"/>
    <mergeCell ref="D242:D245"/>
    <mergeCell ref="D246:D248"/>
    <mergeCell ref="D249:D251"/>
    <mergeCell ref="D252:D255"/>
    <mergeCell ref="D256:D258"/>
    <mergeCell ref="D259:D261"/>
    <mergeCell ref="D262:D265"/>
    <mergeCell ref="D266:D269"/>
    <mergeCell ref="D270:D272"/>
    <mergeCell ref="D273:D275"/>
    <mergeCell ref="D276:D278"/>
    <mergeCell ref="D279:D281"/>
    <mergeCell ref="D282:D285"/>
    <mergeCell ref="D286:D288"/>
    <mergeCell ref="D289:D292"/>
    <mergeCell ref="D293:D295"/>
    <mergeCell ref="D296:D298"/>
    <mergeCell ref="D299:D302"/>
    <mergeCell ref="D303:D305"/>
    <mergeCell ref="D306:D309"/>
    <mergeCell ref="D310:D312"/>
    <mergeCell ref="D313:D315"/>
    <mergeCell ref="D316:D318"/>
    <mergeCell ref="D319:D322"/>
    <mergeCell ref="D323:D325"/>
    <mergeCell ref="D326:D329"/>
    <mergeCell ref="D330:D332"/>
    <mergeCell ref="D333:D336"/>
    <mergeCell ref="D337:D339"/>
    <mergeCell ref="D340:D343"/>
    <mergeCell ref="D344:D346"/>
    <mergeCell ref="D347:D349"/>
    <mergeCell ref="D350:D353"/>
    <mergeCell ref="D354:D356"/>
    <mergeCell ref="D357:D360"/>
    <mergeCell ref="D361:D363"/>
    <mergeCell ref="D364:D366"/>
    <mergeCell ref="D367:D369"/>
    <mergeCell ref="D370:D372"/>
    <mergeCell ref="D373:D376"/>
    <mergeCell ref="D377:D379"/>
    <mergeCell ref="D380:D382"/>
    <mergeCell ref="D383:D386"/>
    <mergeCell ref="D387:D390"/>
    <mergeCell ref="D391:D393"/>
    <mergeCell ref="D394:D397"/>
    <mergeCell ref="D398:D400"/>
    <mergeCell ref="D401:D403"/>
    <mergeCell ref="D404:D406"/>
    <mergeCell ref="D407:D410"/>
    <mergeCell ref="D411:D414"/>
    <mergeCell ref="D415:D417"/>
    <mergeCell ref="D418:D420"/>
    <mergeCell ref="D421:D423"/>
    <mergeCell ref="D424:D426"/>
    <mergeCell ref="D427:D429"/>
    <mergeCell ref="D430:D433"/>
    <mergeCell ref="D434:D436"/>
    <mergeCell ref="D437:D439"/>
    <mergeCell ref="D440:D443"/>
    <mergeCell ref="D444:D446"/>
    <mergeCell ref="D447:D450"/>
    <mergeCell ref="D451:D454"/>
    <mergeCell ref="D455:D457"/>
    <mergeCell ref="D458:D460"/>
    <mergeCell ref="D461:D463"/>
    <mergeCell ref="D464:D466"/>
    <mergeCell ref="D467:D470"/>
    <mergeCell ref="D471:D473"/>
    <mergeCell ref="D474:D476"/>
    <mergeCell ref="D477:D481"/>
    <mergeCell ref="D482:D485"/>
    <mergeCell ref="D486:D489"/>
    <mergeCell ref="D490:D492"/>
    <mergeCell ref="D493:D495"/>
    <mergeCell ref="D496:D499"/>
    <mergeCell ref="D500:D502"/>
    <mergeCell ref="D503:D506"/>
    <mergeCell ref="D507:D509"/>
    <mergeCell ref="D510:D513"/>
    <mergeCell ref="D514:D517"/>
    <mergeCell ref="D518:D521"/>
    <mergeCell ref="D522:D525"/>
    <mergeCell ref="D526:D529"/>
    <mergeCell ref="D530:D532"/>
    <mergeCell ref="D533:D536"/>
    <mergeCell ref="D537:D540"/>
    <mergeCell ref="D541:D544"/>
    <mergeCell ref="D545:D548"/>
    <mergeCell ref="D549:D551"/>
    <mergeCell ref="D552:D555"/>
    <mergeCell ref="D556:D558"/>
    <mergeCell ref="D559:D561"/>
    <mergeCell ref="D562:D565"/>
    <mergeCell ref="D566:D568"/>
    <mergeCell ref="D569:D572"/>
    <mergeCell ref="D573:D575"/>
    <mergeCell ref="D576:D578"/>
    <mergeCell ref="D579:D581"/>
    <mergeCell ref="D582:D585"/>
    <mergeCell ref="D586:D589"/>
    <mergeCell ref="D590:D592"/>
    <mergeCell ref="D593:D596"/>
    <mergeCell ref="D597:D599"/>
    <mergeCell ref="D600:D602"/>
    <mergeCell ref="D603:D606"/>
    <mergeCell ref="D607:D610"/>
    <mergeCell ref="D611:D614"/>
    <mergeCell ref="D615:D618"/>
    <mergeCell ref="D619:D621"/>
    <mergeCell ref="D622:D624"/>
    <mergeCell ref="D625:D628"/>
    <mergeCell ref="D629:D632"/>
    <mergeCell ref="D633:D636"/>
    <mergeCell ref="D637:D639"/>
    <mergeCell ref="D640:D642"/>
    <mergeCell ref="D643:D646"/>
    <mergeCell ref="D647:D650"/>
    <mergeCell ref="D651:D654"/>
    <mergeCell ref="D655:D657"/>
    <mergeCell ref="D658:D661"/>
    <mergeCell ref="D662:D665"/>
    <mergeCell ref="D666:D669"/>
    <mergeCell ref="D670:D673"/>
    <mergeCell ref="D674:D676"/>
    <mergeCell ref="D677:D679"/>
    <mergeCell ref="D680:D683"/>
    <mergeCell ref="D684:D687"/>
    <mergeCell ref="D688:D690"/>
    <mergeCell ref="D691:D695"/>
    <mergeCell ref="D696:D698"/>
    <mergeCell ref="D699:D702"/>
    <mergeCell ref="D703:D705"/>
    <mergeCell ref="D706:D709"/>
    <mergeCell ref="D710:D712"/>
    <mergeCell ref="D713:D715"/>
    <mergeCell ref="D716:D718"/>
    <mergeCell ref="D719:D722"/>
    <mergeCell ref="D723:D725"/>
    <mergeCell ref="D726:D729"/>
    <mergeCell ref="D730:D732"/>
    <mergeCell ref="D733:D735"/>
    <mergeCell ref="D736:D739"/>
    <mergeCell ref="D740:D742"/>
    <mergeCell ref="D743:D745"/>
    <mergeCell ref="D746:D749"/>
    <mergeCell ref="D750:D752"/>
    <mergeCell ref="D753:D755"/>
    <mergeCell ref="D756:D759"/>
    <mergeCell ref="D760:D763"/>
    <mergeCell ref="D764:D766"/>
    <mergeCell ref="D767:D770"/>
    <mergeCell ref="D771:D774"/>
    <mergeCell ref="D775:D778"/>
    <mergeCell ref="D779:D783"/>
    <mergeCell ref="D784:D786"/>
    <mergeCell ref="D787:D790"/>
    <mergeCell ref="D791:D793"/>
    <mergeCell ref="D794:D797"/>
    <mergeCell ref="D798:D801"/>
    <mergeCell ref="D802:D805"/>
    <mergeCell ref="D806:D808"/>
    <mergeCell ref="D809:D811"/>
    <mergeCell ref="D812:D814"/>
    <mergeCell ref="D815:D818"/>
    <mergeCell ref="D819:D821"/>
    <mergeCell ref="D822:D824"/>
    <mergeCell ref="D825:D828"/>
    <mergeCell ref="D829:D831"/>
    <mergeCell ref="D832:D834"/>
    <mergeCell ref="D835:D838"/>
    <mergeCell ref="D839:D842"/>
    <mergeCell ref="D843:D845"/>
    <mergeCell ref="D846:D849"/>
    <mergeCell ref="D850:D853"/>
    <mergeCell ref="D854:D856"/>
    <mergeCell ref="D857:D859"/>
    <mergeCell ref="D860:D862"/>
    <mergeCell ref="D863:D865"/>
    <mergeCell ref="E2:E5"/>
    <mergeCell ref="E6:E8"/>
    <mergeCell ref="E9:E11"/>
    <mergeCell ref="E12:E14"/>
    <mergeCell ref="E15:E18"/>
    <mergeCell ref="E19:E22"/>
    <mergeCell ref="E23:E26"/>
    <mergeCell ref="E27:E30"/>
    <mergeCell ref="E31:E33"/>
    <mergeCell ref="E34:E36"/>
    <mergeCell ref="E37:E39"/>
    <mergeCell ref="E40:E43"/>
    <mergeCell ref="E44:E46"/>
    <mergeCell ref="E47:E50"/>
    <mergeCell ref="E51:E53"/>
    <mergeCell ref="E54:E56"/>
    <mergeCell ref="E57:E59"/>
    <mergeCell ref="E60:E62"/>
    <mergeCell ref="E63:E65"/>
    <mergeCell ref="E66:E68"/>
    <mergeCell ref="E69:E72"/>
    <mergeCell ref="E73:E75"/>
    <mergeCell ref="E76:E78"/>
    <mergeCell ref="E79:E81"/>
    <mergeCell ref="E82:E84"/>
    <mergeCell ref="E85:E88"/>
    <mergeCell ref="E89:E92"/>
    <mergeCell ref="E93:E95"/>
    <mergeCell ref="E96:E98"/>
    <mergeCell ref="E99:E101"/>
    <mergeCell ref="E102:E104"/>
    <mergeCell ref="E105:E107"/>
    <mergeCell ref="E108:E110"/>
    <mergeCell ref="E111:E114"/>
    <mergeCell ref="E115:E117"/>
    <mergeCell ref="E118:E120"/>
    <mergeCell ref="E121:E124"/>
    <mergeCell ref="E125:E127"/>
    <mergeCell ref="E128:E130"/>
    <mergeCell ref="E131:E133"/>
    <mergeCell ref="E134:E137"/>
    <mergeCell ref="E138:E140"/>
    <mergeCell ref="E141:E143"/>
    <mergeCell ref="E144:E146"/>
    <mergeCell ref="E147:E149"/>
    <mergeCell ref="E150:E152"/>
    <mergeCell ref="E153:E155"/>
    <mergeCell ref="E156:E159"/>
    <mergeCell ref="E160:E162"/>
    <mergeCell ref="E163:E165"/>
    <mergeCell ref="E166:E168"/>
    <mergeCell ref="E169:E171"/>
    <mergeCell ref="E172:E175"/>
    <mergeCell ref="E176:E178"/>
    <mergeCell ref="E179:E182"/>
    <mergeCell ref="E183:E186"/>
    <mergeCell ref="E187:E189"/>
    <mergeCell ref="E190:E192"/>
    <mergeCell ref="E193:E195"/>
    <mergeCell ref="E196:E198"/>
    <mergeCell ref="E199:E202"/>
    <mergeCell ref="E203:E206"/>
    <mergeCell ref="E207:E210"/>
    <mergeCell ref="E211:E213"/>
    <mergeCell ref="E214:E216"/>
    <mergeCell ref="E217:E219"/>
    <mergeCell ref="E220:E223"/>
    <mergeCell ref="E224:E226"/>
    <mergeCell ref="E227:E229"/>
    <mergeCell ref="E230:E232"/>
    <mergeCell ref="E233:E235"/>
    <mergeCell ref="E236:E238"/>
    <mergeCell ref="E239:E241"/>
    <mergeCell ref="E242:E245"/>
    <mergeCell ref="E246:E248"/>
    <mergeCell ref="E249:E251"/>
    <mergeCell ref="E252:E255"/>
    <mergeCell ref="E256:E258"/>
    <mergeCell ref="E259:E261"/>
    <mergeCell ref="E262:E265"/>
    <mergeCell ref="E266:E269"/>
    <mergeCell ref="E270:E272"/>
    <mergeCell ref="E273:E275"/>
    <mergeCell ref="E276:E278"/>
    <mergeCell ref="E279:E281"/>
    <mergeCell ref="E282:E285"/>
    <mergeCell ref="E286:E288"/>
    <mergeCell ref="E289:E292"/>
    <mergeCell ref="E293:E295"/>
    <mergeCell ref="E296:E298"/>
    <mergeCell ref="E299:E302"/>
    <mergeCell ref="E303:E305"/>
    <mergeCell ref="E306:E309"/>
    <mergeCell ref="E310:E312"/>
    <mergeCell ref="E313:E315"/>
    <mergeCell ref="E316:E318"/>
    <mergeCell ref="E319:E322"/>
    <mergeCell ref="E323:E325"/>
    <mergeCell ref="E326:E329"/>
    <mergeCell ref="E330:E332"/>
    <mergeCell ref="E333:E336"/>
    <mergeCell ref="E337:E339"/>
    <mergeCell ref="E340:E343"/>
    <mergeCell ref="E344:E346"/>
    <mergeCell ref="E347:E349"/>
    <mergeCell ref="E350:E353"/>
    <mergeCell ref="E354:E356"/>
    <mergeCell ref="E357:E360"/>
    <mergeCell ref="E361:E363"/>
    <mergeCell ref="E364:E366"/>
    <mergeCell ref="E367:E369"/>
    <mergeCell ref="E370:E372"/>
    <mergeCell ref="E373:E376"/>
    <mergeCell ref="E377:E379"/>
    <mergeCell ref="E380:E382"/>
    <mergeCell ref="E383:E386"/>
    <mergeCell ref="E387:E390"/>
    <mergeCell ref="E391:E393"/>
    <mergeCell ref="E394:E397"/>
    <mergeCell ref="E398:E400"/>
    <mergeCell ref="E401:E403"/>
    <mergeCell ref="E404:E406"/>
    <mergeCell ref="E407:E410"/>
    <mergeCell ref="E411:E414"/>
    <mergeCell ref="E415:E417"/>
    <mergeCell ref="E418:E420"/>
    <mergeCell ref="E421:E423"/>
    <mergeCell ref="E424:E426"/>
    <mergeCell ref="E427:E429"/>
    <mergeCell ref="E430:E433"/>
    <mergeCell ref="E434:E436"/>
    <mergeCell ref="E437:E439"/>
    <mergeCell ref="E440:E443"/>
    <mergeCell ref="E444:E446"/>
    <mergeCell ref="E447:E450"/>
    <mergeCell ref="E451:E454"/>
    <mergeCell ref="E455:E457"/>
    <mergeCell ref="E458:E460"/>
    <mergeCell ref="E461:E463"/>
    <mergeCell ref="E464:E466"/>
    <mergeCell ref="E467:E470"/>
    <mergeCell ref="E471:E473"/>
    <mergeCell ref="E474:E476"/>
    <mergeCell ref="E477:E481"/>
    <mergeCell ref="E482:E485"/>
    <mergeCell ref="E486:E489"/>
    <mergeCell ref="E490:E492"/>
    <mergeCell ref="E493:E495"/>
    <mergeCell ref="E496:E499"/>
    <mergeCell ref="E500:E502"/>
    <mergeCell ref="E503:E506"/>
    <mergeCell ref="E507:E509"/>
    <mergeCell ref="E510:E513"/>
    <mergeCell ref="E514:E517"/>
    <mergeCell ref="E518:E521"/>
    <mergeCell ref="E522:E525"/>
    <mergeCell ref="E526:E529"/>
    <mergeCell ref="E530:E532"/>
    <mergeCell ref="E533:E536"/>
    <mergeCell ref="E537:E540"/>
    <mergeCell ref="E541:E544"/>
    <mergeCell ref="E545:E548"/>
    <mergeCell ref="E549:E551"/>
    <mergeCell ref="E552:E555"/>
    <mergeCell ref="E556:E558"/>
    <mergeCell ref="E559:E561"/>
    <mergeCell ref="E562:E565"/>
    <mergeCell ref="E566:E568"/>
    <mergeCell ref="E569:E572"/>
    <mergeCell ref="E573:E575"/>
    <mergeCell ref="E576:E578"/>
    <mergeCell ref="E579:E581"/>
    <mergeCell ref="E582:E585"/>
    <mergeCell ref="E586:E589"/>
    <mergeCell ref="E590:E592"/>
    <mergeCell ref="E593:E596"/>
    <mergeCell ref="E597:E599"/>
    <mergeCell ref="E600:E602"/>
    <mergeCell ref="E603:E606"/>
    <mergeCell ref="E607:E610"/>
    <mergeCell ref="E611:E614"/>
    <mergeCell ref="E615:E618"/>
    <mergeCell ref="E619:E621"/>
    <mergeCell ref="E622:E624"/>
    <mergeCell ref="E625:E628"/>
    <mergeCell ref="E629:E632"/>
    <mergeCell ref="E633:E636"/>
    <mergeCell ref="E637:E639"/>
    <mergeCell ref="E640:E642"/>
    <mergeCell ref="E643:E646"/>
    <mergeCell ref="E647:E650"/>
    <mergeCell ref="E651:E654"/>
    <mergeCell ref="E655:E657"/>
    <mergeCell ref="E658:E661"/>
    <mergeCell ref="E662:E665"/>
    <mergeCell ref="E666:E669"/>
    <mergeCell ref="E670:E673"/>
    <mergeCell ref="E674:E676"/>
    <mergeCell ref="E677:E679"/>
    <mergeCell ref="E680:E683"/>
    <mergeCell ref="E684:E687"/>
    <mergeCell ref="E688:E690"/>
    <mergeCell ref="E691:E695"/>
    <mergeCell ref="E696:E698"/>
    <mergeCell ref="E699:E702"/>
    <mergeCell ref="E703:E705"/>
    <mergeCell ref="E706:E709"/>
    <mergeCell ref="E710:E712"/>
    <mergeCell ref="E713:E715"/>
    <mergeCell ref="E716:E718"/>
    <mergeCell ref="E719:E722"/>
    <mergeCell ref="E723:E725"/>
    <mergeCell ref="E726:E729"/>
    <mergeCell ref="E730:E732"/>
    <mergeCell ref="E733:E735"/>
    <mergeCell ref="E736:E739"/>
    <mergeCell ref="E740:E742"/>
    <mergeCell ref="E743:E745"/>
    <mergeCell ref="E746:E749"/>
    <mergeCell ref="E750:E752"/>
    <mergeCell ref="E753:E755"/>
    <mergeCell ref="E756:E759"/>
    <mergeCell ref="E760:E763"/>
    <mergeCell ref="E764:E766"/>
    <mergeCell ref="E767:E770"/>
    <mergeCell ref="E771:E774"/>
    <mergeCell ref="E775:E778"/>
    <mergeCell ref="E779:E783"/>
    <mergeCell ref="E784:E786"/>
    <mergeCell ref="E787:E790"/>
    <mergeCell ref="E791:E793"/>
    <mergeCell ref="E794:E797"/>
    <mergeCell ref="E798:E801"/>
    <mergeCell ref="E802:E805"/>
    <mergeCell ref="E806:E808"/>
    <mergeCell ref="E809:E811"/>
    <mergeCell ref="E812:E814"/>
    <mergeCell ref="E815:E818"/>
    <mergeCell ref="E819:E821"/>
    <mergeCell ref="E822:E824"/>
    <mergeCell ref="E825:E828"/>
    <mergeCell ref="E829:E831"/>
    <mergeCell ref="E832:E834"/>
    <mergeCell ref="E835:E838"/>
    <mergeCell ref="E839:E842"/>
    <mergeCell ref="E843:E845"/>
    <mergeCell ref="E846:E849"/>
    <mergeCell ref="E850:E853"/>
    <mergeCell ref="E854:E856"/>
    <mergeCell ref="E857:E859"/>
    <mergeCell ref="E860:E862"/>
    <mergeCell ref="E863:E865"/>
    <mergeCell ref="K2:K5"/>
    <mergeCell ref="K6:K8"/>
    <mergeCell ref="K9:K11"/>
    <mergeCell ref="K12:K14"/>
    <mergeCell ref="K15:K18"/>
    <mergeCell ref="K19:K22"/>
    <mergeCell ref="K23:K26"/>
    <mergeCell ref="K27:K30"/>
    <mergeCell ref="K31:K33"/>
    <mergeCell ref="K34:K36"/>
    <mergeCell ref="K37:K39"/>
    <mergeCell ref="K40:K43"/>
    <mergeCell ref="K44:K46"/>
    <mergeCell ref="K47:K50"/>
    <mergeCell ref="K51:K53"/>
    <mergeCell ref="K54:K56"/>
    <mergeCell ref="K57:K59"/>
    <mergeCell ref="K60:K62"/>
    <mergeCell ref="K63:K65"/>
    <mergeCell ref="K66:K68"/>
    <mergeCell ref="K69:K72"/>
    <mergeCell ref="K73:K75"/>
    <mergeCell ref="K76:K78"/>
    <mergeCell ref="K79:K81"/>
    <mergeCell ref="K82:K84"/>
    <mergeCell ref="K85:K88"/>
    <mergeCell ref="K89:K92"/>
    <mergeCell ref="K93:K95"/>
    <mergeCell ref="K96:K98"/>
    <mergeCell ref="K99:K101"/>
    <mergeCell ref="K102:K104"/>
    <mergeCell ref="K105:K107"/>
    <mergeCell ref="K108:K110"/>
    <mergeCell ref="K111:K114"/>
    <mergeCell ref="K115:K117"/>
    <mergeCell ref="K118:K120"/>
    <mergeCell ref="K121:K124"/>
    <mergeCell ref="K125:K127"/>
    <mergeCell ref="K128:K130"/>
    <mergeCell ref="K131:K133"/>
    <mergeCell ref="K134:K137"/>
    <mergeCell ref="K138:K140"/>
    <mergeCell ref="K141:K143"/>
    <mergeCell ref="K144:K146"/>
    <mergeCell ref="K147:K149"/>
    <mergeCell ref="K150:K152"/>
    <mergeCell ref="K153:K155"/>
    <mergeCell ref="K156:K159"/>
    <mergeCell ref="K160:K162"/>
    <mergeCell ref="K163:K165"/>
    <mergeCell ref="K166:K168"/>
    <mergeCell ref="K169:K171"/>
    <mergeCell ref="K172:K175"/>
    <mergeCell ref="K176:K178"/>
    <mergeCell ref="K179:K182"/>
    <mergeCell ref="K183:K186"/>
    <mergeCell ref="K187:K189"/>
    <mergeCell ref="K190:K192"/>
    <mergeCell ref="K193:K195"/>
    <mergeCell ref="K196:K198"/>
    <mergeCell ref="K199:K202"/>
    <mergeCell ref="K203:K206"/>
    <mergeCell ref="K207:K210"/>
    <mergeCell ref="K211:K213"/>
    <mergeCell ref="K214:K216"/>
    <mergeCell ref="K217:K219"/>
    <mergeCell ref="K220:K223"/>
    <mergeCell ref="K224:K226"/>
    <mergeCell ref="K227:K229"/>
    <mergeCell ref="K230:K232"/>
    <mergeCell ref="K233:K235"/>
    <mergeCell ref="K236:K238"/>
    <mergeCell ref="K239:K241"/>
    <mergeCell ref="K242:K245"/>
    <mergeCell ref="K246:K248"/>
    <mergeCell ref="K249:K251"/>
    <mergeCell ref="K252:K255"/>
    <mergeCell ref="K256:K258"/>
    <mergeCell ref="K259:K261"/>
    <mergeCell ref="K262:K265"/>
    <mergeCell ref="K266:K269"/>
    <mergeCell ref="K270:K272"/>
    <mergeCell ref="K273:K275"/>
    <mergeCell ref="K276:K278"/>
    <mergeCell ref="K279:K281"/>
    <mergeCell ref="K282:K285"/>
    <mergeCell ref="K286:K288"/>
    <mergeCell ref="K289:K292"/>
    <mergeCell ref="K293:K295"/>
    <mergeCell ref="K296:K298"/>
    <mergeCell ref="K299:K302"/>
    <mergeCell ref="K303:K305"/>
    <mergeCell ref="K306:K309"/>
    <mergeCell ref="K310:K312"/>
    <mergeCell ref="K313:K315"/>
    <mergeCell ref="K316:K318"/>
    <mergeCell ref="K319:K322"/>
    <mergeCell ref="K323:K325"/>
    <mergeCell ref="K326:K329"/>
    <mergeCell ref="K330:K332"/>
    <mergeCell ref="K333:K336"/>
    <mergeCell ref="K337:K339"/>
    <mergeCell ref="K340:K343"/>
    <mergeCell ref="K344:K346"/>
    <mergeCell ref="K347:K349"/>
    <mergeCell ref="K350:K353"/>
    <mergeCell ref="K354:K356"/>
    <mergeCell ref="K357:K360"/>
    <mergeCell ref="K361:K363"/>
    <mergeCell ref="K364:K366"/>
    <mergeCell ref="K367:K369"/>
    <mergeCell ref="K370:K372"/>
    <mergeCell ref="K373:K376"/>
    <mergeCell ref="K377:K379"/>
    <mergeCell ref="K380:K382"/>
    <mergeCell ref="K383:K386"/>
    <mergeCell ref="K387:K390"/>
    <mergeCell ref="K391:K393"/>
    <mergeCell ref="K394:K397"/>
    <mergeCell ref="K398:K400"/>
    <mergeCell ref="K401:K403"/>
    <mergeCell ref="K404:K406"/>
    <mergeCell ref="K407:K410"/>
    <mergeCell ref="K411:K414"/>
    <mergeCell ref="K415:K417"/>
    <mergeCell ref="K418:K420"/>
    <mergeCell ref="K421:K423"/>
    <mergeCell ref="K424:K426"/>
    <mergeCell ref="K427:K429"/>
    <mergeCell ref="K430:K433"/>
    <mergeCell ref="K434:K436"/>
    <mergeCell ref="K437:K439"/>
    <mergeCell ref="K440:K443"/>
    <mergeCell ref="K444:K446"/>
    <mergeCell ref="K447:K450"/>
    <mergeCell ref="K451:K454"/>
    <mergeCell ref="K455:K457"/>
    <mergeCell ref="K458:K460"/>
    <mergeCell ref="K461:K463"/>
    <mergeCell ref="K464:K466"/>
    <mergeCell ref="K467:K470"/>
    <mergeCell ref="K471:K473"/>
    <mergeCell ref="K474:K476"/>
    <mergeCell ref="K477:K481"/>
    <mergeCell ref="K482:K485"/>
    <mergeCell ref="K486:K489"/>
    <mergeCell ref="K490:K492"/>
    <mergeCell ref="K493:K495"/>
    <mergeCell ref="K496:K499"/>
    <mergeCell ref="K500:K502"/>
    <mergeCell ref="K503:K506"/>
    <mergeCell ref="K507:K509"/>
    <mergeCell ref="K510:K513"/>
    <mergeCell ref="K514:K517"/>
    <mergeCell ref="K518:K521"/>
    <mergeCell ref="K522:K525"/>
    <mergeCell ref="K526:K529"/>
    <mergeCell ref="K530:K532"/>
    <mergeCell ref="K533:K536"/>
    <mergeCell ref="K537:K540"/>
    <mergeCell ref="K541:K544"/>
    <mergeCell ref="K545:K548"/>
    <mergeCell ref="K549:K551"/>
    <mergeCell ref="K552:K555"/>
    <mergeCell ref="K556:K558"/>
    <mergeCell ref="K559:K561"/>
    <mergeCell ref="K562:K565"/>
    <mergeCell ref="K566:K568"/>
    <mergeCell ref="K569:K572"/>
    <mergeCell ref="K573:K575"/>
    <mergeCell ref="K576:K578"/>
    <mergeCell ref="K579:K581"/>
    <mergeCell ref="K582:K585"/>
    <mergeCell ref="K586:K589"/>
    <mergeCell ref="K590:K592"/>
    <mergeCell ref="K593:K596"/>
    <mergeCell ref="K597:K599"/>
    <mergeCell ref="K600:K602"/>
    <mergeCell ref="K603:K606"/>
    <mergeCell ref="K607:K610"/>
    <mergeCell ref="K611:K614"/>
    <mergeCell ref="K615:K618"/>
    <mergeCell ref="K619:K621"/>
    <mergeCell ref="K622:K624"/>
    <mergeCell ref="K625:K628"/>
    <mergeCell ref="K629:K632"/>
    <mergeCell ref="K633:K636"/>
    <mergeCell ref="K637:K639"/>
    <mergeCell ref="K640:K642"/>
    <mergeCell ref="K643:K646"/>
    <mergeCell ref="K647:K650"/>
    <mergeCell ref="K651:K654"/>
    <mergeCell ref="K655:K657"/>
    <mergeCell ref="K658:K661"/>
    <mergeCell ref="K662:K665"/>
    <mergeCell ref="K666:K669"/>
    <mergeCell ref="K670:K673"/>
    <mergeCell ref="K674:K676"/>
    <mergeCell ref="K677:K679"/>
    <mergeCell ref="K680:K683"/>
    <mergeCell ref="K684:K687"/>
    <mergeCell ref="K688:K690"/>
    <mergeCell ref="K691:K695"/>
    <mergeCell ref="K696:K698"/>
    <mergeCell ref="K699:K702"/>
    <mergeCell ref="K703:K705"/>
    <mergeCell ref="K706:K709"/>
    <mergeCell ref="K710:K712"/>
    <mergeCell ref="K713:K715"/>
    <mergeCell ref="K716:K718"/>
    <mergeCell ref="K719:K722"/>
    <mergeCell ref="K723:K725"/>
    <mergeCell ref="K726:K729"/>
    <mergeCell ref="K730:K732"/>
    <mergeCell ref="K733:K735"/>
    <mergeCell ref="K736:K739"/>
    <mergeCell ref="K740:K742"/>
    <mergeCell ref="K743:K745"/>
    <mergeCell ref="K746:K749"/>
    <mergeCell ref="K750:K752"/>
    <mergeCell ref="K753:K755"/>
    <mergeCell ref="K756:K759"/>
    <mergeCell ref="K760:K763"/>
    <mergeCell ref="K764:K766"/>
    <mergeCell ref="K767:K770"/>
    <mergeCell ref="K771:K774"/>
    <mergeCell ref="K775:K778"/>
    <mergeCell ref="K779:K783"/>
    <mergeCell ref="K784:K786"/>
    <mergeCell ref="K787:K790"/>
    <mergeCell ref="K791:K793"/>
    <mergeCell ref="K794:K797"/>
    <mergeCell ref="K798:K801"/>
    <mergeCell ref="K802:K805"/>
    <mergeCell ref="K806:K808"/>
    <mergeCell ref="K809:K811"/>
    <mergeCell ref="K812:K814"/>
    <mergeCell ref="K815:K818"/>
    <mergeCell ref="K819:K821"/>
    <mergeCell ref="K822:K824"/>
    <mergeCell ref="K825:K828"/>
    <mergeCell ref="K829:K831"/>
    <mergeCell ref="K832:K834"/>
    <mergeCell ref="K835:K838"/>
    <mergeCell ref="K839:K842"/>
    <mergeCell ref="K843:K845"/>
    <mergeCell ref="K846:K849"/>
    <mergeCell ref="K850:K853"/>
    <mergeCell ref="K854:K856"/>
    <mergeCell ref="K857:K859"/>
    <mergeCell ref="K860:K862"/>
    <mergeCell ref="K863:K86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:L174"/>
  <sheetViews>
    <sheetView zoomScale="97" zoomScaleNormal="97" topLeftCell="A144" workbookViewId="0">
      <selection activeCell="D174" sqref="D174"/>
    </sheetView>
  </sheetViews>
  <sheetFormatPr defaultColWidth="10.8" defaultRowHeight="15.5"/>
  <cols>
    <col min="1" max="1" width="10.8" style="1"/>
    <col min="2" max="2" width="34" style="1" customWidth="1"/>
    <col min="3" max="3" width="11" style="2" customWidth="1"/>
    <col min="4" max="4" width="11" style="1" customWidth="1"/>
    <col min="5" max="5" width="10.8" style="1"/>
    <col min="6" max="6" width="11" style="3" customWidth="1"/>
    <col min="7" max="7" width="11" style="1" customWidth="1"/>
    <col min="8" max="8" width="10.8" style="1"/>
    <col min="9" max="9" width="11" style="1" customWidth="1"/>
    <col min="10" max="10" width="11" style="2" customWidth="1"/>
    <col min="11" max="16384" width="10.8" style="1"/>
  </cols>
  <sheetData>
    <row r="1" ht="24" spans="1:10">
      <c r="A1" s="4" t="s">
        <v>2891</v>
      </c>
      <c r="B1" s="5" t="s">
        <v>2193</v>
      </c>
      <c r="C1" s="4" t="s">
        <v>2892</v>
      </c>
      <c r="D1" s="6" t="s">
        <v>1038</v>
      </c>
      <c r="E1" s="6" t="s">
        <v>2893</v>
      </c>
      <c r="F1" s="7" t="s">
        <v>2894</v>
      </c>
      <c r="G1" s="6" t="s">
        <v>2895</v>
      </c>
      <c r="H1" s="6" t="s">
        <v>8</v>
      </c>
      <c r="I1" s="6" t="s">
        <v>1741</v>
      </c>
      <c r="J1" s="4" t="s">
        <v>2896</v>
      </c>
    </row>
    <row r="2" spans="1:10">
      <c r="A2" s="8" t="s">
        <v>2897</v>
      </c>
      <c r="B2" s="8" t="s">
        <v>2898</v>
      </c>
      <c r="C2" s="9">
        <v>44672</v>
      </c>
      <c r="D2" s="10">
        <v>10.43</v>
      </c>
      <c r="E2" s="8" t="s">
        <v>1064</v>
      </c>
      <c r="F2" s="11">
        <v>7.75</v>
      </c>
      <c r="G2" s="12">
        <v>0.7431</v>
      </c>
      <c r="H2" s="13" t="s">
        <v>1744</v>
      </c>
      <c r="I2" s="12">
        <v>0.035</v>
      </c>
      <c r="J2" s="9">
        <v>45011</v>
      </c>
    </row>
    <row r="3" spans="1:10">
      <c r="A3" s="8"/>
      <c r="B3" s="8"/>
      <c r="C3" s="14"/>
      <c r="D3" s="15"/>
      <c r="E3" s="8" t="s">
        <v>1060</v>
      </c>
      <c r="F3" s="11">
        <v>1</v>
      </c>
      <c r="G3" s="12">
        <v>0.0959</v>
      </c>
      <c r="H3" s="13" t="s">
        <v>1745</v>
      </c>
      <c r="I3" s="12">
        <v>0.04</v>
      </c>
      <c r="J3" s="9">
        <v>45042</v>
      </c>
    </row>
    <row r="4" spans="1:10">
      <c r="A4" s="8"/>
      <c r="B4" s="8"/>
      <c r="C4" s="14"/>
      <c r="D4" s="15"/>
      <c r="E4" s="8" t="s">
        <v>503</v>
      </c>
      <c r="F4" s="11">
        <v>1.68</v>
      </c>
      <c r="G4" s="12">
        <v>0.161</v>
      </c>
      <c r="H4" s="8" t="s">
        <v>24</v>
      </c>
      <c r="I4" s="8" t="s">
        <v>24</v>
      </c>
      <c r="J4" s="9">
        <v>45256</v>
      </c>
    </row>
    <row r="5" spans="1:10">
      <c r="A5" s="8" t="s">
        <v>2899</v>
      </c>
      <c r="B5" s="8" t="s">
        <v>2900</v>
      </c>
      <c r="C5" s="9">
        <v>44673</v>
      </c>
      <c r="D5" s="10">
        <v>19.52</v>
      </c>
      <c r="E5" s="8" t="s">
        <v>1058</v>
      </c>
      <c r="F5" s="11">
        <v>12.85</v>
      </c>
      <c r="G5" s="12">
        <v>0.6583</v>
      </c>
      <c r="H5" s="13" t="s">
        <v>1744</v>
      </c>
      <c r="I5" s="12">
        <v>0.025</v>
      </c>
      <c r="J5" s="9">
        <v>45024</v>
      </c>
    </row>
    <row r="6" spans="1:10">
      <c r="A6" s="8"/>
      <c r="B6" s="8"/>
      <c r="C6" s="14"/>
      <c r="D6" s="15"/>
      <c r="E6" s="8" t="s">
        <v>1059</v>
      </c>
      <c r="F6" s="11">
        <v>2</v>
      </c>
      <c r="G6" s="12">
        <v>0.1025</v>
      </c>
      <c r="H6" s="13" t="s">
        <v>1744</v>
      </c>
      <c r="I6" s="12">
        <v>0.0264</v>
      </c>
      <c r="J6" s="9">
        <v>45085</v>
      </c>
    </row>
    <row r="7" spans="1:10">
      <c r="A7" s="8"/>
      <c r="B7" s="8"/>
      <c r="C7" s="14"/>
      <c r="D7" s="15"/>
      <c r="E7" s="8" t="s">
        <v>1060</v>
      </c>
      <c r="F7" s="11">
        <v>1.15</v>
      </c>
      <c r="G7" s="12">
        <v>0.0589</v>
      </c>
      <c r="H7" s="13" t="s">
        <v>1745</v>
      </c>
      <c r="I7" s="12">
        <v>0.0275</v>
      </c>
      <c r="J7" s="9">
        <v>45115</v>
      </c>
    </row>
    <row r="8" spans="1:10">
      <c r="A8" s="8"/>
      <c r="B8" s="8"/>
      <c r="C8" s="14"/>
      <c r="D8" s="15"/>
      <c r="E8" s="8" t="s">
        <v>1061</v>
      </c>
      <c r="F8" s="11">
        <v>1</v>
      </c>
      <c r="G8" s="12">
        <v>0.0512</v>
      </c>
      <c r="H8" s="13" t="s">
        <v>2845</v>
      </c>
      <c r="I8" s="12">
        <v>0.03</v>
      </c>
      <c r="J8" s="9">
        <v>45207</v>
      </c>
    </row>
    <row r="9" spans="1:10">
      <c r="A9" s="8"/>
      <c r="B9" s="8"/>
      <c r="C9" s="14"/>
      <c r="D9" s="15"/>
      <c r="E9" s="8" t="s">
        <v>1801</v>
      </c>
      <c r="F9" s="11">
        <v>0.5</v>
      </c>
      <c r="G9" s="12">
        <v>0.0256</v>
      </c>
      <c r="H9" s="13" t="s">
        <v>1752</v>
      </c>
      <c r="I9" s="12">
        <v>0.035</v>
      </c>
      <c r="J9" s="9">
        <v>45238</v>
      </c>
    </row>
    <row r="10" spans="1:10">
      <c r="A10" s="8"/>
      <c r="B10" s="8"/>
      <c r="C10" s="14"/>
      <c r="D10" s="15"/>
      <c r="E10" s="8" t="s">
        <v>503</v>
      </c>
      <c r="F10" s="11">
        <v>2.02</v>
      </c>
      <c r="G10" s="12">
        <v>0.1035</v>
      </c>
      <c r="H10" s="8" t="s">
        <v>24</v>
      </c>
      <c r="I10" s="8" t="s">
        <v>24</v>
      </c>
      <c r="J10" s="9">
        <v>45573</v>
      </c>
    </row>
    <row r="11" spans="1:10">
      <c r="A11" s="8" t="s">
        <v>2901</v>
      </c>
      <c r="B11" s="8" t="s">
        <v>2898</v>
      </c>
      <c r="C11" s="9">
        <v>44733</v>
      </c>
      <c r="D11" s="10">
        <v>14.77</v>
      </c>
      <c r="E11" s="8" t="s">
        <v>1064</v>
      </c>
      <c r="F11" s="11">
        <v>11.55</v>
      </c>
      <c r="G11" s="12">
        <v>0.7819</v>
      </c>
      <c r="H11" s="13" t="s">
        <v>1744</v>
      </c>
      <c r="I11" s="12">
        <v>0.033</v>
      </c>
      <c r="J11" s="9">
        <v>45072</v>
      </c>
    </row>
    <row r="12" spans="1:10">
      <c r="A12" s="8"/>
      <c r="B12" s="8"/>
      <c r="C12" s="14"/>
      <c r="D12" s="15"/>
      <c r="E12" s="8" t="s">
        <v>1060</v>
      </c>
      <c r="F12" s="11">
        <v>1</v>
      </c>
      <c r="G12" s="12">
        <v>0.0677</v>
      </c>
      <c r="H12" s="13" t="s">
        <v>1745</v>
      </c>
      <c r="I12" s="12">
        <v>0.038</v>
      </c>
      <c r="J12" s="9">
        <v>45103</v>
      </c>
    </row>
    <row r="13" spans="1:10">
      <c r="A13" s="8"/>
      <c r="B13" s="8"/>
      <c r="C13" s="14"/>
      <c r="D13" s="15"/>
      <c r="E13" s="8" t="s">
        <v>503</v>
      </c>
      <c r="F13" s="11">
        <v>2.22</v>
      </c>
      <c r="G13" s="12">
        <v>0.1504</v>
      </c>
      <c r="H13" s="8" t="s">
        <v>24</v>
      </c>
      <c r="I13" s="8" t="s">
        <v>24</v>
      </c>
      <c r="J13" s="9">
        <v>45317</v>
      </c>
    </row>
    <row r="14" spans="1:10">
      <c r="A14" s="8" t="s">
        <v>2902</v>
      </c>
      <c r="B14" s="8" t="s">
        <v>2903</v>
      </c>
      <c r="C14" s="9">
        <v>44754</v>
      </c>
      <c r="D14" s="10">
        <v>7.66</v>
      </c>
      <c r="E14" s="8" t="s">
        <v>531</v>
      </c>
      <c r="F14" s="11">
        <v>5.67</v>
      </c>
      <c r="G14" s="12">
        <v>0.7398</v>
      </c>
      <c r="H14" s="13" t="s">
        <v>1744</v>
      </c>
      <c r="I14" s="12">
        <v>0.03</v>
      </c>
      <c r="J14" s="9">
        <v>44954</v>
      </c>
    </row>
    <row r="15" spans="1:10">
      <c r="A15" s="8"/>
      <c r="B15" s="8"/>
      <c r="C15" s="14"/>
      <c r="D15" s="15"/>
      <c r="E15" s="8" t="s">
        <v>503</v>
      </c>
      <c r="F15" s="11">
        <v>1.99</v>
      </c>
      <c r="G15" s="12">
        <v>0.2602</v>
      </c>
      <c r="H15" s="8" t="s">
        <v>24</v>
      </c>
      <c r="I15" s="8" t="s">
        <v>24</v>
      </c>
      <c r="J15" s="9">
        <v>45775</v>
      </c>
    </row>
    <row r="16" spans="1:10">
      <c r="A16" s="8" t="s">
        <v>2904</v>
      </c>
      <c r="B16" s="8" t="s">
        <v>2905</v>
      </c>
      <c r="C16" s="9">
        <v>44764</v>
      </c>
      <c r="D16" s="10">
        <v>9.73</v>
      </c>
      <c r="E16" s="8" t="s">
        <v>1064</v>
      </c>
      <c r="F16" s="11">
        <v>7</v>
      </c>
      <c r="G16" s="12">
        <v>0.7194</v>
      </c>
      <c r="H16" s="13" t="s">
        <v>1744</v>
      </c>
      <c r="I16" s="12">
        <v>0.0243</v>
      </c>
      <c r="J16" s="9">
        <v>45011</v>
      </c>
    </row>
    <row r="17" spans="1:10">
      <c r="A17" s="8"/>
      <c r="B17" s="8"/>
      <c r="C17" s="14"/>
      <c r="D17" s="15"/>
      <c r="E17" s="8" t="s">
        <v>1060</v>
      </c>
      <c r="F17" s="11">
        <v>0.7</v>
      </c>
      <c r="G17" s="12">
        <v>0.0719</v>
      </c>
      <c r="H17" s="13" t="s">
        <v>1745</v>
      </c>
      <c r="I17" s="12">
        <v>0.027</v>
      </c>
      <c r="J17" s="9">
        <v>45042</v>
      </c>
    </row>
    <row r="18" spans="1:10">
      <c r="A18" s="8"/>
      <c r="B18" s="8"/>
      <c r="C18" s="14"/>
      <c r="D18" s="15"/>
      <c r="E18" s="8" t="s">
        <v>503</v>
      </c>
      <c r="F18" s="11">
        <v>2.03</v>
      </c>
      <c r="G18" s="12">
        <v>0.2087</v>
      </c>
      <c r="H18" s="8" t="s">
        <v>24</v>
      </c>
      <c r="I18" s="8" t="s">
        <v>24</v>
      </c>
      <c r="J18" s="9">
        <v>45348</v>
      </c>
    </row>
    <row r="19" spans="1:10">
      <c r="A19" s="8" t="s">
        <v>2906</v>
      </c>
      <c r="B19" s="8" t="s">
        <v>2907</v>
      </c>
      <c r="C19" s="9">
        <v>44824</v>
      </c>
      <c r="D19" s="10">
        <v>5.6</v>
      </c>
      <c r="E19" s="8" t="s">
        <v>1064</v>
      </c>
      <c r="F19" s="11">
        <v>4.24</v>
      </c>
      <c r="G19" s="12">
        <v>0.7565</v>
      </c>
      <c r="H19" s="13" t="s">
        <v>1744</v>
      </c>
      <c r="I19" s="12">
        <v>0.019</v>
      </c>
      <c r="J19" s="9">
        <v>44952</v>
      </c>
    </row>
    <row r="20" spans="1:10">
      <c r="A20" s="8"/>
      <c r="B20" s="8"/>
      <c r="C20" s="14"/>
      <c r="D20" s="15"/>
      <c r="E20" s="8" t="s">
        <v>1060</v>
      </c>
      <c r="F20" s="11">
        <v>0.28</v>
      </c>
      <c r="G20" s="12">
        <v>0.05</v>
      </c>
      <c r="H20" s="13" t="s">
        <v>1745</v>
      </c>
      <c r="I20" s="12">
        <v>0.0203</v>
      </c>
      <c r="J20" s="9">
        <v>44952</v>
      </c>
    </row>
    <row r="21" spans="1:10">
      <c r="A21" s="8"/>
      <c r="B21" s="8"/>
      <c r="C21" s="14"/>
      <c r="D21" s="15"/>
      <c r="E21" s="8" t="s">
        <v>503</v>
      </c>
      <c r="F21" s="11">
        <v>1.08</v>
      </c>
      <c r="G21" s="12">
        <v>0.1935</v>
      </c>
      <c r="H21" s="8" t="s">
        <v>24</v>
      </c>
      <c r="I21" s="8" t="s">
        <v>24</v>
      </c>
      <c r="J21" s="9">
        <v>45042</v>
      </c>
    </row>
    <row r="22" spans="1:10">
      <c r="A22" s="8" t="s">
        <v>2908</v>
      </c>
      <c r="B22" s="8" t="s">
        <v>2898</v>
      </c>
      <c r="C22" s="9">
        <v>44832</v>
      </c>
      <c r="D22" s="10">
        <v>10.51</v>
      </c>
      <c r="E22" s="8" t="s">
        <v>1064</v>
      </c>
      <c r="F22" s="11">
        <v>7.83</v>
      </c>
      <c r="G22" s="12">
        <v>0.7449</v>
      </c>
      <c r="H22" s="13" t="s">
        <v>1744</v>
      </c>
      <c r="I22" s="12">
        <v>0.03</v>
      </c>
      <c r="J22" s="9">
        <v>45164</v>
      </c>
    </row>
    <row r="23" spans="1:10">
      <c r="A23" s="8"/>
      <c r="B23" s="8"/>
      <c r="C23" s="14"/>
      <c r="D23" s="15"/>
      <c r="E23" s="8" t="s">
        <v>1060</v>
      </c>
      <c r="F23" s="11">
        <v>1.05</v>
      </c>
      <c r="G23" s="12">
        <v>0.0999</v>
      </c>
      <c r="H23" s="13" t="s">
        <v>1745</v>
      </c>
      <c r="I23" s="12">
        <v>0.035</v>
      </c>
      <c r="J23" s="9">
        <v>45195</v>
      </c>
    </row>
    <row r="24" spans="1:10">
      <c r="A24" s="8"/>
      <c r="B24" s="8"/>
      <c r="C24" s="14"/>
      <c r="D24" s="15"/>
      <c r="E24" s="8" t="s">
        <v>503</v>
      </c>
      <c r="F24" s="11">
        <v>1.63</v>
      </c>
      <c r="G24" s="12">
        <v>0.1552</v>
      </c>
      <c r="H24" s="8" t="s">
        <v>24</v>
      </c>
      <c r="I24" s="8" t="s">
        <v>24</v>
      </c>
      <c r="J24" s="9">
        <v>45742</v>
      </c>
    </row>
    <row r="25" spans="1:10">
      <c r="A25" s="8" t="s">
        <v>2909</v>
      </c>
      <c r="B25" s="8" t="s">
        <v>2898</v>
      </c>
      <c r="C25" s="9">
        <v>44862</v>
      </c>
      <c r="D25" s="10">
        <v>18.2</v>
      </c>
      <c r="E25" s="8" t="s">
        <v>1058</v>
      </c>
      <c r="F25" s="11">
        <v>9.7</v>
      </c>
      <c r="G25" s="12">
        <v>0.533</v>
      </c>
      <c r="H25" s="13" t="s">
        <v>1744</v>
      </c>
      <c r="I25" s="12">
        <v>0.03</v>
      </c>
      <c r="J25" s="9">
        <v>45195</v>
      </c>
    </row>
    <row r="26" spans="1:10">
      <c r="A26" s="8"/>
      <c r="B26" s="8"/>
      <c r="C26" s="14"/>
      <c r="D26" s="15"/>
      <c r="E26" s="8" t="s">
        <v>1059</v>
      </c>
      <c r="F26" s="11">
        <v>4</v>
      </c>
      <c r="G26" s="12">
        <v>0.2198</v>
      </c>
      <c r="H26" s="13" t="s">
        <v>1744</v>
      </c>
      <c r="I26" s="12">
        <v>0.032</v>
      </c>
      <c r="J26" s="9">
        <v>45256</v>
      </c>
    </row>
    <row r="27" spans="1:10">
      <c r="A27" s="8"/>
      <c r="B27" s="8"/>
      <c r="C27" s="14"/>
      <c r="D27" s="15"/>
      <c r="E27" s="8" t="s">
        <v>1060</v>
      </c>
      <c r="F27" s="11">
        <v>1.77</v>
      </c>
      <c r="G27" s="12">
        <v>0.0973</v>
      </c>
      <c r="H27" s="13" t="s">
        <v>1745</v>
      </c>
      <c r="I27" s="12">
        <v>0.035</v>
      </c>
      <c r="J27" s="9">
        <v>45286</v>
      </c>
    </row>
    <row r="28" spans="1:10">
      <c r="A28" s="8"/>
      <c r="B28" s="8"/>
      <c r="C28" s="14"/>
      <c r="D28" s="15"/>
      <c r="E28" s="8" t="s">
        <v>503</v>
      </c>
      <c r="F28" s="11">
        <v>2.73</v>
      </c>
      <c r="G28" s="12">
        <v>0.15</v>
      </c>
      <c r="H28" s="8" t="s">
        <v>24</v>
      </c>
      <c r="I28" s="8" t="s">
        <v>24</v>
      </c>
      <c r="J28" s="9">
        <v>45834</v>
      </c>
    </row>
    <row r="29" spans="1:10">
      <c r="A29" s="8" t="s">
        <v>2910</v>
      </c>
      <c r="B29" s="8" t="s">
        <v>2911</v>
      </c>
      <c r="C29" s="9">
        <v>44890</v>
      </c>
      <c r="D29" s="10">
        <v>5</v>
      </c>
      <c r="E29" s="8" t="s">
        <v>531</v>
      </c>
      <c r="F29" s="11">
        <v>3.65</v>
      </c>
      <c r="G29" s="12">
        <v>0.73</v>
      </c>
      <c r="H29" s="13" t="s">
        <v>1744</v>
      </c>
      <c r="I29" s="12">
        <v>0.037</v>
      </c>
      <c r="J29" s="9">
        <v>45164</v>
      </c>
    </row>
    <row r="30" spans="1:10">
      <c r="A30" s="8"/>
      <c r="B30" s="8"/>
      <c r="C30" s="14"/>
      <c r="D30" s="15"/>
      <c r="E30" s="8" t="s">
        <v>503</v>
      </c>
      <c r="F30" s="11">
        <v>1.35</v>
      </c>
      <c r="G30" s="12">
        <v>0.27</v>
      </c>
      <c r="H30" s="8" t="s">
        <v>24</v>
      </c>
      <c r="I30" s="8" t="s">
        <v>24</v>
      </c>
      <c r="J30" s="9">
        <v>45773</v>
      </c>
    </row>
    <row r="31" spans="1:10">
      <c r="A31" s="8" t="s">
        <v>2912</v>
      </c>
      <c r="B31" s="8" t="s">
        <v>2905</v>
      </c>
      <c r="C31" s="9">
        <v>44894</v>
      </c>
      <c r="D31" s="10">
        <v>15.72</v>
      </c>
      <c r="E31" s="8" t="s">
        <v>1064</v>
      </c>
      <c r="F31" s="11">
        <v>11.5</v>
      </c>
      <c r="G31" s="12">
        <v>0.7194</v>
      </c>
      <c r="H31" s="13" t="s">
        <v>1744</v>
      </c>
      <c r="I31" s="12">
        <v>0.0243</v>
      </c>
      <c r="J31" s="9">
        <v>45011</v>
      </c>
    </row>
    <row r="32" spans="1:10">
      <c r="A32" s="8"/>
      <c r="B32" s="8"/>
      <c r="C32" s="14"/>
      <c r="D32" s="15"/>
      <c r="E32" s="8" t="s">
        <v>1060</v>
      </c>
      <c r="F32" s="11">
        <v>0.62</v>
      </c>
      <c r="G32" s="12">
        <v>0.0719</v>
      </c>
      <c r="H32" s="13" t="s">
        <v>1745</v>
      </c>
      <c r="I32" s="12">
        <v>0.027</v>
      </c>
      <c r="J32" s="9">
        <v>45042</v>
      </c>
    </row>
    <row r="33" spans="1:10">
      <c r="A33" s="8"/>
      <c r="B33" s="8"/>
      <c r="C33" s="14"/>
      <c r="D33" s="15"/>
      <c r="E33" s="8" t="s">
        <v>503</v>
      </c>
      <c r="F33" s="11">
        <v>3.595856</v>
      </c>
      <c r="G33" s="12">
        <v>0.2087</v>
      </c>
      <c r="H33" s="8" t="s">
        <v>24</v>
      </c>
      <c r="I33" s="8" t="s">
        <v>24</v>
      </c>
      <c r="J33" s="9">
        <v>45348</v>
      </c>
    </row>
    <row r="34" spans="1:10">
      <c r="A34" s="8" t="s">
        <v>2913</v>
      </c>
      <c r="B34" s="8" t="s">
        <v>2914</v>
      </c>
      <c r="C34" s="9">
        <v>44902</v>
      </c>
      <c r="D34" s="10">
        <v>10</v>
      </c>
      <c r="E34" s="8" t="s">
        <v>531</v>
      </c>
      <c r="F34" s="11">
        <v>7.48</v>
      </c>
      <c r="G34" s="12">
        <v>0.748</v>
      </c>
      <c r="H34" s="13" t="s">
        <v>1744</v>
      </c>
      <c r="I34" s="12">
        <v>0.0265</v>
      </c>
      <c r="J34" s="9">
        <v>45286</v>
      </c>
    </row>
    <row r="35" spans="1:10">
      <c r="A35" s="8"/>
      <c r="B35" s="8"/>
      <c r="C35" s="14"/>
      <c r="D35" s="15"/>
      <c r="E35" s="8" t="s">
        <v>503</v>
      </c>
      <c r="F35" s="11">
        <v>2.52</v>
      </c>
      <c r="G35" s="12">
        <v>0.252</v>
      </c>
      <c r="H35" s="8" t="s">
        <v>24</v>
      </c>
      <c r="I35" s="8" t="s">
        <v>24</v>
      </c>
      <c r="J35" s="9">
        <v>45408</v>
      </c>
    </row>
    <row r="36" spans="1:10">
      <c r="A36" s="8" t="s">
        <v>2915</v>
      </c>
      <c r="B36" s="8" t="s">
        <v>2898</v>
      </c>
      <c r="C36" s="9">
        <v>44918</v>
      </c>
      <c r="D36" s="10">
        <v>13.25</v>
      </c>
      <c r="E36" s="8" t="s">
        <v>1058</v>
      </c>
      <c r="F36" s="11">
        <v>7</v>
      </c>
      <c r="G36" s="12">
        <v>0.5283</v>
      </c>
      <c r="H36" s="13" t="s">
        <v>1744</v>
      </c>
      <c r="I36" s="12">
        <v>0.038</v>
      </c>
      <c r="J36" s="9">
        <v>45286</v>
      </c>
    </row>
    <row r="37" spans="1:10">
      <c r="A37" s="8"/>
      <c r="B37" s="8"/>
      <c r="C37" s="14"/>
      <c r="D37" s="15"/>
      <c r="E37" s="8" t="s">
        <v>1059</v>
      </c>
      <c r="F37" s="11">
        <v>3</v>
      </c>
      <c r="G37" s="12">
        <v>0.2264</v>
      </c>
      <c r="H37" s="13" t="s">
        <v>1744</v>
      </c>
      <c r="I37" s="12">
        <v>0.042</v>
      </c>
      <c r="J37" s="9">
        <v>45317</v>
      </c>
    </row>
    <row r="38" spans="1:10">
      <c r="A38" s="8"/>
      <c r="B38" s="8"/>
      <c r="C38" s="14"/>
      <c r="D38" s="15"/>
      <c r="E38" s="8" t="s">
        <v>1060</v>
      </c>
      <c r="F38" s="11">
        <v>1.25</v>
      </c>
      <c r="G38" s="12">
        <v>0.0943</v>
      </c>
      <c r="H38" s="13" t="s">
        <v>1745</v>
      </c>
      <c r="I38" s="12">
        <v>0.0424</v>
      </c>
      <c r="J38" s="9">
        <v>45348</v>
      </c>
    </row>
    <row r="39" spans="1:10">
      <c r="A39" s="8"/>
      <c r="B39" s="8"/>
      <c r="C39" s="14"/>
      <c r="D39" s="15"/>
      <c r="E39" s="8" t="s">
        <v>503</v>
      </c>
      <c r="F39" s="11">
        <v>2</v>
      </c>
      <c r="G39" s="12">
        <v>0.1509</v>
      </c>
      <c r="H39" s="8" t="s">
        <v>24</v>
      </c>
      <c r="I39" s="8" t="s">
        <v>24</v>
      </c>
      <c r="J39" s="9">
        <v>45622</v>
      </c>
    </row>
    <row r="40" spans="1:10">
      <c r="A40" s="8" t="s">
        <v>2916</v>
      </c>
      <c r="B40" s="8" t="s">
        <v>2898</v>
      </c>
      <c r="C40" s="9">
        <v>44985</v>
      </c>
      <c r="D40" s="10">
        <v>15</v>
      </c>
      <c r="E40" s="8" t="s">
        <v>1058</v>
      </c>
      <c r="F40" s="11">
        <v>7.5</v>
      </c>
      <c r="G40" s="12">
        <v>0.5</v>
      </c>
      <c r="H40" s="13" t="s">
        <v>1744</v>
      </c>
      <c r="I40" s="12">
        <v>0.0355</v>
      </c>
      <c r="J40" s="9">
        <v>45348</v>
      </c>
    </row>
    <row r="41" spans="1:10">
      <c r="A41" s="8"/>
      <c r="B41" s="8"/>
      <c r="C41" s="14"/>
      <c r="D41" s="15"/>
      <c r="E41" s="8" t="s">
        <v>1059</v>
      </c>
      <c r="F41" s="11">
        <v>3</v>
      </c>
      <c r="G41" s="12">
        <v>0.2</v>
      </c>
      <c r="H41" s="13" t="s">
        <v>1744</v>
      </c>
      <c r="I41" s="12">
        <v>0.036</v>
      </c>
      <c r="J41" s="9">
        <v>45377</v>
      </c>
    </row>
    <row r="42" spans="1:10">
      <c r="A42" s="8"/>
      <c r="B42" s="8"/>
      <c r="C42" s="14"/>
      <c r="D42" s="15"/>
      <c r="E42" s="8" t="s">
        <v>1060</v>
      </c>
      <c r="F42" s="11">
        <v>2.25</v>
      </c>
      <c r="G42" s="12">
        <v>0.15</v>
      </c>
      <c r="H42" s="13" t="s">
        <v>1745</v>
      </c>
      <c r="I42" s="12">
        <v>0.0399</v>
      </c>
      <c r="J42" s="9">
        <v>45408</v>
      </c>
    </row>
    <row r="43" spans="1:10">
      <c r="A43" s="8"/>
      <c r="B43" s="8"/>
      <c r="C43" s="14"/>
      <c r="D43" s="15"/>
      <c r="E43" s="8" t="s">
        <v>503</v>
      </c>
      <c r="F43" s="11">
        <v>2.25</v>
      </c>
      <c r="G43" s="12">
        <v>0.15</v>
      </c>
      <c r="H43" s="8" t="s">
        <v>24</v>
      </c>
      <c r="I43" s="8" t="s">
        <v>24</v>
      </c>
      <c r="J43" s="9">
        <v>45683</v>
      </c>
    </row>
    <row r="44" spans="1:10">
      <c r="A44" s="8" t="s">
        <v>2917</v>
      </c>
      <c r="B44" s="8" t="s">
        <v>2905</v>
      </c>
      <c r="C44" s="9">
        <v>45013</v>
      </c>
      <c r="D44" s="10">
        <v>11.98</v>
      </c>
      <c r="E44" s="8" t="s">
        <v>531</v>
      </c>
      <c r="F44" s="11">
        <v>8.9</v>
      </c>
      <c r="G44" s="12">
        <v>0.7428</v>
      </c>
      <c r="H44" s="13" t="s">
        <v>1744</v>
      </c>
      <c r="I44" s="12">
        <v>0.032</v>
      </c>
      <c r="J44" s="9">
        <v>45438</v>
      </c>
    </row>
    <row r="45" spans="1:10">
      <c r="A45" s="8"/>
      <c r="B45" s="8"/>
      <c r="C45" s="14"/>
      <c r="D45" s="15"/>
      <c r="E45" s="8" t="s">
        <v>503</v>
      </c>
      <c r="F45" s="11">
        <v>3.08</v>
      </c>
      <c r="G45" s="12">
        <v>0.2572</v>
      </c>
      <c r="H45" s="8" t="s">
        <v>24</v>
      </c>
      <c r="I45" s="8" t="s">
        <v>24</v>
      </c>
      <c r="J45" s="9">
        <v>45683</v>
      </c>
    </row>
    <row r="46" spans="1:10">
      <c r="A46" s="8" t="s">
        <v>2918</v>
      </c>
      <c r="B46" s="8" t="s">
        <v>2898</v>
      </c>
      <c r="C46" s="9">
        <v>45043</v>
      </c>
      <c r="D46" s="10">
        <v>10</v>
      </c>
      <c r="E46" s="8" t="s">
        <v>1064</v>
      </c>
      <c r="F46" s="11">
        <v>7.5</v>
      </c>
      <c r="G46" s="12">
        <v>0.75</v>
      </c>
      <c r="H46" s="13" t="s">
        <v>1744</v>
      </c>
      <c r="I46" s="12">
        <v>0.0335</v>
      </c>
      <c r="J46" s="9">
        <v>45408</v>
      </c>
    </row>
    <row r="47" spans="1:10">
      <c r="A47" s="8"/>
      <c r="B47" s="8"/>
      <c r="C47" s="14"/>
      <c r="D47" s="15"/>
      <c r="E47" s="8" t="s">
        <v>1060</v>
      </c>
      <c r="F47" s="11">
        <v>1</v>
      </c>
      <c r="G47" s="12">
        <v>0.1</v>
      </c>
      <c r="H47" s="13" t="s">
        <v>1745</v>
      </c>
      <c r="I47" s="12">
        <v>0.038</v>
      </c>
      <c r="J47" s="9">
        <v>45439</v>
      </c>
    </row>
    <row r="48" spans="1:10">
      <c r="A48" s="8"/>
      <c r="B48" s="8"/>
      <c r="C48" s="14"/>
      <c r="D48" s="15"/>
      <c r="E48" s="8" t="s">
        <v>503</v>
      </c>
      <c r="F48" s="11">
        <v>1.5</v>
      </c>
      <c r="G48" s="12">
        <v>0.15</v>
      </c>
      <c r="H48" s="8" t="s">
        <v>24</v>
      </c>
      <c r="I48" s="8" t="s">
        <v>24</v>
      </c>
      <c r="J48" s="9">
        <v>45987</v>
      </c>
    </row>
    <row r="49" spans="1:10">
      <c r="A49" s="8" t="s">
        <v>2919</v>
      </c>
      <c r="B49" s="8" t="s">
        <v>2905</v>
      </c>
      <c r="C49" s="9">
        <v>45072</v>
      </c>
      <c r="D49" s="10">
        <v>11.07</v>
      </c>
      <c r="E49" s="8" t="s">
        <v>1064</v>
      </c>
      <c r="F49" s="11">
        <v>8.15</v>
      </c>
      <c r="G49" s="12">
        <v>0.7362</v>
      </c>
      <c r="H49" s="13" t="s">
        <v>1744</v>
      </c>
      <c r="I49" s="12">
        <v>0.03</v>
      </c>
      <c r="J49" s="9">
        <v>45469</v>
      </c>
    </row>
    <row r="50" spans="1:10">
      <c r="A50" s="8"/>
      <c r="B50" s="8"/>
      <c r="C50" s="14"/>
      <c r="D50" s="15"/>
      <c r="E50" s="8" t="s">
        <v>1060</v>
      </c>
      <c r="F50" s="11">
        <v>0.65</v>
      </c>
      <c r="G50" s="12">
        <v>0.0006</v>
      </c>
      <c r="H50" s="13" t="s">
        <v>1745</v>
      </c>
      <c r="I50" s="12">
        <v>0.034</v>
      </c>
      <c r="J50" s="9">
        <v>45469</v>
      </c>
    </row>
    <row r="51" spans="1:10">
      <c r="A51" s="8"/>
      <c r="B51" s="8"/>
      <c r="C51" s="14"/>
      <c r="D51" s="15"/>
      <c r="E51" s="8" t="s">
        <v>503</v>
      </c>
      <c r="F51" s="11">
        <v>2.27</v>
      </c>
      <c r="G51" s="12">
        <v>0.2051</v>
      </c>
      <c r="H51" s="8" t="s">
        <v>24</v>
      </c>
      <c r="I51" s="8" t="s">
        <v>24</v>
      </c>
      <c r="J51" s="9">
        <v>45742</v>
      </c>
    </row>
    <row r="52" spans="1:10">
      <c r="A52" s="8" t="s">
        <v>2920</v>
      </c>
      <c r="B52" s="8" t="s">
        <v>2903</v>
      </c>
      <c r="C52" s="9">
        <v>45079</v>
      </c>
      <c r="D52" s="10">
        <v>9.04</v>
      </c>
      <c r="E52" s="8" t="s">
        <v>531</v>
      </c>
      <c r="F52" s="11">
        <v>6.65</v>
      </c>
      <c r="G52" s="12">
        <v>0.7354</v>
      </c>
      <c r="H52" s="13" t="s">
        <v>1744</v>
      </c>
      <c r="I52" s="12">
        <v>0.029</v>
      </c>
      <c r="J52" s="9">
        <v>45229</v>
      </c>
    </row>
    <row r="53" spans="1:10">
      <c r="A53" s="8"/>
      <c r="B53" s="8"/>
      <c r="C53" s="14"/>
      <c r="D53" s="15"/>
      <c r="E53" s="8" t="s">
        <v>503</v>
      </c>
      <c r="F53" s="11">
        <v>2.39</v>
      </c>
      <c r="G53" s="12">
        <v>0.2646</v>
      </c>
      <c r="H53" s="8" t="s">
        <v>24</v>
      </c>
      <c r="I53" s="8" t="s">
        <v>24</v>
      </c>
      <c r="J53" s="9">
        <v>46050</v>
      </c>
    </row>
    <row r="54" spans="1:10">
      <c r="A54" s="8" t="s">
        <v>2921</v>
      </c>
      <c r="B54" s="8" t="s">
        <v>2900</v>
      </c>
      <c r="C54" s="9">
        <v>45127</v>
      </c>
      <c r="D54" s="10">
        <v>20</v>
      </c>
      <c r="E54" s="8" t="s">
        <v>1058</v>
      </c>
      <c r="F54" s="11">
        <v>5.5</v>
      </c>
      <c r="G54" s="12">
        <v>0.275</v>
      </c>
      <c r="H54" s="13" t="s">
        <v>1744</v>
      </c>
      <c r="I54" s="12">
        <v>0.0242</v>
      </c>
      <c r="J54" s="9">
        <v>45471</v>
      </c>
    </row>
    <row r="55" spans="1:10">
      <c r="A55" s="8"/>
      <c r="B55" s="8"/>
      <c r="C55" s="14"/>
      <c r="D55" s="15"/>
      <c r="E55" s="8" t="s">
        <v>1059</v>
      </c>
      <c r="F55" s="11">
        <v>10</v>
      </c>
      <c r="G55" s="12">
        <v>0.5</v>
      </c>
      <c r="H55" s="13" t="s">
        <v>1744</v>
      </c>
      <c r="I55" s="12">
        <v>0.0246</v>
      </c>
      <c r="J55" s="9">
        <v>45654</v>
      </c>
    </row>
    <row r="56" spans="1:10">
      <c r="A56" s="8"/>
      <c r="B56" s="8"/>
      <c r="C56" s="14"/>
      <c r="D56" s="15"/>
      <c r="E56" s="8" t="s">
        <v>1060</v>
      </c>
      <c r="F56" s="11">
        <v>1.5</v>
      </c>
      <c r="G56" s="12">
        <v>0.075</v>
      </c>
      <c r="H56" s="13" t="s">
        <v>505</v>
      </c>
      <c r="I56" s="12">
        <v>0.0275</v>
      </c>
      <c r="J56" s="9">
        <v>45665</v>
      </c>
    </row>
    <row r="57" spans="1:10">
      <c r="A57" s="8"/>
      <c r="B57" s="8"/>
      <c r="C57" s="14"/>
      <c r="D57" s="15"/>
      <c r="E57" s="8" t="s">
        <v>503</v>
      </c>
      <c r="F57" s="11">
        <v>3</v>
      </c>
      <c r="G57" s="12">
        <v>0.15</v>
      </c>
      <c r="H57" s="8" t="s">
        <v>24</v>
      </c>
      <c r="I57" s="8" t="s">
        <v>24</v>
      </c>
      <c r="J57" s="9">
        <v>45999</v>
      </c>
    </row>
    <row r="58" spans="1:10">
      <c r="A58" s="8" t="s">
        <v>2922</v>
      </c>
      <c r="B58" s="8" t="s">
        <v>2923</v>
      </c>
      <c r="C58" s="9">
        <v>45128</v>
      </c>
      <c r="D58" s="10">
        <v>10.48</v>
      </c>
      <c r="E58" s="8" t="s">
        <v>1064</v>
      </c>
      <c r="F58" s="11">
        <v>7.62</v>
      </c>
      <c r="G58" s="12">
        <v>0.7271</v>
      </c>
      <c r="H58" s="13" t="s">
        <v>1744</v>
      </c>
      <c r="I58" s="12">
        <v>0.026</v>
      </c>
      <c r="J58" s="9">
        <v>45195</v>
      </c>
    </row>
    <row r="59" spans="1:10">
      <c r="A59" s="8"/>
      <c r="B59" s="8"/>
      <c r="C59" s="14"/>
      <c r="D59" s="15"/>
      <c r="E59" s="8" t="s">
        <v>1060</v>
      </c>
      <c r="F59" s="11">
        <v>0.6</v>
      </c>
      <c r="G59" s="12">
        <v>0.0573</v>
      </c>
      <c r="H59" s="13" t="s">
        <v>1744</v>
      </c>
      <c r="I59" s="12">
        <v>0.029</v>
      </c>
      <c r="J59" s="9">
        <v>45195</v>
      </c>
    </row>
    <row r="60" spans="1:10">
      <c r="A60" s="8"/>
      <c r="B60" s="8"/>
      <c r="C60" s="14"/>
      <c r="D60" s="15"/>
      <c r="E60" s="8" t="s">
        <v>503</v>
      </c>
      <c r="F60" s="11">
        <v>2.26</v>
      </c>
      <c r="G60" s="12">
        <v>0.2156</v>
      </c>
      <c r="H60" s="8" t="s">
        <v>24</v>
      </c>
      <c r="I60" s="8" t="s">
        <v>24</v>
      </c>
      <c r="J60" s="9">
        <v>45956</v>
      </c>
    </row>
    <row r="61" spans="1:10">
      <c r="A61" s="8" t="s">
        <v>2924</v>
      </c>
      <c r="B61" s="8" t="s">
        <v>2898</v>
      </c>
      <c r="C61" s="9">
        <v>45135</v>
      </c>
      <c r="D61" s="10">
        <v>20</v>
      </c>
      <c r="E61" s="8" t="s">
        <v>1064</v>
      </c>
      <c r="F61" s="11">
        <v>14.9</v>
      </c>
      <c r="G61" s="12">
        <v>0.745</v>
      </c>
      <c r="H61" s="13" t="s">
        <v>1744</v>
      </c>
      <c r="I61" s="12">
        <v>0.0305</v>
      </c>
      <c r="J61" s="9">
        <v>45491</v>
      </c>
    </row>
    <row r="62" spans="1:10">
      <c r="A62" s="8"/>
      <c r="B62" s="8"/>
      <c r="C62" s="14"/>
      <c r="D62" s="15"/>
      <c r="E62" s="8" t="s">
        <v>1060</v>
      </c>
      <c r="F62" s="11">
        <v>2.1</v>
      </c>
      <c r="G62" s="12">
        <v>0.105</v>
      </c>
      <c r="H62" s="13" t="s">
        <v>1745</v>
      </c>
      <c r="I62" s="12">
        <v>0.0368</v>
      </c>
      <c r="J62" s="9">
        <v>45530</v>
      </c>
    </row>
    <row r="63" spans="1:10">
      <c r="A63" s="8"/>
      <c r="B63" s="8"/>
      <c r="C63" s="14"/>
      <c r="D63" s="15"/>
      <c r="E63" s="8" t="s">
        <v>503</v>
      </c>
      <c r="F63" s="11">
        <v>3</v>
      </c>
      <c r="G63" s="12">
        <v>0.15</v>
      </c>
      <c r="H63" s="16"/>
      <c r="I63" s="16"/>
      <c r="J63" s="9">
        <v>45773</v>
      </c>
    </row>
    <row r="64" spans="1:10">
      <c r="A64" s="8" t="s">
        <v>2925</v>
      </c>
      <c r="B64" s="8" t="s">
        <v>2905</v>
      </c>
      <c r="C64" s="9">
        <v>45161</v>
      </c>
      <c r="D64" s="10">
        <v>11.22</v>
      </c>
      <c r="E64" s="8" t="s">
        <v>1064</v>
      </c>
      <c r="F64" s="11">
        <v>8.08</v>
      </c>
      <c r="G64" s="12">
        <v>0.7201</v>
      </c>
      <c r="H64" s="13" t="s">
        <v>1744</v>
      </c>
      <c r="I64" s="12">
        <v>0.0285</v>
      </c>
      <c r="J64" s="9">
        <v>45011</v>
      </c>
    </row>
    <row r="65" spans="1:10">
      <c r="A65" s="8"/>
      <c r="B65" s="8"/>
      <c r="C65" s="14"/>
      <c r="D65" s="15"/>
      <c r="E65" s="8" t="s">
        <v>1060</v>
      </c>
      <c r="F65" s="11">
        <v>0.57</v>
      </c>
      <c r="G65" s="12">
        <v>0.0508</v>
      </c>
      <c r="H65" s="13" t="s">
        <v>1745</v>
      </c>
      <c r="I65" s="12">
        <v>0.03</v>
      </c>
      <c r="J65" s="9">
        <v>45042</v>
      </c>
    </row>
    <row r="66" spans="1:10">
      <c r="A66" s="8"/>
      <c r="B66" s="8"/>
      <c r="C66" s="14"/>
      <c r="D66" s="15"/>
      <c r="E66" s="8" t="s">
        <v>503</v>
      </c>
      <c r="F66" s="11">
        <v>2.58</v>
      </c>
      <c r="G66" s="12">
        <v>0.2299</v>
      </c>
      <c r="H66" s="8" t="s">
        <v>24</v>
      </c>
      <c r="I66" s="8" t="s">
        <v>24</v>
      </c>
      <c r="J66" s="9">
        <v>45256</v>
      </c>
    </row>
    <row r="67" spans="1:10">
      <c r="A67" s="8" t="s">
        <v>2926</v>
      </c>
      <c r="B67" s="8" t="s">
        <v>2900</v>
      </c>
      <c r="C67" s="9">
        <v>45162</v>
      </c>
      <c r="D67" s="10">
        <v>20</v>
      </c>
      <c r="E67" s="8" t="s">
        <v>1899</v>
      </c>
      <c r="F67" s="11">
        <v>5.4</v>
      </c>
      <c r="G67" s="12">
        <v>0.27</v>
      </c>
      <c r="H67" s="13" t="s">
        <v>1744</v>
      </c>
      <c r="I67" s="12">
        <v>0.0232</v>
      </c>
      <c r="J67" s="9">
        <v>45177</v>
      </c>
    </row>
    <row r="68" spans="1:10">
      <c r="A68" s="8"/>
      <c r="B68" s="8"/>
      <c r="C68" s="14"/>
      <c r="D68" s="15"/>
      <c r="E68" s="8" t="s">
        <v>1900</v>
      </c>
      <c r="F68" s="11">
        <v>9.9</v>
      </c>
      <c r="G68" s="12">
        <v>0.495</v>
      </c>
      <c r="H68" s="13" t="s">
        <v>1744</v>
      </c>
      <c r="I68" s="12">
        <v>0.024</v>
      </c>
      <c r="J68" s="9">
        <v>45724</v>
      </c>
    </row>
    <row r="69" spans="1:10">
      <c r="A69" s="8"/>
      <c r="B69" s="8"/>
      <c r="C69" s="14"/>
      <c r="D69" s="15"/>
      <c r="E69" s="8" t="s">
        <v>2927</v>
      </c>
      <c r="F69" s="11">
        <v>1.5</v>
      </c>
      <c r="G69" s="12">
        <v>0.075</v>
      </c>
      <c r="H69" s="13" t="s">
        <v>1745</v>
      </c>
      <c r="I69" s="12">
        <v>0.0267</v>
      </c>
      <c r="J69" s="9">
        <v>45755</v>
      </c>
    </row>
    <row r="70" spans="1:10">
      <c r="A70" s="8"/>
      <c r="B70" s="8"/>
      <c r="C70" s="14"/>
      <c r="D70" s="15"/>
      <c r="E70" s="8" t="s">
        <v>2928</v>
      </c>
      <c r="F70" s="11">
        <v>1.2</v>
      </c>
      <c r="G70" s="12">
        <v>0.06</v>
      </c>
      <c r="H70" s="13" t="s">
        <v>2845</v>
      </c>
      <c r="I70" s="12">
        <v>0.0335</v>
      </c>
      <c r="J70" s="9">
        <v>45785</v>
      </c>
    </row>
    <row r="71" spans="1:10">
      <c r="A71" s="8"/>
      <c r="B71" s="8"/>
      <c r="C71" s="14"/>
      <c r="D71" s="15"/>
      <c r="E71" s="8" t="s">
        <v>503</v>
      </c>
      <c r="F71" s="11">
        <v>2</v>
      </c>
      <c r="G71" s="12">
        <v>0.1</v>
      </c>
      <c r="H71" s="8" t="s">
        <v>24</v>
      </c>
      <c r="I71" s="8" t="s">
        <v>24</v>
      </c>
      <c r="J71" s="9">
        <v>46089</v>
      </c>
    </row>
    <row r="72" spans="1:10">
      <c r="A72" s="8" t="s">
        <v>2929</v>
      </c>
      <c r="B72" s="8" t="s">
        <v>2898</v>
      </c>
      <c r="C72" s="9">
        <v>45196</v>
      </c>
      <c r="D72" s="10">
        <v>10</v>
      </c>
      <c r="E72" s="8" t="s">
        <v>1064</v>
      </c>
      <c r="F72" s="11">
        <v>7.5</v>
      </c>
      <c r="G72" s="12">
        <v>0.75</v>
      </c>
      <c r="H72" s="13" t="s">
        <v>1744</v>
      </c>
      <c r="I72" s="12">
        <v>0.03</v>
      </c>
      <c r="J72" s="9">
        <v>45561</v>
      </c>
    </row>
    <row r="73" spans="1:10">
      <c r="A73" s="8"/>
      <c r="B73" s="8"/>
      <c r="C73" s="14"/>
      <c r="D73" s="15"/>
      <c r="E73" s="8" t="s">
        <v>1060</v>
      </c>
      <c r="F73" s="11">
        <v>1</v>
      </c>
      <c r="G73" s="12">
        <v>0.1</v>
      </c>
      <c r="H73" s="13" t="s">
        <v>1745</v>
      </c>
      <c r="I73" s="12">
        <v>0.035</v>
      </c>
      <c r="J73" s="9">
        <v>45591</v>
      </c>
    </row>
    <row r="74" spans="1:10">
      <c r="A74" s="8"/>
      <c r="B74" s="8"/>
      <c r="C74" s="14"/>
      <c r="D74" s="15"/>
      <c r="E74" s="8" t="s">
        <v>503</v>
      </c>
      <c r="F74" s="11">
        <v>1.5</v>
      </c>
      <c r="G74" s="12">
        <v>0.15</v>
      </c>
      <c r="H74" s="8" t="s">
        <v>24</v>
      </c>
      <c r="I74" s="8" t="s">
        <v>24</v>
      </c>
      <c r="J74" s="9">
        <v>45834</v>
      </c>
    </row>
    <row r="75" spans="1:10">
      <c r="A75" s="8" t="s">
        <v>2930</v>
      </c>
      <c r="B75" s="8" t="s">
        <v>2907</v>
      </c>
      <c r="C75" s="9">
        <v>45197</v>
      </c>
      <c r="D75" s="10">
        <v>12.39</v>
      </c>
      <c r="E75" s="8" t="s">
        <v>1064</v>
      </c>
      <c r="F75" s="11">
        <v>8.95</v>
      </c>
      <c r="G75" s="13">
        <v>72.26</v>
      </c>
      <c r="H75" s="13" t="s">
        <v>1744</v>
      </c>
      <c r="I75" s="12">
        <v>0.0265</v>
      </c>
      <c r="J75" s="9">
        <v>45561</v>
      </c>
    </row>
    <row r="76" spans="1:10">
      <c r="A76" s="8"/>
      <c r="B76" s="8"/>
      <c r="C76" s="14"/>
      <c r="D76" s="15"/>
      <c r="E76" s="8" t="s">
        <v>1060</v>
      </c>
      <c r="F76" s="11">
        <v>0.89</v>
      </c>
      <c r="G76" s="13">
        <v>7.19</v>
      </c>
      <c r="H76" s="13" t="s">
        <v>1745</v>
      </c>
      <c r="I76" s="12">
        <v>0.027</v>
      </c>
      <c r="J76" s="9">
        <v>45591</v>
      </c>
    </row>
    <row r="77" spans="1:10">
      <c r="A77" s="8"/>
      <c r="B77" s="8"/>
      <c r="C77" s="14"/>
      <c r="D77" s="15"/>
      <c r="E77" s="8" t="s">
        <v>503</v>
      </c>
      <c r="F77" s="11">
        <v>2.55</v>
      </c>
      <c r="G77" s="13">
        <v>20.55</v>
      </c>
      <c r="H77" s="8" t="s">
        <v>24</v>
      </c>
      <c r="I77" s="8" t="s">
        <v>24</v>
      </c>
      <c r="J77" s="9">
        <v>45834</v>
      </c>
    </row>
    <row r="78" spans="1:10">
      <c r="A78" s="8" t="s">
        <v>2931</v>
      </c>
      <c r="B78" s="8" t="s">
        <v>2905</v>
      </c>
      <c r="C78" s="9">
        <v>45226</v>
      </c>
      <c r="D78" s="10">
        <v>15.13</v>
      </c>
      <c r="E78" s="8" t="s">
        <v>1064</v>
      </c>
      <c r="F78" s="11">
        <v>11.1</v>
      </c>
      <c r="G78" s="13">
        <v>73.38</v>
      </c>
      <c r="H78" s="13" t="s">
        <v>1744</v>
      </c>
      <c r="I78" s="12">
        <v>0.0295</v>
      </c>
      <c r="J78" s="9">
        <v>45591</v>
      </c>
    </row>
    <row r="79" spans="1:10">
      <c r="A79" s="8"/>
      <c r="B79" s="8"/>
      <c r="C79" s="14"/>
      <c r="D79" s="15"/>
      <c r="E79" s="8" t="s">
        <v>1060</v>
      </c>
      <c r="F79" s="11">
        <v>0.9</v>
      </c>
      <c r="G79" s="13">
        <v>5.95</v>
      </c>
      <c r="H79" s="13" t="s">
        <v>1745</v>
      </c>
      <c r="I79" s="12">
        <v>0.031</v>
      </c>
      <c r="J79" s="9">
        <v>45622</v>
      </c>
    </row>
    <row r="80" spans="1:10">
      <c r="A80" s="8"/>
      <c r="B80" s="8"/>
      <c r="C80" s="14"/>
      <c r="D80" s="15"/>
      <c r="E80" s="8" t="s">
        <v>1061</v>
      </c>
      <c r="F80" s="11">
        <v>1.28</v>
      </c>
      <c r="G80" s="13">
        <v>8.46</v>
      </c>
      <c r="H80" s="13" t="s">
        <v>1746</v>
      </c>
      <c r="I80" s="12">
        <v>0.045</v>
      </c>
      <c r="J80" s="9">
        <v>45652</v>
      </c>
    </row>
    <row r="81" spans="1:10">
      <c r="A81" s="8"/>
      <c r="B81" s="8"/>
      <c r="C81" s="14"/>
      <c r="D81" s="15"/>
      <c r="E81" s="8" t="s">
        <v>503</v>
      </c>
      <c r="F81" s="11">
        <v>1.85</v>
      </c>
      <c r="G81" s="13">
        <v>12.21</v>
      </c>
      <c r="H81" s="8" t="s">
        <v>24</v>
      </c>
      <c r="I81" s="8" t="s">
        <v>24</v>
      </c>
      <c r="J81" s="9">
        <v>45895</v>
      </c>
    </row>
    <row r="82" spans="1:10">
      <c r="A82" s="8" t="s">
        <v>2932</v>
      </c>
      <c r="B82" s="8" t="s">
        <v>2914</v>
      </c>
      <c r="C82" s="9">
        <v>45237</v>
      </c>
      <c r="D82" s="10">
        <v>9.92</v>
      </c>
      <c r="E82" s="8" t="s">
        <v>531</v>
      </c>
      <c r="F82" s="11">
        <v>7.37</v>
      </c>
      <c r="G82" s="13">
        <v>74.31</v>
      </c>
      <c r="H82" s="13" t="s">
        <v>1744</v>
      </c>
      <c r="I82" s="12">
        <v>0.0259</v>
      </c>
      <c r="J82" s="9">
        <v>45591</v>
      </c>
    </row>
    <row r="83" spans="1:10">
      <c r="A83" s="8"/>
      <c r="B83" s="8"/>
      <c r="C83" s="14"/>
      <c r="D83" s="15"/>
      <c r="E83" s="8" t="s">
        <v>503</v>
      </c>
      <c r="F83" s="11">
        <v>2.55</v>
      </c>
      <c r="G83" s="13">
        <v>25.69</v>
      </c>
      <c r="H83" s="8" t="s">
        <v>24</v>
      </c>
      <c r="I83" s="8" t="s">
        <v>24</v>
      </c>
      <c r="J83" s="9">
        <v>45714</v>
      </c>
    </row>
    <row r="84" spans="1:10">
      <c r="A84" s="8" t="s">
        <v>2933</v>
      </c>
      <c r="B84" s="8" t="s">
        <v>2898</v>
      </c>
      <c r="C84" s="9">
        <v>45238</v>
      </c>
      <c r="D84" s="10">
        <v>15</v>
      </c>
      <c r="E84" s="8" t="s">
        <v>1064</v>
      </c>
      <c r="F84" s="11">
        <v>11.25</v>
      </c>
      <c r="G84" s="12">
        <v>0.75</v>
      </c>
      <c r="H84" s="13" t="s">
        <v>1744</v>
      </c>
      <c r="I84" s="12">
        <v>0.03</v>
      </c>
      <c r="J84" s="9">
        <v>45590</v>
      </c>
    </row>
    <row r="85" spans="1:10">
      <c r="A85" s="8"/>
      <c r="B85" s="8"/>
      <c r="C85" s="14"/>
      <c r="D85" s="15"/>
      <c r="E85" s="8" t="s">
        <v>1060</v>
      </c>
      <c r="F85" s="11">
        <v>1.5</v>
      </c>
      <c r="G85" s="12">
        <v>0.1</v>
      </c>
      <c r="H85" s="13" t="s">
        <v>1745</v>
      </c>
      <c r="I85" s="12">
        <v>0.035</v>
      </c>
      <c r="J85" s="9">
        <v>45622</v>
      </c>
    </row>
    <row r="86" spans="1:10">
      <c r="A86" s="8"/>
      <c r="B86" s="8"/>
      <c r="C86" s="14"/>
      <c r="D86" s="15"/>
      <c r="E86" s="8" t="s">
        <v>503</v>
      </c>
      <c r="F86" s="11">
        <v>2.25</v>
      </c>
      <c r="G86" s="12">
        <v>0.15</v>
      </c>
      <c r="H86" s="8" t="s">
        <v>24</v>
      </c>
      <c r="I86" s="8" t="s">
        <v>24</v>
      </c>
      <c r="J86" s="9">
        <v>46168</v>
      </c>
    </row>
    <row r="87" spans="1:10">
      <c r="A87" s="8" t="s">
        <v>2934</v>
      </c>
      <c r="B87" s="8" t="s">
        <v>2923</v>
      </c>
      <c r="C87" s="9">
        <v>45240</v>
      </c>
      <c r="D87" s="10">
        <v>20</v>
      </c>
      <c r="E87" s="8" t="s">
        <v>1064</v>
      </c>
      <c r="F87" s="11">
        <v>14.8</v>
      </c>
      <c r="G87" s="12">
        <v>0.74</v>
      </c>
      <c r="H87" s="13" t="s">
        <v>1744</v>
      </c>
      <c r="I87" s="12">
        <v>0.028</v>
      </c>
      <c r="J87" s="9">
        <v>45408</v>
      </c>
    </row>
    <row r="88" spans="1:10">
      <c r="A88" s="8"/>
      <c r="B88" s="8"/>
      <c r="C88" s="14"/>
      <c r="D88" s="15"/>
      <c r="E88" s="8" t="s">
        <v>1060</v>
      </c>
      <c r="F88" s="11">
        <v>1.1</v>
      </c>
      <c r="G88" s="12">
        <v>0.055</v>
      </c>
      <c r="H88" s="13" t="s">
        <v>1745</v>
      </c>
      <c r="I88" s="12">
        <v>0.029</v>
      </c>
      <c r="J88" s="9">
        <v>45408</v>
      </c>
    </row>
    <row r="89" spans="1:10">
      <c r="A89" s="8"/>
      <c r="B89" s="8"/>
      <c r="C89" s="14"/>
      <c r="D89" s="15"/>
      <c r="E89" s="8" t="s">
        <v>503</v>
      </c>
      <c r="F89" s="11">
        <v>4.1</v>
      </c>
      <c r="G89" s="12">
        <v>0.205</v>
      </c>
      <c r="H89" s="8" t="s">
        <v>24</v>
      </c>
      <c r="I89" s="8" t="s">
        <v>24</v>
      </c>
      <c r="J89" s="9">
        <v>46048</v>
      </c>
    </row>
    <row r="90" spans="1:10">
      <c r="A90" s="8" t="s">
        <v>2935</v>
      </c>
      <c r="B90" s="8" t="s">
        <v>2936</v>
      </c>
      <c r="C90" s="9">
        <v>45268</v>
      </c>
      <c r="D90" s="10">
        <v>15.18</v>
      </c>
      <c r="E90" s="8" t="s">
        <v>1064</v>
      </c>
      <c r="F90" s="11">
        <v>11.08</v>
      </c>
      <c r="G90" s="12">
        <v>0.7298</v>
      </c>
      <c r="H90" s="13" t="s">
        <v>1744</v>
      </c>
      <c r="I90" s="12">
        <v>0.027</v>
      </c>
      <c r="J90" s="9">
        <v>45561</v>
      </c>
    </row>
    <row r="91" spans="1:10">
      <c r="A91" s="8"/>
      <c r="B91" s="8"/>
      <c r="C91" s="14"/>
      <c r="D91" s="15"/>
      <c r="E91" s="8" t="s">
        <v>1060</v>
      </c>
      <c r="F91" s="11">
        <v>1.07</v>
      </c>
      <c r="G91" s="12">
        <v>0.0705</v>
      </c>
      <c r="H91" s="13" t="s">
        <v>1745</v>
      </c>
      <c r="I91" s="12">
        <v>0.033</v>
      </c>
      <c r="J91" s="9">
        <v>45622</v>
      </c>
    </row>
    <row r="92" spans="1:10">
      <c r="A92" s="8"/>
      <c r="B92" s="8"/>
      <c r="C92" s="14"/>
      <c r="D92" s="15"/>
      <c r="E92" s="8" t="s">
        <v>503</v>
      </c>
      <c r="F92" s="11">
        <v>3.03</v>
      </c>
      <c r="G92" s="12">
        <v>0.1997</v>
      </c>
      <c r="H92" s="8" t="s">
        <v>24</v>
      </c>
      <c r="I92" s="8" t="s">
        <v>24</v>
      </c>
      <c r="J92" s="9">
        <v>45926</v>
      </c>
    </row>
    <row r="93" spans="1:10">
      <c r="A93" s="8" t="s">
        <v>2937</v>
      </c>
      <c r="B93" s="8" t="s">
        <v>2898</v>
      </c>
      <c r="C93" s="9">
        <v>45286</v>
      </c>
      <c r="D93" s="10">
        <v>15</v>
      </c>
      <c r="E93" s="8" t="s">
        <v>1058</v>
      </c>
      <c r="F93" s="11">
        <v>4.5</v>
      </c>
      <c r="G93" s="12">
        <v>0.3</v>
      </c>
      <c r="H93" s="13" t="s">
        <v>1744</v>
      </c>
      <c r="I93" s="12">
        <v>0.0295</v>
      </c>
      <c r="J93" s="9">
        <v>45591</v>
      </c>
    </row>
    <row r="94" spans="1:10">
      <c r="A94" s="8"/>
      <c r="B94" s="8"/>
      <c r="C94" s="14"/>
      <c r="D94" s="15"/>
      <c r="E94" s="8" t="s">
        <v>1059</v>
      </c>
      <c r="F94" s="11">
        <v>6.6</v>
      </c>
      <c r="G94" s="12">
        <v>0.44</v>
      </c>
      <c r="H94" s="13" t="s">
        <v>1744</v>
      </c>
      <c r="I94" s="12">
        <v>0.03</v>
      </c>
      <c r="J94" s="9">
        <v>45644</v>
      </c>
    </row>
    <row r="95" spans="1:10">
      <c r="A95" s="8"/>
      <c r="B95" s="8"/>
      <c r="C95" s="14"/>
      <c r="D95" s="15"/>
      <c r="E95" s="8" t="s">
        <v>1060</v>
      </c>
      <c r="F95" s="11">
        <v>1.65</v>
      </c>
      <c r="G95" s="12">
        <v>0.11</v>
      </c>
      <c r="H95" s="13" t="s">
        <v>1745</v>
      </c>
      <c r="I95" s="12">
        <v>0.035</v>
      </c>
      <c r="J95" s="9">
        <v>45683</v>
      </c>
    </row>
    <row r="96" spans="1:10">
      <c r="A96" s="8"/>
      <c r="B96" s="8"/>
      <c r="C96" s="14"/>
      <c r="D96" s="15"/>
      <c r="E96" s="8" t="s">
        <v>503</v>
      </c>
      <c r="F96" s="11">
        <v>2.25</v>
      </c>
      <c r="G96" s="12">
        <v>0.15</v>
      </c>
      <c r="H96" s="8" t="s">
        <v>24</v>
      </c>
      <c r="I96" s="8" t="s">
        <v>24</v>
      </c>
      <c r="J96" s="9">
        <v>45926</v>
      </c>
    </row>
    <row r="97" spans="1:10">
      <c r="A97" s="8" t="s">
        <v>2938</v>
      </c>
      <c r="B97" s="8" t="s">
        <v>2939</v>
      </c>
      <c r="C97" s="9">
        <v>45364</v>
      </c>
      <c r="D97" s="10">
        <v>15.5</v>
      </c>
      <c r="E97" s="8" t="s">
        <v>1058</v>
      </c>
      <c r="F97" s="11">
        <v>9.5</v>
      </c>
      <c r="G97" s="12">
        <v>0.6129</v>
      </c>
      <c r="H97" s="13" t="s">
        <v>1744</v>
      </c>
      <c r="I97" s="12">
        <v>0.0208</v>
      </c>
      <c r="J97" s="9">
        <v>45591</v>
      </c>
    </row>
    <row r="98" spans="1:10">
      <c r="A98" s="8"/>
      <c r="B98" s="8"/>
      <c r="C98" s="14"/>
      <c r="D98" s="15"/>
      <c r="E98" s="8" t="s">
        <v>1059</v>
      </c>
      <c r="F98" s="11">
        <v>2.1</v>
      </c>
      <c r="G98" s="12">
        <v>0.1355</v>
      </c>
      <c r="H98" s="13" t="s">
        <v>1744</v>
      </c>
      <c r="I98" s="12">
        <v>0.0218</v>
      </c>
      <c r="J98" s="9">
        <v>45773</v>
      </c>
    </row>
    <row r="99" spans="1:10">
      <c r="A99" s="8"/>
      <c r="B99" s="8"/>
      <c r="C99" s="14"/>
      <c r="D99" s="15"/>
      <c r="E99" s="8" t="s">
        <v>1060</v>
      </c>
      <c r="F99" s="11">
        <v>1.05</v>
      </c>
      <c r="G99" s="12">
        <v>0.0677</v>
      </c>
      <c r="H99" s="13" t="s">
        <v>1745</v>
      </c>
      <c r="I99" s="12">
        <v>0.0248</v>
      </c>
      <c r="J99" s="9">
        <v>45864</v>
      </c>
    </row>
    <row r="100" spans="1:10">
      <c r="A100" s="8"/>
      <c r="B100" s="8"/>
      <c r="C100" s="14"/>
      <c r="D100" s="15"/>
      <c r="E100" s="8" t="s">
        <v>503</v>
      </c>
      <c r="F100" s="11">
        <v>2.85</v>
      </c>
      <c r="G100" s="12">
        <v>0.1839</v>
      </c>
      <c r="H100" s="8" t="s">
        <v>24</v>
      </c>
      <c r="I100" s="8" t="s">
        <v>24</v>
      </c>
      <c r="J100" s="9">
        <v>46594</v>
      </c>
    </row>
    <row r="101" spans="1:10">
      <c r="A101" s="8" t="s">
        <v>2940</v>
      </c>
      <c r="B101" s="8" t="s">
        <v>2905</v>
      </c>
      <c r="C101" s="9">
        <v>45372</v>
      </c>
      <c r="D101" s="10">
        <v>16.89</v>
      </c>
      <c r="E101" s="8" t="s">
        <v>1064</v>
      </c>
      <c r="F101" s="11">
        <v>12.57</v>
      </c>
      <c r="G101" s="12">
        <v>0.7444</v>
      </c>
      <c r="H101" s="13" t="s">
        <v>1744</v>
      </c>
      <c r="I101" s="12">
        <v>0.025</v>
      </c>
      <c r="J101" s="9">
        <v>45742</v>
      </c>
    </row>
    <row r="102" spans="1:10">
      <c r="A102" s="8"/>
      <c r="B102" s="8"/>
      <c r="C102" s="14"/>
      <c r="D102" s="15"/>
      <c r="E102" s="8" t="s">
        <v>1060</v>
      </c>
      <c r="F102" s="11">
        <v>0.95</v>
      </c>
      <c r="G102" s="12">
        <v>0.0563</v>
      </c>
      <c r="H102" s="13" t="s">
        <v>1745</v>
      </c>
      <c r="I102" s="12">
        <v>0.027</v>
      </c>
      <c r="J102" s="9">
        <v>45773</v>
      </c>
    </row>
    <row r="103" spans="1:10">
      <c r="A103" s="8"/>
      <c r="B103" s="8"/>
      <c r="C103" s="14"/>
      <c r="D103" s="15"/>
      <c r="E103" s="8" t="s">
        <v>503</v>
      </c>
      <c r="F103" s="11">
        <v>3.37</v>
      </c>
      <c r="G103" s="12">
        <v>0.1994</v>
      </c>
      <c r="H103" s="8" t="s">
        <v>24</v>
      </c>
      <c r="I103" s="8" t="s">
        <v>24</v>
      </c>
      <c r="J103" s="9">
        <v>46017</v>
      </c>
    </row>
    <row r="104" spans="1:10">
      <c r="A104" s="8" t="s">
        <v>2941</v>
      </c>
      <c r="B104" s="8" t="s">
        <v>2898</v>
      </c>
      <c r="C104" s="9">
        <v>45428</v>
      </c>
      <c r="D104" s="10">
        <v>15</v>
      </c>
      <c r="E104" s="8" t="s">
        <v>1064</v>
      </c>
      <c r="F104" s="11">
        <v>11.25</v>
      </c>
      <c r="G104" s="12">
        <v>0.75</v>
      </c>
      <c r="H104" s="13" t="s">
        <v>1744</v>
      </c>
      <c r="I104" s="12">
        <v>0.0245</v>
      </c>
      <c r="J104" s="9">
        <v>45765</v>
      </c>
    </row>
    <row r="105" spans="1:10">
      <c r="A105" s="8"/>
      <c r="B105" s="8"/>
      <c r="C105" s="14"/>
      <c r="D105" s="15"/>
      <c r="E105" s="8" t="s">
        <v>1060</v>
      </c>
      <c r="F105" s="11">
        <v>1.5</v>
      </c>
      <c r="G105" s="12">
        <v>0.1</v>
      </c>
      <c r="H105" s="13" t="s">
        <v>1745</v>
      </c>
      <c r="I105" s="12">
        <v>0.028</v>
      </c>
      <c r="J105" s="9">
        <v>45803</v>
      </c>
    </row>
    <row r="106" spans="1:10">
      <c r="A106" s="8"/>
      <c r="B106" s="8"/>
      <c r="C106" s="14"/>
      <c r="D106" s="15"/>
      <c r="E106" s="8" t="s">
        <v>503</v>
      </c>
      <c r="F106" s="11">
        <v>2.25</v>
      </c>
      <c r="G106" s="12">
        <v>0.15</v>
      </c>
      <c r="H106" s="8" t="s">
        <v>24</v>
      </c>
      <c r="I106" s="8" t="s">
        <v>24</v>
      </c>
      <c r="J106" s="17"/>
    </row>
    <row r="107" spans="1:10">
      <c r="A107" s="8" t="s">
        <v>2942</v>
      </c>
      <c r="B107" s="8" t="s">
        <v>2923</v>
      </c>
      <c r="C107" s="9">
        <v>45440</v>
      </c>
      <c r="D107" s="10">
        <v>16.5</v>
      </c>
      <c r="E107" s="8" t="s">
        <v>1064</v>
      </c>
      <c r="F107" s="11">
        <v>11.75</v>
      </c>
      <c r="G107" s="12">
        <v>0.7121</v>
      </c>
      <c r="H107" s="13" t="s">
        <v>1744</v>
      </c>
      <c r="I107" s="12">
        <v>0.0228</v>
      </c>
      <c r="J107" s="9">
        <v>45714</v>
      </c>
    </row>
    <row r="108" spans="1:10">
      <c r="A108" s="8"/>
      <c r="B108" s="8"/>
      <c r="C108" s="14"/>
      <c r="D108" s="15"/>
      <c r="E108" s="8" t="s">
        <v>1060</v>
      </c>
      <c r="F108" s="11">
        <v>1.1</v>
      </c>
      <c r="G108" s="12">
        <v>0.0667</v>
      </c>
      <c r="H108" s="13" t="s">
        <v>1744</v>
      </c>
      <c r="I108" s="12">
        <v>0.025</v>
      </c>
      <c r="J108" s="9">
        <v>45714</v>
      </c>
    </row>
    <row r="109" spans="1:10">
      <c r="A109" s="8"/>
      <c r="B109" s="8"/>
      <c r="C109" s="14"/>
      <c r="D109" s="15"/>
      <c r="E109" s="8" t="s">
        <v>503</v>
      </c>
      <c r="F109" s="11">
        <v>3.65</v>
      </c>
      <c r="G109" s="12">
        <v>0.2212</v>
      </c>
      <c r="H109" s="8" t="s">
        <v>24</v>
      </c>
      <c r="I109" s="8" t="s">
        <v>24</v>
      </c>
      <c r="J109" s="9">
        <v>46444</v>
      </c>
    </row>
    <row r="110" spans="1:10">
      <c r="A110" s="8" t="s">
        <v>2943</v>
      </c>
      <c r="B110" s="8" t="s">
        <v>2914</v>
      </c>
      <c r="C110" s="9">
        <v>45456</v>
      </c>
      <c r="D110" s="10">
        <v>10.08</v>
      </c>
      <c r="E110" s="8" t="s">
        <v>531</v>
      </c>
      <c r="F110" s="11">
        <v>7.52</v>
      </c>
      <c r="G110" s="12">
        <v>0.7459</v>
      </c>
      <c r="H110" s="13" t="s">
        <v>1744</v>
      </c>
      <c r="I110" s="12">
        <v>0.0208</v>
      </c>
      <c r="J110" s="9">
        <v>45803</v>
      </c>
    </row>
    <row r="111" spans="1:10">
      <c r="A111" s="8"/>
      <c r="B111" s="8"/>
      <c r="C111" s="14"/>
      <c r="D111" s="15"/>
      <c r="E111" s="8" t="s">
        <v>503</v>
      </c>
      <c r="F111" s="11">
        <v>2.56</v>
      </c>
      <c r="G111" s="12">
        <v>0.2541</v>
      </c>
      <c r="H111" s="8" t="s">
        <v>24</v>
      </c>
      <c r="I111" s="8" t="s">
        <v>24</v>
      </c>
      <c r="J111" s="9">
        <v>46321</v>
      </c>
    </row>
    <row r="112" spans="1:10">
      <c r="A112" s="8" t="s">
        <v>2944</v>
      </c>
      <c r="B112" s="8" t="s">
        <v>2905</v>
      </c>
      <c r="C112" s="9">
        <v>45463</v>
      </c>
      <c r="D112" s="10">
        <v>17.79</v>
      </c>
      <c r="E112" s="8" t="s">
        <v>1064</v>
      </c>
      <c r="F112" s="11">
        <v>13.22</v>
      </c>
      <c r="G112" s="13">
        <v>74.3</v>
      </c>
      <c r="H112" s="13" t="s">
        <v>1744</v>
      </c>
      <c r="I112" s="12">
        <v>0.023</v>
      </c>
      <c r="J112" s="9">
        <v>45834</v>
      </c>
    </row>
    <row r="113" spans="1:10">
      <c r="A113" s="8"/>
      <c r="B113" s="8"/>
      <c r="C113" s="14"/>
      <c r="D113" s="15"/>
      <c r="E113" s="8" t="s">
        <v>1060</v>
      </c>
      <c r="F113" s="11">
        <v>1.02</v>
      </c>
      <c r="G113" s="13">
        <v>5.73</v>
      </c>
      <c r="H113" s="13" t="s">
        <v>1745</v>
      </c>
      <c r="I113" s="12">
        <v>0.025</v>
      </c>
      <c r="J113" s="9">
        <v>45864</v>
      </c>
    </row>
    <row r="114" spans="1:10">
      <c r="A114" s="8"/>
      <c r="B114" s="8"/>
      <c r="C114" s="14"/>
      <c r="D114" s="15"/>
      <c r="E114" s="8" t="s">
        <v>503</v>
      </c>
      <c r="F114" s="11">
        <v>3.55</v>
      </c>
      <c r="G114" s="13">
        <v>19.96</v>
      </c>
      <c r="H114" s="8" t="s">
        <v>24</v>
      </c>
      <c r="I114" s="8" t="s">
        <v>24</v>
      </c>
      <c r="J114" s="9">
        <v>46107</v>
      </c>
    </row>
    <row r="115" spans="1:10">
      <c r="A115" s="8" t="s">
        <v>2945</v>
      </c>
      <c r="B115" s="8" t="s">
        <v>2898</v>
      </c>
      <c r="C115" s="9">
        <v>45470</v>
      </c>
      <c r="D115" s="10">
        <v>15</v>
      </c>
      <c r="E115" s="8" t="s">
        <v>1064</v>
      </c>
      <c r="F115" s="11">
        <v>11.25</v>
      </c>
      <c r="G115" s="13">
        <v>75</v>
      </c>
      <c r="H115" s="13" t="s">
        <v>1744</v>
      </c>
      <c r="I115" s="12">
        <v>0.022</v>
      </c>
      <c r="J115" s="9">
        <v>45821</v>
      </c>
    </row>
    <row r="116" spans="1:10">
      <c r="A116" s="8"/>
      <c r="B116" s="8"/>
      <c r="C116" s="14"/>
      <c r="D116" s="15"/>
      <c r="E116" s="8" t="s">
        <v>1060</v>
      </c>
      <c r="F116" s="11">
        <v>1.5</v>
      </c>
      <c r="G116" s="13">
        <v>10</v>
      </c>
      <c r="H116" s="13" t="s">
        <v>1745</v>
      </c>
      <c r="I116" s="12">
        <v>0.025</v>
      </c>
      <c r="J116" s="9">
        <v>45864</v>
      </c>
    </row>
    <row r="117" spans="1:10">
      <c r="A117" s="8"/>
      <c r="B117" s="8"/>
      <c r="C117" s="14"/>
      <c r="D117" s="15"/>
      <c r="E117" s="8" t="s">
        <v>503</v>
      </c>
      <c r="F117" s="11">
        <v>2.25</v>
      </c>
      <c r="G117" s="13">
        <v>15</v>
      </c>
      <c r="H117" s="8" t="s">
        <v>24</v>
      </c>
      <c r="I117" s="8" t="s">
        <v>24</v>
      </c>
      <c r="J117" s="9">
        <v>46444</v>
      </c>
    </row>
    <row r="118" spans="1:10">
      <c r="A118" s="8" t="s">
        <v>2946</v>
      </c>
      <c r="B118" s="8" t="s">
        <v>2905</v>
      </c>
      <c r="C118" s="9">
        <v>45564</v>
      </c>
      <c r="D118" s="10">
        <v>15</v>
      </c>
      <c r="E118" s="8" t="s">
        <v>1064</v>
      </c>
      <c r="F118" s="11">
        <v>11.16</v>
      </c>
      <c r="G118" s="13">
        <v>74.4</v>
      </c>
      <c r="H118" s="13" t="s">
        <v>1744</v>
      </c>
      <c r="I118" s="12">
        <v>0.0205</v>
      </c>
      <c r="J118" s="9">
        <v>45926</v>
      </c>
    </row>
    <row r="119" spans="1:10">
      <c r="A119" s="8"/>
      <c r="B119" s="8"/>
      <c r="C119" s="14"/>
      <c r="D119" s="15"/>
      <c r="E119" s="8" t="s">
        <v>1060</v>
      </c>
      <c r="F119" s="11">
        <v>0.9</v>
      </c>
      <c r="G119" s="13">
        <v>6</v>
      </c>
      <c r="H119" s="13" t="s">
        <v>1745</v>
      </c>
      <c r="I119" s="12">
        <v>0.0219</v>
      </c>
      <c r="J119" s="9">
        <v>45956</v>
      </c>
    </row>
    <row r="120" spans="1:10">
      <c r="A120" s="8"/>
      <c r="B120" s="8"/>
      <c r="C120" s="14"/>
      <c r="D120" s="15"/>
      <c r="E120" s="8" t="s">
        <v>503</v>
      </c>
      <c r="F120" s="11">
        <v>2.94</v>
      </c>
      <c r="G120" s="13">
        <v>19.6</v>
      </c>
      <c r="H120" s="8" t="s">
        <v>24</v>
      </c>
      <c r="I120" s="8" t="s">
        <v>24</v>
      </c>
      <c r="J120" s="9">
        <v>46199</v>
      </c>
    </row>
    <row r="121" spans="1:10">
      <c r="A121" s="8" t="s">
        <v>2947</v>
      </c>
      <c r="B121" s="8" t="s">
        <v>2923</v>
      </c>
      <c r="C121" s="9">
        <v>45589</v>
      </c>
      <c r="D121" s="10">
        <v>15</v>
      </c>
      <c r="E121" s="8" t="s">
        <v>1064</v>
      </c>
      <c r="F121" s="11">
        <v>10.67</v>
      </c>
      <c r="G121" s="10">
        <v>71.1333333333333</v>
      </c>
      <c r="H121" s="13" t="s">
        <v>1744</v>
      </c>
      <c r="I121" s="12">
        <v>0.0217</v>
      </c>
      <c r="J121" s="9">
        <v>45895</v>
      </c>
    </row>
    <row r="122" spans="1:10">
      <c r="A122" s="8"/>
      <c r="B122" s="8"/>
      <c r="C122" s="14"/>
      <c r="D122" s="15"/>
      <c r="E122" s="8" t="s">
        <v>1060</v>
      </c>
      <c r="F122" s="11">
        <v>1</v>
      </c>
      <c r="G122" s="10">
        <v>6.66666666666667</v>
      </c>
      <c r="H122" s="13" t="s">
        <v>1745</v>
      </c>
      <c r="I122" s="12">
        <v>0.025</v>
      </c>
      <c r="J122" s="9">
        <v>45895</v>
      </c>
    </row>
    <row r="123" spans="1:10">
      <c r="A123" s="8"/>
      <c r="B123" s="8"/>
      <c r="C123" s="14"/>
      <c r="D123" s="15"/>
      <c r="E123" s="8" t="s">
        <v>503</v>
      </c>
      <c r="F123" s="11">
        <v>3.33</v>
      </c>
      <c r="G123" s="10">
        <v>22.2</v>
      </c>
      <c r="H123" s="8" t="s">
        <v>24</v>
      </c>
      <c r="I123" s="8" t="s">
        <v>24</v>
      </c>
      <c r="J123" s="9">
        <v>46564</v>
      </c>
    </row>
    <row r="124" spans="1:10">
      <c r="A124" s="8" t="s">
        <v>2948</v>
      </c>
      <c r="B124" s="8" t="s">
        <v>2907</v>
      </c>
      <c r="C124" s="9">
        <v>45615</v>
      </c>
      <c r="D124" s="10">
        <v>7.42</v>
      </c>
      <c r="E124" s="8" t="s">
        <v>1064</v>
      </c>
      <c r="F124" s="11">
        <v>5.55</v>
      </c>
      <c r="G124" s="13">
        <v>74.8</v>
      </c>
      <c r="H124" s="13" t="s">
        <v>1744</v>
      </c>
      <c r="I124" s="12">
        <v>0.0203</v>
      </c>
      <c r="J124" s="9">
        <v>45834</v>
      </c>
    </row>
    <row r="125" spans="1:10">
      <c r="A125" s="8"/>
      <c r="B125" s="8"/>
      <c r="C125" s="14"/>
      <c r="D125" s="15"/>
      <c r="E125" s="8" t="s">
        <v>1060</v>
      </c>
      <c r="F125" s="11">
        <v>0.39</v>
      </c>
      <c r="G125" s="13">
        <v>5.26</v>
      </c>
      <c r="H125" s="13" t="s">
        <v>1745</v>
      </c>
      <c r="I125" s="12">
        <v>0.022</v>
      </c>
      <c r="J125" s="9">
        <v>45864</v>
      </c>
    </row>
    <row r="126" spans="1:10">
      <c r="A126" s="8"/>
      <c r="B126" s="8"/>
      <c r="C126" s="14"/>
      <c r="D126" s="15"/>
      <c r="E126" s="8" t="s">
        <v>503</v>
      </c>
      <c r="F126" s="11">
        <v>1.48</v>
      </c>
      <c r="G126" s="13">
        <v>19.95</v>
      </c>
      <c r="H126" s="8" t="s">
        <v>24</v>
      </c>
      <c r="I126" s="8" t="s">
        <v>24</v>
      </c>
      <c r="J126" s="9">
        <v>45926</v>
      </c>
    </row>
    <row r="127" spans="1:10">
      <c r="A127" s="8" t="s">
        <v>2949</v>
      </c>
      <c r="B127" s="8" t="s">
        <v>2905</v>
      </c>
      <c r="C127" s="9">
        <v>45618</v>
      </c>
      <c r="D127" s="10">
        <v>15</v>
      </c>
      <c r="E127" s="8" t="s">
        <v>1064</v>
      </c>
      <c r="F127" s="11">
        <v>11.24</v>
      </c>
      <c r="G127" s="13">
        <v>74.93</v>
      </c>
      <c r="H127" s="13" t="s">
        <v>1744</v>
      </c>
      <c r="I127" s="12">
        <v>0.0204</v>
      </c>
      <c r="J127" s="9">
        <v>45987</v>
      </c>
    </row>
    <row r="128" spans="1:10">
      <c r="A128" s="8"/>
      <c r="B128" s="8"/>
      <c r="C128" s="14"/>
      <c r="D128" s="15"/>
      <c r="E128" s="8" t="s">
        <v>1060</v>
      </c>
      <c r="F128" s="11">
        <v>0.82</v>
      </c>
      <c r="G128" s="13">
        <v>5.47</v>
      </c>
      <c r="H128" s="13" t="s">
        <v>1745</v>
      </c>
      <c r="I128" s="12">
        <v>0.022</v>
      </c>
      <c r="J128" s="9">
        <v>46017</v>
      </c>
    </row>
    <row r="129" spans="1:10">
      <c r="A129" s="8"/>
      <c r="B129" s="8"/>
      <c r="C129" s="14"/>
      <c r="D129" s="15"/>
      <c r="E129" s="8" t="s">
        <v>503</v>
      </c>
      <c r="F129" s="11">
        <v>2.94</v>
      </c>
      <c r="G129" s="13">
        <v>19.6</v>
      </c>
      <c r="H129" s="8" t="s">
        <v>24</v>
      </c>
      <c r="I129" s="8" t="s">
        <v>24</v>
      </c>
      <c r="J129" s="9">
        <v>46260</v>
      </c>
    </row>
    <row r="130" spans="1:10">
      <c r="A130" s="8" t="s">
        <v>2950</v>
      </c>
      <c r="B130" s="8" t="s">
        <v>2923</v>
      </c>
      <c r="C130" s="9">
        <v>45625</v>
      </c>
      <c r="D130" s="10">
        <v>20</v>
      </c>
      <c r="E130" s="8" t="s">
        <v>1064</v>
      </c>
      <c r="F130" s="11">
        <v>14.1</v>
      </c>
      <c r="G130" s="13">
        <v>70.5</v>
      </c>
      <c r="H130" s="13" t="s">
        <v>1744</v>
      </c>
      <c r="I130" s="12">
        <v>0.0207</v>
      </c>
      <c r="J130" s="9">
        <v>45926</v>
      </c>
    </row>
    <row r="131" spans="1:10">
      <c r="A131" s="8"/>
      <c r="B131" s="8"/>
      <c r="C131" s="14"/>
      <c r="D131" s="15"/>
      <c r="E131" s="8" t="s">
        <v>1060</v>
      </c>
      <c r="F131" s="11">
        <v>1.7</v>
      </c>
      <c r="G131" s="13">
        <v>8.5</v>
      </c>
      <c r="H131" s="13" t="s">
        <v>1745</v>
      </c>
      <c r="I131" s="12">
        <v>0.0225</v>
      </c>
      <c r="J131" s="9">
        <v>45956</v>
      </c>
    </row>
    <row r="132" spans="1:10">
      <c r="A132" s="8"/>
      <c r="B132" s="8"/>
      <c r="C132" s="14"/>
      <c r="D132" s="15"/>
      <c r="E132" s="8" t="s">
        <v>503</v>
      </c>
      <c r="F132" s="11">
        <v>4.2</v>
      </c>
      <c r="G132" s="13">
        <v>21</v>
      </c>
      <c r="H132" s="8" t="s">
        <v>24</v>
      </c>
      <c r="I132" s="8" t="s">
        <v>24</v>
      </c>
      <c r="J132" s="9">
        <v>46625</v>
      </c>
    </row>
    <row r="133" spans="1:10">
      <c r="A133" s="8" t="s">
        <v>2951</v>
      </c>
      <c r="B133" s="8" t="s">
        <v>2939</v>
      </c>
      <c r="C133" s="9">
        <v>45625</v>
      </c>
      <c r="D133" s="10">
        <v>19.32</v>
      </c>
      <c r="E133" s="8" t="s">
        <v>1064</v>
      </c>
      <c r="F133" s="11">
        <v>14.14</v>
      </c>
      <c r="G133" s="13">
        <v>73.17</v>
      </c>
      <c r="H133" s="13" t="s">
        <v>1744</v>
      </c>
      <c r="I133" s="12">
        <v>0.02</v>
      </c>
      <c r="J133" s="9">
        <v>46293</v>
      </c>
    </row>
    <row r="134" spans="1:10">
      <c r="A134" s="8"/>
      <c r="B134" s="8"/>
      <c r="C134" s="14"/>
      <c r="D134" s="15"/>
      <c r="E134" s="8" t="s">
        <v>1060</v>
      </c>
      <c r="F134" s="11">
        <v>1.22</v>
      </c>
      <c r="G134" s="13">
        <v>6.31</v>
      </c>
      <c r="H134" s="13" t="s">
        <v>1745</v>
      </c>
      <c r="I134" s="12">
        <v>0.0218</v>
      </c>
      <c r="J134" s="9">
        <v>46352</v>
      </c>
    </row>
    <row r="135" spans="1:10">
      <c r="A135" s="8"/>
      <c r="B135" s="8"/>
      <c r="C135" s="14"/>
      <c r="D135" s="15"/>
      <c r="E135" s="8" t="s">
        <v>503</v>
      </c>
      <c r="F135" s="11">
        <v>3.96</v>
      </c>
      <c r="G135" s="13">
        <v>70.5</v>
      </c>
      <c r="H135" s="8" t="s">
        <v>24</v>
      </c>
      <c r="I135" s="8" t="s">
        <v>24</v>
      </c>
      <c r="J135" s="9">
        <v>46656</v>
      </c>
    </row>
    <row r="136" spans="1:10">
      <c r="A136" s="8" t="s">
        <v>2952</v>
      </c>
      <c r="B136" s="8" t="s">
        <v>2953</v>
      </c>
      <c r="C136" s="9">
        <v>45632</v>
      </c>
      <c r="D136" s="10">
        <v>18.76</v>
      </c>
      <c r="E136" s="8" t="s">
        <v>1064</v>
      </c>
      <c r="F136" s="11">
        <v>13.85</v>
      </c>
      <c r="G136" s="13">
        <v>73.83</v>
      </c>
      <c r="H136" s="13" t="s">
        <v>1744</v>
      </c>
      <c r="I136" s="12">
        <v>0.019</v>
      </c>
      <c r="J136" s="9">
        <v>45987</v>
      </c>
    </row>
    <row r="137" spans="1:10">
      <c r="A137" s="8"/>
      <c r="B137" s="8"/>
      <c r="C137" s="14"/>
      <c r="D137" s="15"/>
      <c r="E137" s="8" t="s">
        <v>1060</v>
      </c>
      <c r="F137" s="11">
        <v>1</v>
      </c>
      <c r="G137" s="13">
        <v>5.33</v>
      </c>
      <c r="H137" s="13" t="s">
        <v>1745</v>
      </c>
      <c r="I137" s="12">
        <v>0.0202</v>
      </c>
      <c r="J137" s="9">
        <v>46017</v>
      </c>
    </row>
    <row r="138" spans="1:10">
      <c r="A138" s="8"/>
      <c r="B138" s="8"/>
      <c r="C138" s="14"/>
      <c r="D138" s="15"/>
      <c r="E138" s="8" t="s">
        <v>503</v>
      </c>
      <c r="F138" s="11">
        <v>3.91</v>
      </c>
      <c r="G138" s="13">
        <v>20.84</v>
      </c>
      <c r="H138" s="8" t="s">
        <v>24</v>
      </c>
      <c r="I138" s="8" t="s">
        <v>24</v>
      </c>
      <c r="J138" s="9">
        <v>46199</v>
      </c>
    </row>
    <row r="139" spans="1:10">
      <c r="A139" s="8" t="s">
        <v>2954</v>
      </c>
      <c r="B139" s="8" t="s">
        <v>2905</v>
      </c>
      <c r="C139" s="9">
        <v>45715</v>
      </c>
      <c r="D139" s="10">
        <v>15</v>
      </c>
      <c r="E139" s="8" t="s">
        <v>1064</v>
      </c>
      <c r="F139" s="11">
        <v>11.22</v>
      </c>
      <c r="G139" s="10">
        <f t="shared" ref="G139:G144" si="0">F139/15*100</f>
        <v>74.8</v>
      </c>
      <c r="H139" s="13" t="s">
        <v>1744</v>
      </c>
      <c r="I139" s="12">
        <v>0.0205</v>
      </c>
      <c r="J139" s="9">
        <v>46079</v>
      </c>
    </row>
    <row r="140" spans="1:10">
      <c r="A140" s="8"/>
      <c r="B140" s="8"/>
      <c r="C140" s="14"/>
      <c r="D140" s="15"/>
      <c r="E140" s="8" t="s">
        <v>1060</v>
      </c>
      <c r="F140" s="11">
        <v>0.83</v>
      </c>
      <c r="G140" s="10">
        <f t="shared" si="0"/>
        <v>5.53333333333333</v>
      </c>
      <c r="H140" s="13" t="s">
        <v>1745</v>
      </c>
      <c r="I140" s="12">
        <v>0.0215</v>
      </c>
      <c r="J140" s="9">
        <v>46107</v>
      </c>
    </row>
    <row r="141" spans="1:10">
      <c r="A141" s="8"/>
      <c r="B141" s="8"/>
      <c r="C141" s="14"/>
      <c r="D141" s="15"/>
      <c r="E141" s="8" t="s">
        <v>503</v>
      </c>
      <c r="F141" s="11">
        <v>2.95</v>
      </c>
      <c r="G141" s="10">
        <f t="shared" si="0"/>
        <v>19.6666666666667</v>
      </c>
      <c r="H141" s="8" t="s">
        <v>24</v>
      </c>
      <c r="I141" s="8" t="s">
        <v>24</v>
      </c>
      <c r="J141" s="9">
        <v>46352</v>
      </c>
    </row>
    <row r="142" spans="1:10">
      <c r="A142" s="8" t="s">
        <v>2955</v>
      </c>
      <c r="B142" s="8" t="s">
        <v>2923</v>
      </c>
      <c r="C142" s="9">
        <v>45744</v>
      </c>
      <c r="D142" s="10">
        <v>15</v>
      </c>
      <c r="E142" s="8" t="s">
        <v>1064</v>
      </c>
      <c r="F142" s="11">
        <v>10.65</v>
      </c>
      <c r="G142" s="10">
        <f t="shared" si="0"/>
        <v>71</v>
      </c>
      <c r="H142" s="13" t="s">
        <v>1744</v>
      </c>
      <c r="I142" s="12">
        <v>0.0203</v>
      </c>
      <c r="J142" s="9">
        <v>46048</v>
      </c>
    </row>
    <row r="143" spans="1:10">
      <c r="A143" s="8"/>
      <c r="B143" s="8"/>
      <c r="C143" s="14"/>
      <c r="D143" s="15"/>
      <c r="E143" s="8" t="s">
        <v>1060</v>
      </c>
      <c r="F143" s="11">
        <v>1.2</v>
      </c>
      <c r="G143" s="10">
        <f t="shared" si="0"/>
        <v>8</v>
      </c>
      <c r="H143" s="13" t="s">
        <v>1745</v>
      </c>
      <c r="I143" s="12">
        <v>0.0217</v>
      </c>
      <c r="J143" s="9">
        <v>46079</v>
      </c>
    </row>
    <row r="144" spans="1:10">
      <c r="A144" s="8"/>
      <c r="B144" s="8"/>
      <c r="C144" s="14"/>
      <c r="D144" s="15"/>
      <c r="E144" s="8" t="s">
        <v>503</v>
      </c>
      <c r="F144" s="11">
        <v>3.15</v>
      </c>
      <c r="G144" s="10">
        <f t="shared" si="0"/>
        <v>21</v>
      </c>
      <c r="H144" s="8" t="s">
        <v>24</v>
      </c>
      <c r="I144" s="8" t="s">
        <v>24</v>
      </c>
      <c r="J144" s="9">
        <v>46960</v>
      </c>
    </row>
    <row r="145" spans="1:12">
      <c r="A145" s="8" t="s">
        <v>2956</v>
      </c>
      <c r="B145" s="8" t="s">
        <v>2939</v>
      </c>
      <c r="C145" s="9">
        <v>45762</v>
      </c>
      <c r="D145" s="10">
        <v>19.58</v>
      </c>
      <c r="E145" s="8" t="s">
        <v>1064</v>
      </c>
      <c r="F145" s="11">
        <v>14.1</v>
      </c>
      <c r="G145" s="10">
        <f>F145/19.58*100</f>
        <v>72.0122574055158</v>
      </c>
      <c r="H145" s="13" t="s">
        <v>1744</v>
      </c>
      <c r="I145" s="12">
        <v>0.0198</v>
      </c>
      <c r="J145" s="9">
        <v>46686</v>
      </c>
    </row>
    <row r="146" spans="1:12">
      <c r="A146" s="8"/>
      <c r="B146" s="8"/>
      <c r="C146" s="14"/>
      <c r="D146" s="15"/>
      <c r="E146" s="8" t="s">
        <v>1060</v>
      </c>
      <c r="F146" s="11">
        <v>1.52</v>
      </c>
      <c r="G146" s="10">
        <f>F146/19.58*100</f>
        <v>7.76302349336057</v>
      </c>
      <c r="H146" s="13" t="s">
        <v>1745</v>
      </c>
      <c r="I146" s="12">
        <v>0.0212</v>
      </c>
      <c r="J146" s="9">
        <v>46472</v>
      </c>
    </row>
    <row r="147" spans="1:12">
      <c r="A147" s="8"/>
      <c r="B147" s="8"/>
      <c r="C147" s="14"/>
      <c r="D147" s="15"/>
      <c r="E147" s="8" t="s">
        <v>503</v>
      </c>
      <c r="F147" s="11">
        <v>3.96</v>
      </c>
      <c r="G147" s="10">
        <f>F147/19.58*100</f>
        <v>20.2247191011236</v>
      </c>
      <c r="H147" s="8" t="s">
        <v>24</v>
      </c>
      <c r="I147" s="8" t="s">
        <v>24</v>
      </c>
      <c r="J147" s="9">
        <v>46991</v>
      </c>
    </row>
    <row r="148" spans="1:12">
      <c r="A148" s="8" t="s">
        <v>2957</v>
      </c>
      <c r="B148" s="8" t="s">
        <v>2905</v>
      </c>
      <c r="C148" s="9">
        <v>45772</v>
      </c>
      <c r="D148" s="10">
        <v>15</v>
      </c>
      <c r="E148" s="8" t="s">
        <v>1064</v>
      </c>
      <c r="F148" s="11">
        <v>11.06</v>
      </c>
      <c r="G148" s="10">
        <f>F148/15*100</f>
        <v>73.7333333333333</v>
      </c>
      <c r="H148" s="13" t="s">
        <v>1744</v>
      </c>
      <c r="I148" s="12">
        <v>0.0195</v>
      </c>
      <c r="J148" s="9">
        <v>46138</v>
      </c>
      <c r="L148" s="18"/>
    </row>
    <row r="149" spans="1:12">
      <c r="A149" s="8"/>
      <c r="B149" s="8"/>
      <c r="C149" s="14"/>
      <c r="D149" s="15"/>
      <c r="E149" s="8" t="s">
        <v>1060</v>
      </c>
      <c r="F149" s="11">
        <v>1</v>
      </c>
      <c r="G149" s="10">
        <f>F149/15*100</f>
        <v>6.66666666666667</v>
      </c>
      <c r="H149" s="13" t="s">
        <v>1745</v>
      </c>
      <c r="I149" s="12">
        <v>0.0207</v>
      </c>
      <c r="J149" s="9">
        <v>46168</v>
      </c>
      <c r="L149" s="18"/>
    </row>
    <row r="150" spans="1:12">
      <c r="A150" s="8"/>
      <c r="B150" s="8"/>
      <c r="C150" s="14"/>
      <c r="D150" s="15"/>
      <c r="E150" s="8" t="s">
        <v>503</v>
      </c>
      <c r="F150" s="11">
        <v>2.94</v>
      </c>
      <c r="G150" s="10">
        <f>F150/15*100</f>
        <v>19.6</v>
      </c>
      <c r="H150" s="8" t="s">
        <v>24</v>
      </c>
      <c r="I150" s="8" t="s">
        <v>24</v>
      </c>
      <c r="J150" s="9">
        <v>46413</v>
      </c>
      <c r="L150" s="18"/>
    </row>
    <row r="151" spans="1:12">
      <c r="A151" s="8" t="s">
        <v>2958</v>
      </c>
      <c r="B151" s="8" t="s">
        <v>2898</v>
      </c>
      <c r="C151" s="9">
        <v>45800</v>
      </c>
      <c r="D151" s="10">
        <v>10</v>
      </c>
      <c r="E151" s="8" t="s">
        <v>1064</v>
      </c>
      <c r="F151" s="11">
        <v>7.75</v>
      </c>
      <c r="G151" s="13">
        <v>75</v>
      </c>
      <c r="H151" s="13" t="s">
        <v>1744</v>
      </c>
      <c r="I151" s="12">
        <v>0.019</v>
      </c>
      <c r="J151" s="9">
        <v>46157</v>
      </c>
      <c r="L151" s="18"/>
    </row>
    <row r="152" spans="1:12">
      <c r="A152" s="8"/>
      <c r="B152" s="8"/>
      <c r="C152" s="14"/>
      <c r="D152" s="15"/>
      <c r="E152" s="8" t="s">
        <v>1060</v>
      </c>
      <c r="F152" s="11">
        <v>0.75</v>
      </c>
      <c r="G152" s="13">
        <v>10</v>
      </c>
      <c r="H152" s="13" t="s">
        <v>1745</v>
      </c>
      <c r="I152" s="12">
        <v>0.022</v>
      </c>
      <c r="J152" s="9">
        <v>46199</v>
      </c>
      <c r="L152" s="18"/>
    </row>
    <row r="153" spans="1:12">
      <c r="A153" s="8"/>
      <c r="B153" s="8"/>
      <c r="C153" s="14"/>
      <c r="D153" s="15"/>
      <c r="E153" s="8" t="s">
        <v>503</v>
      </c>
      <c r="F153" s="11">
        <v>1.5</v>
      </c>
      <c r="G153" s="13">
        <v>15</v>
      </c>
      <c r="H153" s="8" t="s">
        <v>24</v>
      </c>
      <c r="I153" s="8" t="s">
        <v>24</v>
      </c>
      <c r="J153" s="9">
        <v>46778</v>
      </c>
      <c r="L153" s="18"/>
    </row>
    <row r="154" spans="1:12">
      <c r="A154" s="8" t="s">
        <v>2959</v>
      </c>
      <c r="B154" s="8" t="s">
        <v>2898</v>
      </c>
      <c r="C154" s="9">
        <v>45828</v>
      </c>
      <c r="D154" s="10">
        <v>10</v>
      </c>
      <c r="E154" s="8" t="s">
        <v>1064</v>
      </c>
      <c r="F154" s="11">
        <v>7.75</v>
      </c>
      <c r="G154" s="13">
        <v>75</v>
      </c>
      <c r="H154" s="13" t="s">
        <v>1744</v>
      </c>
      <c r="I154" s="12">
        <v>0.0185</v>
      </c>
      <c r="J154" s="9">
        <v>46191</v>
      </c>
      <c r="L154" s="18"/>
    </row>
    <row r="155" spans="1:12">
      <c r="A155" s="8"/>
      <c r="B155" s="8"/>
      <c r="C155" s="14"/>
      <c r="D155" s="15"/>
      <c r="E155" s="8" t="s">
        <v>1060</v>
      </c>
      <c r="F155" s="11">
        <v>0.75</v>
      </c>
      <c r="G155" s="13">
        <v>10</v>
      </c>
      <c r="H155" s="13" t="s">
        <v>1745</v>
      </c>
      <c r="I155" s="12">
        <v>0.0207</v>
      </c>
      <c r="J155" s="9">
        <v>46229</v>
      </c>
      <c r="L155" s="18"/>
    </row>
    <row r="156" spans="1:12">
      <c r="A156" s="8"/>
      <c r="B156" s="8"/>
      <c r="C156" s="14"/>
      <c r="D156" s="15"/>
      <c r="E156" s="8" t="s">
        <v>503</v>
      </c>
      <c r="F156" s="11">
        <v>1.5</v>
      </c>
      <c r="G156" s="13">
        <v>15</v>
      </c>
      <c r="H156" s="13" t="s">
        <v>24</v>
      </c>
      <c r="I156" s="12" t="s">
        <v>24</v>
      </c>
      <c r="J156" s="9">
        <v>46809</v>
      </c>
      <c r="L156" s="18"/>
    </row>
    <row r="157" spans="1:12">
      <c r="A157" s="8" t="s">
        <v>2960</v>
      </c>
      <c r="B157" s="8" t="s">
        <v>2905</v>
      </c>
      <c r="C157" s="9">
        <v>45834</v>
      </c>
      <c r="D157" s="10">
        <v>15</v>
      </c>
      <c r="E157" s="8" t="s">
        <v>1064</v>
      </c>
      <c r="F157" s="11">
        <v>11.19</v>
      </c>
      <c r="G157" s="10">
        <f t="shared" ref="G157:G166" si="1">F157/15*100</f>
        <v>74.6</v>
      </c>
      <c r="H157" s="13" t="s">
        <v>1744</v>
      </c>
      <c r="I157" s="12">
        <v>0.0185</v>
      </c>
      <c r="J157" s="9">
        <v>46199</v>
      </c>
      <c r="L157" s="18"/>
    </row>
    <row r="158" spans="1:12">
      <c r="A158" s="8"/>
      <c r="B158" s="8"/>
      <c r="C158" s="14"/>
      <c r="D158" s="15"/>
      <c r="E158" s="8" t="s">
        <v>1060</v>
      </c>
      <c r="F158" s="11">
        <v>0.87</v>
      </c>
      <c r="G158" s="10">
        <f t="shared" si="1"/>
        <v>5.8</v>
      </c>
      <c r="H158" s="13" t="s">
        <v>1049</v>
      </c>
      <c r="I158" s="12">
        <v>0.022</v>
      </c>
      <c r="J158" s="9">
        <v>46229</v>
      </c>
      <c r="L158" s="18"/>
    </row>
    <row r="159" spans="1:12">
      <c r="A159" s="8"/>
      <c r="B159" s="8"/>
      <c r="C159" s="14"/>
      <c r="D159" s="15"/>
      <c r="E159" s="8" t="s">
        <v>1061</v>
      </c>
      <c r="F159" s="11">
        <v>1.55</v>
      </c>
      <c r="G159" s="10">
        <f t="shared" si="1"/>
        <v>10.3333333333333</v>
      </c>
      <c r="H159" s="13" t="s">
        <v>506</v>
      </c>
      <c r="I159" s="12">
        <v>0.0275</v>
      </c>
      <c r="J159" s="9">
        <v>46260</v>
      </c>
      <c r="L159" s="18"/>
    </row>
    <row r="160" spans="1:12">
      <c r="A160" s="8"/>
      <c r="B160" s="8"/>
      <c r="C160" s="14"/>
      <c r="D160" s="15"/>
      <c r="E160" s="8" t="s">
        <v>503</v>
      </c>
      <c r="F160" s="11">
        <v>1.39</v>
      </c>
      <c r="G160" s="10">
        <f t="shared" si="1"/>
        <v>9.26666666666667</v>
      </c>
      <c r="H160" s="13" t="s">
        <v>24</v>
      </c>
      <c r="I160" s="12" t="s">
        <v>24</v>
      </c>
      <c r="J160" s="9">
        <v>46472</v>
      </c>
      <c r="L160" s="18"/>
    </row>
    <row r="161" spans="1:12">
      <c r="A161" s="8" t="s">
        <v>2961</v>
      </c>
      <c r="B161" s="8" t="s">
        <v>2923</v>
      </c>
      <c r="C161" s="9">
        <v>45846</v>
      </c>
      <c r="D161" s="10">
        <v>15</v>
      </c>
      <c r="E161" s="8" t="s">
        <v>1064</v>
      </c>
      <c r="F161" s="11">
        <v>10.68</v>
      </c>
      <c r="G161" s="10">
        <f t="shared" si="1"/>
        <v>71.2</v>
      </c>
      <c r="H161" s="13" t="s">
        <v>1744</v>
      </c>
      <c r="I161" s="12">
        <v>0.018</v>
      </c>
      <c r="J161" s="9">
        <v>46199</v>
      </c>
      <c r="L161" s="18"/>
    </row>
    <row r="162" spans="1:12">
      <c r="A162" s="8"/>
      <c r="B162" s="8"/>
      <c r="C162" s="14"/>
      <c r="D162" s="15"/>
      <c r="E162" s="8" t="s">
        <v>1060</v>
      </c>
      <c r="F162" s="11">
        <v>1.24</v>
      </c>
      <c r="G162" s="10">
        <f t="shared" si="1"/>
        <v>8.26666666666667</v>
      </c>
      <c r="H162" s="13" t="s">
        <v>1745</v>
      </c>
      <c r="I162" s="12">
        <v>0.0195</v>
      </c>
      <c r="J162" s="9">
        <v>46229</v>
      </c>
      <c r="L162" s="18"/>
    </row>
    <row r="163" spans="1:12">
      <c r="A163" s="8"/>
      <c r="B163" s="8"/>
      <c r="C163" s="14"/>
      <c r="D163" s="15"/>
      <c r="E163" s="8" t="s">
        <v>503</v>
      </c>
      <c r="F163" s="11">
        <v>3.08</v>
      </c>
      <c r="G163" s="10">
        <f t="shared" si="1"/>
        <v>20.5333333333333</v>
      </c>
      <c r="H163" s="8" t="s">
        <v>24</v>
      </c>
      <c r="I163" s="8" t="s">
        <v>24</v>
      </c>
      <c r="J163" s="9">
        <v>47175</v>
      </c>
      <c r="L163" s="18"/>
    </row>
    <row r="164" spans="1:12">
      <c r="A164" s="8" t="s">
        <v>2962</v>
      </c>
      <c r="B164" s="8" t="s">
        <v>2905</v>
      </c>
      <c r="C164" s="9">
        <v>45890</v>
      </c>
      <c r="D164" s="10">
        <v>15</v>
      </c>
      <c r="E164" s="8" t="s">
        <v>1064</v>
      </c>
      <c r="F164" s="11">
        <v>11.02</v>
      </c>
      <c r="G164" s="10">
        <f t="shared" si="1"/>
        <v>73.4666666666667</v>
      </c>
      <c r="H164" s="13" t="s">
        <v>1744</v>
      </c>
      <c r="I164" s="12">
        <v>0.0178</v>
      </c>
      <c r="J164" s="9">
        <v>46260</v>
      </c>
      <c r="L164" s="18"/>
    </row>
    <row r="165" spans="1:12">
      <c r="A165" s="8"/>
      <c r="B165" s="8"/>
      <c r="C165" s="14"/>
      <c r="D165" s="15"/>
      <c r="E165" s="8" t="s">
        <v>1060</v>
      </c>
      <c r="F165" s="11">
        <v>0.96</v>
      </c>
      <c r="G165" s="10">
        <f t="shared" si="1"/>
        <v>6.4</v>
      </c>
      <c r="H165" s="13" t="s">
        <v>1049</v>
      </c>
      <c r="I165" s="12">
        <v>0.0195</v>
      </c>
      <c r="J165" s="9">
        <v>46291</v>
      </c>
      <c r="L165" s="18"/>
    </row>
    <row r="166" spans="1:12">
      <c r="A166" s="8"/>
      <c r="B166" s="8"/>
      <c r="C166" s="14"/>
      <c r="D166" s="15"/>
      <c r="E166" s="8" t="s">
        <v>503</v>
      </c>
      <c r="F166" s="11">
        <v>3.02</v>
      </c>
      <c r="G166" s="10">
        <f t="shared" si="1"/>
        <v>20.1333333333333</v>
      </c>
      <c r="H166" s="13" t="s">
        <v>24</v>
      </c>
      <c r="I166" s="12" t="s">
        <v>24</v>
      </c>
      <c r="J166" s="9">
        <v>46533</v>
      </c>
      <c r="L166" s="18"/>
    </row>
    <row r="167" spans="1:12">
      <c r="A167" s="8" t="s">
        <v>2963</v>
      </c>
      <c r="B167" s="8" t="s">
        <v>2953</v>
      </c>
      <c r="C167" s="9">
        <v>45905</v>
      </c>
      <c r="D167" s="10">
        <v>20.0495282</v>
      </c>
      <c r="E167" s="8" t="s">
        <v>1064</v>
      </c>
      <c r="F167" s="11">
        <v>14.9</v>
      </c>
      <c r="G167" s="10">
        <v>74.33</v>
      </c>
      <c r="H167" s="13" t="s">
        <v>1744</v>
      </c>
      <c r="I167" s="12">
        <v>0.0171</v>
      </c>
      <c r="J167" s="9">
        <v>46291</v>
      </c>
      <c r="L167" s="18"/>
    </row>
    <row r="168" spans="1:12">
      <c r="A168" s="8"/>
      <c r="B168" s="8"/>
      <c r="C168" s="14"/>
      <c r="D168" s="15"/>
      <c r="E168" s="8" t="s">
        <v>1060</v>
      </c>
      <c r="F168" s="11">
        <v>1.33</v>
      </c>
      <c r="G168" s="10">
        <f>F168/$D$167*100</f>
        <v>6.63357255459009</v>
      </c>
      <c r="H168" s="13" t="s">
        <v>1745</v>
      </c>
      <c r="I168" s="12">
        <v>0.018</v>
      </c>
      <c r="J168" s="9">
        <v>46291</v>
      </c>
      <c r="L168" s="18"/>
    </row>
    <row r="169" spans="1:12">
      <c r="A169" s="8"/>
      <c r="B169" s="8"/>
      <c r="C169" s="14"/>
      <c r="D169" s="15"/>
      <c r="E169" s="8" t="s">
        <v>2964</v>
      </c>
      <c r="F169" s="11">
        <v>1.12</v>
      </c>
      <c r="G169" s="10">
        <f>F169/$D$167*100</f>
        <v>5.58616636176007</v>
      </c>
      <c r="H169" s="13" t="s">
        <v>506</v>
      </c>
      <c r="I169" s="12">
        <v>0.022</v>
      </c>
      <c r="J169" s="9">
        <v>46321</v>
      </c>
      <c r="L169" s="18"/>
    </row>
    <row r="170" spans="1:12">
      <c r="A170" s="8"/>
      <c r="B170" s="8"/>
      <c r="C170" s="14"/>
      <c r="D170" s="15"/>
      <c r="E170" s="8" t="s">
        <v>503</v>
      </c>
      <c r="F170" s="11">
        <v>2.695282</v>
      </c>
      <c r="G170" s="10">
        <v>13.45</v>
      </c>
      <c r="H170" s="8" t="s">
        <v>24</v>
      </c>
      <c r="I170" s="8" t="s">
        <v>24</v>
      </c>
      <c r="J170" s="9">
        <v>46382</v>
      </c>
      <c r="L170" s="18"/>
    </row>
    <row r="171" spans="1:12">
      <c r="A171" s="8" t="s">
        <v>2965</v>
      </c>
      <c r="B171" s="8" t="s">
        <v>2898</v>
      </c>
      <c r="C171" s="9">
        <v>45909</v>
      </c>
      <c r="D171" s="10">
        <v>10</v>
      </c>
      <c r="E171" s="8" t="s">
        <v>1064</v>
      </c>
      <c r="F171" s="11">
        <v>7.75</v>
      </c>
      <c r="G171" s="13">
        <v>75</v>
      </c>
      <c r="H171" s="13" t="s">
        <v>1744</v>
      </c>
      <c r="I171" s="12">
        <v>0.0177</v>
      </c>
      <c r="J171" s="9">
        <v>46199</v>
      </c>
      <c r="L171" s="18"/>
    </row>
    <row r="172" spans="1:12">
      <c r="A172" s="8"/>
      <c r="B172" s="8"/>
      <c r="C172" s="14"/>
      <c r="D172" s="15"/>
      <c r="E172" s="8" t="s">
        <v>1060</v>
      </c>
      <c r="F172" s="11">
        <v>0.75</v>
      </c>
      <c r="G172" s="13">
        <v>10</v>
      </c>
      <c r="H172" s="13" t="s">
        <v>1745</v>
      </c>
      <c r="I172" s="12">
        <v>0.0195</v>
      </c>
      <c r="J172" s="9">
        <v>46229</v>
      </c>
      <c r="L172" s="18"/>
    </row>
    <row r="173" spans="1:12">
      <c r="A173" s="8"/>
      <c r="B173" s="8"/>
      <c r="C173" s="14"/>
      <c r="D173" s="15"/>
      <c r="E173" s="8" t="s">
        <v>503</v>
      </c>
      <c r="F173" s="11">
        <v>1.5</v>
      </c>
      <c r="G173" s="13">
        <v>15</v>
      </c>
      <c r="H173" s="13" t="s">
        <v>24</v>
      </c>
      <c r="I173" s="12" t="s">
        <v>24</v>
      </c>
      <c r="J173" s="9">
        <v>46747</v>
      </c>
      <c r="L173" s="18"/>
    </row>
    <row r="174" spans="1:12">
      <c r="A174" s="19" t="s">
        <v>2966</v>
      </c>
      <c r="B174" s="20"/>
      <c r="C174" s="21"/>
      <c r="D174" s="22">
        <f>SUM(D2:D173)</f>
        <v>768.6895282</v>
      </c>
      <c r="E174" s="16"/>
      <c r="F174" s="23"/>
      <c r="G174" s="16"/>
      <c r="H174" s="16"/>
      <c r="I174" s="16"/>
      <c r="J174" s="17"/>
    </row>
  </sheetData>
  <autoFilter xmlns:etc="http://www.wps.cn/officeDocument/2017/etCustomData" ref="A1:J174" etc:filterBottomFollowUsedRange="0">
    <extLst/>
  </autoFilter>
  <mergeCells count="221">
    <mergeCell ref="A174:C174"/>
    <mergeCell ref="A2:A4"/>
    <mergeCell ref="A5:A10"/>
    <mergeCell ref="A11:A13"/>
    <mergeCell ref="A14:A15"/>
    <mergeCell ref="A16:A18"/>
    <mergeCell ref="A19:A21"/>
    <mergeCell ref="A22:A24"/>
    <mergeCell ref="A25:A28"/>
    <mergeCell ref="A29:A30"/>
    <mergeCell ref="A31:A33"/>
    <mergeCell ref="A34:A35"/>
    <mergeCell ref="A36:A39"/>
    <mergeCell ref="A40:A43"/>
    <mergeCell ref="A44:A45"/>
    <mergeCell ref="A46:A48"/>
    <mergeCell ref="A49:A51"/>
    <mergeCell ref="A52:A53"/>
    <mergeCell ref="A54:A57"/>
    <mergeCell ref="A58:A60"/>
    <mergeCell ref="A61:A63"/>
    <mergeCell ref="A64:A66"/>
    <mergeCell ref="A67:A71"/>
    <mergeCell ref="A72:A74"/>
    <mergeCell ref="A75:A77"/>
    <mergeCell ref="A78:A81"/>
    <mergeCell ref="A82:A83"/>
    <mergeCell ref="A84:A86"/>
    <mergeCell ref="A87:A89"/>
    <mergeCell ref="A90:A92"/>
    <mergeCell ref="A93:A96"/>
    <mergeCell ref="A97:A100"/>
    <mergeCell ref="A101:A103"/>
    <mergeCell ref="A104:A106"/>
    <mergeCell ref="A107:A109"/>
    <mergeCell ref="A110:A111"/>
    <mergeCell ref="A112:A114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  <mergeCell ref="A154:A156"/>
    <mergeCell ref="A157:A160"/>
    <mergeCell ref="A161:A163"/>
    <mergeCell ref="A164:A166"/>
    <mergeCell ref="A167:A170"/>
    <mergeCell ref="A171:A173"/>
    <mergeCell ref="B2:B4"/>
    <mergeCell ref="B5:B10"/>
    <mergeCell ref="B11:B13"/>
    <mergeCell ref="B14:B15"/>
    <mergeCell ref="B16:B18"/>
    <mergeCell ref="B19:B21"/>
    <mergeCell ref="B22:B24"/>
    <mergeCell ref="B25:B28"/>
    <mergeCell ref="B29:B30"/>
    <mergeCell ref="B31:B33"/>
    <mergeCell ref="B34:B35"/>
    <mergeCell ref="B36:B39"/>
    <mergeCell ref="B40:B43"/>
    <mergeCell ref="B44:B45"/>
    <mergeCell ref="B46:B48"/>
    <mergeCell ref="B49:B51"/>
    <mergeCell ref="B52:B53"/>
    <mergeCell ref="B54:B57"/>
    <mergeCell ref="B58:B60"/>
    <mergeCell ref="B61:B63"/>
    <mergeCell ref="B64:B66"/>
    <mergeCell ref="B67:B71"/>
    <mergeCell ref="B72:B74"/>
    <mergeCell ref="B75:B77"/>
    <mergeCell ref="B78:B81"/>
    <mergeCell ref="B82:B83"/>
    <mergeCell ref="B84:B86"/>
    <mergeCell ref="B87:B89"/>
    <mergeCell ref="B90:B92"/>
    <mergeCell ref="B93:B96"/>
    <mergeCell ref="B97:B100"/>
    <mergeCell ref="B101:B103"/>
    <mergeCell ref="B104:B106"/>
    <mergeCell ref="B107:B109"/>
    <mergeCell ref="B110:B111"/>
    <mergeCell ref="B112:B114"/>
    <mergeCell ref="B115:B117"/>
    <mergeCell ref="B118:B120"/>
    <mergeCell ref="B121:B123"/>
    <mergeCell ref="B124:B126"/>
    <mergeCell ref="B127:B129"/>
    <mergeCell ref="B130:B132"/>
    <mergeCell ref="B133:B135"/>
    <mergeCell ref="B136:B138"/>
    <mergeCell ref="B139:B141"/>
    <mergeCell ref="B142:B144"/>
    <mergeCell ref="B145:B147"/>
    <mergeCell ref="B148:B150"/>
    <mergeCell ref="B151:B153"/>
    <mergeCell ref="B154:B156"/>
    <mergeCell ref="B157:B160"/>
    <mergeCell ref="B161:B163"/>
    <mergeCell ref="B164:B166"/>
    <mergeCell ref="B167:B170"/>
    <mergeCell ref="B171:B173"/>
    <mergeCell ref="C2:C4"/>
    <mergeCell ref="C5:C10"/>
    <mergeCell ref="C11:C13"/>
    <mergeCell ref="C14:C15"/>
    <mergeCell ref="C16:C18"/>
    <mergeCell ref="C19:C21"/>
    <mergeCell ref="C22:C24"/>
    <mergeCell ref="C25:C28"/>
    <mergeCell ref="C29:C30"/>
    <mergeCell ref="C31:C33"/>
    <mergeCell ref="C34:C35"/>
    <mergeCell ref="C36:C39"/>
    <mergeCell ref="C40:C43"/>
    <mergeCell ref="C44:C45"/>
    <mergeCell ref="C46:C48"/>
    <mergeCell ref="C49:C51"/>
    <mergeCell ref="C52:C53"/>
    <mergeCell ref="C54:C57"/>
    <mergeCell ref="C58:C60"/>
    <mergeCell ref="C61:C63"/>
    <mergeCell ref="C64:C66"/>
    <mergeCell ref="C67:C71"/>
    <mergeCell ref="C72:C74"/>
    <mergeCell ref="C75:C77"/>
    <mergeCell ref="C78:C81"/>
    <mergeCell ref="C82:C83"/>
    <mergeCell ref="C84:C86"/>
    <mergeCell ref="C87:C89"/>
    <mergeCell ref="C90:C92"/>
    <mergeCell ref="C93:C96"/>
    <mergeCell ref="C97:C100"/>
    <mergeCell ref="C101:C103"/>
    <mergeCell ref="C104:C106"/>
    <mergeCell ref="C107:C109"/>
    <mergeCell ref="C110:C111"/>
    <mergeCell ref="C112:C114"/>
    <mergeCell ref="C115:C117"/>
    <mergeCell ref="C118:C120"/>
    <mergeCell ref="C121:C123"/>
    <mergeCell ref="C124:C126"/>
    <mergeCell ref="C127:C129"/>
    <mergeCell ref="C130:C132"/>
    <mergeCell ref="C133:C135"/>
    <mergeCell ref="C136:C138"/>
    <mergeCell ref="C139:C141"/>
    <mergeCell ref="C142:C144"/>
    <mergeCell ref="C145:C147"/>
    <mergeCell ref="C148:C150"/>
    <mergeCell ref="C151:C153"/>
    <mergeCell ref="C154:C156"/>
    <mergeCell ref="C157:C160"/>
    <mergeCell ref="C161:C163"/>
    <mergeCell ref="C164:C166"/>
    <mergeCell ref="C167:C170"/>
    <mergeCell ref="C171:C173"/>
    <mergeCell ref="D2:D4"/>
    <mergeCell ref="D5:D10"/>
    <mergeCell ref="D11:D13"/>
    <mergeCell ref="D14:D15"/>
    <mergeCell ref="D16:D18"/>
    <mergeCell ref="D19:D21"/>
    <mergeCell ref="D22:D24"/>
    <mergeCell ref="D25:D28"/>
    <mergeCell ref="D29:D30"/>
    <mergeCell ref="D31:D33"/>
    <mergeCell ref="D34:D35"/>
    <mergeCell ref="D36:D39"/>
    <mergeCell ref="D40:D43"/>
    <mergeCell ref="D44:D45"/>
    <mergeCell ref="D46:D48"/>
    <mergeCell ref="D49:D51"/>
    <mergeCell ref="D52:D53"/>
    <mergeCell ref="D54:D57"/>
    <mergeCell ref="D58:D60"/>
    <mergeCell ref="D61:D63"/>
    <mergeCell ref="D64:D66"/>
    <mergeCell ref="D67:D71"/>
    <mergeCell ref="D72:D74"/>
    <mergeCell ref="D75:D77"/>
    <mergeCell ref="D78:D81"/>
    <mergeCell ref="D82:D83"/>
    <mergeCell ref="D84:D86"/>
    <mergeCell ref="D87:D89"/>
    <mergeCell ref="D90:D92"/>
    <mergeCell ref="D93:D96"/>
    <mergeCell ref="D97:D100"/>
    <mergeCell ref="D101:D103"/>
    <mergeCell ref="D104:D106"/>
    <mergeCell ref="D107:D109"/>
    <mergeCell ref="D110:D111"/>
    <mergeCell ref="D112:D114"/>
    <mergeCell ref="D115:D117"/>
    <mergeCell ref="D118:D120"/>
    <mergeCell ref="D121:D123"/>
    <mergeCell ref="D124:D126"/>
    <mergeCell ref="D127:D129"/>
    <mergeCell ref="D130:D132"/>
    <mergeCell ref="D133:D135"/>
    <mergeCell ref="D136:D138"/>
    <mergeCell ref="D139:D141"/>
    <mergeCell ref="D142:D144"/>
    <mergeCell ref="D145:D147"/>
    <mergeCell ref="D148:D150"/>
    <mergeCell ref="D151:D153"/>
    <mergeCell ref="D154:D156"/>
    <mergeCell ref="D157:D160"/>
    <mergeCell ref="D161:D163"/>
    <mergeCell ref="D164:D166"/>
    <mergeCell ref="D167:D170"/>
    <mergeCell ref="D171:D173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交易所-2026年</vt:lpstr>
      <vt:lpstr>交易商协会-2026年</vt:lpstr>
      <vt:lpstr>交易所-2025年</vt:lpstr>
      <vt:lpstr>交易所-2024年</vt:lpstr>
      <vt:lpstr>交易商协会-2025年</vt:lpstr>
      <vt:lpstr>交易商协会-2024年</vt:lpstr>
      <vt:lpstr>银行间信贷ABS-2022年至今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011639-LXT</dc:creator>
  <cp:lastModifiedBy>吴怡</cp:lastModifiedBy>
  <dcterms:created xsi:type="dcterms:W3CDTF">2023-05-20T03:15:00Z</dcterms:created>
  <dcterms:modified xsi:type="dcterms:W3CDTF">2026-10-24T14:51:38Z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3AD110094C7A7F17F3F1566AF612CF88_43</vt:lpwstr>
  </property>
  <property fmtid="{D5CDD505-2E9C-101B-9397-08002B2CF9AE}" pid="4" name="EM_Doc_Temp_ID">
    <vt:lpwstr>08DF65ED-8F6C-48BB-BDB4-F35A753CDABF</vt:lpwstr>
  </property>
  <property fmtid="{D5CDD505-2E9C-101B-9397-08002B2CF9AE}" pid="5" name="CalculationRule">
    <vt:i4>0</vt:i4>
  </property>
</Properties>
</file>